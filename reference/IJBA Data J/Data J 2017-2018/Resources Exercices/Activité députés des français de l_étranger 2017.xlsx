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4"/>
    <sheet state="visible" name="stats + verifs" sheetId="2" r:id="rId5"/>
    <sheet state="visible" name="edition1" sheetId="3" r:id="rId6"/>
    <sheet state="visible" name="edition2" sheetId="4" r:id="rId7"/>
    <sheet state="visible" name="Tableau croisé dynamique 4" sheetId="5" r:id="rId8"/>
    <sheet state="visible" name="etranger_original" sheetId="6" r:id="rId9"/>
    <sheet state="visible" name="etranger_edition1" sheetId="7" r:id="rId10"/>
    <sheet state="visible" name="etranger_edition2" sheetId="8" r:id="rId11"/>
    <sheet state="visible" name="edition_final" sheetId="9" r:id="rId12"/>
    <sheet state="visible" name="départements_original" sheetId="10" r:id="rId13"/>
    <sheet state="visible" name="départements_edition" sheetId="11" r:id="rId14"/>
  </sheets>
  <definedNames>
    <definedName hidden="1" localSheetId="2" name="_xlnm._FilterDatabase">edition1!$M$1:$M$574</definedName>
  </definedNames>
  <calcPr/>
  <pivotCaches>
    <pivotCache cacheId="0" r:id="rId15"/>
  </pivotCaches>
</workbook>
</file>

<file path=xl/sharedStrings.xml><?xml version="1.0" encoding="utf-8"?>
<sst xmlns="http://schemas.openxmlformats.org/spreadsheetml/2006/main" count="26813" uniqueCount="5676">
  <si>
    <t>id</t>
  </si>
  <si>
    <t>nom</t>
  </si>
  <si>
    <t>nom_de_famille</t>
  </si>
  <si>
    <t>prenom</t>
  </si>
  <si>
    <t>sexe</t>
  </si>
  <si>
    <t>date_naissance</t>
  </si>
  <si>
    <t>lieu_naissance</t>
  </si>
  <si>
    <t>num_deptmt</t>
  </si>
  <si>
    <t>nom_circo</t>
  </si>
  <si>
    <t>num_circo</t>
  </si>
  <si>
    <t>mandat_debut</t>
  </si>
  <si>
    <t>mandat_fin</t>
  </si>
  <si>
    <t>ancien_depute</t>
  </si>
  <si>
    <t>groupe_sigle</t>
  </si>
  <si>
    <t>parti_ratt_financier</t>
  </si>
  <si>
    <t>sites_web</t>
  </si>
  <si>
    <t>emails</t>
  </si>
  <si>
    <t>anciens_mandats</t>
  </si>
  <si>
    <t>profession</t>
  </si>
  <si>
    <t>place_en_hemicycle</t>
  </si>
  <si>
    <t>url_an</t>
  </si>
  <si>
    <t>id_an</t>
  </si>
  <si>
    <t>slug</t>
  </si>
  <si>
    <t>url_nosdeputes</t>
  </si>
  <si>
    <t>url_nosdeputes_api</t>
  </si>
  <si>
    <t>nb_mandats</t>
  </si>
  <si>
    <t>twitter</t>
  </si>
  <si>
    <t>semaines_presence</t>
  </si>
  <si>
    <t>commission_presences</t>
  </si>
  <si>
    <t>commission_interventions</t>
  </si>
  <si>
    <t>hemicycle_interventions</t>
  </si>
  <si>
    <t>hemicycle_interventions_courtes</t>
  </si>
  <si>
    <t>amendements_proposes</t>
  </si>
  <si>
    <t>amendements_signes</t>
  </si>
  <si>
    <t>amendements_adoptes</t>
  </si>
  <si>
    <t>rapports</t>
  </si>
  <si>
    <t>propositions_ecrites</t>
  </si>
  <si>
    <t>propositions_signees</t>
  </si>
  <si>
    <t>questions_ecrites</t>
  </si>
  <si>
    <t>questions_orales</t>
  </si>
  <si>
    <t>Philippe Vigier</t>
  </si>
  <si>
    <t>Vigier</t>
  </si>
  <si>
    <t>Philippe</t>
  </si>
  <si>
    <t>H</t>
  </si>
  <si>
    <t>Valence (Drôme)</t>
  </si>
  <si>
    <t>Eure-et-Loir</t>
  </si>
  <si>
    <t>UAI</t>
  </si>
  <si>
    <t>Union des démocrates, radicaux et libéraux</t>
  </si>
  <si>
    <t>http://www.philippevigier.com|https://twitter.com/VigierPhilippe</t>
  </si>
  <si>
    <t>Biologiste A.I.H.P.</t>
  </si>
  <si>
    <t>http://www2.assemblee-nationale.fr/deputes/fiche/OMC_PA331582</t>
  </si>
  <si>
    <t>philippe-vigier</t>
  </si>
  <si>
    <t>https://www.nosdeputes.fr/philippe-vigier</t>
  </si>
  <si>
    <t>https://www.nosdeputes.fr/philippe-vigier/csv</t>
  </si>
  <si>
    <t>VigierPhilippe</t>
  </si>
  <si>
    <t>Émilie Bonnivard</t>
  </si>
  <si>
    <t>Bonnivard</t>
  </si>
  <si>
    <t>Émilie</t>
  </si>
  <si>
    <t>F</t>
  </si>
  <si>
    <t>Chambéry (Savoie)</t>
  </si>
  <si>
    <t>Savoie</t>
  </si>
  <si>
    <t>LR</t>
  </si>
  <si>
    <t>Les Républicains</t>
  </si>
  <si>
    <t>https://twitter.com/BonnivardE|https://fr-fr.facebook.com/ebonnivard/|http://emiliebonnivard.fr</t>
  </si>
  <si>
    <t>Cadre à la Caisse des Dépôts et Consignations</t>
  </si>
  <si>
    <t>http://www2.assemblee-nationale.fr/deputes/fiche/OMC_PA721410</t>
  </si>
  <si>
    <t>emilie-bonnivard</t>
  </si>
  <si>
    <t>https://www.nosdeputes.fr/emilie-bonnivard</t>
  </si>
  <si>
    <t>https://www.nosdeputes.fr/emilie-bonnivard/csv</t>
  </si>
  <si>
    <t>BonnivardE</t>
  </si>
  <si>
    <t>Yaël Braun-Pivet</t>
  </si>
  <si>
    <t>Braun-Pivet</t>
  </si>
  <si>
    <t>Yaël</t>
  </si>
  <si>
    <t>Nancy (Meurthe-et-Moselle)</t>
  </si>
  <si>
    <t>Yvelines</t>
  </si>
  <si>
    <t>LREM</t>
  </si>
  <si>
    <t>En marche !</t>
  </si>
  <si>
    <t>https://fr-fr.facebook.com/yaelBraunPivet/|https://twitter.com/YaelBRAUNPIVET|http://www.yael2017.fr|http://www.yaelbraunpivet.fr</t>
  </si>
  <si>
    <t>Avocate</t>
  </si>
  <si>
    <t>http://www2.assemblee-nationale.fr/deputes/fiche/OMC_PA721908</t>
  </si>
  <si>
    <t>yael-braun-pivet</t>
  </si>
  <si>
    <t>https://www.nosdeputes.fr/yael-braun-pivet</t>
  </si>
  <si>
    <t>https://www.nosdeputes.fr/yael-braun-pivet/csv</t>
  </si>
  <si>
    <t>YaelBRAUNPIVET</t>
  </si>
  <si>
    <t>Xavier Breton</t>
  </si>
  <si>
    <t>Breton</t>
  </si>
  <si>
    <t>Xavier</t>
  </si>
  <si>
    <t>Darney (Vosges)</t>
  </si>
  <si>
    <t>Ain</t>
  </si>
  <si>
    <t>https://twitter.com/bretonxavier|https://fr-fr.facebook.com/xavierbreton01/|http://www.xavierbreton.fr</t>
  </si>
  <si>
    <t>Cadre territorial</t>
  </si>
  <si>
    <t>http://www2.assemblee-nationale.fr/deputes/fiche/OMC_PA330008</t>
  </si>
  <si>
    <t>xavier-breton</t>
  </si>
  <si>
    <t>https://www.nosdeputes.fr/xavier-breton</t>
  </si>
  <si>
    <t>https://www.nosdeputes.fr/xavier-breton/csv</t>
  </si>
  <si>
    <t>bretonxavier</t>
  </si>
  <si>
    <t>Jean-Paul Dufrègne</t>
  </si>
  <si>
    <t>Dufrègne</t>
  </si>
  <si>
    <t>Jean-Paul</t>
  </si>
  <si>
    <t>Saint-Menoux (Allier)</t>
  </si>
  <si>
    <t>Allier</t>
  </si>
  <si>
    <t>GDR</t>
  </si>
  <si>
    <t>Parti communiste français</t>
  </si>
  <si>
    <t>https://twitter.com/JP_Dufregne|http://www.dufregne2017.fr|https://fr-fr.facebook.com/Dufregne2017/</t>
  </si>
  <si>
    <t>Conseiller d'entreprise</t>
  </si>
  <si>
    <t>http://www2.assemblee-nationale.fr/deputes/fiche/OMC_PA718720</t>
  </si>
  <si>
    <t>jean-paul-dufregne</t>
  </si>
  <si>
    <t>https://www.nosdeputes.fr/jean-paul-dufregne</t>
  </si>
  <si>
    <t>https://www.nosdeputes.fr/jean-paul-dufregne/csv</t>
  </si>
  <si>
    <t>JP_Dufregne</t>
  </si>
  <si>
    <t>Christine Pires Beaune</t>
  </si>
  <si>
    <t>Pires Beaune</t>
  </si>
  <si>
    <t>Christine</t>
  </si>
  <si>
    <t>Saint-Georges-de-Mons (Puy-de-Dôme)</t>
  </si>
  <si>
    <t>Puy-de-Dôme</t>
  </si>
  <si>
    <t>NG</t>
  </si>
  <si>
    <t>Parti socialiste</t>
  </si>
  <si>
    <t>http://www.christinepiresbeaune.fr|https://fr-fr.facebook.com/CPiresBeaune2017/|https://twitter.com/cpiresbeaune|http://www.cpb2017.fr</t>
  </si>
  <si>
    <t>Fonctionnaire de catégorie A</t>
  </si>
  <si>
    <t>http://www2.assemblee-nationale.fr/deputes/fiche/OMC_PA608172</t>
  </si>
  <si>
    <t>christine-pires-beaune</t>
  </si>
  <si>
    <t>https://www.nosdeputes.fr/christine-pires-beaune</t>
  </si>
  <si>
    <t>https://www.nosdeputes.fr/christine-pires-beaune/csv</t>
  </si>
  <si>
    <t>cpiresbeaune</t>
  </si>
  <si>
    <t>Jean-Marie Sermier</t>
  </si>
  <si>
    <t>Sermier</t>
  </si>
  <si>
    <t>Jean-Marie</t>
  </si>
  <si>
    <t>Nozeroy (Jura)</t>
  </si>
  <si>
    <t>Jura</t>
  </si>
  <si>
    <t>https://fr-fr.facebook.com/jeanmarie.sermier/|https://twitter.com/jmsermier</t>
  </si>
  <si>
    <t>Ancien viticulteur</t>
  </si>
  <si>
    <t>http://www2.assemblee-nationale.fr/deputes/fiche/OMC_PA267204</t>
  </si>
  <si>
    <t>jean-marie-sermier</t>
  </si>
  <si>
    <t>https://www.nosdeputes.fr/jean-marie-sermier</t>
  </si>
  <si>
    <t>https://www.nosdeputes.fr/jean-marie-sermier/csv</t>
  </si>
  <si>
    <t>jmsermier</t>
  </si>
  <si>
    <t>Jean-Pierre Vigier</t>
  </si>
  <si>
    <t>Jean-Pierre</t>
  </si>
  <si>
    <t>Brioude (Haute-Loire)</t>
  </si>
  <si>
    <t>Haute-Loire</t>
  </si>
  <si>
    <t>http://www.jpvigier.fr|https://fr-fr.facebook.com/VigierJP/|https://twitter.com/j_pVigier</t>
  </si>
  <si>
    <t>http://www2.assemblee-nationale.fr/deputes/fiche/OMC_PA607090</t>
  </si>
  <si>
    <t>jean-pierre-vigier</t>
  </si>
  <si>
    <t>https://www.nosdeputes.fr/jean-pierre-vigier</t>
  </si>
  <si>
    <t>https://www.nosdeputes.fr/jean-pierre-vigier/csv</t>
  </si>
  <si>
    <t>j_pVigier</t>
  </si>
  <si>
    <t>Éric Alauzet</t>
  </si>
  <si>
    <t>Alauzet</t>
  </si>
  <si>
    <t>Éric</t>
  </si>
  <si>
    <t>Doubs</t>
  </si>
  <si>
    <t>http://www.alauzet.net|https://twitter.com/ericalauzet|https://fr-fr.facebook.com/ericalauzet/</t>
  </si>
  <si>
    <t>Médecin</t>
  </si>
  <si>
    <t>http://www2.assemblee-nationale.fr/deputes/fiche/OMC_PA605963</t>
  </si>
  <si>
    <t>eric-alauzet</t>
  </si>
  <si>
    <t>https://www.nosdeputes.fr/eric-alauzet</t>
  </si>
  <si>
    <t>https://www.nosdeputes.fr/eric-alauzet/csv</t>
  </si>
  <si>
    <t>ericalauzet</t>
  </si>
  <si>
    <t>Thibault Bazin</t>
  </si>
  <si>
    <t>Bazin</t>
  </si>
  <si>
    <t>Thibault</t>
  </si>
  <si>
    <t>Meurthe-et-Moselle</t>
  </si>
  <si>
    <t>http://www.thibaultbazin.fr|https://twitter.com/thibault_bazin</t>
  </si>
  <si>
    <t>Autre cadre (secteur privé)</t>
  </si>
  <si>
    <t>http://www2.assemblee-nationale.fr/deputes/fiche/OMC_PA642847</t>
  </si>
  <si>
    <t>thibault-bazin</t>
  </si>
  <si>
    <t>https://www.nosdeputes.fr/thibault-bazin</t>
  </si>
  <si>
    <t>https://www.nosdeputes.fr/thibault-bazin/csv</t>
  </si>
  <si>
    <t>thibault_bazin</t>
  </si>
  <si>
    <t>Ugo Bernalicis</t>
  </si>
  <si>
    <t>Bernalicis</t>
  </si>
  <si>
    <t>Ugo</t>
  </si>
  <si>
    <t>Arras (Pas-de-Calais)</t>
  </si>
  <si>
    <t>Nord</t>
  </si>
  <si>
    <t>LFI</t>
  </si>
  <si>
    <t>La France Insoumise</t>
  </si>
  <si>
    <t>http://www.ugobernalicis.fr|https://twitter.com/ugobernalicis|https://fr-fr.facebook.com/ugobernalicis/</t>
  </si>
  <si>
    <t>http://www2.assemblee-nationale.fr/deputes/fiche/OMC_PA720430</t>
  </si>
  <si>
    <t>ugo-bernalicis</t>
  </si>
  <si>
    <t>https://www.nosdeputes.fr/ugo-bernalicis</t>
  </si>
  <si>
    <t>https://www.nosdeputes.fr/ugo-bernalicis/csv</t>
  </si>
  <si>
    <t>ugobernalicis</t>
  </si>
  <si>
    <t>Jean-Louis Bricout</t>
  </si>
  <si>
    <t>Bricout</t>
  </si>
  <si>
    <t>Jean-Louis</t>
  </si>
  <si>
    <t>Busigny (Nord)</t>
  </si>
  <si>
    <t>Aisne</t>
  </si>
  <si>
    <t>http://www.jeanlouisbricout.fr|https://twitter.com/jlbricout</t>
  </si>
  <si>
    <t>Cadre (secteur privé)</t>
  </si>
  <si>
    <t>http://www2.assemblee-nationale.fr/deputes/fiche/OMC_PA605069</t>
  </si>
  <si>
    <t>jean-louis-bricout</t>
  </si>
  <si>
    <t>https://www.nosdeputes.fr/jean-louis-bricout</t>
  </si>
  <si>
    <t>https://www.nosdeputes.fr/jean-louis-bricout/csv</t>
  </si>
  <si>
    <t>jlbricout</t>
  </si>
  <si>
    <t>Éric Coquerel</t>
  </si>
  <si>
    <t>Coquerel</t>
  </si>
  <si>
    <t>Courbevoie (Hauts-de-Seine)</t>
  </si>
  <si>
    <t>Seine-Saint-Denis</t>
  </si>
  <si>
    <t>https://twitter.com/ericcoquerel|https://fr-fr.facebook.com/eric.coquerel.1/|http://www.eric-coquerel.fr</t>
  </si>
  <si>
    <t>Industriel-Chef d'entreprise</t>
  </si>
  <si>
    <t>http://www2.assemblee-nationale.fr/deputes/fiche/OMC_PA721202</t>
  </si>
  <si>
    <t>eric-coquerel</t>
  </si>
  <si>
    <t>https://www.nosdeputes.fr/eric-coquerel</t>
  </si>
  <si>
    <t>https://www.nosdeputes.fr/eric-coquerel/csv</t>
  </si>
  <si>
    <t>ericcoquerel</t>
  </si>
  <si>
    <t>Charles de Courson</t>
  </si>
  <si>
    <t>Courson (de)</t>
  </si>
  <si>
    <t>Charles</t>
  </si>
  <si>
    <t>Paris (Paris)</t>
  </si>
  <si>
    <t>Marne</t>
  </si>
  <si>
    <t>https://twitter.com/C_deCourson</t>
  </si>
  <si>
    <t>Ancien magistrat à la Cour des comptes</t>
  </si>
  <si>
    <t>http://www2.assemblee-nationale.fr/deputes/fiche/OMC_PA942</t>
  </si>
  <si>
    <t>charles-de-courson</t>
  </si>
  <si>
    <t>https://www.nosdeputes.fr/charles-de-courson</t>
  </si>
  <si>
    <t>https://www.nosdeputes.fr/charles-de-courson/csv</t>
  </si>
  <si>
    <t>C_deCourson</t>
  </si>
  <si>
    <t>Stella Dupont</t>
  </si>
  <si>
    <t>Dupont</t>
  </si>
  <si>
    <t>Stella</t>
  </si>
  <si>
    <t>Angers (Maine-et-Loire)</t>
  </si>
  <si>
    <t>Maine-et-Loire</t>
  </si>
  <si>
    <t>http://stelladupont.fr|https://fr-fr.facebook.com/stelladupont/|https://twitter.com/stelladupont</t>
  </si>
  <si>
    <t>Comptable</t>
  </si>
  <si>
    <t>http://www2.assemblee-nationale.fr/deputes/fiche/OMC_PA643175</t>
  </si>
  <si>
    <t>stella-dupont</t>
  </si>
  <si>
    <t>https://www.nosdeputes.fr/stella-dupont</t>
  </si>
  <si>
    <t>https://www.nosdeputes.fr/stella-dupont/csv</t>
  </si>
  <si>
    <t>stelladupont</t>
  </si>
  <si>
    <t>Stanislas Guerini</t>
  </si>
  <si>
    <t>Guerini</t>
  </si>
  <si>
    <t>Stanislas</t>
  </si>
  <si>
    <t>Paris 15ème (Paris)</t>
  </si>
  <si>
    <t>Paris</t>
  </si>
  <si>
    <t>https://fr-fr.facebook.com/StanGuerini/|http://www.stanislasguerini.fr|https://twitter.com/StanGuerini</t>
  </si>
  <si>
    <t>Cadre supérieur (secteur privé)</t>
  </si>
  <si>
    <t>http://www2.assemblee-nationale.fr/deputes/fiche/OMC_PA721498</t>
  </si>
  <si>
    <t>stanislas-guerini</t>
  </si>
  <si>
    <t>https://www.nosdeputes.fr/stanislas-guerini</t>
  </si>
  <si>
    <t>https://www.nosdeputes.fr/stanislas-guerini/csv</t>
  </si>
  <si>
    <t>StanGuerini</t>
  </si>
  <si>
    <t>Patrick Hetzel</t>
  </si>
  <si>
    <t>Hetzel</t>
  </si>
  <si>
    <t>Patrick</t>
  </si>
  <si>
    <t>Phalsbourg (Moselle)</t>
  </si>
  <si>
    <t>Bas-Rhin</t>
  </si>
  <si>
    <t>http://www.patrick-hetzel.fr|https://fr-fr.facebook.com/Patrick-Hetzel/|https://twitter.com/patrickhetzel</t>
  </si>
  <si>
    <t>Professeur des Universités</t>
  </si>
  <si>
    <t>http://www2.assemblee-nationale.fr/deputes/fiche/OMC_PA608416</t>
  </si>
  <si>
    <t>patrick-hetzel</t>
  </si>
  <si>
    <t>https://www.nosdeputes.fr/patrick-hetzel</t>
  </si>
  <si>
    <t>https://www.nosdeputes.fr/patrick-hetzel/csv</t>
  </si>
  <si>
    <t>patrickhetzel</t>
  </si>
  <si>
    <t>Alexandre Holroyd</t>
  </si>
  <si>
    <t>Holroyd</t>
  </si>
  <si>
    <t>Alexandre</t>
  </si>
  <si>
    <t>Bale (Suisse)</t>
  </si>
  <si>
    <t>Français établis hors de France</t>
  </si>
  <si>
    <t>http://www.alexandre-holroyd.fr|https://twitter.com/alexIholroyd</t>
  </si>
  <si>
    <t>http://www2.assemblee-nationale.fr/deputes/fiche/OMC_PA721150</t>
  </si>
  <si>
    <t>alexandre-holroyd</t>
  </si>
  <si>
    <t>https://www.nosdeputes.fr/alexandre-holroyd</t>
  </si>
  <si>
    <t>https://www.nosdeputes.fr/alexandre-holroyd/csv</t>
  </si>
  <si>
    <t>alexIholroyd</t>
  </si>
  <si>
    <t>Catherine Kamowski</t>
  </si>
  <si>
    <t>Kamowski</t>
  </si>
  <si>
    <t>Catherine</t>
  </si>
  <si>
    <t>Valenciennes (Nord)</t>
  </si>
  <si>
    <t>Isère</t>
  </si>
  <si>
    <t>https://twitter.com/CKamowski3805|http://https://catherinekamowski.fr</t>
  </si>
  <si>
    <t>Professeur du secondaire et technique</t>
  </si>
  <si>
    <t>http://www2.assemblee-nationale.fr/deputes/fiche/OMC_PA719994</t>
  </si>
  <si>
    <t>catherine-kamowski</t>
  </si>
  <si>
    <t>https://www.nosdeputes.fr/catherine-kamowski</t>
  </si>
  <si>
    <t>https://www.nosdeputes.fr/catherine-kamowski/csv</t>
  </si>
  <si>
    <t>CKamowski3805</t>
  </si>
  <si>
    <t>Mohamed Laqhila</t>
  </si>
  <si>
    <t>Laqhila</t>
  </si>
  <si>
    <t>Mohamed</t>
  </si>
  <si>
    <t>Oulmès (Maroc)</t>
  </si>
  <si>
    <t>Bouches-du-Rhône</t>
  </si>
  <si>
    <t>MODEM</t>
  </si>
  <si>
    <t>Mouvement Démocrate</t>
  </si>
  <si>
    <t>https://fr-fr.facebook.com/laqhila11/|http://laqhila11.com|https://twitter.com/laqhila</t>
  </si>
  <si>
    <t>Expert-Comptable-Commissaire aux Comptes</t>
  </si>
  <si>
    <t>http://www2.assemblee-nationale.fr/deputes/fiche/OMC_PA718978</t>
  </si>
  <si>
    <t>mohamed-laqhila</t>
  </si>
  <si>
    <t>https://www.nosdeputes.fr/mohamed-laqhila</t>
  </si>
  <si>
    <t>https://www.nosdeputes.fr/mohamed-laqhila/csv</t>
  </si>
  <si>
    <t>laqhila</t>
  </si>
  <si>
    <t>Cendra Motin</t>
  </si>
  <si>
    <t>Motin</t>
  </si>
  <si>
    <t>Cendra</t>
  </si>
  <si>
    <t>Bagnols-sur-Cèze (Gard)</t>
  </si>
  <si>
    <t>Autre profession libérale</t>
  </si>
  <si>
    <t>http://www2.assemblee-nationale.fr/deputes/fiche/OMC_PA719850</t>
  </si>
  <si>
    <t>cendra-motin</t>
  </si>
  <si>
    <t>https://www.nosdeputes.fr/cendra-motin</t>
  </si>
  <si>
    <t>https://www.nosdeputes.fr/cendra-motin/csv</t>
  </si>
  <si>
    <t>Naïma Moutchou</t>
  </si>
  <si>
    <t>Moutchou</t>
  </si>
  <si>
    <t>Naïma</t>
  </si>
  <si>
    <t>Ermont (Val-d'Oise)</t>
  </si>
  <si>
    <t>Val-d'Oise</t>
  </si>
  <si>
    <t>https://twitter.com/NaimaMoutchou|https://www.facebook.com/NMoutchou</t>
  </si>
  <si>
    <t>Avocat</t>
  </si>
  <si>
    <t>http://www2.assemblee-nationale.fr/deputes/fiche/OMC_PA720908</t>
  </si>
  <si>
    <t>naima-moutchou</t>
  </si>
  <si>
    <t>https://www.nosdeputes.fr/naima-moutchou</t>
  </si>
  <si>
    <t>https://www.nosdeputes.fr/naima-moutchou/csv</t>
  </si>
  <si>
    <t>NaimaMoutchou</t>
  </si>
  <si>
    <t>Danièle Obono</t>
  </si>
  <si>
    <t>Obono</t>
  </si>
  <si>
    <t>Danièle</t>
  </si>
  <si>
    <t>Libreville (Gabon)</t>
  </si>
  <si>
    <t>https://twitter.com/Deputee_Obono</t>
  </si>
  <si>
    <t>Bibliothécaire</t>
  </si>
  <si>
    <t>http://www2.assemblee-nationale.fr/deputes/fiche/OMC_PA721960</t>
  </si>
  <si>
    <t>daniele-obono</t>
  </si>
  <si>
    <t>https://www.nosdeputes.fr/daniele-obono</t>
  </si>
  <si>
    <t>https://www.nosdeputes.fr/daniele-obono/csv</t>
  </si>
  <si>
    <t>Deputee_Obono</t>
  </si>
  <si>
    <t>Aurélien Pradié</t>
  </si>
  <si>
    <t>Pradié</t>
  </si>
  <si>
    <t>Aurélien</t>
  </si>
  <si>
    <t>Cahors (Lot)</t>
  </si>
  <si>
    <t>Lot</t>
  </si>
  <si>
    <t>https://fr-fr.facebook.com/aurelien.pradie/|https://twitter.com/AurelienPradie</t>
  </si>
  <si>
    <t>http://www2.assemblee-nationale.fr/deputes/fiche/OMC_PA720100</t>
  </si>
  <si>
    <t>aurelien-pradie</t>
  </si>
  <si>
    <t>https://www.nosdeputes.fr/aurelien-pradie</t>
  </si>
  <si>
    <t>https://www.nosdeputes.fr/aurelien-pradie/csv</t>
  </si>
  <si>
    <t>AurelienPradie</t>
  </si>
  <si>
    <t>Rémy Rebeyrotte</t>
  </si>
  <si>
    <t>Rebeyrotte</t>
  </si>
  <si>
    <t>Rémy</t>
  </si>
  <si>
    <t>Autun (Saône-et-Loire)</t>
  </si>
  <si>
    <t>Saône-et-Loire</t>
  </si>
  <si>
    <t>http://www.remyrebeyrotte.fr|https://twitter.com/RRebeyrotte</t>
  </si>
  <si>
    <t>Professeur d'économie</t>
  </si>
  <si>
    <t>http://www2.assemblee-nationale.fr/deputes/fiche/OMC_PA722398</t>
  </si>
  <si>
    <t>remy-rebeyrotte</t>
  </si>
  <si>
    <t>https://www.nosdeputes.fr/remy-rebeyrotte</t>
  </si>
  <si>
    <t>https://www.nosdeputes.fr/remy-rebeyrotte/csv</t>
  </si>
  <si>
    <t>RRebeyrotte</t>
  </si>
  <si>
    <t>Benoit Simian</t>
  </si>
  <si>
    <t>Simian</t>
  </si>
  <si>
    <t>Benoit</t>
  </si>
  <si>
    <t>Bordeaux (Gironde)</t>
  </si>
  <si>
    <t>Gironde</t>
  </si>
  <si>
    <t>http://benoitsimian.fr|https://twitter.com/BenoitSimian|http://benoitsimian.en-marche.fr|https://facebook.com/benoit.simian</t>
  </si>
  <si>
    <t>Responsable formation - Cadre en ressources humaines</t>
  </si>
  <si>
    <t>http://www2.assemblee-nationale.fr/deputes/fiche/OMC_PA719592</t>
  </si>
  <si>
    <t>benoit-simian</t>
  </si>
  <si>
    <t>https://www.nosdeputes.fr/benoit-simian</t>
  </si>
  <si>
    <t>https://www.nosdeputes.fr/benoit-simian/csv</t>
  </si>
  <si>
    <t>BenoitSimian</t>
  </si>
  <si>
    <t>Élisabeth Toutut-Picard</t>
  </si>
  <si>
    <t>Toutut-Picard</t>
  </si>
  <si>
    <t>Élisabeth</t>
  </si>
  <si>
    <t>Blida (Algérie)</t>
  </si>
  <si>
    <t>Haute-Garonne</t>
  </si>
  <si>
    <t>http://www.elisabeth-toutut-picard.fr|https://twitter.com/etoututpicard|https://fr-fr.facebook.com/Toutut-Picard/</t>
  </si>
  <si>
    <t>http://www2.assemblee-nationale.fr/deputes/fiche/OMC_PA719540</t>
  </si>
  <si>
    <t>elisabeth-toutut-picard</t>
  </si>
  <si>
    <t>https://www.nosdeputes.fr/elisabeth-toutut-picard</t>
  </si>
  <si>
    <t>https://www.nosdeputes.fr/elisabeth-toutut-picard/csv</t>
  </si>
  <si>
    <t>etoututpicard</t>
  </si>
  <si>
    <t>Hubert Wulfranc</t>
  </si>
  <si>
    <t>Wulfranc</t>
  </si>
  <si>
    <t>Hubert</t>
  </si>
  <si>
    <t>Rouen (Seine-Maritime)</t>
  </si>
  <si>
    <t>Seine-Maritime</t>
  </si>
  <si>
    <t>https://fr-fr.facebook.com/hwulfranc/</t>
  </si>
  <si>
    <t>Profession rattachée à l'enseignement</t>
  </si>
  <si>
    <t>http://www2.assemblee-nationale.fr/deputes/fiche/OMC_PA722110</t>
  </si>
  <si>
    <t>hubert-wulfranc</t>
  </si>
  <si>
    <t>https://www.nosdeputes.fr/hubert-wulfranc</t>
  </si>
  <si>
    <t>https://www.nosdeputes.fr/hubert-wulfranc/csv</t>
  </si>
  <si>
    <t>Caroline Abadie</t>
  </si>
  <si>
    <t>Abadie</t>
  </si>
  <si>
    <t>Caroline</t>
  </si>
  <si>
    <t>Saint-Martin-d'Hères (Isère)</t>
  </si>
  <si>
    <t>https://fr-fr.facebook.com/caroline.abadie.16/|https://twitter.com/AbadieCaroline|http://www.abadiecaroline.fr</t>
  </si>
  <si>
    <t>Industriel-Chef entreprise</t>
  </si>
  <si>
    <t>http://www2.assemblee-nationale.fr/deputes/fiche/OMC_PA719866</t>
  </si>
  <si>
    <t>caroline-abadie</t>
  </si>
  <si>
    <t>https://www.nosdeputes.fr/caroline-abadie</t>
  </si>
  <si>
    <t>https://www.nosdeputes.fr/caroline-abadie/csv</t>
  </si>
  <si>
    <t>AbadieCaroline</t>
  </si>
  <si>
    <t>Erwan Balanant</t>
  </si>
  <si>
    <t>Balanant</t>
  </si>
  <si>
    <t>Erwan</t>
  </si>
  <si>
    <t>Lorient (Morbihan)</t>
  </si>
  <si>
    <t>Finistère</t>
  </si>
  <si>
    <t>http://manufactureimg.tumblr.com|https://twitter.com/erwanbalanant</t>
  </si>
  <si>
    <t>Photographe et réalisateur</t>
  </si>
  <si>
    <t>http://www2.assemblee-nationale.fr/deputes/fiche/OMC_PA719558</t>
  </si>
  <si>
    <t>erwan-balanant</t>
  </si>
  <si>
    <t>https://www.nosdeputes.fr/erwan-balanant</t>
  </si>
  <si>
    <t>https://www.nosdeputes.fr/erwan-balanant/csv</t>
  </si>
  <si>
    <t>erwanbalanant</t>
  </si>
  <si>
    <t>Sophie Beaudouin-Hubiere</t>
  </si>
  <si>
    <t>Beaudouin-Hubiere</t>
  </si>
  <si>
    <t>Sophie</t>
  </si>
  <si>
    <t>Toulouse (Haute-Garonne)</t>
  </si>
  <si>
    <t>Haute-Vienne</t>
  </si>
  <si>
    <t>https://fr-fr.facebook.com/SophieBeaudouinHubiere/|http://sophiebeaudouinhubiere.en-marche.fr|https://twitter.com/BeaudouinSo</t>
  </si>
  <si>
    <t>http://www2.assemblee-nationale.fr/deputes/fiche/OMC_PA722170</t>
  </si>
  <si>
    <t>sophie-beaudouin-hubiere</t>
  </si>
  <si>
    <t>https://www.nosdeputes.fr/sophie-beaudouin-hubiere</t>
  </si>
  <si>
    <t>https://www.nosdeputes.fr/sophie-beaudouin-hubiere/csv</t>
  </si>
  <si>
    <t>BeaudouinSo</t>
  </si>
  <si>
    <t>Thierry Benoit</t>
  </si>
  <si>
    <t>Thierry</t>
  </si>
  <si>
    <t>Fougères (Ille-et-Vilaine)</t>
  </si>
  <si>
    <t>Ille-et-Vilaine</t>
  </si>
  <si>
    <t>http://www.thierry-benoit.fr|https://fr-fr.facebook.com/Thierry.Benoit.148/|https://twitter.com/ThierryBenoit35</t>
  </si>
  <si>
    <t>Représentant de commerce</t>
  </si>
  <si>
    <t>http://www2.assemblee-nationale.fr/deputes/fiche/OMC_PA332228</t>
  </si>
  <si>
    <t>thierry-benoit</t>
  </si>
  <si>
    <t>https://www.nosdeputes.fr/thierry-benoit</t>
  </si>
  <si>
    <t>https://www.nosdeputes.fr/thierry-benoit/csv</t>
  </si>
  <si>
    <t>ThierryBenoit35</t>
  </si>
  <si>
    <t>Brigitte Bourguignon</t>
  </si>
  <si>
    <t>Bourguignon</t>
  </si>
  <si>
    <t>Brigitte</t>
  </si>
  <si>
    <t>Boulogne-sur-Mer (Pas-de-Calais)</t>
  </si>
  <si>
    <t>Pas-de-Calais</t>
  </si>
  <si>
    <t>http://brigitte-bourguignon.fr|https://twitter.com/BrigBourguignon</t>
  </si>
  <si>
    <t>Fonctionnaire de catégorie B</t>
  </si>
  <si>
    <t>http://www2.assemblee-nationale.fr/deputes/fiche/OMC_PA608083</t>
  </si>
  <si>
    <t>brigitte-bourguignon</t>
  </si>
  <si>
    <t>https://www.nosdeputes.fr/brigitte-bourguignon</t>
  </si>
  <si>
    <t>https://www.nosdeputes.fr/brigitte-bourguignon/csv</t>
  </si>
  <si>
    <t>BrigBourguignon</t>
  </si>
  <si>
    <t>Éric Ciotti</t>
  </si>
  <si>
    <t>Ciotti</t>
  </si>
  <si>
    <t>Nice (Alpes-Maritimes)</t>
  </si>
  <si>
    <t>Alpes-Maritimes</t>
  </si>
  <si>
    <t>http://www.eric-ciotti.com|https://fr-fr.facebook.com/ECIOTTI/|https://twitter.com/ECiotti|http://www.eric-ciotti.fr</t>
  </si>
  <si>
    <t>Autre profession</t>
  </si>
  <si>
    <t>http://www2.assemblee-nationale.fr/deputes/fiche/OMC_PA330240</t>
  </si>
  <si>
    <t>eric-ciotti</t>
  </si>
  <si>
    <t>https://www.nosdeputes.fr/eric-ciotti</t>
  </si>
  <si>
    <t>https://www.nosdeputes.fr/eric-ciotti/csv</t>
  </si>
  <si>
    <t>ECiotti</t>
  </si>
  <si>
    <t>Christine Cloarec</t>
  </si>
  <si>
    <t>Cloarec</t>
  </si>
  <si>
    <t>Noisy-le-Sec (Seine-Saint-Denis)</t>
  </si>
  <si>
    <t>https://twitter.com/ChrisCloarec</t>
  </si>
  <si>
    <t>Employée (secteur privé)</t>
  </si>
  <si>
    <t>http://www2.assemblee-nationale.fr/deputes/fiche/OMC_PA719756</t>
  </si>
  <si>
    <t>christine-cloarec</t>
  </si>
  <si>
    <t>https://www.nosdeputes.fr/christine-cloarec</t>
  </si>
  <si>
    <t>https://www.nosdeputes.fr/christine-cloarec/csv</t>
  </si>
  <si>
    <t>ChrisCloarec</t>
  </si>
  <si>
    <t>Alexis Corbière</t>
  </si>
  <si>
    <t>Corbière</t>
  </si>
  <si>
    <t>Alexis</t>
  </si>
  <si>
    <t>Béziers (Hérault)</t>
  </si>
  <si>
    <t>https://twitter.com/alexiscorbiere|http://www.alexis-corbiere.com|https://fr-fr.facebook.com/Alexiscorbiere/</t>
  </si>
  <si>
    <t>Professeur de lycée professionnel</t>
  </si>
  <si>
    <t>http://www2.assemblee-nationale.fr/deputes/fiche/OMC_PA721210</t>
  </si>
  <si>
    <t>alexis-corbiere</t>
  </si>
  <si>
    <t>https://www.nosdeputes.fr/alexis-corbiere</t>
  </si>
  <si>
    <t>https://www.nosdeputes.fr/alexis-corbiere/csv</t>
  </si>
  <si>
    <t>alexiscorbiere</t>
  </si>
  <si>
    <t>Fabien Di Filippo</t>
  </si>
  <si>
    <t>Di Filippo</t>
  </si>
  <si>
    <t>Fabien</t>
  </si>
  <si>
    <t>Sarrebourg (Moselle)</t>
  </si>
  <si>
    <t>Moselle</t>
  </si>
  <si>
    <t>Cadre du secteur privé</t>
  </si>
  <si>
    <t>http://www2.assemblee-nationale.fr/deputes/fiche/OMC_PA720386</t>
  </si>
  <si>
    <t>fabien-di-filippo</t>
  </si>
  <si>
    <t>https://www.nosdeputes.fr/fabien-di-filippo</t>
  </si>
  <si>
    <t>https://www.nosdeputes.fr/fabien-di-filippo/csv</t>
  </si>
  <si>
    <t>Pierre-Henri Dumont</t>
  </si>
  <si>
    <t>Dumont</t>
  </si>
  <si>
    <t>Pierre-Henri</t>
  </si>
  <si>
    <t>Grande-Synthe (Nord)</t>
  </si>
  <si>
    <t>https://fr-fr.facebook.com/pierrehenri.dumont/|http://phdumont.fr|https://twitter.com/phdumont</t>
  </si>
  <si>
    <t>Collaborateur parlementaire</t>
  </si>
  <si>
    <t>http://www2.assemblee-nationale.fr/deputes/fiche/OMC_PA720684</t>
  </si>
  <si>
    <t>pierre-henri-dumont</t>
  </si>
  <si>
    <t>https://www.nosdeputes.fr/pierre-henri-dumont</t>
  </si>
  <si>
    <t>https://www.nosdeputes.fr/pierre-henri-dumont/csv</t>
  </si>
  <si>
    <t>phdumont</t>
  </si>
  <si>
    <t>Sarah El Haïry</t>
  </si>
  <si>
    <t>El Haïry</t>
  </si>
  <si>
    <t>Sarah</t>
  </si>
  <si>
    <t>(Loir-et-Cher)</t>
  </si>
  <si>
    <t>Loire-Atlantique</t>
  </si>
  <si>
    <t>https://fr-fr.facebook.com/sarahelhairy/|https://twitter.com/sarahelhairy|http://www.elhairy.fr</t>
  </si>
  <si>
    <t>http://www2.assemblee-nationale.fr/deputes/fiche/OMC_PA720002</t>
  </si>
  <si>
    <t>sarah-el-hairy</t>
  </si>
  <si>
    <t>https://www.nosdeputes.fr/sarah-el-hairy</t>
  </si>
  <si>
    <t>https://www.nosdeputes.fr/sarah-el-hairy/csv</t>
  </si>
  <si>
    <t>sarahelhairy</t>
  </si>
  <si>
    <t>Jean-Michel Fauvergue</t>
  </si>
  <si>
    <t>Fauvergue</t>
  </si>
  <si>
    <t>Jean-Michel</t>
  </si>
  <si>
    <t>Bages (Pyrénées-Orientales)</t>
  </si>
  <si>
    <t>Seine-et-Marne</t>
  </si>
  <si>
    <t>Haut fonctionnaire dans la Police nationale</t>
  </si>
  <si>
    <t>http://www2.assemblee-nationale.fr/deputes/fiche/OMC_PA721702</t>
  </si>
  <si>
    <t>jean-michel-fauvergue</t>
  </si>
  <si>
    <t>https://www.nosdeputes.fr/jean-michel-fauvergue</t>
  </si>
  <si>
    <t>https://www.nosdeputes.fr/jean-michel-fauvergue/csv</t>
  </si>
  <si>
    <t>Sacha Houlié</t>
  </si>
  <si>
    <t>Houlié</t>
  </si>
  <si>
    <t>Sacha</t>
  </si>
  <si>
    <t>Bressuire (Deux-Sèvres)</t>
  </si>
  <si>
    <t>Vienne</t>
  </si>
  <si>
    <t>https://twitter.com/Sach_He|https://fr-fr.facebook.com/sacha.houlie/|http://www.lesjeunesavecmacron.fr</t>
  </si>
  <si>
    <t>http://www2.assemblee-nationale.fr/deputes/fiche/OMC_PA722150</t>
  </si>
  <si>
    <t>sacha-houlie</t>
  </si>
  <si>
    <t>https://www.nosdeputes.fr/sacha-houlie</t>
  </si>
  <si>
    <t>https://www.nosdeputes.fr/sacha-houlie/csv</t>
  </si>
  <si>
    <t>Sach_He</t>
  </si>
  <si>
    <t>Christophe Jerretie</t>
  </si>
  <si>
    <t>Jerretie</t>
  </si>
  <si>
    <t>Christophe</t>
  </si>
  <si>
    <t>Tulle (Corrèze)</t>
  </si>
  <si>
    <t>Corrèze</t>
  </si>
  <si>
    <t>https://fr-fr.facebook.com/christophe.jerretie/|https://twitter.com/cjerretie</t>
  </si>
  <si>
    <t>Profession libérale</t>
  </si>
  <si>
    <t>http://www2.assemblee-nationale.fr/deputes/fiche/OMC_PA719060</t>
  </si>
  <si>
    <t>christophe-jerretie</t>
  </si>
  <si>
    <t>https://www.nosdeputes.fr/christophe-jerretie</t>
  </si>
  <si>
    <t>https://www.nosdeputes.fr/christophe-jerretie/csv</t>
  </si>
  <si>
    <t>cjerretie</t>
  </si>
  <si>
    <t>Régis Juanico</t>
  </si>
  <si>
    <t>Juanico</t>
  </si>
  <si>
    <t>Régis</t>
  </si>
  <si>
    <t>Saint-Rémy (Saône-et-Loire)</t>
  </si>
  <si>
    <t>Loire</t>
  </si>
  <si>
    <t>https://twitter.com/juanico|https://fr-fr.facebook.com/regis.juanico/|http://www.juanico.fr</t>
  </si>
  <si>
    <t>Fonctionnaire territorial</t>
  </si>
  <si>
    <t>http://www2.assemblee-nationale.fr/deputes/fiche/OMC_PA332614</t>
  </si>
  <si>
    <t>regis-juanico</t>
  </si>
  <si>
    <t>https://www.nosdeputes.fr/regis-juanico</t>
  </si>
  <si>
    <t>https://www.nosdeputes.fr/regis-juanico/csv</t>
  </si>
  <si>
    <t>juanico</t>
  </si>
  <si>
    <t>Daniel Labaronne</t>
  </si>
  <si>
    <t>Labaronne</t>
  </si>
  <si>
    <t>Daniel</t>
  </si>
  <si>
    <t>Indre-et-Loire</t>
  </si>
  <si>
    <t>https://twitter.com/LabaronneDaniel|https://fr-fr.facebook.com/danielabaronnedepute/|https://fr-fr.facebook.com/danielabaronne2017</t>
  </si>
  <si>
    <t>Maître de conférences</t>
  </si>
  <si>
    <t>http://www2.assemblee-nationale.fr/deputes/fiche/OMC_PA719798</t>
  </si>
  <si>
    <t>daniel-labaronne</t>
  </si>
  <si>
    <t>https://www.nosdeputes.fr/daniel-labaronne</t>
  </si>
  <si>
    <t>https://www.nosdeputes.fr/daniel-labaronne/csv</t>
  </si>
  <si>
    <t>LabaronneDaniel</t>
  </si>
  <si>
    <t>Bastien Lachaud</t>
  </si>
  <si>
    <t>Lachaud</t>
  </si>
  <si>
    <t>Bastien</t>
  </si>
  <si>
    <t>Vitry sur Seine (Val-de-Marne)</t>
  </si>
  <si>
    <t>https://fr-fr.facebook.com/lachaudb/|https://twitter.com/lachaudb</t>
  </si>
  <si>
    <t>http://www2.assemblee-nationale.fr/deputes/fiche/OMC_PA720846</t>
  </si>
  <si>
    <t>bastien-lachaud</t>
  </si>
  <si>
    <t>https://www.nosdeputes.fr/bastien-lachaud</t>
  </si>
  <si>
    <t>https://www.nosdeputes.fr/bastien-lachaud/csv</t>
  </si>
  <si>
    <t>lachaudb</t>
  </si>
  <si>
    <t>Gilles Lurton</t>
  </si>
  <si>
    <t>Lurton</t>
  </si>
  <si>
    <t>Gilles</t>
  </si>
  <si>
    <t>Saint-Servan-sur Mer (Ille-et-Vilaine)</t>
  </si>
  <si>
    <t>https://fr-fr.facebook.com/gilleslurton7/|https://twitter.com/gilleslurton|http://www.gilleslurton.fr</t>
  </si>
  <si>
    <t>Cadre supérieur du secteur privé</t>
  </si>
  <si>
    <t>http://www2.assemblee-nationale.fr/deputes/fiche/OMC_PA606712</t>
  </si>
  <si>
    <t>gilles-lurton</t>
  </si>
  <si>
    <t>https://www.nosdeputes.fr/gilles-lurton</t>
  </si>
  <si>
    <t>https://www.nosdeputes.fr/gilles-lurton/csv</t>
  </si>
  <si>
    <t>gilleslurton</t>
  </si>
  <si>
    <t>Jean-Paul Mattei</t>
  </si>
  <si>
    <t>Mattei</t>
  </si>
  <si>
    <t>SAARBURG (ALLEMAGNE)</t>
  </si>
  <si>
    <t>Pyrénées-Atlantiques</t>
  </si>
  <si>
    <t>https://fr-fr.facebook.com/mattei64/|https://twitter.com/jp_mattei</t>
  </si>
  <si>
    <t>Notaire</t>
  </si>
  <si>
    <t>http://www2.assemblee-nationale.fr/deputes/fiche/OMC_PA720728</t>
  </si>
  <si>
    <t>jean-paul-mattei</t>
  </si>
  <si>
    <t>https://www.nosdeputes.fr/jean-paul-mattei</t>
  </si>
  <si>
    <t>https://www.nosdeputes.fr/jean-paul-mattei/csv</t>
  </si>
  <si>
    <t>jp_mattei</t>
  </si>
  <si>
    <t>Bruno Millienne</t>
  </si>
  <si>
    <t>Millienne</t>
  </si>
  <si>
    <t>Bruno</t>
  </si>
  <si>
    <t>Argenteuil (Val-d'Oise)</t>
  </si>
  <si>
    <t>https://twitter.com/BrunoMillienne</t>
  </si>
  <si>
    <t>http://www2.assemblee-nationale.fr/deputes/fiche/OMC_PA721976</t>
  </si>
  <si>
    <t>bruno-millienne</t>
  </si>
  <si>
    <t>https://www.nosdeputes.fr/bruno-millienne</t>
  </si>
  <si>
    <t>https://www.nosdeputes.fr/bruno-millienne/csv</t>
  </si>
  <si>
    <t>BrunoMillienne</t>
  </si>
  <si>
    <t>Jean-Michel Mis</t>
  </si>
  <si>
    <t>Mis</t>
  </si>
  <si>
    <t>Saint-Étienne (Loire)</t>
  </si>
  <si>
    <t>https://fr-fr.facebook.com/jeanmichel.mis/|https://twitter.com/JeanMichelMIS|http://www.jeanmichelmis.fr|https://jeanmichelmis.en-marche.fr</t>
  </si>
  <si>
    <t>http://www2.assemblee-nationale.fr/deputes/fiche/OMC_PA719952</t>
  </si>
  <si>
    <t>jean-michel-mis</t>
  </si>
  <si>
    <t>https://www.nosdeputes.fr/jean-michel-mis</t>
  </si>
  <si>
    <t>https://www.nosdeputes.fr/jean-michel-mis/csv</t>
  </si>
  <si>
    <t>JeanMichelMIS</t>
  </si>
  <si>
    <t>Amélie de Montchalin</t>
  </si>
  <si>
    <t>Montchalin (de)</t>
  </si>
  <si>
    <t>Amélie</t>
  </si>
  <si>
    <t>Lyon 08 (Rhône)</t>
  </si>
  <si>
    <t>Essonne</t>
  </si>
  <si>
    <t>http://ameliedemontchalin.en-marche.fr|https://twitter.com/ademontchalin|http://www.ademontchalin.fr</t>
  </si>
  <si>
    <t>http://www2.assemblee-nationale.fr/deputes/fiche/OMC_PA721670</t>
  </si>
  <si>
    <t>amelie-de-montchalin</t>
  </si>
  <si>
    <t>https://www.nosdeputes.fr/amelie-de-montchalin</t>
  </si>
  <si>
    <t>https://www.nosdeputes.fr/amelie-de-montchalin/csv</t>
  </si>
  <si>
    <t>ademontchalin</t>
  </si>
  <si>
    <t>Michèle Peyron</t>
  </si>
  <si>
    <t>Peyron</t>
  </si>
  <si>
    <t>Michèle</t>
  </si>
  <si>
    <t>Nîmes (Gard)</t>
  </si>
  <si>
    <t>https://twitter.com/MichelePeyron|https://www.facebook.com/michele.peyron.79</t>
  </si>
  <si>
    <t>http://www2.assemblee-nationale.fr/deputes/fiche/OMC_PA721710</t>
  </si>
  <si>
    <t>michele-peyron</t>
  </si>
  <si>
    <t>https://www.nosdeputes.fr/michele-peyron</t>
  </si>
  <si>
    <t>https://www.nosdeputes.fr/michele-peyron/csv</t>
  </si>
  <si>
    <t>MichelePeyron</t>
  </si>
  <si>
    <t>Valérie Rabault</t>
  </si>
  <si>
    <t>Rabault</t>
  </si>
  <si>
    <t>Valérie</t>
  </si>
  <si>
    <t>L'hay les Roses (Val-de-Marne)</t>
  </si>
  <si>
    <t>Tarn-et-Garonne</t>
  </si>
  <si>
    <t>http://www.valerierabault.fr|https://fr-fr.facebook.com/ValerieRabault82/|https://twitter.com/Valerie_Rabault</t>
  </si>
  <si>
    <t>Ingénieure</t>
  </si>
  <si>
    <t>http://www2.assemblee-nationale.fr/deputes/fiche/OMC_PA609590</t>
  </si>
  <si>
    <t>valerie-rabault</t>
  </si>
  <si>
    <t>https://www.nosdeputes.fr/valerie-rabault</t>
  </si>
  <si>
    <t>https://www.nosdeputes.fr/valerie-rabault/csv</t>
  </si>
  <si>
    <t>Valerie_Rabault</t>
  </si>
  <si>
    <t>Laurent Saint-Martin</t>
  </si>
  <si>
    <t>Saint-Martin</t>
  </si>
  <si>
    <t>Laurent</t>
  </si>
  <si>
    <t>Val-de-Marne</t>
  </si>
  <si>
    <t>http://lsm2017.fr|http://laurentsaintmartin.fr|https://twitter.com/LauStmartin</t>
  </si>
  <si>
    <t>http://www2.assemblee-nationale.fr/deputes/fiche/OMC_PA720878</t>
  </si>
  <si>
    <t>laurent-saint-martin</t>
  </si>
  <si>
    <t>https://www.nosdeputes.fr/laurent-saint-martin</t>
  </si>
  <si>
    <t>https://www.nosdeputes.fr/laurent-saint-martin/csv</t>
  </si>
  <si>
    <t>LauStmartin</t>
  </si>
  <si>
    <t>Cécile Untermaier</t>
  </si>
  <si>
    <t>Untermaier</t>
  </si>
  <si>
    <t>Cécile</t>
  </si>
  <si>
    <t>Belley (Ain)</t>
  </si>
  <si>
    <t>http://www.cecileuntermaier.fr|https://twitter.com/ceciluntermaier|https://fr-fr.facebook.com/cecile.untermaier/</t>
  </si>
  <si>
    <t>Fonctionnaire des grands corps de l'État</t>
  </si>
  <si>
    <t>http://www2.assemblee-nationale.fr/deputes/fiche/OMC_PA608695</t>
  </si>
  <si>
    <t>cecile-untermaier</t>
  </si>
  <si>
    <t>https://www.nosdeputes.fr/cecile-untermaier</t>
  </si>
  <si>
    <t>https://www.nosdeputes.fr/cecile-untermaier/csv</t>
  </si>
  <si>
    <t>ceciluntermaier</t>
  </si>
  <si>
    <t>Boris Vallaud</t>
  </si>
  <si>
    <t>Vallaud</t>
  </si>
  <si>
    <t>Boris</t>
  </si>
  <si>
    <t>Beyrouth (Liban)</t>
  </si>
  <si>
    <t>Landes</t>
  </si>
  <si>
    <t>http://www2.assemblee-nationale.fr/deputes/fiche/OMC_PA719930</t>
  </si>
  <si>
    <t>boris-vallaud</t>
  </si>
  <si>
    <t>https://www.nosdeputes.fr/boris-vallaud</t>
  </si>
  <si>
    <t>https://www.nosdeputes.fr/boris-vallaud/csv</t>
  </si>
  <si>
    <t>Marie-Christine Verdier-Jouclas</t>
  </si>
  <si>
    <t>Verdier-Jouclas</t>
  </si>
  <si>
    <t>Marie-Christine</t>
  </si>
  <si>
    <t>Albi (Tarn)</t>
  </si>
  <si>
    <t>Tarn</t>
  </si>
  <si>
    <t>https://twitter.com/verdierjouclas|https://fr-fr.facebook.com/Mariechristineverdierjouclas/|http://www.verdier-jouclas.fr</t>
  </si>
  <si>
    <t>Directrice d'agence bancaire</t>
  </si>
  <si>
    <t>http://www2.assemblee-nationale.fr/deputes/fiche/OMC_PA721542</t>
  </si>
  <si>
    <t>marie-christine-verdier-jouclas</t>
  </si>
  <si>
    <t>https://www.nosdeputes.fr/marie-christine-verdier-jouclas</t>
  </si>
  <si>
    <t>https://www.nosdeputes.fr/marie-christine-verdier-jouclas/csv</t>
  </si>
  <si>
    <t>verdierjouclas</t>
  </si>
  <si>
    <t>Arnaud Viala</t>
  </si>
  <si>
    <t>Viala</t>
  </si>
  <si>
    <t>Arnaud</t>
  </si>
  <si>
    <t>Millau (Aveyron)</t>
  </si>
  <si>
    <t>Aveyron</t>
  </si>
  <si>
    <t>https://fr-fr.facebook.com/ArnaudViala.fr/|https://twitter.com/arnaudviala|http://www.arnaudviala.fr|https://fr-fr.facebook.com/ArnaudViala</t>
  </si>
  <si>
    <t>http://www2.assemblee-nationale.fr/deputes/fiche/OMC_PA709315</t>
  </si>
  <si>
    <t>arnaud-viala</t>
  </si>
  <si>
    <t>https://www.nosdeputes.fr/arnaud-viala</t>
  </si>
  <si>
    <t>https://www.nosdeputes.fr/arnaud-viala/csv</t>
  </si>
  <si>
    <t>arnaudviala</t>
  </si>
  <si>
    <t>Laurence Vichnievsky</t>
  </si>
  <si>
    <t>Vichnievsky</t>
  </si>
  <si>
    <t>Laurence</t>
  </si>
  <si>
    <t>Boulogne-Billancourt (Hauts-de-Seine)</t>
  </si>
  <si>
    <t>https://twitter.com/LVichnievsky|https://fr.wikipedia.org/wiki/Laurence_Vichnievsky</t>
  </si>
  <si>
    <t>Magistrat</t>
  </si>
  <si>
    <t>http://www2.assemblee-nationale.fr/deputes/fiche/OMC_PA720704</t>
  </si>
  <si>
    <t>laurence-vichnievsky</t>
  </si>
  <si>
    <t>https://www.nosdeputes.fr/laurence-vichnievsky</t>
  </si>
  <si>
    <t>https://www.nosdeputes.fr/laurence-vichnievsky/csv</t>
  </si>
  <si>
    <t>LVichnievsky</t>
  </si>
  <si>
    <t>Jean-Luc Warsmann</t>
  </si>
  <si>
    <t>Warsmann</t>
  </si>
  <si>
    <t>Jean-Luc</t>
  </si>
  <si>
    <t>Villers-Semeuse (Ardennes)</t>
  </si>
  <si>
    <t>Ardennes</t>
  </si>
  <si>
    <t>http://www.jlwarsmann.com|https://twitter.com/warsmann</t>
  </si>
  <si>
    <t>Sans profession</t>
  </si>
  <si>
    <t>http://www2.assemblee-nationale.fr/deputes/fiche/OMC_PA2952</t>
  </si>
  <si>
    <t>jean-luc-warsmann</t>
  </si>
  <si>
    <t>https://www.nosdeputes.fr/jean-luc-warsmann</t>
  </si>
  <si>
    <t>https://www.nosdeputes.fr/jean-luc-warsmann/csv</t>
  </si>
  <si>
    <t>warsmann</t>
  </si>
  <si>
    <t>Julien Aubert</t>
  </si>
  <si>
    <t>Aubert</t>
  </si>
  <si>
    <t>Julien</t>
  </si>
  <si>
    <t>Marseille (Bouches-du-Rhône)</t>
  </si>
  <si>
    <t>Vaucluse</t>
  </si>
  <si>
    <t>http://www.julienaubert.fr|http://www.julienaubert2017.fr|https://twitter.com/JulienAubert84</t>
  </si>
  <si>
    <t>Magistrat à la Cour des Comptes</t>
  </si>
  <si>
    <t>http://www2.assemblee-nationale.fr/deputes/fiche/OMC_PA609726</t>
  </si>
  <si>
    <t>julien-aubert</t>
  </si>
  <si>
    <t>https://www.nosdeputes.fr/julien-aubert</t>
  </si>
  <si>
    <t>https://www.nosdeputes.fr/julien-aubert/csv</t>
  </si>
  <si>
    <t>JulienAubert84</t>
  </si>
  <si>
    <t>Sophie Auconie</t>
  </si>
  <si>
    <t>Auconie</t>
  </si>
  <si>
    <t>Dugny (Seine-Saint-Denis)</t>
  </si>
  <si>
    <t>http://www.sophieauconie.fr|https://fr-fr.facebook.com/sophieauconie/|https://twitter.com/sophie_auconie</t>
  </si>
  <si>
    <t>http://www2.assemblee-nationale.fr/deputes/fiche/OMC_PA719806</t>
  </si>
  <si>
    <t>sophie-auconie</t>
  </si>
  <si>
    <t>https://www.nosdeputes.fr/sophie-auconie</t>
  </si>
  <si>
    <t>https://www.nosdeputes.fr/sophie-auconie/csv</t>
  </si>
  <si>
    <t>sophie_auconie</t>
  </si>
  <si>
    <t>Delphine Bagarry</t>
  </si>
  <si>
    <t>Bagarry</t>
  </si>
  <si>
    <t>Delphine</t>
  </si>
  <si>
    <t>Lyon (Rhône)</t>
  </si>
  <si>
    <t>Alpes-de-Haute-Provence</t>
  </si>
  <si>
    <t>http://www.delphinebagarry.fr|https://twitter.com/DBagarry|https://fr-fr.facebook.com/delphinebagarry04/</t>
  </si>
  <si>
    <t>http://www2.assemblee-nationale.fr/deputes/fiche/OMC_PA718744</t>
  </si>
  <si>
    <t>delphine-bagarry</t>
  </si>
  <si>
    <t>https://www.nosdeputes.fr/delphine-bagarry</t>
  </si>
  <si>
    <t>https://www.nosdeputes.fr/delphine-bagarry/csv</t>
  </si>
  <si>
    <t>DBagarry</t>
  </si>
  <si>
    <t>Belkhir Belhaddad</t>
  </si>
  <si>
    <t>Belhaddad</t>
  </si>
  <si>
    <t>Belkhir</t>
  </si>
  <si>
    <t>Timgad (Algérie)</t>
  </si>
  <si>
    <t>https://twitter.com/b_belhaddad|https://www.facebook.com/belhaddad2017|https://www.facebook.com/belhaddadbelkhir</t>
  </si>
  <si>
    <t>http://www2.assemblee-nationale.fr/deputes/fiche/OMC_PA720362</t>
  </si>
  <si>
    <t>belkhir-belhaddad</t>
  </si>
  <si>
    <t>https://www.nosdeputes.fr/belkhir-belhaddad</t>
  </si>
  <si>
    <t>https://www.nosdeputes.fr/belkhir-belhaddad/csv</t>
  </si>
  <si>
    <t>b_belhaddad</t>
  </si>
  <si>
    <t>Christophe Bouillon</t>
  </si>
  <si>
    <t>Bouillon</t>
  </si>
  <si>
    <t>https://facebook.com/cbouillon1|http://www.christophebouillon.fr|https://twitter.com/Chris_Bouillon</t>
  </si>
  <si>
    <t>http://www2.assemblee-nationale.fr/deputes/fiche/OMC_PA267233</t>
  </si>
  <si>
    <t>christophe-bouillon</t>
  </si>
  <si>
    <t>https://www.nosdeputes.fr/christophe-bouillon</t>
  </si>
  <si>
    <t>https://www.nosdeputes.fr/christophe-bouillon/csv</t>
  </si>
  <si>
    <t>Chris_Bouillon</t>
  </si>
  <si>
    <t>Carole Bureau-Bonnard</t>
  </si>
  <si>
    <t>Bureau-Bonnard</t>
  </si>
  <si>
    <t>Carole</t>
  </si>
  <si>
    <t>La Fère (Aisne)</t>
  </si>
  <si>
    <t>Oise</t>
  </si>
  <si>
    <t>https://fr-fr.facebook.com/CaroleBureauBonnardOise/|https://twitter.com/CaroleBBonnard</t>
  </si>
  <si>
    <t>Masseur-kinésithérapeute</t>
  </si>
  <si>
    <t>http://www2.assemblee-nationale.fr/deputes/fiche/OMC_PA720622</t>
  </si>
  <si>
    <t>carole-bureau-bonnard</t>
  </si>
  <si>
    <t>https://www.nosdeputes.fr/carole-bureau-bonnard</t>
  </si>
  <si>
    <t>https://www.nosdeputes.fr/carole-bureau-bonnard/csv</t>
  </si>
  <si>
    <t>CaroleBBonnard</t>
  </si>
  <si>
    <t>Céline Calvez</t>
  </si>
  <si>
    <t>Calvez</t>
  </si>
  <si>
    <t>Céline</t>
  </si>
  <si>
    <t>Rennes (Ille-et-Vilaine)</t>
  </si>
  <si>
    <t>Hauts-de-Seine</t>
  </si>
  <si>
    <t>https://twitter.com/celinecalvez|http://celine-calvez.fr</t>
  </si>
  <si>
    <t>Consultante communication</t>
  </si>
  <si>
    <t>http://www2.assemblee-nationale.fr/deputes/fiche/OMC_PA721750</t>
  </si>
  <si>
    <t>celine-calvez</t>
  </si>
  <si>
    <t>https://www.nosdeputes.fr/celine-calvez</t>
  </si>
  <si>
    <t>https://www.nosdeputes.fr/celine-calvez/csv</t>
  </si>
  <si>
    <t>celinecalvez</t>
  </si>
  <si>
    <t>Émilie Cariou</t>
  </si>
  <si>
    <t>Cariou</t>
  </si>
  <si>
    <t>VERDUN (Meuse)</t>
  </si>
  <si>
    <t>Meuse</t>
  </si>
  <si>
    <t>https://twitter.com/EmilieCariou|https://fr-fr.facebook.com/EmilieCariou2017/|http://emiliecariou.fr</t>
  </si>
  <si>
    <t>http://www2.assemblee-nationale.fr/deputes/fiche/OMC_PA720298</t>
  </si>
  <si>
    <t>emilie-cariou</t>
  </si>
  <si>
    <t>https://www.nosdeputes.fr/emilie-cariou</t>
  </si>
  <si>
    <t>https://www.nosdeputes.fr/emilie-cariou/csv</t>
  </si>
  <si>
    <t>EmilieCariou</t>
  </si>
  <si>
    <t>Gilles Carrez</t>
  </si>
  <si>
    <t>Carrez</t>
  </si>
  <si>
    <t>http://www.gillescarrez.fr|http://www.gillescarrez2017.fr|https://twitter.com/GillesCarrez</t>
  </si>
  <si>
    <t>Fonctionnaire de l'État retraité</t>
  </si>
  <si>
    <t>http://www2.assemblee-nationale.fr/deputes/fiche/OMC_PA746</t>
  </si>
  <si>
    <t>gilles-carrez</t>
  </si>
  <si>
    <t>https://www.nosdeputes.fr/gilles-carrez</t>
  </si>
  <si>
    <t>https://www.nosdeputes.fr/gilles-carrez/csv</t>
  </si>
  <si>
    <t>GillesCarrez</t>
  </si>
  <si>
    <t>Michel Castellani</t>
  </si>
  <si>
    <t>Castellani</t>
  </si>
  <si>
    <t>Michel</t>
  </si>
  <si>
    <t>Bastia (Haute-Corse)</t>
  </si>
  <si>
    <t>2B</t>
  </si>
  <si>
    <t>Haute-Corse</t>
  </si>
  <si>
    <t>NI</t>
  </si>
  <si>
    <t>Régions et peuples solidaires</t>
  </si>
  <si>
    <t>https://twitter.com/Castellani_</t>
  </si>
  <si>
    <t>http://www2.assemblee-nationale.fr/deputes/fiche/OMC_PA719138</t>
  </si>
  <si>
    <t>michel-castellani</t>
  </si>
  <si>
    <t>https://www.nosdeputes.fr/michel-castellani</t>
  </si>
  <si>
    <t>https://www.nosdeputes.fr/michel-castellani/csv</t>
  </si>
  <si>
    <t>Castellani_</t>
  </si>
  <si>
    <t>Jean-René Cazeneuve</t>
  </si>
  <si>
    <t>Cazeneuve</t>
  </si>
  <si>
    <t>Jean-René</t>
  </si>
  <si>
    <t>Gers</t>
  </si>
  <si>
    <t>http://bit.ly/2pX9o9z|https://twitter.com/jrcazeneuve</t>
  </si>
  <si>
    <t>Ingénieur</t>
  </si>
  <si>
    <t>http://www2.assemblee-nationale.fr/deputes/fiche/OMC_PA719472</t>
  </si>
  <si>
    <t>jean-rene-cazeneuve</t>
  </si>
  <si>
    <t>https://www.nosdeputes.fr/jean-rene-cazeneuve</t>
  </si>
  <si>
    <t>https://www.nosdeputes.fr/jean-rene-cazeneuve/csv</t>
  </si>
  <si>
    <t>jrcazeneuve</t>
  </si>
  <si>
    <t>Sébastien Chenu</t>
  </si>
  <si>
    <t>Chenu</t>
  </si>
  <si>
    <t>Sébastien</t>
  </si>
  <si>
    <t>Beauvais (Oise)</t>
  </si>
  <si>
    <t>Front National</t>
  </si>
  <si>
    <t>https://fr-fr.facebook.com/chenu.sebastien/|https://twitter.com/sebchenu|https://fnlegislatives.fr/candidats/sebastien-chenu</t>
  </si>
  <si>
    <t>Conseiller en communication</t>
  </si>
  <si>
    <t>http://www2.assemblee-nationale.fr/deputes/fiche/OMC_PA720468</t>
  </si>
  <si>
    <t>sebastien-chenu</t>
  </si>
  <si>
    <t>https://www.nosdeputes.fr/sebastien-chenu</t>
  </si>
  <si>
    <t>https://www.nosdeputes.fr/sebastien-chenu/csv</t>
  </si>
  <si>
    <t>sebchenu</t>
  </si>
  <si>
    <t>Paul Christophe</t>
  </si>
  <si>
    <t>Paul</t>
  </si>
  <si>
    <t>Sables d'Olonne (Vendée)</t>
  </si>
  <si>
    <t>https://fr-fr.facebook.com/Paul-Christophe-Député-du-Nord-1387587231318843/|https://twitter.com/christophe_p|http://www.paul-christophe.fr</t>
  </si>
  <si>
    <t>http://www2.assemblee-nationale.fr/deputes/fiche/OMC_PA642868</t>
  </si>
  <si>
    <t>paul-christophe</t>
  </si>
  <si>
    <t>https://www.nosdeputes.fr/paul-christophe</t>
  </si>
  <si>
    <t>https://www.nosdeputes.fr/paul-christophe/csv</t>
  </si>
  <si>
    <t>christophe_p</t>
  </si>
  <si>
    <t>Jean-Charles Colas-Roy</t>
  </si>
  <si>
    <t>Colas-Roy</t>
  </si>
  <si>
    <t>Jean-Charles</t>
  </si>
  <si>
    <t>Montpellier (Hérault)</t>
  </si>
  <si>
    <t>https://twitter.com/JCColasRoy|https://fr-fr.facebook.com/JCColasRoy/</t>
  </si>
  <si>
    <t>http://www2.assemblee-nationale.fr/deputes/fiche/OMC_PA719740</t>
  </si>
  <si>
    <t>jean-charles-colas-roy</t>
  </si>
  <si>
    <t>https://www.nosdeputes.fr/jean-charles-colas-roy</t>
  </si>
  <si>
    <t>https://www.nosdeputes.fr/jean-charles-colas-roy/csv</t>
  </si>
  <si>
    <t>JCColasRoy</t>
  </si>
  <si>
    <t>Pierre Cordier</t>
  </si>
  <si>
    <t>Cordier</t>
  </si>
  <si>
    <t>Pierre</t>
  </si>
  <si>
    <t>Charleville-Mézières (Ardennes)</t>
  </si>
  <si>
    <t>https://twitter.com/CORDIERPierre08</t>
  </si>
  <si>
    <t>http://www2.assemblee-nationale.fr/deputes/fiche/OMC_PA718850</t>
  </si>
  <si>
    <t>pierre-cordier</t>
  </si>
  <si>
    <t>https://www.nosdeputes.fr/pierre-cordier</t>
  </si>
  <si>
    <t>https://www.nosdeputes.fr/pierre-cordier/csv</t>
  </si>
  <si>
    <t>CORDIERPierre08</t>
  </si>
  <si>
    <t>Michèle Crouzet</t>
  </si>
  <si>
    <t>Crouzet</t>
  </si>
  <si>
    <t>Lormes (Nièvre)</t>
  </si>
  <si>
    <t>Yonne</t>
  </si>
  <si>
    <t>https://fr-fr.facebook.com/Crouzet2017/|https://twitter.com/michelecrouzet|https://en-marche.fr</t>
  </si>
  <si>
    <t>Co-gérante d'entreprise en disponibilité</t>
  </si>
  <si>
    <t>http://www2.assemblee-nationale.fr/deputes/fiche/OMC_PA721808</t>
  </si>
  <si>
    <t>michele-crouzet</t>
  </si>
  <si>
    <t>https://www.nosdeputes.fr/michele-crouzet</t>
  </si>
  <si>
    <t>https://www.nosdeputes.fr/michele-crouzet/csv</t>
  </si>
  <si>
    <t>michelecrouzet</t>
  </si>
  <si>
    <t>Dominique Da Silva</t>
  </si>
  <si>
    <t>Da Silva</t>
  </si>
  <si>
    <t>Dominique</t>
  </si>
  <si>
    <t>L'Isle-Adam (Val-d'Oise)</t>
  </si>
  <si>
    <t>https://twitter.com/DDasilva_LREM</t>
  </si>
  <si>
    <t>http://www2.assemblee-nationale.fr/deputes/fiche/OMC_PA720932</t>
  </si>
  <si>
    <t>dominique-da-silva</t>
  </si>
  <si>
    <t>https://www.nosdeputes.fr/dominique-da-silva</t>
  </si>
  <si>
    <t>https://www.nosdeputes.fr/dominique-da-silva/csv</t>
  </si>
  <si>
    <t>DDasilva_LREM</t>
  </si>
  <si>
    <t>Marie-Christine Dalloz</t>
  </si>
  <si>
    <t>Dalloz</t>
  </si>
  <si>
    <t>Saint-Claude (Jura)</t>
  </si>
  <si>
    <t>http://www.mcdalloz.fr|https://fr-fr.facebook.com/mariechristinedalloz/</t>
  </si>
  <si>
    <t>http://www2.assemblee-nationale.fr/deputes/fiche/OMC_PA332523</t>
  </si>
  <si>
    <t>marie-christine-dalloz</t>
  </si>
  <si>
    <t>https://www.nosdeputes.fr/marie-christine-dalloz</t>
  </si>
  <si>
    <t>https://www.nosdeputes.fr/marie-christine-dalloz/csv</t>
  </si>
  <si>
    <t>Olivier Damaisin</t>
  </si>
  <si>
    <t>Damaisin</t>
  </si>
  <si>
    <t>Olivier</t>
  </si>
  <si>
    <t>Romans-sur-Isère (Drôme)</t>
  </si>
  <si>
    <t>Lot-et-Garonne</t>
  </si>
  <si>
    <t>https://fr-fr.facebook.com/olivierdamaisin2017/|https://twitter.com/olivierdam1|http://www.olivier-damasin.fr|http://www.olivier-damaisin.fr</t>
  </si>
  <si>
    <t>http://www2.assemblee-nationale.fr/deputes/fiche/OMC_PA720268</t>
  </si>
  <si>
    <t>olivier-damaisin</t>
  </si>
  <si>
    <t>https://www.nosdeputes.fr/olivier-damaisin</t>
  </si>
  <si>
    <t>https://www.nosdeputes.fr/olivier-damaisin/csv</t>
  </si>
  <si>
    <t>olivierdam1</t>
  </si>
  <si>
    <t>Alain David</t>
  </si>
  <si>
    <t>David</t>
  </si>
  <si>
    <t>Alain</t>
  </si>
  <si>
    <t>Libourne (Gironde)</t>
  </si>
  <si>
    <t>http://2017alaindavid.fr|https://twitter.com/2017alaindavid</t>
  </si>
  <si>
    <t>http://www2.assemblee-nationale.fr/deputes/fiche/OMC_PA1008</t>
  </si>
  <si>
    <t>alain-david</t>
  </si>
  <si>
    <t>https://www.nosdeputes.fr/alain-david</t>
  </si>
  <si>
    <t>https://www.nosdeputes.fr/alain-david/csv</t>
  </si>
  <si>
    <t>2017alaindavid</t>
  </si>
  <si>
    <t>Dominique David</t>
  </si>
  <si>
    <t>https://fr-fr.facebook.com/DDavid2017/|http://dominique-david.fr|https://en-marche.fr|https://twitter.com/DominiqueDavid_</t>
  </si>
  <si>
    <t>http://www2.assemblee-nationale.fr/deputes/fiche/OMC_PA719710</t>
  </si>
  <si>
    <t>dominique-david</t>
  </si>
  <si>
    <t>https://www.nosdeputes.fr/dominique-david</t>
  </si>
  <si>
    <t>https://www.nosdeputes.fr/dominique-david/csv</t>
  </si>
  <si>
    <t>DominiqueDavid_</t>
  </si>
  <si>
    <t>Typhanie Degois</t>
  </si>
  <si>
    <t>Degois</t>
  </si>
  <si>
    <t>Typhanie</t>
  </si>
  <si>
    <t>Fourmies (Nord)</t>
  </si>
  <si>
    <t>https://fr-fr.facebook.com/Typhanie.Degois/|http://www.typhaniedegois.fr|https://twitter.com/Typhanie_Degois</t>
  </si>
  <si>
    <t>Juriste</t>
  </si>
  <si>
    <t>http://www2.assemblee-nationale.fr/deputes/fiche/OMC_PA721398</t>
  </si>
  <si>
    <t>typhanie-degois</t>
  </si>
  <si>
    <t>https://www.nosdeputes.fr/typhanie-degois</t>
  </si>
  <si>
    <t>https://www.nosdeputes.fr/typhanie-degois/csv</t>
  </si>
  <si>
    <t>Typhanie_Degois</t>
  </si>
  <si>
    <t>Marc Delatte</t>
  </si>
  <si>
    <t>Delatte</t>
  </si>
  <si>
    <t>Marc</t>
  </si>
  <si>
    <t>Soissons (Aisne)</t>
  </si>
  <si>
    <t>https://fr-fr.facebook.com/marc.delatte.aisne/|https://twitter.com/MarcDelatte</t>
  </si>
  <si>
    <t>http://www2.assemblee-nationale.fr/deputes/fiche/OMC_PA718694</t>
  </si>
  <si>
    <t>marc-delatte</t>
  </si>
  <si>
    <t>https://www.nosdeputes.fr/marc-delatte</t>
  </si>
  <si>
    <t>https://www.nosdeputes.fr/marc-delatte/csv</t>
  </si>
  <si>
    <t>MarcDelatte</t>
  </si>
  <si>
    <t>Marguerite Deprez-Audebert</t>
  </si>
  <si>
    <t>Deprez-Audebert</t>
  </si>
  <si>
    <t>Marguerite</t>
  </si>
  <si>
    <t>Béthune (Pas-de-Calais)</t>
  </si>
  <si>
    <t>https://twitter.com/MDeprezAudebert|https://fr-fr.facebook.com/MDeprezAudebert/</t>
  </si>
  <si>
    <t>Retraitée salariée (secteur privé)</t>
  </si>
  <si>
    <t>http://www2.assemblee-nationale.fr/deputes/fiche/OMC_PA720598</t>
  </si>
  <si>
    <t>marguerite-deprez-audebert</t>
  </si>
  <si>
    <t>https://www.nosdeputes.fr/marguerite-deprez-audebert</t>
  </si>
  <si>
    <t>https://www.nosdeputes.fr/marguerite-deprez-audebert/csv</t>
  </si>
  <si>
    <t>MDeprezAudebert</t>
  </si>
  <si>
    <t>Pierre Dharréville</t>
  </si>
  <si>
    <t>Dharréville</t>
  </si>
  <si>
    <t>Nanterre (Hauts-de-Seine)</t>
  </si>
  <si>
    <t>http://www.pierredharreville.fr|https://twitter.com/pdharreville|http://pierredharreville.blogspot.fr</t>
  </si>
  <si>
    <t>Employé (secteur privé)</t>
  </si>
  <si>
    <t>http://www2.assemblee-nationale.fr/deputes/fiche/OMC_PA718926</t>
  </si>
  <si>
    <t>pierre-dharreville</t>
  </si>
  <si>
    <t>https://www.nosdeputes.fr/pierre-dharreville</t>
  </si>
  <si>
    <t>https://www.nosdeputes.fr/pierre-dharreville/csv</t>
  </si>
  <si>
    <t>pdharreville</t>
  </si>
  <si>
    <t>Julien Dive</t>
  </si>
  <si>
    <t>Dive</t>
  </si>
  <si>
    <t>Saint-Quentin (Aisne)</t>
  </si>
  <si>
    <t>https://twitter.com/juliendive|http://juliendive.tv</t>
  </si>
  <si>
    <t>Chef de projet dans l'industrie</t>
  </si>
  <si>
    <t>http://www2.assemblee-nationale.fr/deputes/fiche/OMC_PA712015</t>
  </si>
  <si>
    <t>julien-dive</t>
  </si>
  <si>
    <t>https://www.nosdeputes.fr/julien-dive</t>
  </si>
  <si>
    <t>https://www.nosdeputes.fr/julien-dive/csv</t>
  </si>
  <si>
    <t>juliendive</t>
  </si>
  <si>
    <t>Caroline Fiat</t>
  </si>
  <si>
    <t>Fiat</t>
  </si>
  <si>
    <t>https://fr-fr.facebook.com/kro.epousefiat/|https://twitter.com/CarolineFiat54</t>
  </si>
  <si>
    <t>Salariée du secteur médical</t>
  </si>
  <si>
    <t>http://www2.assemblee-nationale.fr/deputes/fiche/OMC_PA720286</t>
  </si>
  <si>
    <t>caroline-fiat</t>
  </si>
  <si>
    <t>https://www.nosdeputes.fr/caroline-fiat</t>
  </si>
  <si>
    <t>https://www.nosdeputes.fr/caroline-fiat/csv</t>
  </si>
  <si>
    <t>CarolineFiat54</t>
  </si>
  <si>
    <t>Isabelle Florennes</t>
  </si>
  <si>
    <t>Florennes</t>
  </si>
  <si>
    <t>Isabelle</t>
  </si>
  <si>
    <t>https://fr-fr.facebook.com/isabelle.florennes.12/|https://twitter.com/iflorennes92</t>
  </si>
  <si>
    <t>http://www2.assemblee-nationale.fr/deputes/fiche/OMC_PA721742</t>
  </si>
  <si>
    <t>isabelle-florennes</t>
  </si>
  <si>
    <t>https://www.nosdeputes.fr/isabelle-florennes</t>
  </si>
  <si>
    <t>https://www.nosdeputes.fr/isabelle-florennes/csv</t>
  </si>
  <si>
    <t>iflorennes92</t>
  </si>
  <si>
    <t>Joël Giraud</t>
  </si>
  <si>
    <t>Giraud</t>
  </si>
  <si>
    <t>Joël</t>
  </si>
  <si>
    <t>Gap (Hautes-Alpes)</t>
  </si>
  <si>
    <t>Hautes-Alpes</t>
  </si>
  <si>
    <t>http://joelgirauddepute.fr|http://jgiraud.typepad.fr|https://twitter.com/JoelGiraud05</t>
  </si>
  <si>
    <t>Administrateur civil hors-classe</t>
  </si>
  <si>
    <t>http://www2.assemblee-nationale.fr/deputes/fiche/OMC_PA267336</t>
  </si>
  <si>
    <t>joel-giraud</t>
  </si>
  <si>
    <t>https://www.nosdeputes.fr/joel-giraud</t>
  </si>
  <si>
    <t>https://www.nosdeputes.fr/joel-giraud/csv</t>
  </si>
  <si>
    <t>JoelGiraud05</t>
  </si>
  <si>
    <t>Perrine Goulet</t>
  </si>
  <si>
    <t>Goulet</t>
  </si>
  <si>
    <t>Perrine</t>
  </si>
  <si>
    <t>Nevers (Nièvre)</t>
  </si>
  <si>
    <t>Nièvre</t>
  </si>
  <si>
    <t>https://fr-fr.facebook.com/perrinegouletREM/|http://www.perrinegoulet.fr|http://www.perrinegoulet2017.fr|https://twitter.com/perrinegoulet</t>
  </si>
  <si>
    <t>http://www2.assemblee-nationale.fr/deputes/fiche/OMC_PA720560</t>
  </si>
  <si>
    <t>perrine-goulet</t>
  </si>
  <si>
    <t>https://www.nosdeputes.fr/perrine-goulet</t>
  </si>
  <si>
    <t>https://www.nosdeputes.fr/perrine-goulet/csv</t>
  </si>
  <si>
    <t>perrinegoulet</t>
  </si>
  <si>
    <t>Carole Grandjean</t>
  </si>
  <si>
    <t>Grandjean</t>
  </si>
  <si>
    <t>Suresnes (Hauts-de-Seine)</t>
  </si>
  <si>
    <t>http://www.carolegrandjean.fr|https://twitter.com/caroleem54|https://fr-fr.facebook.com/GrandjeanCarole/</t>
  </si>
  <si>
    <t>http://www2.assemblee-nationale.fr/deputes/fiche/OMC_PA720170</t>
  </si>
  <si>
    <t>carole-grandjean</t>
  </si>
  <si>
    <t>https://www.nosdeputes.fr/carole-grandjean</t>
  </si>
  <si>
    <t>https://www.nosdeputes.fr/carole-grandjean/csv</t>
  </si>
  <si>
    <t>caroleem54</t>
  </si>
  <si>
    <t>Florence Granjus</t>
  </si>
  <si>
    <t>Granjus</t>
  </si>
  <si>
    <t>Florence</t>
  </si>
  <si>
    <t>http://florencegranjus.fr|https://fr-fr.facebook.com/fgranjus78/|https://twitter.com/fgranjus</t>
  </si>
  <si>
    <t>Cadre supérieur (entreprises publiques)</t>
  </si>
  <si>
    <t>http://www2.assemblee-nationale.fr/deputes/fiche/OMC_PA722062</t>
  </si>
  <si>
    <t>florence-granjus</t>
  </si>
  <si>
    <t>https://www.nosdeputes.fr/florence-granjus</t>
  </si>
  <si>
    <t>https://www.nosdeputes.fr/florence-granjus/csv</t>
  </si>
  <si>
    <t>fgranjus</t>
  </si>
  <si>
    <t>Nadia Hai</t>
  </si>
  <si>
    <t>Hai</t>
  </si>
  <si>
    <t>Nadia</t>
  </si>
  <si>
    <t>Trappes (Yvelines)</t>
  </si>
  <si>
    <t>https://fr-fr.facebook.com/NadiaHai7811/|https://twitter.com/NadiaHai78|http://www.rem-circo7811.fr</t>
  </si>
  <si>
    <t>http://www2.assemblee-nationale.fr/deputes/fiche/OMC_PA722054</t>
  </si>
  <si>
    <t>nadia-hai</t>
  </si>
  <si>
    <t>https://www.nosdeputes.fr/nadia-hai</t>
  </si>
  <si>
    <t>https://www.nosdeputes.fr/nadia-hai/csv</t>
  </si>
  <si>
    <t>NadiaHai78</t>
  </si>
  <si>
    <t>Brahim Hammouche</t>
  </si>
  <si>
    <t>Hammouche</t>
  </si>
  <si>
    <t>Brahim</t>
  </si>
  <si>
    <t>Smaoun (Algérie)</t>
  </si>
  <si>
    <t>http://www.hammouche.fr|https://twitter.com/BHammouche5708|https://www.facebook.com/Brahim-Hammouche-En-MarcheMoDem-Moselle-8-1119428938162720</t>
  </si>
  <si>
    <t>http://www2.assemblee-nationale.fr/deputes/fiche/OMC_PA720326</t>
  </si>
  <si>
    <t>brahim-hammouche</t>
  </si>
  <si>
    <t>https://www.nosdeputes.fr/brahim-hammouche</t>
  </si>
  <si>
    <t>https://www.nosdeputes.fr/brahim-hammouche/csv</t>
  </si>
  <si>
    <t>BHammouche5708</t>
  </si>
  <si>
    <t>Christian Jacob</t>
  </si>
  <si>
    <t>Jacob</t>
  </si>
  <si>
    <t>Christian</t>
  </si>
  <si>
    <t>Rozay-en-Brie (Seine-et-Marne)</t>
  </si>
  <si>
    <t>Agriculteur</t>
  </si>
  <si>
    <t>http://www2.assemblee-nationale.fr/deputes/fiche/OMC_PA1695</t>
  </si>
  <si>
    <t>christian-jacob</t>
  </si>
  <si>
    <t>https://www.nosdeputes.fr/christian-jacob</t>
  </si>
  <si>
    <t>https://www.nosdeputes.fr/christian-jacob/csv</t>
  </si>
  <si>
    <t>Élodie Jacquier-Laforge</t>
  </si>
  <si>
    <t>Jacquier-Laforge</t>
  </si>
  <si>
    <t>Élodie</t>
  </si>
  <si>
    <t>Grenoble (Isère)</t>
  </si>
  <si>
    <t>https://twitter.com/elodiejala|http://www.elodiejacquierlaforge.fr</t>
  </si>
  <si>
    <t>http://www2.assemblee-nationale.fr/deputes/fiche/OMC_PA719874</t>
  </si>
  <si>
    <t>elodie-jacquier-laforge</t>
  </si>
  <si>
    <t>https://www.nosdeputes.fr/elodie-jacquier-laforge</t>
  </si>
  <si>
    <t>https://www.nosdeputes.fr/elodie-jacquier-laforge/csv</t>
  </si>
  <si>
    <t>elodiejala</t>
  </si>
  <si>
    <t>Sébastien Jumel</t>
  </si>
  <si>
    <t>Jumel</t>
  </si>
  <si>
    <t>Saint-Adresse (Seine-Maritime)</t>
  </si>
  <si>
    <t>https://twitter.com/sebastienjumel|https://fr-fr.facebook.com/sebastien.jumel.9/</t>
  </si>
  <si>
    <t>Permanent politique</t>
  </si>
  <si>
    <t>http://www2.assemblee-nationale.fr/deputes/fiche/OMC_PA722202</t>
  </si>
  <si>
    <t>sebastien-jumel</t>
  </si>
  <si>
    <t>https://www.nosdeputes.fr/sebastien-jumel</t>
  </si>
  <si>
    <t>https://www.nosdeputes.fr/sebastien-jumel/csv</t>
  </si>
  <si>
    <t>sebastienjumel</t>
  </si>
  <si>
    <t>Stéphanie Kerbarh</t>
  </si>
  <si>
    <t>Kerbarh</t>
  </si>
  <si>
    <t>Stéphanie</t>
  </si>
  <si>
    <t>Orléans (Loiret)</t>
  </si>
  <si>
    <t>http://www.kerbarh.fr|https://twitter.com/SKerbarh</t>
  </si>
  <si>
    <t>http://www2.assemblee-nationale.fr/deputes/fiche/OMC_PA721514</t>
  </si>
  <si>
    <t>stephanie-kerbarh</t>
  </si>
  <si>
    <t>https://www.nosdeputes.fr/stephanie-kerbarh</t>
  </si>
  <si>
    <t>https://www.nosdeputes.fr/stephanie-kerbarh/csv</t>
  </si>
  <si>
    <t>SKerbarh</t>
  </si>
  <si>
    <t>Fiona Lazaar</t>
  </si>
  <si>
    <t>Lazaar</t>
  </si>
  <si>
    <t>Fiona</t>
  </si>
  <si>
    <t>(Val-d'Oise)</t>
  </si>
  <si>
    <t>https://fr-fr.facebook.com/fionalazaar/|http://fionalazaar.fr|https://twitter.com/fionalazaar</t>
  </si>
  <si>
    <t>Cadre d'entreprise</t>
  </si>
  <si>
    <t>http://www2.assemblee-nationale.fr/deputes/fiche/OMC_PA720916</t>
  </si>
  <si>
    <t>fiona-lazaar</t>
  </si>
  <si>
    <t>https://www.nosdeputes.fr/fiona-lazaar</t>
  </si>
  <si>
    <t>https://www.nosdeputes.fr/fiona-lazaar/csv</t>
  </si>
  <si>
    <t>fionalazaar</t>
  </si>
  <si>
    <t>Didier Le Gac</t>
  </si>
  <si>
    <t>Le Gac</t>
  </si>
  <si>
    <t>Didier</t>
  </si>
  <si>
    <t>Castres (Tarn)</t>
  </si>
  <si>
    <t>http://didierlegac.bzh|https://fr-fr.facebook.com/didierlegac2017/|https://twitter.com/didierlegac</t>
  </si>
  <si>
    <t>http://www2.assemblee-nationale.fr/deputes/fiche/OMC_PA719404</t>
  </si>
  <si>
    <t>didier-le-gac</t>
  </si>
  <si>
    <t>https://www.nosdeputes.fr/didier-le-gac</t>
  </si>
  <si>
    <t>https://www.nosdeputes.fr/didier-le-gac/csv</t>
  </si>
  <si>
    <t>didierlegac</t>
  </si>
  <si>
    <t>Constance Le Grip</t>
  </si>
  <si>
    <t>Le Grip</t>
  </si>
  <si>
    <t>Constance</t>
  </si>
  <si>
    <t>Chatou (Yvelines)</t>
  </si>
  <si>
    <t>https://twitter.com/ConstanceLeGrip</t>
  </si>
  <si>
    <t>http://www2.assemblee-nationale.fr/deputes/fiche/OMC_PA345722</t>
  </si>
  <si>
    <t>constance-le-grip</t>
  </si>
  <si>
    <t>https://www.nosdeputes.fr/constance-le-grip</t>
  </si>
  <si>
    <t>https://www.nosdeputes.fr/constance-le-grip/csv</t>
  </si>
  <si>
    <t>ConstanceLeGrip</t>
  </si>
  <si>
    <t>Fabrice Le Vigoureux</t>
  </si>
  <si>
    <t>Le Vigoureux</t>
  </si>
  <si>
    <t>Fabrice</t>
  </si>
  <si>
    <t>Caen (Calvados)</t>
  </si>
  <si>
    <t>Calvados</t>
  </si>
  <si>
    <t>https://fr-fr.facebook.com/LeVigoureuxF/|https://twitter.com/LeVigoureuxF</t>
  </si>
  <si>
    <t>http://www2.assemblee-nationale.fr/deputes/fiche/OMC_PA719006</t>
  </si>
  <si>
    <t>fabrice-le-vigoureux</t>
  </si>
  <si>
    <t>https://www.nosdeputes.fr/fabrice-le-vigoureux</t>
  </si>
  <si>
    <t>https://www.nosdeputes.fr/fabrice-le-vigoureux/csv</t>
  </si>
  <si>
    <t>LeVigoureuxF</t>
  </si>
  <si>
    <t>Jean-Claude Leclabart</t>
  </si>
  <si>
    <t>Leclabart</t>
  </si>
  <si>
    <t>Jean-Claude</t>
  </si>
  <si>
    <t>Lawarde-Mauger-l'Hortoy (Somme)</t>
  </si>
  <si>
    <t>Somme</t>
  </si>
  <si>
    <t>http://www.jcleclabart.fr|https://fr-fr.facebook.com/jeanclaudeleclabart2017/|https://twitter.com/JLeclabart</t>
  </si>
  <si>
    <t>Retraité agricole</t>
  </si>
  <si>
    <t>http://www2.assemblee-nationale.fr/deputes/fiche/OMC_PA722228</t>
  </si>
  <si>
    <t>jean-claude-leclabart</t>
  </si>
  <si>
    <t>https://www.nosdeputes.fr/jean-claude-leclabart</t>
  </si>
  <si>
    <t>https://www.nosdeputes.fr/jean-claude-leclabart/csv</t>
  </si>
  <si>
    <t>JLeclabart</t>
  </si>
  <si>
    <t>Jean-Paul Lecoq</t>
  </si>
  <si>
    <t>Lecoq</t>
  </si>
  <si>
    <t>Havre (Seine-Maritime)</t>
  </si>
  <si>
    <t>https://fr-fr.facebook.com/jplecoq76/|http://jeanpaul-lecoq.fr</t>
  </si>
  <si>
    <t>http://www2.assemblee-nationale.fr/deputes/fiche/OMC_PA335612</t>
  </si>
  <si>
    <t>jean-paul-lecoq</t>
  </si>
  <si>
    <t>https://www.nosdeputes.fr/jean-paul-lecoq</t>
  </si>
  <si>
    <t>https://www.nosdeputes.fr/jean-paul-lecoq/csv</t>
  </si>
  <si>
    <t>Roland Lescure</t>
  </si>
  <si>
    <t>Lescure</t>
  </si>
  <si>
    <t>Roland</t>
  </si>
  <si>
    <t>Paris 11ème (Paris)</t>
  </si>
  <si>
    <t>https://fr-fr.facebook.com/RolandLescure/|http://rolandlescure.org|https://twitter.com/rolandlescure|https://fr-fr.facebook.com/RolandLescure.RepubliqueEnMarche</t>
  </si>
  <si>
    <t>http://www2.assemblee-nationale.fr/deputes/fiche/OMC_PA721134</t>
  </si>
  <si>
    <t>roland-lescure</t>
  </si>
  <si>
    <t>https://www.nosdeputes.fr/roland-lescure</t>
  </si>
  <si>
    <t>https://www.nosdeputes.fr/roland-lescure/csv</t>
  </si>
  <si>
    <t>rolandlescure</t>
  </si>
  <si>
    <t>Monique Limon</t>
  </si>
  <si>
    <t>Limon</t>
  </si>
  <si>
    <t>Monique</t>
  </si>
  <si>
    <t>http://www.monique-limon-deputee.fr|https://fr-fr.facebook.com/moniquelimonlegislatives2017/|https://twitter.com/3807Limon</t>
  </si>
  <si>
    <t>Retraitée Fonction publique territoriale</t>
  </si>
  <si>
    <t>http://www2.assemblee-nationale.fr/deputes/fiche/OMC_PA719858</t>
  </si>
  <si>
    <t>monique-limon</t>
  </si>
  <si>
    <t>https://www.nosdeputes.fr/monique-limon</t>
  </si>
  <si>
    <t>https://www.nosdeputes.fr/monique-limon/csv</t>
  </si>
  <si>
    <t>3807Limon</t>
  </si>
  <si>
    <t>Véronique Louwagie</t>
  </si>
  <si>
    <t>Louwagie</t>
  </si>
  <si>
    <t>Véronique</t>
  </si>
  <si>
    <t>Buis sur Damville (Eure)</t>
  </si>
  <si>
    <t>Orne</t>
  </si>
  <si>
    <t>https://twitter.com/VeroLouwagie|http://www.veroniquelouwagie.fr</t>
  </si>
  <si>
    <t>Expert-comptable</t>
  </si>
  <si>
    <t>http://www2.assemblee-nationale.fr/deputes/fiche/OMC_PA608016</t>
  </si>
  <si>
    <t>veronique-louwagie</t>
  </si>
  <si>
    <t>https://www.nosdeputes.fr/veronique-louwagie</t>
  </si>
  <si>
    <t>https://www.nosdeputes.fr/veronique-louwagie/csv</t>
  </si>
  <si>
    <t>VeroLouwagie</t>
  </si>
  <si>
    <t>Marie-Ange Magne</t>
  </si>
  <si>
    <t>Magne</t>
  </si>
  <si>
    <t>Marie-Ange</t>
  </si>
  <si>
    <t>Limoges (Haute-Vienne)</t>
  </si>
  <si>
    <t>http://www.marie-ange-en-marche.fr|https://fr-fr.facebook.com/marieangemagne/|https://twitter.com/MarieAngeMagne</t>
  </si>
  <si>
    <t>Contractuelle de la fonction publique territoriale</t>
  </si>
  <si>
    <t>http://www2.assemblee-nationale.fr/deputes/fiche/OMC_PA722244</t>
  </si>
  <si>
    <t>marie-ange-magne</t>
  </si>
  <si>
    <t>https://www.nosdeputes.fr/marie-ange-magne</t>
  </si>
  <si>
    <t>https://www.nosdeputes.fr/marie-ange-magne/csv</t>
  </si>
  <si>
    <t>MarieAngeMagne</t>
  </si>
  <si>
    <t>Sylvain Maillard</t>
  </si>
  <si>
    <t>Maillard</t>
  </si>
  <si>
    <t>Sylvain</t>
  </si>
  <si>
    <t>saint maur des fossés (Val-de-Marne)</t>
  </si>
  <si>
    <t>https://fr-fr.facebook.com/sylvainmaillardparis/|http://sylvainmaillard.fr|https://twitter.com/sylvainmaillard</t>
  </si>
  <si>
    <t>http://www2.assemblee-nationale.fr/deputes/fiche/OMC_PA717379</t>
  </si>
  <si>
    <t>sylvain-maillard</t>
  </si>
  <si>
    <t>https://www.nosdeputes.fr/sylvain-maillard</t>
  </si>
  <si>
    <t>https://www.nosdeputes.fr/sylvain-maillard/csv</t>
  </si>
  <si>
    <t>sylvainmaillard</t>
  </si>
  <si>
    <t>Didier Martin</t>
  </si>
  <si>
    <t>Martin</t>
  </si>
  <si>
    <t>Clichy (Hauts-de-Seine)</t>
  </si>
  <si>
    <t>Côte-d'Or</t>
  </si>
  <si>
    <t>https://fr-fr.facebook.com/didier.martin.enmarche/|http://www.didiermartin.fr|https://twitter.com/dmartindijon</t>
  </si>
  <si>
    <t>Neuroradiologue</t>
  </si>
  <si>
    <t>http://www2.assemblee-nationale.fr/deputes/fiche/OMC_PA719154</t>
  </si>
  <si>
    <t>didier-martin</t>
  </si>
  <si>
    <t>https://www.nosdeputes.fr/didier-martin</t>
  </si>
  <si>
    <t>https://www.nosdeputes.fr/didier-martin/csv</t>
  </si>
  <si>
    <t>dmartindijon</t>
  </si>
  <si>
    <t>Jean-Louis Masson</t>
  </si>
  <si>
    <t>Masson</t>
  </si>
  <si>
    <t>La Garde (Var)</t>
  </si>
  <si>
    <t>Var</t>
  </si>
  <si>
    <t>http://jlmasson.fr</t>
  </si>
  <si>
    <t>Retraité fonction publique (hors enseignement)</t>
  </si>
  <si>
    <t>http://www2.assemblee-nationale.fr/deputes/fiche/OMC_PA346218</t>
  </si>
  <si>
    <t>jean-louis-masson</t>
  </si>
  <si>
    <t>https://www.nosdeputes.fr/jean-louis-masson</t>
  </si>
  <si>
    <t>https://www.nosdeputes.fr/jean-louis-masson/csv</t>
  </si>
  <si>
    <t>Jean-Luc Mélenchon</t>
  </si>
  <si>
    <t>Mélenchon</t>
  </si>
  <si>
    <t>Tanger (Maroc)</t>
  </si>
  <si>
    <t>https://twitter.com/jlmelenchon|http://www.melenchon.fr|https://fr-fr.facebook.com/jlmelenchon/</t>
  </si>
  <si>
    <t>Professeur</t>
  </si>
  <si>
    <t>http://www2.assemblee-nationale.fr/deputes/fiche/OMC_PA2150</t>
  </si>
  <si>
    <t>jean-luc-melenchon</t>
  </si>
  <si>
    <t>https://www.nosdeputes.fr/jean-luc-melenchon</t>
  </si>
  <si>
    <t>https://www.nosdeputes.fr/jean-luc-melenchon/csv</t>
  </si>
  <si>
    <t>jlmelenchon</t>
  </si>
  <si>
    <t>Emmanuelle Ménard</t>
  </si>
  <si>
    <t>Ménard</t>
  </si>
  <si>
    <t>Emmanuelle</t>
  </si>
  <si>
    <t>Lille (Nord)</t>
  </si>
  <si>
    <t>Hérault</t>
  </si>
  <si>
    <t>http://www.menard2017.fr|https://twitter.com/emenard34</t>
  </si>
  <si>
    <t>Journaliste et autre média</t>
  </si>
  <si>
    <t>http://www2.assemblee-nationale.fr/deputes/fiche/OMC_PA719608</t>
  </si>
  <si>
    <t>emmanuelle-menard</t>
  </si>
  <si>
    <t>https://www.nosdeputes.fr/emmanuelle-menard</t>
  </si>
  <si>
    <t>https://www.nosdeputes.fr/emmanuelle-menard/csv</t>
  </si>
  <si>
    <t>emenard34</t>
  </si>
  <si>
    <t>Thomas Mesnier</t>
  </si>
  <si>
    <t>Mesnier</t>
  </si>
  <si>
    <t>Thomas</t>
  </si>
  <si>
    <t>Barbezieux-Saint-Hilaire (Charente)</t>
  </si>
  <si>
    <t>Charente</t>
  </si>
  <si>
    <t>https://twitter.com/MESNIERThomas|https://fr-fr.facebook.com/thomasmesnier.fr/|https://fr-fr.facebook.com/ThomasMesnierLaRepubliqueEnMarche</t>
  </si>
  <si>
    <t>http://www2.assemblee-nationale.fr/deputes/fiche/OMC_PA719072</t>
  </si>
  <si>
    <t>thomas-mesnier</t>
  </si>
  <si>
    <t>https://www.nosdeputes.fr/thomas-mesnier</t>
  </si>
  <si>
    <t>https://www.nosdeputes.fr/thomas-mesnier/csv</t>
  </si>
  <si>
    <t>MESNIERThomas</t>
  </si>
  <si>
    <t>Thierry Michels</t>
  </si>
  <si>
    <t>Michels</t>
  </si>
  <si>
    <t>Strasbourg (Bas-Rhin)</t>
  </si>
  <si>
    <t>http://www.thierrymichels2017.eu|https://twitter.com/ThierryMichels|https://fr-fr.facebook.com/ThierryMichels67/|http://www.thierrymichels.fr</t>
  </si>
  <si>
    <t>http://www2.assemblee-nationale.fr/deputes/fiche/OMC_PA720738</t>
  </si>
  <si>
    <t>thierry-michels</t>
  </si>
  <si>
    <t>https://www.nosdeputes.fr/thierry-michels</t>
  </si>
  <si>
    <t>https://www.nosdeputes.fr/thierry-michels/csv</t>
  </si>
  <si>
    <t>ThierryMichels</t>
  </si>
  <si>
    <t>Mickaël Nogal</t>
  </si>
  <si>
    <t>Nogal</t>
  </si>
  <si>
    <t>Mickaël</t>
  </si>
  <si>
    <t>https://twitter.com/mickaelnogal|https://fr-fr.facebook.com/deputemickaelnogal/|http://www.mickaelnogal.fr</t>
  </si>
  <si>
    <t>http://www2.assemblee-nationale.fr/deputes/fiche/OMC_PA719520</t>
  </si>
  <si>
    <t>mickael-nogal</t>
  </si>
  <si>
    <t>https://www.nosdeputes.fr/mickael-nogal</t>
  </si>
  <si>
    <t>https://www.nosdeputes.fr/mickael-nogal/csv</t>
  </si>
  <si>
    <t>mickaelnogal</t>
  </si>
  <si>
    <t>Valérie Oppelt</t>
  </si>
  <si>
    <t>Oppelt</t>
  </si>
  <si>
    <t>Nantes (Loire-Atlantique)</t>
  </si>
  <si>
    <t>https://fr-fr.facebook.com/oppeltvalerie/|https://twitter.com/valerie_oppelt</t>
  </si>
  <si>
    <t>Administrateur de sociétés</t>
  </si>
  <si>
    <t>http://www2.assemblee-nationale.fr/deputes/fiche/OMC_PA720108</t>
  </si>
  <si>
    <t>valerie-oppelt</t>
  </si>
  <si>
    <t>https://www.nosdeputes.fr/valerie-oppelt</t>
  </si>
  <si>
    <t>https://www.nosdeputes.fr/valerie-oppelt/csv</t>
  </si>
  <si>
    <t>valerie_oppelt</t>
  </si>
  <si>
    <t>Matthieu Orphelin</t>
  </si>
  <si>
    <t>Orphelin</t>
  </si>
  <si>
    <t>Matthieu</t>
  </si>
  <si>
    <t>Saint-Nazaire (Loire-Atlantique)</t>
  </si>
  <si>
    <t>https://fr-fr.facebook.com/matthieuorphelinrem/|https://twitter.com/M_Orphelin|http://matthieuorphelin.org|http://matthieuorphelin.en-marche.fr</t>
  </si>
  <si>
    <t>http://www2.assemblee-nationale.fr/deputes/fiche/OMC_PA720278</t>
  </si>
  <si>
    <t>matthieu-orphelin</t>
  </si>
  <si>
    <t>https://www.nosdeputes.fr/matthieu-orphelin</t>
  </si>
  <si>
    <t>https://www.nosdeputes.fr/matthieu-orphelin/csv</t>
  </si>
  <si>
    <t>M_Orphelin</t>
  </si>
  <si>
    <t>Catherine Osson</t>
  </si>
  <si>
    <t>Osson</t>
  </si>
  <si>
    <t>Croix (Nord)</t>
  </si>
  <si>
    <t>https://twitter.com/Ossoncatherine</t>
  </si>
  <si>
    <t>Directrice d'école</t>
  </si>
  <si>
    <t>http://www2.assemblee-nationale.fr/deputes/fiche/OMC_PA720492</t>
  </si>
  <si>
    <t>catherine-osson</t>
  </si>
  <si>
    <t>https://www.nosdeputes.fr/catherine-osson</t>
  </si>
  <si>
    <t>https://www.nosdeputes.fr/catherine-osson/csv</t>
  </si>
  <si>
    <t>Ossoncatherine</t>
  </si>
  <si>
    <t>Xavier Paluszkiewicz</t>
  </si>
  <si>
    <t>Paluszkiewicz</t>
  </si>
  <si>
    <t>Villerupt (Meurthe-et-Moselle)</t>
  </si>
  <si>
    <t>https://twitter.com/XavierPalu2017|https://fr-fr.facebook.com/XavierPaluAN/|https://goo.gl/5mQsRE|https://goo.gl/NCeh92|https://fr-fr.facebook.com/XavierPaluDepute</t>
  </si>
  <si>
    <t>http://www2.assemblee-nationale.fr/deputes/fiche/OMC_PA720402</t>
  </si>
  <si>
    <t>xavier-paluszkiewicz</t>
  </si>
  <si>
    <t>https://www.nosdeputes.fr/xavier-paluszkiewicz</t>
  </si>
  <si>
    <t>https://www.nosdeputes.fr/xavier-paluszkiewicz/csv</t>
  </si>
  <si>
    <t>XavierPalu2017</t>
  </si>
  <si>
    <t>Mathilde Panot</t>
  </si>
  <si>
    <t>Panot</t>
  </si>
  <si>
    <t>Mathilde</t>
  </si>
  <si>
    <t>Tours (Indre-et-Loire)</t>
  </si>
  <si>
    <t>https://twitter.com/mathildepanot|https://fr-fr.facebook.com/MathildePanotFI/|https://lafranceinsoumise.fr</t>
  </si>
  <si>
    <t>Coordinatrice de projets associatifs</t>
  </si>
  <si>
    <t>http://www2.assemblee-nationale.fr/deputes/fiche/OMC_PA720892</t>
  </si>
  <si>
    <t>mathilde-panot</t>
  </si>
  <si>
    <t>https://www.nosdeputes.fr/mathilde-panot</t>
  </si>
  <si>
    <t>https://www.nosdeputes.fr/mathilde-panot/csv</t>
  </si>
  <si>
    <t>mathildepanot</t>
  </si>
  <si>
    <t>Hervé Pellois</t>
  </si>
  <si>
    <t>Pellois</t>
  </si>
  <si>
    <t>Hervé</t>
  </si>
  <si>
    <t>La Chapelle Blanche (Côtes-d'Armor)</t>
  </si>
  <si>
    <t>Morbihan</t>
  </si>
  <si>
    <t>http://www.hervepellois.fr|http://www.hervepellois2017.fr|https://twitter.com/HervePellois</t>
  </si>
  <si>
    <t>http://www2.assemblee-nationale.fr/deputes/fiche/OMC_PA607595</t>
  </si>
  <si>
    <t>herve-pellois</t>
  </si>
  <si>
    <t>https://www.nosdeputes.fr/herve-pellois</t>
  </si>
  <si>
    <t>https://www.nosdeputes.fr/herve-pellois/csv</t>
  </si>
  <si>
    <t>HervePellois</t>
  </si>
  <si>
    <t>Patrice Perrot</t>
  </si>
  <si>
    <t>Perrot</t>
  </si>
  <si>
    <t>Patrice</t>
  </si>
  <si>
    <t>Decize (Nièvre)</t>
  </si>
  <si>
    <t>https://fr-fr.facebook.com/patriceperrotenmarche58/</t>
  </si>
  <si>
    <t>http://www2.assemblee-nationale.fr/deputes/fiche/OMC_PA720414</t>
  </si>
  <si>
    <t>patrice-perrot</t>
  </si>
  <si>
    <t>https://www.nosdeputes.fr/patrice-perrot</t>
  </si>
  <si>
    <t>https://www.nosdeputes.fr/patrice-perrot/csv</t>
  </si>
  <si>
    <t>Bernard Perrut</t>
  </si>
  <si>
    <t>Perrut</t>
  </si>
  <si>
    <t>Bernard</t>
  </si>
  <si>
    <t>Villefranche-sur-Saône (Rhône)</t>
  </si>
  <si>
    <t>Rhône</t>
  </si>
  <si>
    <t>https://twitter.com/b_perrut|http://www.bperrut.fr|https://fr-fr.facebook.com/bernardperrut1/|http://www.bernardperrut.com</t>
  </si>
  <si>
    <t>Ancien avocat</t>
  </si>
  <si>
    <t>http://www2.assemblee-nationale.fr/deputes/fiche/OMC_PA2377</t>
  </si>
  <si>
    <t>bernard-perrut</t>
  </si>
  <si>
    <t>https://www.nosdeputes.fr/bernard-perrut</t>
  </si>
  <si>
    <t>https://www.nosdeputes.fr/bernard-perrut/csv</t>
  </si>
  <si>
    <t>b_perrut</t>
  </si>
  <si>
    <t>Valérie Petit</t>
  </si>
  <si>
    <t>Petit</t>
  </si>
  <si>
    <t>Meaux (Seine-et-Marne)</t>
  </si>
  <si>
    <t>https://twitter.com/ValeriePetit_EM</t>
  </si>
  <si>
    <t>Enseignant chercheur</t>
  </si>
  <si>
    <t>http://www2.assemblee-nationale.fr/deputes/fiche/OMC_PA720500</t>
  </si>
  <si>
    <t>valerie-petit</t>
  </si>
  <si>
    <t>https://www.nosdeputes.fr/valerie-petit</t>
  </si>
  <si>
    <t>https://www.nosdeputes.fr/valerie-petit/csv</t>
  </si>
  <si>
    <t>ValeriePetit_EM</t>
  </si>
  <si>
    <t>Bénédicte Peyrol</t>
  </si>
  <si>
    <t>Peyrol</t>
  </si>
  <si>
    <t>Bénédicte</t>
  </si>
  <si>
    <t>Vichy (Allier)</t>
  </si>
  <si>
    <t>https://fr-fr.facebook.com/BPeyrolREM0303/|http://benedictepeyrol.en-marche.fr|https://twitter.com/B_Peyrol</t>
  </si>
  <si>
    <t>Conseiller juridique</t>
  </si>
  <si>
    <t>http://www2.assemblee-nationale.fr/deputes/fiche/OMC_PA718736</t>
  </si>
  <si>
    <t>benedicte-peyrol</t>
  </si>
  <si>
    <t>https://www.nosdeputes.fr/benedicte-peyrol</t>
  </si>
  <si>
    <t>https://www.nosdeputes.fr/benedicte-peyrol/csv</t>
  </si>
  <si>
    <t>B_Peyrol</t>
  </si>
  <si>
    <t>Laurent Pietraszewski</t>
  </si>
  <si>
    <t>Pietraszewski</t>
  </si>
  <si>
    <t>Saint-Denis (Seine-Saint-Denis)</t>
  </si>
  <si>
    <t>http://www.laurentpietraszewski.fr|https://twitter.com/pietraszewski_l|https://fr-fr.facebook.com/laurentpietraszewski/|http://www.11eme-circonscription-du-nord-en-marche.fr</t>
  </si>
  <si>
    <t>http://www2.assemblee-nationale.fr/deputes/fiche/OMC_PA720512</t>
  </si>
  <si>
    <t>laurent-pietraszewski</t>
  </si>
  <si>
    <t>https://www.nosdeputes.fr/laurent-pietraszewski</t>
  </si>
  <si>
    <t>https://www.nosdeputes.fr/laurent-pietraszewski/csv</t>
  </si>
  <si>
    <t>pietraszewski_l</t>
  </si>
  <si>
    <t>Dominique Potier</t>
  </si>
  <si>
    <t>Potier</t>
  </si>
  <si>
    <t>Toul (Meurthe-et-Moselle)</t>
  </si>
  <si>
    <t>https://fr-fr.facebook.com/potierdominique/|http://www.dominiquepotier.com|https://twitter.com/potierdominique</t>
  </si>
  <si>
    <t>http://www2.assemblee-nationale.fr/deputes/fiche/OMC_PA607553</t>
  </si>
  <si>
    <t>dominique-potier</t>
  </si>
  <si>
    <t>https://www.nosdeputes.fr/dominique-potier</t>
  </si>
  <si>
    <t>https://www.nosdeputes.fr/dominique-potier/csv</t>
  </si>
  <si>
    <t>potierdominique</t>
  </si>
  <si>
    <t>Natalia Pouzyreff</t>
  </si>
  <si>
    <t>Pouzyreff</t>
  </si>
  <si>
    <t>Natalia</t>
  </si>
  <si>
    <t>http://www.nataliapouzyreff.fr|https://twitter.com/npouzyreff78|https://en-marche.fr/emmanuel-macron</t>
  </si>
  <si>
    <t>http://www2.assemblee-nationale.fr/deputes/fiche/OMC_PA721916</t>
  </si>
  <si>
    <t>natalia-pouzyreff</t>
  </si>
  <si>
    <t>https://www.nosdeputes.fr/natalia-pouzyreff</t>
  </si>
  <si>
    <t>https://www.nosdeputes.fr/natalia-pouzyreff/csv</t>
  </si>
  <si>
    <t>npouzyreff78</t>
  </si>
  <si>
    <t>Loïc Prud'homme</t>
  </si>
  <si>
    <t>Prud'homme</t>
  </si>
  <si>
    <t>Loïc</t>
  </si>
  <si>
    <t>Bègles (Gironde)</t>
  </si>
  <si>
    <t>https://loicprudhomme.fr|https://twitter.com/Prudhomme2017</t>
  </si>
  <si>
    <t>http://www2.assemblee-nationale.fr/deputes/fiche/OMC_PA719578</t>
  </si>
  <si>
    <t>loic-prud-homme</t>
  </si>
  <si>
    <t>https://www.nosdeputes.fr/loic-prud-homme</t>
  </si>
  <si>
    <t>https://www.nosdeputes.fr/loic-prud-homme/csv</t>
  </si>
  <si>
    <t>Prudhomme2017</t>
  </si>
  <si>
    <t>Adrien Quatennens</t>
  </si>
  <si>
    <t>Quatennens</t>
  </si>
  <si>
    <t>Adrien</t>
  </si>
  <si>
    <t>https://fr-fr.facebook.com/AQuatennens/|https://twitter.com/AQuatennens|http://adrienquatennens.com</t>
  </si>
  <si>
    <t>http://www2.assemblee-nationale.fr/deputes/fiche/OMC_PA720422</t>
  </si>
  <si>
    <t>adrien-quatennens</t>
  </si>
  <si>
    <t>https://www.nosdeputes.fr/adrien-quatennens</t>
  </si>
  <si>
    <t>https://www.nosdeputes.fr/adrien-quatennens/csv</t>
  </si>
  <si>
    <t>AQuatennens</t>
  </si>
  <si>
    <t>Véronique Riotton</t>
  </si>
  <si>
    <t>Riotton</t>
  </si>
  <si>
    <t>Bonneville (Haute-Savoie)</t>
  </si>
  <si>
    <t>Haute-Savoie</t>
  </si>
  <si>
    <t>https://fr-fr.facebook.com/veronique.riotton.2017/|http://riotton.fr|https://twitter.com/V_Riotton</t>
  </si>
  <si>
    <t>Consultante-Coach en Ressources Humaines</t>
  </si>
  <si>
    <t>http://www2.assemblee-nationale.fr/deputes/fiche/OMC_PA721426</t>
  </si>
  <si>
    <t>veronique-riotton</t>
  </si>
  <si>
    <t>https://www.nosdeputes.fr/veronique-riotton</t>
  </si>
  <si>
    <t>https://www.nosdeputes.fr/veronique-riotton/csv</t>
  </si>
  <si>
    <t>V_Riotton</t>
  </si>
  <si>
    <t>Mireille Robert</t>
  </si>
  <si>
    <t>Robert</t>
  </si>
  <si>
    <t>Mireille</t>
  </si>
  <si>
    <t>Orthez (Pyrénées-Atlantiques)</t>
  </si>
  <si>
    <t>Aude</t>
  </si>
  <si>
    <t>https://fr-fr.facebook.com/MireilleRobertEnMarche/|https://twitter.com/AudeCirco3</t>
  </si>
  <si>
    <t>Enseignante 1er degré-directrice d'école</t>
  </si>
  <si>
    <t>http://www2.assemblee-nationale.fr/deputes/fiche/OMC_PA718810</t>
  </si>
  <si>
    <t>mireille-robert</t>
  </si>
  <si>
    <t>https://www.nosdeputes.fr/mireille-robert</t>
  </si>
  <si>
    <t>https://www.nosdeputes.fr/mireille-robert/csv</t>
  </si>
  <si>
    <t>AudeCirco3</t>
  </si>
  <si>
    <t>Xavier Roseren</t>
  </si>
  <si>
    <t>Roseren</t>
  </si>
  <si>
    <t>Chamonix (Haute-Savoie)</t>
  </si>
  <si>
    <t>https://twitter.com/roserenxavier|https://fr-fr.facebook.com/x.roseren/|http://roseren.com</t>
  </si>
  <si>
    <t>Commerçant</t>
  </si>
  <si>
    <t>http://www2.assemblee-nationale.fr/deputes/fiche/OMC_PA721458</t>
  </si>
  <si>
    <t>xavier-roseren</t>
  </si>
  <si>
    <t>https://www.nosdeputes.fr/xavier-roseren</t>
  </si>
  <si>
    <t>https://www.nosdeputes.fr/xavier-roseren/csv</t>
  </si>
  <si>
    <t>roserenxavier</t>
  </si>
  <si>
    <t>Sabine Rubin</t>
  </si>
  <si>
    <t>Rubin</t>
  </si>
  <si>
    <t>Sabine</t>
  </si>
  <si>
    <t>https://fr-fr.facebook.com/insoumis9309/|https://twitter.com/SabineRubinFI93</t>
  </si>
  <si>
    <t>http://www2.assemblee-nationale.fr/deputes/fiche/OMC_PA721226</t>
  </si>
  <si>
    <t>sabine-rubin</t>
  </si>
  <si>
    <t>https://www.nosdeputes.fr/sabine-rubin</t>
  </si>
  <si>
    <t>https://www.nosdeputes.fr/sabine-rubin/csv</t>
  </si>
  <si>
    <t>SabineRubinFI93</t>
  </si>
  <si>
    <t>Thomas Rudigoz</t>
  </si>
  <si>
    <t>Rudigoz</t>
  </si>
  <si>
    <t>https://twitter.com/trudigoz|https://fr-fr.facebook.com/thomas.rudigoz/</t>
  </si>
  <si>
    <t>http://www2.assemblee-nationale.fr/deputes/fiche/OMC_PA722292</t>
  </si>
  <si>
    <t>thomas-rudigoz</t>
  </si>
  <si>
    <t>https://www.nosdeputes.fr/thomas-rudigoz</t>
  </si>
  <si>
    <t>https://www.nosdeputes.fr/thomas-rudigoz/csv</t>
  </si>
  <si>
    <t>trudigoz</t>
  </si>
  <si>
    <t>François de Rugy</t>
  </si>
  <si>
    <t>Rugy (de)</t>
  </si>
  <si>
    <t>François</t>
  </si>
  <si>
    <t>http://www.francoisderugy.fr|https://fr-fr.facebook.com/francoisderugy/|https://twitter.com/Fderugy|http://www.derugy2017.fr</t>
  </si>
  <si>
    <t>Assistant parlementaire</t>
  </si>
  <si>
    <t>http://www2.assemblee-nationale.fr/deputes/fiche/OMC_PA332747</t>
  </si>
  <si>
    <t>francois-de-rugy</t>
  </si>
  <si>
    <t>https://www.nosdeputes.fr/francois-de-rugy</t>
  </si>
  <si>
    <t>https://www.nosdeputes.fr/francois-de-rugy/csv</t>
  </si>
  <si>
    <t>Fderugy</t>
  </si>
  <si>
    <t>Éric Straumann</t>
  </si>
  <si>
    <t>Straumann</t>
  </si>
  <si>
    <t>Colmar (Haut-Rhin)</t>
  </si>
  <si>
    <t>Haut-Rhin</t>
  </si>
  <si>
    <t>https://twitter.com/ericstraumann|https://fr-fr.facebook.com/eric.straumann/|http://ericstraumann.over-blog.com|http://www.ericstraumann.info</t>
  </si>
  <si>
    <t>Professeur agrégé</t>
  </si>
  <si>
    <t>http://www2.assemblee-nationale.fr/deputes/fiche/OMC_PA334654</t>
  </si>
  <si>
    <t>eric-straumann</t>
  </si>
  <si>
    <t>https://www.nosdeputes.fr/eric-straumann</t>
  </si>
  <si>
    <t>https://www.nosdeputes.fr/eric-straumann/csv</t>
  </si>
  <si>
    <t>ericstraumann</t>
  </si>
  <si>
    <t>Vincent Thiébaut</t>
  </si>
  <si>
    <t>Thiébaut</t>
  </si>
  <si>
    <t>Vincent</t>
  </si>
  <si>
    <t>https://twitter.com/VincentThiebaut|https://fr-fr.facebook.com/VincentThiebautDepute/</t>
  </si>
  <si>
    <t>http://www2.assemblee-nationale.fr/deputes/fiche/OMC_PA722336</t>
  </si>
  <si>
    <t>vincent-thiebaut</t>
  </si>
  <si>
    <t>https://www.nosdeputes.fr/vincent-thiebaut</t>
  </si>
  <si>
    <t>https://www.nosdeputes.fr/vincent-thiebaut/csv</t>
  </si>
  <si>
    <t>VincentThiebaut</t>
  </si>
  <si>
    <t>Isabelle Valentin</t>
  </si>
  <si>
    <t>Valentin</t>
  </si>
  <si>
    <t>Puy-en-Velay (Haute-Loire)</t>
  </si>
  <si>
    <t>https://twitter.com/isavalentin43</t>
  </si>
  <si>
    <t>Salariée agricole</t>
  </si>
  <si>
    <t>http://www2.assemblee-nationale.fr/deputes/fiche/OMC_PA643134</t>
  </si>
  <si>
    <t>isabelle-valentin</t>
  </si>
  <si>
    <t>https://www.nosdeputes.fr/isabelle-valentin</t>
  </si>
  <si>
    <t>https://www.nosdeputes.fr/isabelle-valentin/csv</t>
  </si>
  <si>
    <t>isavalentin43</t>
  </si>
  <si>
    <t>Michèle de Vaucouleurs</t>
  </si>
  <si>
    <t>Vaucouleurs (de)</t>
  </si>
  <si>
    <t>Albertville (Savoie)</t>
  </si>
  <si>
    <t>https://twitter.com/MdeVaucouleurs|https://m.facebook.com/MicheledeVaucouleurs2017</t>
  </si>
  <si>
    <t>Conseillère en insertion professionnelle</t>
  </si>
  <si>
    <t>http://www2.assemblee-nationale.fr/deputes/fiche/OMC_PA721924</t>
  </si>
  <si>
    <t>michele-de-vaucouleurs</t>
  </si>
  <si>
    <t>https://www.nosdeputes.fr/michele-de-vaucouleurs</t>
  </si>
  <si>
    <t>https://www.nosdeputes.fr/michele-de-vaucouleurs/csv</t>
  </si>
  <si>
    <t>MdeVaucouleurs</t>
  </si>
  <si>
    <t>Stéphane Viry</t>
  </si>
  <si>
    <t>Viry</t>
  </si>
  <si>
    <t>Stéphane</t>
  </si>
  <si>
    <t>Épinal (Vosges)</t>
  </si>
  <si>
    <t>Vosges</t>
  </si>
  <si>
    <t>http://www.stephaneviry.fr|https://twitter.com/ViryStephane</t>
  </si>
  <si>
    <t>http://www2.assemblee-nationale.fr/deputes/fiche/OMC_PA721474</t>
  </si>
  <si>
    <t>stephane-viry</t>
  </si>
  <si>
    <t>https://www.nosdeputes.fr/stephane-viry</t>
  </si>
  <si>
    <t>https://www.nosdeputes.fr/stephane-viry/csv</t>
  </si>
  <si>
    <t>ViryStephane</t>
  </si>
  <si>
    <t>Hélène Zannier</t>
  </si>
  <si>
    <t>Zannier</t>
  </si>
  <si>
    <t>Hélène</t>
  </si>
  <si>
    <t>Saint-Avold (Moselle)</t>
  </si>
  <si>
    <t>https://twitter.com/HeleneZannier|http://www.heleneenmarche2017.com</t>
  </si>
  <si>
    <t>http://www2.assemblee-nationale.fr/deputes/fiche/OMC_PA720318</t>
  </si>
  <si>
    <t>helene-zannier</t>
  </si>
  <si>
    <t>https://www.nosdeputes.fr/helene-zannier</t>
  </si>
  <si>
    <t>https://www.nosdeputes.fr/helene-zannier/csv</t>
  </si>
  <si>
    <t>HeleneZannier</t>
  </si>
  <si>
    <t>Damien Abad</t>
  </si>
  <si>
    <t>Abad</t>
  </si>
  <si>
    <t>Damien</t>
  </si>
  <si>
    <t>http://www.damienabad.fr|https://twitter.com/damienabad</t>
  </si>
  <si>
    <t>http://www2.assemblee-nationale.fr/deputes/fiche/OMC_PA605036</t>
  </si>
  <si>
    <t>damien-abad</t>
  </si>
  <si>
    <t>https://www.nosdeputes.fr/damien-abad</t>
  </si>
  <si>
    <t>https://www.nosdeputes.fr/damien-abad/csv</t>
  </si>
  <si>
    <t>damienabad</t>
  </si>
  <si>
    <t>Saïd Ahamada</t>
  </si>
  <si>
    <t>Ahamada</t>
  </si>
  <si>
    <t>Saïd</t>
  </si>
  <si>
    <t>Saint-Denis (Réunion)</t>
  </si>
  <si>
    <t>https://twitter.com/saidahamada|http://saidahamada.over-blog.com</t>
  </si>
  <si>
    <t>http://www2.assemblee-nationale.fr/deputes/fiche/OMC_PA718954</t>
  </si>
  <si>
    <t>said-ahamada</t>
  </si>
  <si>
    <t>https://www.nosdeputes.fr/said-ahamada</t>
  </si>
  <si>
    <t>https://www.nosdeputes.fr/said-ahamada/csv</t>
  </si>
  <si>
    <t>saidahamada</t>
  </si>
  <si>
    <t>Clémentine Autain</t>
  </si>
  <si>
    <t>Autain</t>
  </si>
  <si>
    <t>Clémentine</t>
  </si>
  <si>
    <t>Saint-Cloud (Hauts-de-Seine)</t>
  </si>
  <si>
    <t>https://fr-fr.facebook.com/clementineautain/|https://twitter.com/Clem_Autain</t>
  </si>
  <si>
    <t>http://www2.assemblee-nationale.fr/deputes/fiche/OMC_PA588884</t>
  </si>
  <si>
    <t>clementine-autain</t>
  </si>
  <si>
    <t>https://www.nosdeputes.fr/clementine-autain</t>
  </si>
  <si>
    <t>https://www.nosdeputes.fr/clementine-autain/csv</t>
  </si>
  <si>
    <t>Clem_Autain</t>
  </si>
  <si>
    <t>Jean-Noël Barrot</t>
  </si>
  <si>
    <t>Barrot</t>
  </si>
  <si>
    <t>Jean-Noël</t>
  </si>
  <si>
    <t>http://www.jnbarrot2017.fr|https://twitter.com/jnbarrot|https://www.jeannoelbarrot.fr</t>
  </si>
  <si>
    <t>Professeur de faculté</t>
  </si>
  <si>
    <t>http://www2.assemblee-nationale.fr/deputes/fiche/OMC_PA721836</t>
  </si>
  <si>
    <t>jean-noel-barrot</t>
  </si>
  <si>
    <t>https://www.nosdeputes.fr/jean-noel-barrot</t>
  </si>
  <si>
    <t>https://www.nosdeputes.fr/jean-noel-barrot/csv</t>
  </si>
  <si>
    <t>jnbarrot</t>
  </si>
  <si>
    <t>Marie-Noëlle Battistel</t>
  </si>
  <si>
    <t>Battistel</t>
  </si>
  <si>
    <t>Marie-Noëlle</t>
  </si>
  <si>
    <t>http://www2.assemblee-nationale.fr/deputes/fiche/OMC_PA342415</t>
  </si>
  <si>
    <t>marie-noelle-battistel</t>
  </si>
  <si>
    <t>https://www.nosdeputes.fr/marie-noelle-battistel</t>
  </si>
  <si>
    <t>https://www.nosdeputes.fr/marie-noelle-battistel/csv</t>
  </si>
  <si>
    <t>Philippe Bolo</t>
  </si>
  <si>
    <t>Bolo</t>
  </si>
  <si>
    <t>http://www.philippe-bolo.fr|https://twitter.com/phbolo|http://www.pbolo2017.fr</t>
  </si>
  <si>
    <t>http://www2.assemblee-nationale.fr/deputes/fiche/OMC_PA720162</t>
  </si>
  <si>
    <t>philippe-bolo</t>
  </si>
  <si>
    <t>https://www.nosdeputes.fr/philippe-bolo</t>
  </si>
  <si>
    <t>https://www.nosdeputes.fr/philippe-bolo/csv</t>
  </si>
  <si>
    <t>phbolo</t>
  </si>
  <si>
    <t>Jean-Louis Bourlanges</t>
  </si>
  <si>
    <t>Bourlanges</t>
  </si>
  <si>
    <t>Neuilly-Sur-Seine (Hauts-de-Seine)</t>
  </si>
  <si>
    <t>Retraité de la fonction publique</t>
  </si>
  <si>
    <t>http://www2.assemblee-nationale.fr/deputes/fiche/OMC_PA721608</t>
  </si>
  <si>
    <t>jean-louis-bourlanges</t>
  </si>
  <si>
    <t>https://www.nosdeputes.fr/jean-louis-bourlanges</t>
  </si>
  <si>
    <t>https://www.nosdeputes.fr/jean-louis-bourlanges/csv</t>
  </si>
  <si>
    <t>Pascale Boyer</t>
  </si>
  <si>
    <t>Boyer</t>
  </si>
  <si>
    <t>Pascale</t>
  </si>
  <si>
    <t>Saint Mandé (Val-de-Marne)</t>
  </si>
  <si>
    <t>https://twitter.com/pascaleboyer05</t>
  </si>
  <si>
    <t>http://www2.assemblee-nationale.fr/deputes/fiche/OMC_PA718710</t>
  </si>
  <si>
    <t>pascale-boyer</t>
  </si>
  <si>
    <t>https://www.nosdeputes.fr/pascale-boyer</t>
  </si>
  <si>
    <t>https://www.nosdeputes.fr/pascale-boyer/csv</t>
  </si>
  <si>
    <t>pascaleboyer05</t>
  </si>
  <si>
    <t>Vincent Bru</t>
  </si>
  <si>
    <t>Bru</t>
  </si>
  <si>
    <t>Bayonne (Pyrénées-Atlantiques)</t>
  </si>
  <si>
    <t>https://fr-fr.facebook.com/bru.vincent/|http://www.vincentbru.fr|https://twitter.com/bru_vincent|http://bit.ly/2rnv8wU|http://vincentbru.en-marche.fr</t>
  </si>
  <si>
    <t>http://www2.assemblee-nationale.fr/deputes/fiche/OMC_PA720772</t>
  </si>
  <si>
    <t>vincent-bru</t>
  </si>
  <si>
    <t>https://www.nosdeputes.fr/vincent-bru</t>
  </si>
  <si>
    <t>https://www.nosdeputes.fr/vincent-bru/csv</t>
  </si>
  <si>
    <t>bru_vincent</t>
  </si>
  <si>
    <t>Anne-Laure Cattelot</t>
  </si>
  <si>
    <t>Cattelot</t>
  </si>
  <si>
    <t>Anne-Laure</t>
  </si>
  <si>
    <t>Maubeuge (Nord)</t>
  </si>
  <si>
    <t>http://bit.ly/2pOdUqR|https://twitter.com/ALCattelot</t>
  </si>
  <si>
    <t>Conseillère Développement économique</t>
  </si>
  <si>
    <t>http://www2.assemblee-nationale.fr/deputes/fiche/OMC_PA720520</t>
  </si>
  <si>
    <t>anne-laure-cattelot</t>
  </si>
  <si>
    <t>https://www.nosdeputes.fr/anne-laure-cattelot</t>
  </si>
  <si>
    <t>https://www.nosdeputes.fr/anne-laure-cattelot/csv</t>
  </si>
  <si>
    <t>ALCattelot</t>
  </si>
  <si>
    <t>Yves Daniel</t>
  </si>
  <si>
    <t>Yves</t>
  </si>
  <si>
    <t>Mouais (Loire-Atlantique)</t>
  </si>
  <si>
    <t>http://www.yves-daniel.org|https://twitter.com/ydaniel_depute</t>
  </si>
  <si>
    <t>Agriculteur-propriétaire retraité</t>
  </si>
  <si>
    <t>http://www2.assemblee-nationale.fr/deputes/fiche/OMC_PA607155</t>
  </si>
  <si>
    <t>yves-daniel</t>
  </si>
  <si>
    <t>https://www.nosdeputes.fr/yves-daniel</t>
  </si>
  <si>
    <t>https://www.nosdeputes.fr/yves-daniel/csv</t>
  </si>
  <si>
    <t>ydaniel_depute</t>
  </si>
  <si>
    <t>Vincent Descoeur</t>
  </si>
  <si>
    <t>Descoeur</t>
  </si>
  <si>
    <t>Aurillac (Cantal)</t>
  </si>
  <si>
    <t>Cantal</t>
  </si>
  <si>
    <t>http://www.descoeur.com|https://twitter.com/VincentDescoeur</t>
  </si>
  <si>
    <t>Professeur agrégé de biologie</t>
  </si>
  <si>
    <t>http://www2.assemblee-nationale.fr/deputes/fiche/OMC_PA330909</t>
  </si>
  <si>
    <t>vincent-descoeur</t>
  </si>
  <si>
    <t>https://www.nosdeputes.fr/vincent-descoeur</t>
  </si>
  <si>
    <t>https://www.nosdeputes.fr/vincent-descoeur/csv</t>
  </si>
  <si>
    <t>VincentDescoeur</t>
  </si>
  <si>
    <t>Christelle Dubos</t>
  </si>
  <si>
    <t>Dubos</t>
  </si>
  <si>
    <t>Christelle</t>
  </si>
  <si>
    <t>Coteau (Loire)</t>
  </si>
  <si>
    <t>https://twitter.com/duboschristelle|https://fr-fr.facebook.com/duboschristelle/|http://christelledubos.fr</t>
  </si>
  <si>
    <t>Directrice d'un service emploi et solidarités</t>
  </si>
  <si>
    <t>http://www2.assemblee-nationale.fr/deputes/fiche/OMC_PA719660</t>
  </si>
  <si>
    <t>christelle-dubos</t>
  </si>
  <si>
    <t>https://www.nosdeputes.fr/christelle-dubos</t>
  </si>
  <si>
    <t>https://www.nosdeputes.fr/christelle-dubos/csv</t>
  </si>
  <si>
    <t>duboschristelle</t>
  </si>
  <si>
    <t>Audrey Dufeu Schubert</t>
  </si>
  <si>
    <t>Dufeu Schubert</t>
  </si>
  <si>
    <t>Audrey</t>
  </si>
  <si>
    <t>https://fr-fr.facebook.com/audreydufeuschubert/|https://twitter.com/audreydufeu|https://audreydufeuschubert.en-marche.fr</t>
  </si>
  <si>
    <t>Directrice établissement de santé</t>
  </si>
  <si>
    <t>http://www2.assemblee-nationale.fr/deputes/fiche/OMC_PA720046</t>
  </si>
  <si>
    <t>audrey-dufeu-schubert</t>
  </si>
  <si>
    <t>https://www.nosdeputes.fr/audrey-dufeu-schubert</t>
  </si>
  <si>
    <t>https://www.nosdeputes.fr/audrey-dufeu-schubert/csv</t>
  </si>
  <si>
    <t>audreydufeu</t>
  </si>
  <si>
    <t>Nathalie Elimas</t>
  </si>
  <si>
    <t>Elimas</t>
  </si>
  <si>
    <t>Nathalie</t>
  </si>
  <si>
    <t>http://www.nathalie-elimas.fr|https://twitter.com/avyelimas</t>
  </si>
  <si>
    <t>http://www2.assemblee-nationale.fr/deputes/fiche/OMC_PA720924</t>
  </si>
  <si>
    <t>nathalie-elimas</t>
  </si>
  <si>
    <t>https://www.nosdeputes.fr/nathalie-elimas</t>
  </si>
  <si>
    <t>https://www.nosdeputes.fr/nathalie-elimas/csv</t>
  </si>
  <si>
    <t>avyelimas</t>
  </si>
  <si>
    <t>Sophie Errante</t>
  </si>
  <si>
    <t>Errante</t>
  </si>
  <si>
    <t>http://sophie-errante.fr|https://twitter.com/SophieErrante|https://www.sophie-errante2017.fr</t>
  </si>
  <si>
    <t>http://www2.assemblee-nationale.fr/deputes/fiche/OMC_PA607193</t>
  </si>
  <si>
    <t>sophie-errante</t>
  </si>
  <si>
    <t>https://www.nosdeputes.fr/sophie-errante</t>
  </si>
  <si>
    <t>https://www.nosdeputes.fr/sophie-errante/csv</t>
  </si>
  <si>
    <t>SophieErrante</t>
  </si>
  <si>
    <t>Catherine Fabre</t>
  </si>
  <si>
    <t>Fabre</t>
  </si>
  <si>
    <t>https://fr-fr.facebook.com/CFABRE2017/|http://catherinefabre.fr|https://twitter.com/cfabreAN</t>
  </si>
  <si>
    <t>Maître de conférences des Universités</t>
  </si>
  <si>
    <t>http://www2.assemblee-nationale.fr/deputes/fiche/OMC_PA719570</t>
  </si>
  <si>
    <t>catherine-fabre</t>
  </si>
  <si>
    <t>https://www.nosdeputes.fr/catherine-fabre</t>
  </si>
  <si>
    <t>https://www.nosdeputes.fr/catherine-fabre/csv</t>
  </si>
  <si>
    <t>cfabreAN</t>
  </si>
  <si>
    <t>Daniel Fasquelle</t>
  </si>
  <si>
    <t>Fasquelle</t>
  </si>
  <si>
    <t>Saint-Omer (Pas-de-Calais)</t>
  </si>
  <si>
    <t>http://www.danielfasquelle.fr|https://twitter.com/DFasquelle|http://www.danielfasquelle.blogspot.com</t>
  </si>
  <si>
    <t>http://www2.assemblee-nationale.fr/deputes/fiche/OMC_PA334149</t>
  </si>
  <si>
    <t>daniel-fasquelle</t>
  </si>
  <si>
    <t>https://www.nosdeputes.fr/daniel-fasquelle</t>
  </si>
  <si>
    <t>https://www.nosdeputes.fr/daniel-fasquelle/csv</t>
  </si>
  <si>
    <t>DFasquelle</t>
  </si>
  <si>
    <t>Elsa Faucillon</t>
  </si>
  <si>
    <t>Faucillon</t>
  </si>
  <si>
    <t>Elsa</t>
  </si>
  <si>
    <t>Amiens (Somme)</t>
  </si>
  <si>
    <t>http://www.elsa-faucillon.org|https://twitter.com/elsafaucillon|https://fr-fr.facebook.com/elsa.faucillon/|http://www.elsa-faucillon.fr|https://www.youtube.com/channel/UCLXCYpbD-9TnoX_cXSbVLjw</t>
  </si>
  <si>
    <t>Employée du secteur privé</t>
  </si>
  <si>
    <t>http://www2.assemblee-nationale.fr/deputes/fiche/OMC_PA721896</t>
  </si>
  <si>
    <t>elsa-faucillon</t>
  </si>
  <si>
    <t>https://www.nosdeputes.fr/elsa-faucillon</t>
  </si>
  <si>
    <t>https://www.nosdeputes.fr/elsa-faucillon/csv</t>
  </si>
  <si>
    <t>elsafaucillon</t>
  </si>
  <si>
    <t>Marc Fesneau</t>
  </si>
  <si>
    <t>Fesneau</t>
  </si>
  <si>
    <t>Loir-et-Cher</t>
  </si>
  <si>
    <t>http://www.marcfesneau.fr|https://twitter.com/MFesneau|http://www.mouvementdemocrate.fr</t>
  </si>
  <si>
    <t>Directeur d'un institut de formation</t>
  </si>
  <si>
    <t>http://www2.assemblee-nationale.fr/deputes/fiche/OMC_PA719938</t>
  </si>
  <si>
    <t>marc-fesneau</t>
  </si>
  <si>
    <t>https://www.nosdeputes.fr/marc-fesneau</t>
  </si>
  <si>
    <t>https://www.nosdeputes.fr/marc-fesneau/csv</t>
  </si>
  <si>
    <t>MFesneau</t>
  </si>
  <si>
    <t>Olivier Gaillard</t>
  </si>
  <si>
    <t>Gaillard</t>
  </si>
  <si>
    <t>Gard</t>
  </si>
  <si>
    <t>https://twitter.com/Gaillard2017</t>
  </si>
  <si>
    <t>http://www2.assemblee-nationale.fr/deputes/fiche/OMC_PA719480</t>
  </si>
  <si>
    <t>olivier-gaillard</t>
  </si>
  <si>
    <t>https://www.nosdeputes.fr/olivier-gaillard</t>
  </si>
  <si>
    <t>https://www.nosdeputes.fr/olivier-gaillard/csv</t>
  </si>
  <si>
    <t>Gaillard2017</t>
  </si>
  <si>
    <t>Claude Goasguen</t>
  </si>
  <si>
    <t>Goasguen</t>
  </si>
  <si>
    <t>Claude</t>
  </si>
  <si>
    <t>Toulon (Var)</t>
  </si>
  <si>
    <t>http://www.claudegoasguen.fr|https://twitter.com/ClaudeGoasguen</t>
  </si>
  <si>
    <t>Avocat à la Cour d'appel de Paris</t>
  </si>
  <si>
    <t>http://www2.assemblee-nationale.fr/deputes/fiche/OMC_PA1498</t>
  </si>
  <si>
    <t>claude-goasguen</t>
  </si>
  <si>
    <t>https://www.nosdeputes.fr/claude-goasguen</t>
  </si>
  <si>
    <t>https://www.nosdeputes.fr/claude-goasguen/csv</t>
  </si>
  <si>
    <t>ClaudeGoasguen</t>
  </si>
  <si>
    <t>Romain Grau</t>
  </si>
  <si>
    <t>Grau</t>
  </si>
  <si>
    <t>Romain</t>
  </si>
  <si>
    <t>Perpignan (Pyrénées-Orientales)</t>
  </si>
  <si>
    <t>Pyrénées-Orientales</t>
  </si>
  <si>
    <t>http://www.romain-grau.com|https://twitter.com/RomainGrau</t>
  </si>
  <si>
    <t>http://www2.assemblee-nationale.fr/deputes/fiche/OMC_PA720790</t>
  </si>
  <si>
    <t>romain-grau</t>
  </si>
  <si>
    <t>https://www.nosdeputes.fr/romain-grau</t>
  </si>
  <si>
    <t>https://www.nosdeputes.fr/romain-grau/csv</t>
  </si>
  <si>
    <t>RomainGrau</t>
  </si>
  <si>
    <t>Yannick Haury</t>
  </si>
  <si>
    <t>Haury</t>
  </si>
  <si>
    <t>Yannick</t>
  </si>
  <si>
    <t>https://fr-fr.facebook.com/yannickhaury2017/|http://yannick-haury.fr|https://twitter.com/YHaury44</t>
  </si>
  <si>
    <t>Pharmacien</t>
  </si>
  <si>
    <t>http://www2.assemblee-nationale.fr/deputes/fiche/OMC_PA720054</t>
  </si>
  <si>
    <t>yannick-haury</t>
  </si>
  <si>
    <t>https://www.nosdeputes.fr/yannick-haury</t>
  </si>
  <si>
    <t>https://www.nosdeputes.fr/yannick-haury/csv</t>
  </si>
  <si>
    <t>YHaury44</t>
  </si>
  <si>
    <t>Antoine Herth</t>
  </si>
  <si>
    <t>Herth</t>
  </si>
  <si>
    <t>Antoine</t>
  </si>
  <si>
    <t>Sélestat (Bas-Rhin)</t>
  </si>
  <si>
    <t>https://fr-fr.facebook.com/antoine.herth/|https://twitter.com/antoineherth|http://www.antoine-herth.fr</t>
  </si>
  <si>
    <t>http://www2.assemblee-nationale.fr/deputes/fiche/OMC_PA267355</t>
  </si>
  <si>
    <t>antoine-herth</t>
  </si>
  <si>
    <t>https://www.nosdeputes.fr/antoine-herth</t>
  </si>
  <si>
    <t>https://www.nosdeputes.fr/antoine-herth/csv</t>
  </si>
  <si>
    <t>antoineherth</t>
  </si>
  <si>
    <t>Jean-Michel Jacques</t>
  </si>
  <si>
    <t>Jacques</t>
  </si>
  <si>
    <t>Metz (Moselle)</t>
  </si>
  <si>
    <t>https://twitter.com/J_M_Jacques</t>
  </si>
  <si>
    <t>Infirmier</t>
  </si>
  <si>
    <t>http://www2.assemblee-nationale.fr/deputes/fiche/OMC_PA720354</t>
  </si>
  <si>
    <t>jean-michel-jacques</t>
  </si>
  <si>
    <t>https://www.nosdeputes.fr/jean-michel-jacques</t>
  </si>
  <si>
    <t>https://www.nosdeputes.fr/jean-michel-jacques/csv</t>
  </si>
  <si>
    <t>J_M_Jacques</t>
  </si>
  <si>
    <t>François Jolivet</t>
  </si>
  <si>
    <t>Jolivet</t>
  </si>
  <si>
    <t>Chateauroux (Indre)</t>
  </si>
  <si>
    <t>Indre</t>
  </si>
  <si>
    <t>https://fr-fr.facebook.com/FJIndre/|http://www.francoisjolivet.fr|https://twitter.com/FJolivet36</t>
  </si>
  <si>
    <t>http://www2.assemblee-nationale.fr/deputes/fiche/OMC_PA719778</t>
  </si>
  <si>
    <t>francois-jolivet</t>
  </si>
  <si>
    <t>https://www.nosdeputes.fr/francois-jolivet</t>
  </si>
  <si>
    <t>https://www.nosdeputes.fr/francois-jolivet/csv</t>
  </si>
  <si>
    <t>FJolivet36</t>
  </si>
  <si>
    <t>Guillaume Kasbarian</t>
  </si>
  <si>
    <t>Kasbarian</t>
  </si>
  <si>
    <t>Guillaume</t>
  </si>
  <si>
    <t>https://twitter.com/guillaumekasba|https://fr-fr.facebook.com/kasbarian2017/|http://www.guillaumekasbarian.fr</t>
  </si>
  <si>
    <t>http://www2.assemblee-nationale.fr/deputes/fiche/OMC_PA719372</t>
  </si>
  <si>
    <t>guillaume-kasbarian</t>
  </si>
  <si>
    <t>https://www.nosdeputes.fr/guillaume-kasbarian</t>
  </si>
  <si>
    <t>https://www.nosdeputes.fr/guillaume-kasbarian/csv</t>
  </si>
  <si>
    <t>guillaumekasba</t>
  </si>
  <si>
    <t>Fadila Khattabi</t>
  </si>
  <si>
    <t>Khattabi</t>
  </si>
  <si>
    <t>Fadila</t>
  </si>
  <si>
    <t>Montbéliard (Doubs)</t>
  </si>
  <si>
    <t>https://twitter.com/KhattabiF|https://fr-fr.facebook.com/fadila.khattabi/</t>
  </si>
  <si>
    <t>Professeur d'anglais CFA</t>
  </si>
  <si>
    <t>http://www2.assemblee-nationale.fr/deputes/fiche/OMC_PA719186</t>
  </si>
  <si>
    <t>fadila-khattabi</t>
  </si>
  <si>
    <t>https://www.nosdeputes.fr/fadila-khattabi</t>
  </si>
  <si>
    <t>https://www.nosdeputes.fr/fadila-khattabi/csv</t>
  </si>
  <si>
    <t>KhattabiF</t>
  </si>
  <si>
    <t>Guillaume Larrivé</t>
  </si>
  <si>
    <t>Larrivé</t>
  </si>
  <si>
    <t>Mulhouse (Haut-Rhin)</t>
  </si>
  <si>
    <t>http://www.larrive.com|https://twitter.com/GLarrive|https://fr-fr.facebook.com/guillaumelarrive/|http://www.larrive2017.fr|http://www.plon.fr/auteur/guillaume-larriva-/438356|http://www.plon.fr/ouvrage/insoumission/9782259252140|http://livre.fnac.com/a10162253/Guillaume-Larrive-Insoumission</t>
  </si>
  <si>
    <t>Maître des requêtes au Conseil d'État-Avocat</t>
  </si>
  <si>
    <t>http://www2.assemblee-nationale.fr/deputes/fiche/OMC_PA267785</t>
  </si>
  <si>
    <t>guillaume-larrive</t>
  </si>
  <si>
    <t>https://www.nosdeputes.fr/guillaume-larrive</t>
  </si>
  <si>
    <t>https://www.nosdeputes.fr/guillaume-larrive/csv</t>
  </si>
  <si>
    <t>GLarrive</t>
  </si>
  <si>
    <t>Philippe Latombe</t>
  </si>
  <si>
    <t>Latombe</t>
  </si>
  <si>
    <t>Paris 14 (Paris)</t>
  </si>
  <si>
    <t>Vendée</t>
  </si>
  <si>
    <t>https://twitter.com/platombe</t>
  </si>
  <si>
    <t>http://www2.assemblee-nationale.fr/deputes/fiche/OMC_PA721984</t>
  </si>
  <si>
    <t>philippe-latombe</t>
  </si>
  <si>
    <t>https://www.nosdeputes.fr/philippe-latombe</t>
  </si>
  <si>
    <t>https://www.nosdeputes.fr/philippe-latombe/csv</t>
  </si>
  <si>
    <t>platombe</t>
  </si>
  <si>
    <t>Michel Lauzzana</t>
  </si>
  <si>
    <t>Lauzzana</t>
  </si>
  <si>
    <t>Castelsarrasin (Tarn-et-Garonne)</t>
  </si>
  <si>
    <t>https://twitter.com/lauzzanamichel</t>
  </si>
  <si>
    <t>http://www2.assemblee-nationale.fr/deputes/fiche/OMC_PA720022</t>
  </si>
  <si>
    <t>michel-lauzzana</t>
  </si>
  <si>
    <t>https://www.nosdeputes.fr/michel-lauzzana</t>
  </si>
  <si>
    <t>https://www.nosdeputes.fr/michel-lauzzana/csv</t>
  </si>
  <si>
    <t>lauzzanamichel</t>
  </si>
  <si>
    <t>Célia de Lavergne</t>
  </si>
  <si>
    <t>Lavergne (de)</t>
  </si>
  <si>
    <t>Célia</t>
  </si>
  <si>
    <t>Clamart (Hauts-de-Seine)</t>
  </si>
  <si>
    <t>Drôme</t>
  </si>
  <si>
    <t>https://fr-fr.facebook.com/celiadeputee2017/|http://celiadelavergne2017.fr|https://twitter.com/CdLavergne</t>
  </si>
  <si>
    <t>http://www2.assemblee-nationale.fr/deputes/fiche/OMC_PA719310</t>
  </si>
  <si>
    <t>celia-de-lavergne</t>
  </si>
  <si>
    <t>https://www.nosdeputes.fr/celia-de-lavergne</t>
  </si>
  <si>
    <t>https://www.nosdeputes.fr/celia-de-lavergne/csv</t>
  </si>
  <si>
    <t>CdLavergne</t>
  </si>
  <si>
    <t>Marc Le Fur</t>
  </si>
  <si>
    <t>Le Fur</t>
  </si>
  <si>
    <t>Dakar (Sénégal)</t>
  </si>
  <si>
    <t>Côtes-d'Armor</t>
  </si>
  <si>
    <t>https://fr-fr.facebook.com/marclefur2017/|http://www.marclefur.bzh|https://twitter.com/marclefur|http://www.marclefur.com</t>
  </si>
  <si>
    <t>Sous-préfet</t>
  </si>
  <si>
    <t>http://www2.assemblee-nationale.fr/deputes/fiche/OMC_PA1874</t>
  </si>
  <si>
    <t>marc-le-fur</t>
  </si>
  <si>
    <t>https://www.nosdeputes.fr/marc-le-fur</t>
  </si>
  <si>
    <t>https://www.nosdeputes.fr/marc-le-fur/csv</t>
  </si>
  <si>
    <t>marclefur</t>
  </si>
  <si>
    <t>Gilles Le Gendre</t>
  </si>
  <si>
    <t>Le Gendre</t>
  </si>
  <si>
    <t>Neuilly-sur-Seine (Hauts-de-Seine)</t>
  </si>
  <si>
    <t>https://twitter.com/GillesLeGendre|http://www.gilleslegendre.fr|http://glg2017.fr</t>
  </si>
  <si>
    <t>http://www2.assemblee-nationale.fr/deputes/fiche/OMC_PA721466</t>
  </si>
  <si>
    <t>gilles-le-gendre</t>
  </si>
  <si>
    <t>https://www.nosdeputes.fr/gilles-le-gendre</t>
  </si>
  <si>
    <t>https://www.nosdeputes.fr/gilles-le-gendre/csv</t>
  </si>
  <si>
    <t>GillesLeGendre</t>
  </si>
  <si>
    <t>Nicole Le Peih</t>
  </si>
  <si>
    <t>Le Peih</t>
  </si>
  <si>
    <t>Nicole</t>
  </si>
  <si>
    <t>Pontivy (Morbihan)</t>
  </si>
  <si>
    <t>https://fr-fr.facebook.com/NicoleLePeih2017/|http://www.nicolelepeih.bzh|https://twitter.com/NicoleLePeih</t>
  </si>
  <si>
    <t>Agriculteur-propriétaire exploitant</t>
  </si>
  <si>
    <t>http://www2.assemblee-nationale.fr/deputes/fiche/OMC_PA720342</t>
  </si>
  <si>
    <t>nicole-le-peih</t>
  </si>
  <si>
    <t>https://www.nosdeputes.fr/nicole-le-peih</t>
  </si>
  <si>
    <t>https://www.nosdeputes.fr/nicole-le-peih/csv</t>
  </si>
  <si>
    <t>NicoleLePeih</t>
  </si>
  <si>
    <t>Charlotte Lecocq</t>
  </si>
  <si>
    <t>Lecocq</t>
  </si>
  <si>
    <t>Charlotte</t>
  </si>
  <si>
    <t>Pointe-à-Pitre (Guadeloupe)</t>
  </si>
  <si>
    <t>http://www.charlottelecocq.fr|http://www.charlottelecocq2017.fr|https://twitter.com/lecocqcharlotte</t>
  </si>
  <si>
    <t>http://www2.assemblee-nationale.fr/deputes/fiche/OMC_PA720480</t>
  </si>
  <si>
    <t>charlotte-lecocq</t>
  </si>
  <si>
    <t>https://www.nosdeputes.fr/charlotte-lecocq</t>
  </si>
  <si>
    <t>https://www.nosdeputes.fr/charlotte-lecocq/csv</t>
  </si>
  <si>
    <t>lecocqcharlotte</t>
  </si>
  <si>
    <t>Vincent Ledoux</t>
  </si>
  <si>
    <t>Ledoux</t>
  </si>
  <si>
    <t>Watermael-Boitsfort (Belgique)</t>
  </si>
  <si>
    <t>https://fr-fr.facebook.com/vincent.ledoux.313/|http://www.vincentledoux.com|https://twitter.com/VincentLedoux59|http://www.ville-roncq.fr|http://www.vincent ledoux.com</t>
  </si>
  <si>
    <t>Enseignant</t>
  </si>
  <si>
    <t>http://www2.assemblee-nationale.fr/deputes/fiche/OMC_PA712014</t>
  </si>
  <si>
    <t>vincent-ledoux</t>
  </si>
  <si>
    <t>https://www.nosdeputes.fr/vincent-ledoux</t>
  </si>
  <si>
    <t>https://www.nosdeputes.fr/vincent-ledoux/csv</t>
  </si>
  <si>
    <t>VincentLedoux59</t>
  </si>
  <si>
    <t>Alexandra Louis</t>
  </si>
  <si>
    <t>Louis</t>
  </si>
  <si>
    <t>Alexandra</t>
  </si>
  <si>
    <t>http://www2.assemblee-nationale.fr/deputes/fiche/OMC_PA718918</t>
  </si>
  <si>
    <t>alexandra-louis</t>
  </si>
  <si>
    <t>https://www.nosdeputes.fr/alexandra-louis</t>
  </si>
  <si>
    <t>https://www.nosdeputes.fr/alexandra-louis/csv</t>
  </si>
  <si>
    <t>Lise Magnier</t>
  </si>
  <si>
    <t>Magnier</t>
  </si>
  <si>
    <t>Lise</t>
  </si>
  <si>
    <t>Châlons-sur-Marne (Marne)</t>
  </si>
  <si>
    <t>https://twitter.com/lise_magnier|https://fr-fr.facebook.com/Lise-Magnier-1276782429025185/|https://m.facebook.com/LiseMagnierMarne</t>
  </si>
  <si>
    <t>cadre territorial</t>
  </si>
  <si>
    <t>http://www2.assemblee-nationale.fr/deputes/fiche/OMC_PA720230</t>
  </si>
  <si>
    <t>lise-magnier</t>
  </si>
  <si>
    <t>https://www.nosdeputes.fr/lise-magnier</t>
  </si>
  <si>
    <t>https://www.nosdeputes.fr/lise-magnier/csv</t>
  </si>
  <si>
    <t>lise_magnier</t>
  </si>
  <si>
    <t>Olivier Marleix</t>
  </si>
  <si>
    <t>Marleix</t>
  </si>
  <si>
    <t>http://www.oliviermarleix.fr|https://twitter.com/oliviermarleix</t>
  </si>
  <si>
    <t>http://www2.assemblee-nationale.fr/deputes/fiche/OMC_PA606098</t>
  </si>
  <si>
    <t>olivier-marleix</t>
  </si>
  <si>
    <t>https://www.nosdeputes.fr/olivier-marleix</t>
  </si>
  <si>
    <t>https://www.nosdeputes.fr/olivier-marleix/csv</t>
  </si>
  <si>
    <t>oliviermarleix</t>
  </si>
  <si>
    <t>Stéphane Mazars</t>
  </si>
  <si>
    <t>Mazars</t>
  </si>
  <si>
    <t>Saint-Yriex-la-Perche (Haute-Vienne)</t>
  </si>
  <si>
    <t>https://fr-fr.facebook.com/stephane.mazars.7/|https://twitter.com/s_mazars</t>
  </si>
  <si>
    <t>http://www2.assemblee-nationale.fr/deputes/fiche/OMC_PA677483</t>
  </si>
  <si>
    <t>stephane-mazars</t>
  </si>
  <si>
    <t>https://www.nosdeputes.fr/stephane-mazars</t>
  </si>
  <si>
    <t>https://www.nosdeputes.fr/stephane-mazars/csv</t>
  </si>
  <si>
    <t>s_mazars</t>
  </si>
  <si>
    <t>Gérard Menuel</t>
  </si>
  <si>
    <t>Menuel</t>
  </si>
  <si>
    <t>Gérard</t>
  </si>
  <si>
    <t>Jasseines (Aube)</t>
  </si>
  <si>
    <t>Aube</t>
  </si>
  <si>
    <t>http://www2.assemblee-nationale.fr/deputes/fiche/OMC_PA2155</t>
  </si>
  <si>
    <t>gerard-menuel</t>
  </si>
  <si>
    <t>https://www.nosdeputes.fr/gerard-menuel</t>
  </si>
  <si>
    <t>https://www.nosdeputes.fr/gerard-menuel/csv</t>
  </si>
  <si>
    <t>Paul Molac</t>
  </si>
  <si>
    <t>Molac</t>
  </si>
  <si>
    <t>Ploërmel (Morbihan)</t>
  </si>
  <si>
    <t>https://twitter.com/paul_molac|http://paulmolac.bzh|https://fr-fr.facebook.com/paulmolac/|http://paulmolac.bzh/legislatives2017</t>
  </si>
  <si>
    <t>Professeur du secondaire</t>
  </si>
  <si>
    <t>http://www2.assemblee-nationale.fr/deputes/fiche/OMC_PA607619</t>
  </si>
  <si>
    <t>paul-molac</t>
  </si>
  <si>
    <t>https://www.nosdeputes.fr/paul-molac</t>
  </si>
  <si>
    <t>https://www.nosdeputes.fr/paul-molac/csv</t>
  </si>
  <si>
    <t>paul_molac</t>
  </si>
  <si>
    <t>Jean-Baptiste Moreau</t>
  </si>
  <si>
    <t>Moreau</t>
  </si>
  <si>
    <t>Jean-Baptiste</t>
  </si>
  <si>
    <t>Guéret (Creuse)</t>
  </si>
  <si>
    <t>Creuse</t>
  </si>
  <si>
    <t>https://twitter.com/moreaujb23|http://www.jeanbaptistemoreau.fr</t>
  </si>
  <si>
    <t>http://www2.assemblee-nationale.fr/deputes/fiche/OMC_PA719242</t>
  </si>
  <si>
    <t>jean-baptiste-moreau</t>
  </si>
  <si>
    <t>https://www.nosdeputes.fr/jean-baptiste-moreau</t>
  </si>
  <si>
    <t>https://www.nosdeputes.fr/jean-baptiste-moreau/csv</t>
  </si>
  <si>
    <t>moreaujb23</t>
  </si>
  <si>
    <t>Christophe Naegelen</t>
  </si>
  <si>
    <t>Naegelen</t>
  </si>
  <si>
    <t>Remiremont (Vosges)</t>
  </si>
  <si>
    <t>https://fr-fr.facebook.com/ChristopheNaegelenVosges/|https://twitter.com/c_naegelen|http://www.naegelen.fr</t>
  </si>
  <si>
    <t>http://www2.assemblee-nationale.fr/deputes/fiche/OMC_PA721486</t>
  </si>
  <si>
    <t>christophe-naegelen</t>
  </si>
  <si>
    <t>https://www.nosdeputes.fr/christophe-naegelen</t>
  </si>
  <si>
    <t>https://www.nosdeputes.fr/christophe-naegelen/csv</t>
  </si>
  <si>
    <t>c_naegelen</t>
  </si>
  <si>
    <t>Jimmy Pahun</t>
  </si>
  <si>
    <t>Pahun</t>
  </si>
  <si>
    <t>Jimmy</t>
  </si>
  <si>
    <t>https://fr-fr.facebook.com/jimmypahun/|http://jimmypahun.fr|https://twitter.com/421jimmypahun</t>
  </si>
  <si>
    <t>Navigateur</t>
  </si>
  <si>
    <t>http://www2.assemblee-nationale.fr/deputes/fiche/OMC_PA720334</t>
  </si>
  <si>
    <t>jimmy-pahun</t>
  </si>
  <si>
    <t>https://www.nosdeputes.fr/jimmy-pahun</t>
  </si>
  <si>
    <t>https://www.nosdeputes.fr/jimmy-pahun/csv</t>
  </si>
  <si>
    <t>421jimmypahun</t>
  </si>
  <si>
    <t>Sophie Panonacle</t>
  </si>
  <si>
    <t>Panonacle</t>
  </si>
  <si>
    <t>https://twitter.com/SPanonacle</t>
  </si>
  <si>
    <t>http://www2.assemblee-nationale.fr/deputes/fiche/OMC_PA719632</t>
  </si>
  <si>
    <t>sophie-panonacle</t>
  </si>
  <si>
    <t>https://www.nosdeputes.fr/sophie-panonacle</t>
  </si>
  <si>
    <t>https://www.nosdeputes.fr/sophie-panonacle/csv</t>
  </si>
  <si>
    <t>SPanonacle</t>
  </si>
  <si>
    <t>Jean-Pierre Pont</t>
  </si>
  <si>
    <t>Pont</t>
  </si>
  <si>
    <t>Portel (Pas-de-Calais)</t>
  </si>
  <si>
    <t>https://twitter.com/JeanPierrePont|https://www.facebook.com/Pont.Jean.Pierre</t>
  </si>
  <si>
    <t>http://www2.assemblee-nationale.fr/deputes/fiche/OMC_PA2449</t>
  </si>
  <si>
    <t>jean-pierre-pont</t>
  </si>
  <si>
    <t>https://www.nosdeputes.fr/jean-pierre-pont</t>
  </si>
  <si>
    <t>https://www.nosdeputes.fr/jean-pierre-pont/csv</t>
  </si>
  <si>
    <t>JeanPierrePont</t>
  </si>
  <si>
    <t>Joaquim Pueyo</t>
  </si>
  <si>
    <t>Pueyo</t>
  </si>
  <si>
    <t>Joaquim</t>
  </si>
  <si>
    <t>Alençon (Orne)</t>
  </si>
  <si>
    <t>http://www.joaquimpueyo.com|https://twitter.com/JoaquimPueyo</t>
  </si>
  <si>
    <t>http://www2.assemblee-nationale.fr/deputes/fiche/OMC_PA608011</t>
  </si>
  <si>
    <t>joaquim-pueyo</t>
  </si>
  <si>
    <t>https://www.nosdeputes.fr/joaquim-pueyo</t>
  </si>
  <si>
    <t>https://www.nosdeputes.fr/joaquim-pueyo/csv</t>
  </si>
  <si>
    <t>JoaquimPueyo</t>
  </si>
  <si>
    <t>François Pupponi</t>
  </si>
  <si>
    <t>Pupponi</t>
  </si>
  <si>
    <t>Nantua (Ain)</t>
  </si>
  <si>
    <t>https://twitter.com/fpupponi|http://www.francoispupponi.fr</t>
  </si>
  <si>
    <t>Administrateur des Finances publiques adjoint</t>
  </si>
  <si>
    <t>http://www2.assemblee-nationale.fr/deputes/fiche/OMC_PA405480</t>
  </si>
  <si>
    <t>francois-pupponi</t>
  </si>
  <si>
    <t>https://www.nosdeputes.fr/francois-pupponi</t>
  </si>
  <si>
    <t>https://www.nosdeputes.fr/francois-pupponi/csv</t>
  </si>
  <si>
    <t>fpupponi</t>
  </si>
  <si>
    <t>Didier Quentin</t>
  </si>
  <si>
    <t>Quentin</t>
  </si>
  <si>
    <t>Royan (Charente-Maritime)</t>
  </si>
  <si>
    <t>Charente-Maritime</t>
  </si>
  <si>
    <t>http://www.didierquentin.com|https://twitter.com/didierquentin</t>
  </si>
  <si>
    <t>Diplomate de carrière (ministre plénipotentiaire en retraite)</t>
  </si>
  <si>
    <t>http://www2.assemblee-nationale.fr/deputes/fiche/OMC_PA2492</t>
  </si>
  <si>
    <t>didier-quentin</t>
  </si>
  <si>
    <t>https://www.nosdeputes.fr/didier-quentin</t>
  </si>
  <si>
    <t>https://www.nosdeputes.fr/didier-quentin/csv</t>
  </si>
  <si>
    <t>didierquentin</t>
  </si>
  <si>
    <t>Alain Ramadier</t>
  </si>
  <si>
    <t>Ramadier</t>
  </si>
  <si>
    <t>https://twitter.com/alainramadier|https://www.facebook.com/alainramadier</t>
  </si>
  <si>
    <t>Cadre bancaire</t>
  </si>
  <si>
    <t>http://www2.assemblee-nationale.fr/deputes/fiche/OMC_PA721286</t>
  </si>
  <si>
    <t>alain-ramadier</t>
  </si>
  <si>
    <t>https://www.nosdeputes.fr/alain-ramadier</t>
  </si>
  <si>
    <t>https://www.nosdeputes.fr/alain-ramadier/csv</t>
  </si>
  <si>
    <t>alainramadier</t>
  </si>
  <si>
    <t>Fabien Roussel</t>
  </si>
  <si>
    <t>Roussel</t>
  </si>
  <si>
    <t>http://rousselfabien.com|https://fr-fr.facebook.com/Roussel2015/|https://twitter.com/Fabien_Rssl|http://www.rousselfabien.fr</t>
  </si>
  <si>
    <t>Attaché parlementaire</t>
  </si>
  <si>
    <t>http://www2.assemblee-nationale.fr/deputes/fiche/OMC_PA720692</t>
  </si>
  <si>
    <t>fabien-roussel</t>
  </si>
  <si>
    <t>https://www.nosdeputes.fr/fabien-roussel</t>
  </si>
  <si>
    <t>https://www.nosdeputes.fr/fabien-roussel/csv</t>
  </si>
  <si>
    <t>Fabien_Rssl</t>
  </si>
  <si>
    <t>Nathalie Sarles</t>
  </si>
  <si>
    <t>Sarles</t>
  </si>
  <si>
    <t>http://www.nathaliesarles.fr</t>
  </si>
  <si>
    <t>http://www2.assemblee-nationale.fr/deputes/fiche/OMC_PA719972</t>
  </si>
  <si>
    <t>nathalie-sarles</t>
  </si>
  <si>
    <t>https://www.nosdeputes.fr/nathalie-sarles</t>
  </si>
  <si>
    <t>https://www.nosdeputes.fr/nathalie-sarles/csv</t>
  </si>
  <si>
    <t>Marielle de Sarnez</t>
  </si>
  <si>
    <t>Sarnez (de)</t>
  </si>
  <si>
    <t>Marielle</t>
  </si>
  <si>
    <t>https://twitter.com/desarnez|https://fr-fr.facebook.com/mdesarnez/</t>
  </si>
  <si>
    <t>http://www2.assemblee-nationale.fr/deputes/fiche/OMC_PA717151</t>
  </si>
  <si>
    <t>marielle-de-sarnez</t>
  </si>
  <si>
    <t>https://www.nosdeputes.fr/marielle-de-sarnez</t>
  </si>
  <si>
    <t>https://www.nosdeputes.fr/marielle-de-sarnez/csv</t>
  </si>
  <si>
    <t>desarnez</t>
  </si>
  <si>
    <t>Raphaël Schellenberger</t>
  </si>
  <si>
    <t>Schellenberger</t>
  </si>
  <si>
    <t>Raphaël</t>
  </si>
  <si>
    <t>https://twitter.com/rscactu</t>
  </si>
  <si>
    <t>Attaché Parlementaire</t>
  </si>
  <si>
    <t>http://www2.assemblee-nationale.fr/deputes/fiche/OMC_PA721314</t>
  </si>
  <si>
    <t>raphael-schellenberger</t>
  </si>
  <si>
    <t>https://www.nosdeputes.fr/raphael-schellenberger</t>
  </si>
  <si>
    <t>https://www.nosdeputes.fr/raphael-schellenberger/csv</t>
  </si>
  <si>
    <t>rscactu</t>
  </si>
  <si>
    <t>Denis Sommer</t>
  </si>
  <si>
    <t>Sommer</t>
  </si>
  <si>
    <t>Denis</t>
  </si>
  <si>
    <t>Lure (Haute-Saône)</t>
  </si>
  <si>
    <t>http://www.denis-sommer.fr|https://twitter.com/DenisSommer</t>
  </si>
  <si>
    <t>http://www2.assemblee-nationale.fr/deputes/fiche/OMC_PA719420</t>
  </si>
  <si>
    <t>denis-sommer</t>
  </si>
  <si>
    <t>https://www.nosdeputes.fr/denis-sommer</t>
  </si>
  <si>
    <t>https://www.nosdeputes.fr/denis-sommer/csv</t>
  </si>
  <si>
    <t>DenisSommer</t>
  </si>
  <si>
    <t>Huguette Tiegna</t>
  </si>
  <si>
    <t>Tiegna</t>
  </si>
  <si>
    <t>Huguette</t>
  </si>
  <si>
    <t>Bangassogo (Burkina Faso)</t>
  </si>
  <si>
    <t>https://fr-fr.facebook.com/HuguetteTiegnaLREM46LOT2/|https://twitter.com/HuguetteLREM46|http://www.huguettetiegna.fr</t>
  </si>
  <si>
    <t>Docteur, Ingénieur Recherche et Dévelopement</t>
  </si>
  <si>
    <t>http://www2.assemblee-nationale.fr/deputes/fiche/OMC_PA720014</t>
  </si>
  <si>
    <t>huguette-tiegna</t>
  </si>
  <si>
    <t>https://www.nosdeputes.fr/huguette-tiegna</t>
  </si>
  <si>
    <t>https://www.nosdeputes.fr/huguette-tiegna/csv</t>
  </si>
  <si>
    <t>HuguetteLREM46</t>
  </si>
  <si>
    <t>Laurence Vanceunebrock-Mialon</t>
  </si>
  <si>
    <t>Vanceunebrock-Mialon</t>
  </si>
  <si>
    <t>Avion (Pas-de-Calais)</t>
  </si>
  <si>
    <t>https://fr-fr.facebook.com/LaurenceVanceunebrockMialon/</t>
  </si>
  <si>
    <t>http://www2.assemblee-nationale.fr/deputes/fiche/OMC_PA718728</t>
  </si>
  <si>
    <t>laurence-vanceunebrock-mialon</t>
  </si>
  <si>
    <t>https://www.nosdeputes.fr/laurence-vanceunebrock-mialon</t>
  </si>
  <si>
    <t>https://www.nosdeputes.fr/laurence-vanceunebrock-mialon/csv</t>
  </si>
  <si>
    <t>Olivier Véran</t>
  </si>
  <si>
    <t>Véran</t>
  </si>
  <si>
    <t>https://twitter.com/olivierveran|http://www.olivier-veran.fr|https://fr-fr.facebook.com/olivier.veran.90/|http://www.veran2017.fr</t>
  </si>
  <si>
    <t>Médecin neurologue hospitalier</t>
  </si>
  <si>
    <t>http://www2.assemblee-nationale.fr/deputes/fiche/OMC_PA642788</t>
  </si>
  <si>
    <t>olivier-veran</t>
  </si>
  <si>
    <t>https://www.nosdeputes.fr/olivier-veran</t>
  </si>
  <si>
    <t>https://www.nosdeputes.fr/olivier-veran/csv</t>
  </si>
  <si>
    <t>olivierveran</t>
  </si>
  <si>
    <t>Patrice Verchère</t>
  </si>
  <si>
    <t>Verchère</t>
  </si>
  <si>
    <t>https://twitter.com/PatriceVerchere|http://www.patriceverchere.fr|https://fr-fr.facebook.com/Patrice-Verchère-524318061291319/</t>
  </si>
  <si>
    <t>http://www2.assemblee-nationale.fr/deputes/fiche/OMC_PA334843</t>
  </si>
  <si>
    <t>patrice-verchere</t>
  </si>
  <si>
    <t>https://www.nosdeputes.fr/patrice-verchere</t>
  </si>
  <si>
    <t>https://www.nosdeputes.fr/patrice-verchere/csv</t>
  </si>
  <si>
    <t>PatriceVerchere</t>
  </si>
  <si>
    <t>Annie Vidal</t>
  </si>
  <si>
    <t>Vidal</t>
  </si>
  <si>
    <t>Annie</t>
  </si>
  <si>
    <t>La Bohalle (Maine-et-Loire)</t>
  </si>
  <si>
    <t>https://fr-fr.facebook.com/AnnieVidal76/|https://twitter.com/Vidal7602</t>
  </si>
  <si>
    <t>Chargée de projet</t>
  </si>
  <si>
    <t>http://www2.assemblee-nationale.fr/deputes/fiche/OMC_PA722102</t>
  </si>
  <si>
    <t>annie-vidal</t>
  </si>
  <si>
    <t>https://www.nosdeputes.fr/annie-vidal</t>
  </si>
  <si>
    <t>https://www.nosdeputes.fr/annie-vidal/csv</t>
  </si>
  <si>
    <t>Vidal7602</t>
  </si>
  <si>
    <t>Corinne Vignon</t>
  </si>
  <si>
    <t>Vignon</t>
  </si>
  <si>
    <t>Corinne</t>
  </si>
  <si>
    <t>Agen (Lot-et-Garonne)</t>
  </si>
  <si>
    <t>https://fr-fr.facebook.com/CorinneVignon.REM/|http://www.corinnevignon.fr|https://twitter.com/corinnevignon</t>
  </si>
  <si>
    <t>http://www2.assemblee-nationale.fr/deputes/fiche/OMC_PA719512</t>
  </si>
  <si>
    <t>corinne-vignon</t>
  </si>
  <si>
    <t>https://www.nosdeputes.fr/corinne-vignon</t>
  </si>
  <si>
    <t>https://www.nosdeputes.fr/corinne-vignon/csv</t>
  </si>
  <si>
    <t>corinnevignon</t>
  </si>
  <si>
    <t>Éric Woerth</t>
  </si>
  <si>
    <t>Woerth</t>
  </si>
  <si>
    <t>Creil (Oise)</t>
  </si>
  <si>
    <t>https://fr-fr.facebook.com/ewoerth/|https://twitter.com/ericwoerth</t>
  </si>
  <si>
    <t>Associé dans un cabinet d'audit international</t>
  </si>
  <si>
    <t>http://www2.assemblee-nationale.fr/deputes/fiche/OMC_PA2960</t>
  </si>
  <si>
    <t>eric-woerth</t>
  </si>
  <si>
    <t>https://www.nosdeputes.fr/eric-woerth</t>
  </si>
  <si>
    <t>https://www.nosdeputes.fr/eric-woerth/csv</t>
  </si>
  <si>
    <t>ericwoerth</t>
  </si>
  <si>
    <t>Martine Wonner</t>
  </si>
  <si>
    <t>Wonner</t>
  </si>
  <si>
    <t>Martine</t>
  </si>
  <si>
    <t>Hayange (Moselle)</t>
  </si>
  <si>
    <t>https://www.martinewonner.fr|https://twitter.com/MartineWonner</t>
  </si>
  <si>
    <t>Directrice médicale et directrice de développement en entreprise</t>
  </si>
  <si>
    <t>http://www2.assemblee-nationale.fr/deputes/fiche/OMC_PA722268</t>
  </si>
  <si>
    <t>martine-wonner</t>
  </si>
  <si>
    <t>https://www.nosdeputes.fr/martine-wonner</t>
  </si>
  <si>
    <t>https://www.nosdeputes.fr/martine-wonner/csv</t>
  </si>
  <si>
    <t>MartineWonner</t>
  </si>
  <si>
    <t>Jean-Marc Zulesi</t>
  </si>
  <si>
    <t>Zulesi</t>
  </si>
  <si>
    <t>Jean-Marc</t>
  </si>
  <si>
    <t>http://www.jeanmarczulesi.fr|https://fr-fr.facebook.com/jmzulesi/|https://twitter.com/jmzulesi</t>
  </si>
  <si>
    <t>http://www2.assemblee-nationale.fr/deputes/fiche/OMC_PA718962</t>
  </si>
  <si>
    <t>jean-marc-zulesi</t>
  </si>
  <si>
    <t>https://www.nosdeputes.fr/jean-marc-zulesi</t>
  </si>
  <si>
    <t>https://www.nosdeputes.fr/jean-marc-zulesi/csv</t>
  </si>
  <si>
    <t>jmzulesi</t>
  </si>
  <si>
    <t>Patrice Anato</t>
  </si>
  <si>
    <t>Anato</t>
  </si>
  <si>
    <t>Lomé (Togo)</t>
  </si>
  <si>
    <t>http://www.patriceanato.fr|https://twitter.com/patrice_anato</t>
  </si>
  <si>
    <t>Consultant</t>
  </si>
  <si>
    <t>http://www2.assemblee-nationale.fr/deputes/fiche/OMC_PA721278</t>
  </si>
  <si>
    <t>patrice-anato</t>
  </si>
  <si>
    <t>https://www.nosdeputes.fr/patrice-anato</t>
  </si>
  <si>
    <t>https://www.nosdeputes.fr/patrice-anato/csv</t>
  </si>
  <si>
    <t>patrice_anato</t>
  </si>
  <si>
    <t>Pieyre-Alexandre Anglade</t>
  </si>
  <si>
    <t>Anglade</t>
  </si>
  <si>
    <t>Pieyre-Alexandre</t>
  </si>
  <si>
    <t>Paris 16 (Paris)</t>
  </si>
  <si>
    <t>http://www.paanglade.eu|https://twitter.com/PA_Anglade</t>
  </si>
  <si>
    <t>Agent contractuel au Parlement européen</t>
  </si>
  <si>
    <t>http://www2.assemblee-nationale.fr/deputes/fiche/OMC_PA721158</t>
  </si>
  <si>
    <t>pieyre-alexandre-anglade</t>
  </si>
  <si>
    <t>https://www.nosdeputes.fr/pieyre-alexandre-anglade</t>
  </si>
  <si>
    <t>https://www.nosdeputes.fr/pieyre-alexandre-anglade/csv</t>
  </si>
  <si>
    <t>PA_Anglade</t>
  </si>
  <si>
    <t>Delphine Batho</t>
  </si>
  <si>
    <t>Batho</t>
  </si>
  <si>
    <t>Paris 12ème (Paris)</t>
  </si>
  <si>
    <t>Deux-Sèvres</t>
  </si>
  <si>
    <t>https://twitter.com/delphinebatho|https://fr-fr.facebook.com/DelphineBatho/|http://www.delphinebatho2017.fr</t>
  </si>
  <si>
    <t>http://www2.assemblee-nationale.fr/deputes/fiche/OMC_PA335999</t>
  </si>
  <si>
    <t>delphine-batho</t>
  </si>
  <si>
    <t>https://www.nosdeputes.fr/delphine-batho</t>
  </si>
  <si>
    <t>https://www.nosdeputes.fr/delphine-batho/csv</t>
  </si>
  <si>
    <t>delphinebatho</t>
  </si>
  <si>
    <t>Julien Borowczyk</t>
  </si>
  <si>
    <t>Borowczyk</t>
  </si>
  <si>
    <t>Montbrison (Loire)</t>
  </si>
  <si>
    <t>https://twitter.com/JulienBorowczyk|https://fr-fr.facebook.com/100017706129942/|http://www.julien-borowczyk.fr|http://www.julienborowczyk.fr</t>
  </si>
  <si>
    <t>http://www2.assemblee-nationale.fr/deputes/fiche/OMC_PA719980</t>
  </si>
  <si>
    <t>julien-borowczyk</t>
  </si>
  <si>
    <t>https://www.nosdeputes.fr/julien-borowczyk</t>
  </si>
  <si>
    <t>https://www.nosdeputes.fr/julien-borowczyk/csv</t>
  </si>
  <si>
    <t>JulienBorowczyk</t>
  </si>
  <si>
    <t>Florent Boudié</t>
  </si>
  <si>
    <t>Boudié</t>
  </si>
  <si>
    <t>Florent</t>
  </si>
  <si>
    <t>Sainte-Foy-la-Grande (Gironde)</t>
  </si>
  <si>
    <t>https://twitter.com/florent_boudie|http://www.florentboudie.fr</t>
  </si>
  <si>
    <t>Cadre supérieur du secteur public</t>
  </si>
  <si>
    <t>http://www2.assemblee-nationale.fr/deputes/fiche/OMC_PA606507</t>
  </si>
  <si>
    <t>florent-boudie</t>
  </si>
  <si>
    <t>https://www.nosdeputes.fr/florent-boudie</t>
  </si>
  <si>
    <t>https://www.nosdeputes.fr/florent-boudie/csv</t>
  </si>
  <si>
    <t>florent_boudie</t>
  </si>
  <si>
    <t>Pierre-Yves Bournazel</t>
  </si>
  <si>
    <t>Bournazel</t>
  </si>
  <si>
    <t>Pierre-Yves</t>
  </si>
  <si>
    <t>Riom-Ès-Montagne (Cantal)</t>
  </si>
  <si>
    <t>https://twitter.com/pybournazel|https://fr-fr.facebook.com/PierreYvesBournazel/</t>
  </si>
  <si>
    <t>Ancien auto-entrepreneur</t>
  </si>
  <si>
    <t>http://www2.assemblee-nationale.fr/deputes/fiche/OMC_PA722030</t>
  </si>
  <si>
    <t>pierre-yves-bournazel</t>
  </si>
  <si>
    <t>https://www.nosdeputes.fr/pierre-yves-bournazel</t>
  </si>
  <si>
    <t>https://www.nosdeputes.fr/pierre-yves-bournazel/csv</t>
  </si>
  <si>
    <t>pybournazel</t>
  </si>
  <si>
    <t>Fabrice Brun</t>
  </si>
  <si>
    <t>Brun</t>
  </si>
  <si>
    <t>Avignon (Vaucluse)</t>
  </si>
  <si>
    <t>Ardèche</t>
  </si>
  <si>
    <t>https://twitter.com/FabriceBrun|https://fr-fr.facebook.com/FabriceBrunArdeche/|http://fabricebrun.fr</t>
  </si>
  <si>
    <t>http://www2.assemblee-nationale.fr/deputes/fiche/OMC_PA718838</t>
  </si>
  <si>
    <t>fabrice-brun</t>
  </si>
  <si>
    <t>https://www.nosdeputes.fr/fabrice-brun</t>
  </si>
  <si>
    <t>https://www.nosdeputes.fr/fabrice-brun/csv</t>
  </si>
  <si>
    <t>FabriceBrun</t>
  </si>
  <si>
    <t>Alain Bruneel</t>
  </si>
  <si>
    <t>Bruneel</t>
  </si>
  <si>
    <t>Tourcoing (Nord)</t>
  </si>
  <si>
    <t>https://twitter.com/Alain_Bruneel</t>
  </si>
  <si>
    <t>Retraité salarié privé</t>
  </si>
  <si>
    <t>http://www2.assemblee-nationale.fr/deputes/fiche/OMC_PA720546</t>
  </si>
  <si>
    <t>alain-bruneel</t>
  </si>
  <si>
    <t>https://www.nosdeputes.fr/alain-bruneel</t>
  </si>
  <si>
    <t>https://www.nosdeputes.fr/alain-bruneel/csv</t>
  </si>
  <si>
    <t>Alain_Bruneel</t>
  </si>
  <si>
    <t>Pierre Cabaré</t>
  </si>
  <si>
    <t>Cabaré</t>
  </si>
  <si>
    <t>http://www.pierrecabare.com|https://twitter.com/DeputeCabareP</t>
  </si>
  <si>
    <t>Artisan</t>
  </si>
  <si>
    <t>http://www2.assemblee-nationale.fr/deputes/fiche/OMC_PA719496</t>
  </si>
  <si>
    <t>pierre-cabare</t>
  </si>
  <si>
    <t>https://www.nosdeputes.fr/pierre-cabare</t>
  </si>
  <si>
    <t>https://www.nosdeputes.fr/pierre-cabare/csv</t>
  </si>
  <si>
    <t>DeputeCabareP</t>
  </si>
  <si>
    <t>Anthony Cellier</t>
  </si>
  <si>
    <t>Cellier</t>
  </si>
  <si>
    <t>Anthony</t>
  </si>
  <si>
    <t>Pierrelatte (Drôme)</t>
  </si>
  <si>
    <t>https://twitter.com/anthonycellier|https://fr-fr.facebook.com/AnthonyCellier2017/|http://www.anthonycellier2017.fr</t>
  </si>
  <si>
    <t>http://www2.assemblee-nationale.fr/deputes/fiche/OMC_PA719440</t>
  </si>
  <si>
    <t>anthony-cellier</t>
  </si>
  <si>
    <t>https://www.nosdeputes.fr/anthony-cellier</t>
  </si>
  <si>
    <t>https://www.nosdeputes.fr/anthony-cellier/csv</t>
  </si>
  <si>
    <t>anthonycellier</t>
  </si>
  <si>
    <t>Philippe Chalumeau</t>
  </si>
  <si>
    <t>Chalumeau</t>
  </si>
  <si>
    <t>Rochefort (Charente-Maritime)</t>
  </si>
  <si>
    <t>https://twitter.com/Chalumeau_P|https://fr-fr.facebook.com/ChalumeauPhilippe/|http://www.philippechalumeau2017.fr</t>
  </si>
  <si>
    <t>http://www2.assemblee-nationale.fr/deputes/fiche/OMC_PA719790</t>
  </si>
  <si>
    <t>philippe-chalumeau</t>
  </si>
  <si>
    <t>https://www.nosdeputes.fr/philippe-chalumeau</t>
  </si>
  <si>
    <t>https://www.nosdeputes.fr/philippe-chalumeau/csv</t>
  </si>
  <si>
    <t>Chalumeau_P</t>
  </si>
  <si>
    <t>André Chassaigne</t>
  </si>
  <si>
    <t>Chassaigne</t>
  </si>
  <si>
    <t>André</t>
  </si>
  <si>
    <t>Clermont-Ferrand (Puy-de-Dôme)</t>
  </si>
  <si>
    <t>http://www.andrechassaigne.org|https://twitter.com/AndreChassaigne</t>
  </si>
  <si>
    <t>Retraité de l'éducation nationale</t>
  </si>
  <si>
    <t>http://www2.assemblee-nationale.fr/deputes/fiche/OMC_PA267306</t>
  </si>
  <si>
    <t>andre-chassaigne</t>
  </si>
  <si>
    <t>https://www.nosdeputes.fr/andre-chassaigne</t>
  </si>
  <si>
    <t>https://www.nosdeputes.fr/andre-chassaigne/csv</t>
  </si>
  <si>
    <t>AndreChassaigne</t>
  </si>
  <si>
    <t>Philippe Chassaing</t>
  </si>
  <si>
    <t>Chassaing</t>
  </si>
  <si>
    <t>Dordogne</t>
  </si>
  <si>
    <t>http://www.philippechassaing.fr|https://fr-fr.facebook.com/PhChassaing.Depute24/</t>
  </si>
  <si>
    <t>http://www2.assemblee-nationale.fr/deputes/fiche/OMC_PA719250</t>
  </si>
  <si>
    <t>philippe-chassaing</t>
  </si>
  <si>
    <t>https://www.nosdeputes.fr/philippe-chassaing</t>
  </si>
  <si>
    <t>https://www.nosdeputes.fr/philippe-chassaing/csv</t>
  </si>
  <si>
    <t>François Cormier-Bouligeon</t>
  </si>
  <si>
    <t>Cormier-Bouligeon</t>
  </si>
  <si>
    <t>Bourges (Cher)</t>
  </si>
  <si>
    <t>Cher</t>
  </si>
  <si>
    <t>https://fr-fr.facebook.com/francoiscormierbouligeon2017/</t>
  </si>
  <si>
    <t>Conseiller ministériel</t>
  </si>
  <si>
    <t>http://www2.assemblee-nationale.fr/deputes/fiche/OMC_PA719118</t>
  </si>
  <si>
    <t>francois-cormier-bouligeon</t>
  </si>
  <si>
    <t>https://www.nosdeputes.fr/francois-cormier-bouligeon</t>
  </si>
  <si>
    <t>https://www.nosdeputes.fr/francois-cormier-bouligeon/csv</t>
  </si>
  <si>
    <t>Josiane Corneloup</t>
  </si>
  <si>
    <t>Corneloup</t>
  </si>
  <si>
    <t>Josiane</t>
  </si>
  <si>
    <t>Creusot (Saône-et-Loire)</t>
  </si>
  <si>
    <t>http://josianecorneloup.fr</t>
  </si>
  <si>
    <t>Pharmacienne</t>
  </si>
  <si>
    <t>http://www2.assemblee-nationale.fr/deputes/fiche/OMC_PA722390</t>
  </si>
  <si>
    <t>josiane-corneloup</t>
  </si>
  <si>
    <t>https://www.nosdeputes.fr/josiane-corneloup</t>
  </si>
  <si>
    <t>https://www.nosdeputes.fr/josiane-corneloup/csv</t>
  </si>
  <si>
    <t>Bérangère Couillard</t>
  </si>
  <si>
    <t>Couillard</t>
  </si>
  <si>
    <t>Bérangère</t>
  </si>
  <si>
    <t>https://fr-fr.facebook.com/BerangereCouillard33/|https://twitter.com/BCouillard33</t>
  </si>
  <si>
    <t>http://www2.assemblee-nationale.fr/deputes/fiche/OMC_PA719624</t>
  </si>
  <si>
    <t>berangere-couillard</t>
  </si>
  <si>
    <t>https://www.nosdeputes.fr/berangere-couillard</t>
  </si>
  <si>
    <t>https://www.nosdeputes.fr/berangere-couillard/csv</t>
  </si>
  <si>
    <t>BCouillard33</t>
  </si>
  <si>
    <t>Michel Delpon</t>
  </si>
  <si>
    <t>Delpon</t>
  </si>
  <si>
    <t>Lafitte (Tarn-et-Garonne)</t>
  </si>
  <si>
    <t>https://fr-fr.facebook.com/micheldelpon/|https://twitter.com/DelponMichelEM</t>
  </si>
  <si>
    <t>Retraité salarié du privé</t>
  </si>
  <si>
    <t>http://www2.assemblee-nationale.fr/deputes/fiche/OMC_PA719258</t>
  </si>
  <si>
    <t>michel-delpon</t>
  </si>
  <si>
    <t>https://www.nosdeputes.fr/michel-delpon</t>
  </si>
  <si>
    <t>https://www.nosdeputes.fr/michel-delpon/csv</t>
  </si>
  <si>
    <t>DelponMichelEM</t>
  </si>
  <si>
    <t>Nicolas Démoulin</t>
  </si>
  <si>
    <t>Démoulin</t>
  </si>
  <si>
    <t>Nicolas</t>
  </si>
  <si>
    <t>https://twitter.com/demoulinem|http://nicolasdemoulin.fr|https://fr-fr.facebook.com/NicolasDemoulinRepubliqueEnMarche/</t>
  </si>
  <si>
    <t>Gérant d'une agence de communication</t>
  </si>
  <si>
    <t>http://www2.assemblee-nationale.fr/deputes/fiche/OMC_PA719830</t>
  </si>
  <si>
    <t>nicolas-demoulin</t>
  </si>
  <si>
    <t>https://www.nosdeputes.fr/nicolas-demoulin</t>
  </si>
  <si>
    <t>https://www.nosdeputes.fr/nicolas-demoulin/csv</t>
  </si>
  <si>
    <t>demoulinem</t>
  </si>
  <si>
    <t>Benjamin Dirx</t>
  </si>
  <si>
    <t>Dirx</t>
  </si>
  <si>
    <t>Benjamin</t>
  </si>
  <si>
    <t>Villefranche-sur-Saone (Rhône)</t>
  </si>
  <si>
    <t>https://twitter.com/BenjaminDirx</t>
  </si>
  <si>
    <t>http://www2.assemblee-nationale.fr/deputes/fiche/OMC_PA722382</t>
  </si>
  <si>
    <t>benjamin-dirx</t>
  </si>
  <si>
    <t>https://www.nosdeputes.fr/benjamin-dirx</t>
  </si>
  <si>
    <t>https://www.nosdeputes.fr/benjamin-dirx/csv</t>
  </si>
  <si>
    <t>BenjaminDirx</t>
  </si>
  <si>
    <t>Jeanine Dubié</t>
  </si>
  <si>
    <t>Dubié</t>
  </si>
  <si>
    <t>Jeanine</t>
  </si>
  <si>
    <t>Lourdes (Hautes-Pyrénées)</t>
  </si>
  <si>
    <t>Hautes-Pyrénées</t>
  </si>
  <si>
    <t>Parti radical de gauche</t>
  </si>
  <si>
    <t>http://www.jeaninedubie.fr|https://fr-fr.facebook.com/jeaninedubie2017/</t>
  </si>
  <si>
    <t>http://www2.assemblee-nationale.fr/deputes/fiche/OMC_PA608292</t>
  </si>
  <si>
    <t>jeanine-dubie</t>
  </si>
  <si>
    <t>https://www.nosdeputes.fr/jeanine-dubie</t>
  </si>
  <si>
    <t>https://www.nosdeputes.fr/jeanine-dubie/csv</t>
  </si>
  <si>
    <t>Nicole Dubré-Chirat</t>
  </si>
  <si>
    <t>Dubré-Chirat</t>
  </si>
  <si>
    <t>Felletin (Creuse)</t>
  </si>
  <si>
    <t>https://fr-fr.facebook.com/nicoledubrechirat/|https://twitter.com/NicoleDubre17</t>
  </si>
  <si>
    <t>Retraitée fonction publique (hors enseignement)</t>
  </si>
  <si>
    <t>http://www2.assemblee-nationale.fr/deputes/fiche/OMC_PA720154</t>
  </si>
  <si>
    <t>nicole-dubre-chirat</t>
  </si>
  <si>
    <t>https://www.nosdeputes.fr/nicole-dubre-chirat</t>
  </si>
  <si>
    <t>https://www.nosdeputes.fr/nicole-dubre-chirat/csv</t>
  </si>
  <si>
    <t>NicoleDubre17</t>
  </si>
  <si>
    <t>Virginie Duby-Muller</t>
  </si>
  <si>
    <t>Duby-Muller</t>
  </si>
  <si>
    <t>Virginie</t>
  </si>
  <si>
    <t>https://fr-fr.facebook.com/vir.muller/|https://twitter.com/DubyMuller|http://www.virginiedubymuller.fr</t>
  </si>
  <si>
    <t>http://www2.assemblee-nationale.fr/deputes/fiche/OMC_PA608826</t>
  </si>
  <si>
    <t>virginie-duby-muller</t>
  </si>
  <si>
    <t>https://www.nosdeputes.fr/virginie-duby-muller</t>
  </si>
  <si>
    <t>https://www.nosdeputes.fr/virginie-duby-muller/csv</t>
  </si>
  <si>
    <t>DubyMuller</t>
  </si>
  <si>
    <t>Bruno Duvergé</t>
  </si>
  <si>
    <t>Duvergé</t>
  </si>
  <si>
    <t>Cambrai (Nord)</t>
  </si>
  <si>
    <t>https://fr-fr.facebook.com/people/Bruno-Duvergé/100008520227262/|https://twitter.com/BrunoDuverge|https://fr-fr.facebook.com/Bruno Duvergé</t>
  </si>
  <si>
    <t>http://www2.assemblee-nationale.fr/deputes/fiche/OMC_PA720652</t>
  </si>
  <si>
    <t>bruno-duverge</t>
  </si>
  <si>
    <t>https://www.nosdeputes.fr/bruno-duverge</t>
  </si>
  <si>
    <t>https://www.nosdeputes.fr/bruno-duverge/csv</t>
  </si>
  <si>
    <t>BrunoDuverge</t>
  </si>
  <si>
    <t>Christophe Euzet</t>
  </si>
  <si>
    <t>Euzet</t>
  </si>
  <si>
    <t>https://twitter.com/ChristopheEuzet|https://fr-fr.facebook.com/C.Euzet.LREM/</t>
  </si>
  <si>
    <t>Maître de conférences en droit public à l'Université</t>
  </si>
  <si>
    <t>http://www2.assemblee-nationale.fr/deputes/fiche/OMC_PA719616</t>
  </si>
  <si>
    <t>christophe-euzet</t>
  </si>
  <si>
    <t>https://www.nosdeputes.fr/christophe-euzet</t>
  </si>
  <si>
    <t>https://www.nosdeputes.fr/christophe-euzet/csv</t>
  </si>
  <si>
    <t>ChristopheEuzet</t>
  </si>
  <si>
    <t>Jean-Luc Fugit</t>
  </si>
  <si>
    <t>Fugit</t>
  </si>
  <si>
    <t>Rodez (Aveyron)</t>
  </si>
  <si>
    <t>https://twitter.com/Jean_LucFUGIT</t>
  </si>
  <si>
    <t>http://www2.assemblee-nationale.fr/deputes/fiche/OMC_PA722366</t>
  </si>
  <si>
    <t>jean-luc-fugit</t>
  </si>
  <si>
    <t>https://www.nosdeputes.fr/jean-luc-fugit</t>
  </si>
  <si>
    <t>https://www.nosdeputes.fr/jean-luc-fugit/csv</t>
  </si>
  <si>
    <t>Jean_LucFUGIT</t>
  </si>
  <si>
    <t>Albane Gaillot</t>
  </si>
  <si>
    <t>Gaillot</t>
  </si>
  <si>
    <t>Albane</t>
  </si>
  <si>
    <t>Paris 13 (Paris)</t>
  </si>
  <si>
    <t>http://www.albanegaillot-2017.fr|https://twitter.com/AlbaneGaillot|https://fr-fr.facebook.com/albanegaillot2017/</t>
  </si>
  <si>
    <t>Chef de projet digital</t>
  </si>
  <si>
    <t>http://www2.assemblee-nationale.fr/deputes/fiche/OMC_PA721246</t>
  </si>
  <si>
    <t>albane-gaillot</t>
  </si>
  <si>
    <t>https://www.nosdeputes.fr/albane-gaillot</t>
  </si>
  <si>
    <t>https://www.nosdeputes.fr/albane-gaillot/csv</t>
  </si>
  <si>
    <t>AlbaneGaillot</t>
  </si>
  <si>
    <t>Annie Genevard</t>
  </si>
  <si>
    <t>Genevard</t>
  </si>
  <si>
    <t>Audincourt (Doubs)</t>
  </si>
  <si>
    <t>http://www.anniegenevard.fr|http://www.anniegenevard2017.fr|https://twitter.com/AnnieGenevard</t>
  </si>
  <si>
    <t>http://www2.assemblee-nationale.fr/deputes/fiche/OMC_PA605991</t>
  </si>
  <si>
    <t>annie-genevard</t>
  </si>
  <si>
    <t>https://www.nosdeputes.fr/annie-genevard</t>
  </si>
  <si>
    <t>https://www.nosdeputes.fr/annie-genevard/csv</t>
  </si>
  <si>
    <t>AnnieGenevard</t>
  </si>
  <si>
    <t>Philippe Gosselin</t>
  </si>
  <si>
    <t>Gosselin</t>
  </si>
  <si>
    <t>Carentan (Manche)</t>
  </si>
  <si>
    <t>Manche</t>
  </si>
  <si>
    <t>https://twitter.com/phgosselin|https://fr-fr.facebook.com/phgosselin/|http://www.philippegosselin.fr</t>
  </si>
  <si>
    <t>Maître de conférences à Sciences Po</t>
  </si>
  <si>
    <t>http://www2.assemblee-nationale.fr/deputes/fiche/OMC_PA266797</t>
  </si>
  <si>
    <t>philippe-gosselin</t>
  </si>
  <si>
    <t>https://www.nosdeputes.fr/philippe-gosselin</t>
  </si>
  <si>
    <t>https://www.nosdeputes.fr/philippe-gosselin/csv</t>
  </si>
  <si>
    <t>phgosselin</t>
  </si>
  <si>
    <t>Olivia Gregoire</t>
  </si>
  <si>
    <t>Gregoire</t>
  </si>
  <si>
    <t>Olivia</t>
  </si>
  <si>
    <t>https://fr-fr.facebook.com/oliviagregoire2017/|http://www.oliviagregoire.fr|https://twitter.com/oliviagregoire</t>
  </si>
  <si>
    <t>Chef d'entreprise</t>
  </si>
  <si>
    <t>http://www2.assemblee-nationale.fr/deputes/fiche/OMC_PA721764</t>
  </si>
  <si>
    <t>olivia-gregoire</t>
  </si>
  <si>
    <t>https://www.nosdeputes.fr/olivia-gregoire</t>
  </si>
  <si>
    <t>https://www.nosdeputes.fr/olivia-gregoire/csv</t>
  </si>
  <si>
    <t>oliviagregoire</t>
  </si>
  <si>
    <t>Jean-Carles Grelier</t>
  </si>
  <si>
    <t>Grelier</t>
  </si>
  <si>
    <t>Jean-Carles</t>
  </si>
  <si>
    <t>Mans (Sarthe)</t>
  </si>
  <si>
    <t>Sarthe</t>
  </si>
  <si>
    <t>https://fr-fr.facebook.com/jeancarles.grelier/|https://twitter.com/jean_grelier</t>
  </si>
  <si>
    <t>http://www2.assemblee-nationale.fr/deputes/fiche/OMC_PA267318</t>
  </si>
  <si>
    <t>jean-carles-grelier</t>
  </si>
  <si>
    <t>https://www.nosdeputes.fr/jean-carles-grelier</t>
  </si>
  <si>
    <t>https://www.nosdeputes.fr/jean-carles-grelier/csv</t>
  </si>
  <si>
    <t>jean_grelier</t>
  </si>
  <si>
    <t>Marie Guévenoux</t>
  </si>
  <si>
    <t>Guévenoux</t>
  </si>
  <si>
    <t>Marie</t>
  </si>
  <si>
    <t>http://marie-guevenoux.fr|https://fr-fr.facebook.com/GuevenouxMarie/|https://twitter.com/mguevenoux</t>
  </si>
  <si>
    <t>Collaborateur politique</t>
  </si>
  <si>
    <t>http://www2.assemblee-nationale.fr/deputes/fiche/OMC_PA721880</t>
  </si>
  <si>
    <t>marie-guevenoux</t>
  </si>
  <si>
    <t>https://www.nosdeputes.fr/marie-guevenoux</t>
  </si>
  <si>
    <t>https://www.nosdeputes.fr/marie-guevenoux/csv</t>
  </si>
  <si>
    <t>mguevenoux</t>
  </si>
  <si>
    <t>Christine Hennion</t>
  </si>
  <si>
    <t>Hennion</t>
  </si>
  <si>
    <t>Roubaix (Nord)</t>
  </si>
  <si>
    <t>http://www.christine-hennion.fr|https://twitter.com/Ch_Hennion|http://christinehennion.en-marche.fr</t>
  </si>
  <si>
    <t>http://www2.assemblee-nationale.fr/deputes/fiche/OMC_PA722094</t>
  </si>
  <si>
    <t>christine-hennion</t>
  </si>
  <si>
    <t>https://www.nosdeputes.fr/christine-hennion</t>
  </si>
  <si>
    <t>https://www.nosdeputes.fr/christine-hennion/csv</t>
  </si>
  <si>
    <t>Ch_Hennion</t>
  </si>
  <si>
    <t>Dimitri Houbron</t>
  </si>
  <si>
    <t>Houbron</t>
  </si>
  <si>
    <t>Dimitri</t>
  </si>
  <si>
    <t>http://www.dimitrihoubron.fr|https://twitter.com/DimitriHoub17</t>
  </si>
  <si>
    <t>http://www2.assemblee-nationale.fr/deputes/fiche/OMC_PA720454</t>
  </si>
  <si>
    <t>dimitri-houbron</t>
  </si>
  <si>
    <t>https://www.nosdeputes.fr/dimitri-houbron</t>
  </si>
  <si>
    <t>https://www.nosdeputes.fr/dimitri-houbron/csv</t>
  </si>
  <si>
    <t>DimitriHoub17</t>
  </si>
  <si>
    <t>Caroline Janvier</t>
  </si>
  <si>
    <t>Janvier</t>
  </si>
  <si>
    <t>Loiret</t>
  </si>
  <si>
    <t>http://carolinejanvier.fr|http://www.carolinejanvier2017.fr|https://twitter.com/CarolineJanvier</t>
  </si>
  <si>
    <t>http://www2.assemblee-nationale.fr/deputes/fiche/OMC_PA720074</t>
  </si>
  <si>
    <t>caroline-janvier</t>
  </si>
  <si>
    <t>https://www.nosdeputes.fr/caroline-janvier</t>
  </si>
  <si>
    <t>https://www.nosdeputes.fr/caroline-janvier/csv</t>
  </si>
  <si>
    <t>CarolineJanvier</t>
  </si>
  <si>
    <t>Marietta Karamanli</t>
  </si>
  <si>
    <t>Karamanli</t>
  </si>
  <si>
    <t>Marietta</t>
  </si>
  <si>
    <t>Athènes (Grèce)</t>
  </si>
  <si>
    <t>http://www.mariettakaramanli.fr|https://twitter.com/MKaramanli72|https://fr-fr.facebook.com/MariettaKaramanli/</t>
  </si>
  <si>
    <t>Professeur dans l'enseignement supérieur</t>
  </si>
  <si>
    <t>http://www2.assemblee-nationale.fr/deputes/fiche/OMC_PA335054</t>
  </si>
  <si>
    <t>marietta-karamanli</t>
  </si>
  <si>
    <t>https://www.nosdeputes.fr/marietta-karamanli</t>
  </si>
  <si>
    <t>https://www.nosdeputes.fr/marietta-karamanli/csv</t>
  </si>
  <si>
    <t>MKaramanli72</t>
  </si>
  <si>
    <t>Rodrigue Kokouendo</t>
  </si>
  <si>
    <t>Kokouendo</t>
  </si>
  <si>
    <t>Rodrigue</t>
  </si>
  <si>
    <t>Bangui (Centrafrique)</t>
  </si>
  <si>
    <t>https://twitter.com/RKokouendoJ|https://fr-fr.facebook.com/rodrigue.kokouendo/</t>
  </si>
  <si>
    <t>http://www2.assemblee-nationale.fr/deputes/fiche/OMC_PA721644</t>
  </si>
  <si>
    <t>rodrigue-kokouendo</t>
  </si>
  <si>
    <t>https://www.nosdeputes.fr/rodrigue-kokouendo</t>
  </si>
  <si>
    <t>https://www.nosdeputes.fr/rodrigue-kokouendo/csv</t>
  </si>
  <si>
    <t>RKokouendoJ</t>
  </si>
  <si>
    <t>Aina Kuric</t>
  </si>
  <si>
    <t>Kuric</t>
  </si>
  <si>
    <t>Aina</t>
  </si>
  <si>
    <t>https://fr-fr.facebook.com/ainakuric51/|https://twitter.com/ainakuric|http://ainakuric.en-marche.fr|https://fr-fr.facebook.com/ainakuric2017</t>
  </si>
  <si>
    <t>Chef d'entreprise dans l'œnologie</t>
  </si>
  <si>
    <t>http://www2.assemblee-nationale.fr/deputes/fiche/OMC_PA720214</t>
  </si>
  <si>
    <t>aina-kuric</t>
  </si>
  <si>
    <t>https://www.nosdeputes.fr/aina-kuric</t>
  </si>
  <si>
    <t>https://www.nosdeputes.fr/aina-kuric/csv</t>
  </si>
  <si>
    <t>ainakuric</t>
  </si>
  <si>
    <t>Marie Lebec</t>
  </si>
  <si>
    <t>Lebec</t>
  </si>
  <si>
    <t>Vernon (Eure)</t>
  </si>
  <si>
    <t>https://fr-fr.facebook.com/marielebec2017/|https://twitter.com/marielebec78|http://marielebec.en-marche.fr</t>
  </si>
  <si>
    <t>Consultante en affaires publiques</t>
  </si>
  <si>
    <t>http://www2.assemblee-nationale.fr/deputes/fiche/OMC_PA721852</t>
  </si>
  <si>
    <t>marie-lebec</t>
  </si>
  <si>
    <t>https://www.nosdeputes.fr/marie-lebec</t>
  </si>
  <si>
    <t>https://www.nosdeputes.fr/marie-lebec/csv</t>
  </si>
  <si>
    <t>marielebec78</t>
  </si>
  <si>
    <t>Aude Luquet</t>
  </si>
  <si>
    <t>Luquet</t>
  </si>
  <si>
    <t>Melun (Seine-et-Marne)</t>
  </si>
  <si>
    <t>http://www.audeluquet.fr|https://twitter.com/AudeLuquet2017</t>
  </si>
  <si>
    <t>http://www2.assemblee-nationale.fr/deputes/fiche/OMC_PA721530</t>
  </si>
  <si>
    <t>aude-luquet</t>
  </si>
  <si>
    <t>https://www.nosdeputes.fr/aude-luquet</t>
  </si>
  <si>
    <t>https://www.nosdeputes.fr/aude-luquet/csv</t>
  </si>
  <si>
    <t>AudeLuquet2017</t>
  </si>
  <si>
    <t>Laurence Maillart-Méhaignerie</t>
  </si>
  <si>
    <t>Maillart-Méhaignerie</t>
  </si>
  <si>
    <t>https://twitter.com/LMaillart|https://fr-fr.facebook.com/LMaillartMehaignerie/|http://lmm2017blog.wordpress.com</t>
  </si>
  <si>
    <t>Chef entreprise</t>
  </si>
  <si>
    <t>http://www2.assemblee-nationale.fr/deputes/fiche/OMC_PA719718</t>
  </si>
  <si>
    <t>laurence-maillart-mehaignerie</t>
  </si>
  <si>
    <t>https://www.nosdeputes.fr/laurence-maillart-mehaignerie</t>
  </si>
  <si>
    <t>https://www.nosdeputes.fr/laurence-maillart-mehaignerie/csv</t>
  </si>
  <si>
    <t>LMaillart</t>
  </si>
  <si>
    <t>Jacques Marilossian</t>
  </si>
  <si>
    <t>Marilossian</t>
  </si>
  <si>
    <t>LE PUY EN VELAY (Haute-Loire)</t>
  </si>
  <si>
    <t>http://www.jmarilossian.fr|https://twitter.com/JMarilossian|https://www.facebook.com/jmarilossian|https://www.facebook.com/marilossian2017</t>
  </si>
  <si>
    <t>http://www2.assemblee-nationale.fr/deputes/fiche/OMC_PA721946</t>
  </si>
  <si>
    <t>jacques-marilossian</t>
  </si>
  <si>
    <t>https://www.nosdeputes.fr/jacques-marilossian</t>
  </si>
  <si>
    <t>https://www.nosdeputes.fr/jacques-marilossian/csv</t>
  </si>
  <si>
    <t>JMarilossian</t>
  </si>
  <si>
    <t>Graziella Melchior</t>
  </si>
  <si>
    <t>Melchior</t>
  </si>
  <si>
    <t>Graziella</t>
  </si>
  <si>
    <t>Brest (Finistère)</t>
  </si>
  <si>
    <t>https://fr-fr.facebook.com/GraziellaMelchior/|https://twitter.com/GrazieMelchior</t>
  </si>
  <si>
    <t>Professeure agrégée du supérieur</t>
  </si>
  <si>
    <t>http://www2.assemblee-nationale.fr/deputes/fiche/OMC_PA719338</t>
  </si>
  <si>
    <t>graziella-melchior</t>
  </si>
  <si>
    <t>https://www.nosdeputes.fr/graziella-melchior</t>
  </si>
  <si>
    <t>https://www.nosdeputes.fr/graziella-melchior/csv</t>
  </si>
  <si>
    <t>GrazieMelchior</t>
  </si>
  <si>
    <t>Maxime Minot</t>
  </si>
  <si>
    <t>Minot</t>
  </si>
  <si>
    <t>Maxime</t>
  </si>
  <si>
    <t>Clermont-de-l'Oise (Oise)</t>
  </si>
  <si>
    <t>https://twitter.com/MaximeMinot|https://fr-fr.facebook.com/maxime.minot.35/</t>
  </si>
  <si>
    <t>http://www2.assemblee-nationale.fr/deputes/fiche/OMC_PA720630</t>
  </si>
  <si>
    <t>maxime-minot</t>
  </si>
  <si>
    <t>https://www.nosdeputes.fr/maxime-minot</t>
  </si>
  <si>
    <t>https://www.nosdeputes.fr/maxime-minot/csv</t>
  </si>
  <si>
    <t>MaximeMinot</t>
  </si>
  <si>
    <t>Pierre Morel-À-L'Huissier</t>
  </si>
  <si>
    <t>Morel-À-L'Huissier</t>
  </si>
  <si>
    <t>Lozère</t>
  </si>
  <si>
    <t>https://fr-fr.facebook.com/pierremorelalhuissier/|https://twitter.com/MORELPIERRE|http://www.pierre-morel.fr</t>
  </si>
  <si>
    <t>http://www2.assemblee-nationale.fr/deputes/fiche/OMC_PA266788</t>
  </si>
  <si>
    <t>pierre-morel-a-l-huissier</t>
  </si>
  <si>
    <t>https://www.nosdeputes.fr/pierre-morel-a-l-huissier</t>
  </si>
  <si>
    <t>https://www.nosdeputes.fr/pierre-morel-a-l-huissier/csv</t>
  </si>
  <si>
    <t>MORELPIERRE</t>
  </si>
  <si>
    <t>Ludovic Pajot</t>
  </si>
  <si>
    <t>Pajot</t>
  </si>
  <si>
    <t>Ludovic</t>
  </si>
  <si>
    <t>Beuvry (Pas-de-Calais)</t>
  </si>
  <si>
    <t>https://fr-fr.facebook.com/Ludovic-PAJOT-418363448234329/|https://twitter.com/ludovicpajot|http://deputes-fn.fr</t>
  </si>
  <si>
    <t>http://www2.assemblee-nationale.fr/deputes/fiche/OMC_PA720606</t>
  </si>
  <si>
    <t>ludovic-pajot</t>
  </si>
  <si>
    <t>https://www.nosdeputes.fr/ludovic-pajot</t>
  </si>
  <si>
    <t>https://www.nosdeputes.fr/ludovic-pajot/csv</t>
  </si>
  <si>
    <t>ludovicpajot</t>
  </si>
  <si>
    <t>Zivka Park</t>
  </si>
  <si>
    <t>Park</t>
  </si>
  <si>
    <t>Zivka</t>
  </si>
  <si>
    <t>Aubervilliers (Seine-Saint-Denis)</t>
  </si>
  <si>
    <t>https://fr-fr.facebook.com/ZivkaPark/|https://twitter.com/zivkapark</t>
  </si>
  <si>
    <t>http://www2.assemblee-nationale.fr/deputes/fiche/OMC_PA720944</t>
  </si>
  <si>
    <t>zivka-park</t>
  </si>
  <si>
    <t>https://www.nosdeputes.fr/zivka-park</t>
  </si>
  <si>
    <t>https://www.nosdeputes.fr/zivka-park/csv</t>
  </si>
  <si>
    <t>zivkapark</t>
  </si>
  <si>
    <t>Pierre Person</t>
  </si>
  <si>
    <t>Person</t>
  </si>
  <si>
    <t>https://twitter.com/pierr_person|https://www.facebook.com/PierrePersonDepute</t>
  </si>
  <si>
    <t>http://www2.assemblee-nationale.fr/deputes/fiche/OMC_PA721568</t>
  </si>
  <si>
    <t>pierre-person</t>
  </si>
  <si>
    <t>https://www.nosdeputes.fr/pierre-person</t>
  </si>
  <si>
    <t>https://www.nosdeputes.fr/pierre-person/csv</t>
  </si>
  <si>
    <t>pierr_person</t>
  </si>
  <si>
    <t>Stéphane Peu</t>
  </si>
  <si>
    <t>Peu</t>
  </si>
  <si>
    <t>Pau (Pyrénées-Atlantiques)</t>
  </si>
  <si>
    <t>https://twitter.com/stephane1peu|https://fr-fr.facebook.com/stephanepeu/|http://www.stephanepeu.fr|http://stephanepeu2017.fr|http://www.stephanepeu.com</t>
  </si>
  <si>
    <t>Employé administratif</t>
  </si>
  <si>
    <t>http://www2.assemblee-nationale.fr/deputes/fiche/OMC_PA721270</t>
  </si>
  <si>
    <t>stephane-peu</t>
  </si>
  <si>
    <t>https://www.nosdeputes.fr/stephane-peu</t>
  </si>
  <si>
    <t>https://www.nosdeputes.fr/stephane-peu/csv</t>
  </si>
  <si>
    <t>stephane1peu</t>
  </si>
  <si>
    <t>Barbara Pompili</t>
  </si>
  <si>
    <t>Pompili</t>
  </si>
  <si>
    <t>Barbara</t>
  </si>
  <si>
    <t>Bois-Bernard (Pas-de-Calais)</t>
  </si>
  <si>
    <t>http://www.barbarapompili.fr|https://twitter.com/barbarapompili|https://fr-fr.facebook.com/pompilibarbara/|http://www.barbarapompili2017.fr|http://developpement-durable.gouv.fr</t>
  </si>
  <si>
    <t>Assistante parlementaire</t>
  </si>
  <si>
    <t>http://www2.assemblee-nationale.fr/deputes/fiche/OMC_PA609520</t>
  </si>
  <si>
    <t>barbara-pompili</t>
  </si>
  <si>
    <t>https://www.nosdeputes.fr/barbara-pompili</t>
  </si>
  <si>
    <t>https://www.nosdeputes.fr/barbara-pompili/csv</t>
  </si>
  <si>
    <t>barbarapompili</t>
  </si>
  <si>
    <t>Benoit Potterie</t>
  </si>
  <si>
    <t>Potterie</t>
  </si>
  <si>
    <t>Calais (Pas-de-Calais)</t>
  </si>
  <si>
    <t>http://benoitpotterie.en-marche.fr|https://fr-fr.facebook.com/benoit.potterie.792/|https://twitter.com/benoitpotterie</t>
  </si>
  <si>
    <t>Opticien audioprothésiste</t>
  </si>
  <si>
    <t>http://www2.assemblee-nationale.fr/deputes/fiche/OMC_PA720590</t>
  </si>
  <si>
    <t>benoit-potterie</t>
  </si>
  <si>
    <t>https://www.nosdeputes.fr/benoit-potterie</t>
  </si>
  <si>
    <t>https://www.nosdeputes.fr/benoit-potterie/csv</t>
  </si>
  <si>
    <t>benoitpotterie</t>
  </si>
  <si>
    <t>Bruno Questel</t>
  </si>
  <si>
    <t>Questel</t>
  </si>
  <si>
    <t>Bourg-Achard (Eure)</t>
  </si>
  <si>
    <t>Eure</t>
  </si>
  <si>
    <t>http://www.brunoquestel.fr|https://twitter.com/BQuestel</t>
  </si>
  <si>
    <t>http://www2.assemblee-nationale.fr/deputes/fiche/OMC_PA643127</t>
  </si>
  <si>
    <t>bruno-questel</t>
  </si>
  <si>
    <t>https://www.nosdeputes.fr/bruno-questel</t>
  </si>
  <si>
    <t>https://www.nosdeputes.fr/bruno-questel/csv</t>
  </si>
  <si>
    <t>BQuestel</t>
  </si>
  <si>
    <t>Richard Ramos</t>
  </si>
  <si>
    <t>Ramos</t>
  </si>
  <si>
    <t>Richard</t>
  </si>
  <si>
    <t>Blois (Loir-et-Cher)</t>
  </si>
  <si>
    <t>http://www2.assemblee-nationale.fr/deputes/fiche/OMC_PA720092</t>
  </si>
  <si>
    <t>richard-ramos</t>
  </si>
  <si>
    <t>https://www.nosdeputes.fr/richard-ramos</t>
  </si>
  <si>
    <t>https://www.nosdeputes.fr/richard-ramos/csv</t>
  </si>
  <si>
    <t>Jean-Hugues Ratenon</t>
  </si>
  <si>
    <t>Ratenon</t>
  </si>
  <si>
    <t>Jean-Hugues</t>
  </si>
  <si>
    <t>Saint-Benoît (Réunion)</t>
  </si>
  <si>
    <t>Réunion</t>
  </si>
  <si>
    <t>https://twitter.com/JhRatenon</t>
  </si>
  <si>
    <t>http://www2.assemblee-nationale.fr/deputes/fiche/OMC_PA721062</t>
  </si>
  <si>
    <t>jean-hugues-ratenon</t>
  </si>
  <si>
    <t>https://www.nosdeputes.fr/jean-hugues-ratenon</t>
  </si>
  <si>
    <t>https://www.nosdeputes.fr/jean-hugues-ratenon/csv</t>
  </si>
  <si>
    <t>JhRatenon</t>
  </si>
  <si>
    <t>Robin Reda</t>
  </si>
  <si>
    <t>Reda</t>
  </si>
  <si>
    <t>Robin</t>
  </si>
  <si>
    <t>Savigny-sur-Orge (Essonne)</t>
  </si>
  <si>
    <t>https://fr-fr.facebook.com/RobinReda/|https://twitter.com/robinreda|http://www.juvisy.fr|http://www.robinreda.fr</t>
  </si>
  <si>
    <t>Autres</t>
  </si>
  <si>
    <t>http://www2.assemblee-nationale.fr/deputes/fiche/OMC_PA721678</t>
  </si>
  <si>
    <t>robin-reda</t>
  </si>
  <si>
    <t>https://www.nosdeputes.fr/robin-reda</t>
  </si>
  <si>
    <t>https://www.nosdeputes.fr/robin-reda/csv</t>
  </si>
  <si>
    <t>robinreda</t>
  </si>
  <si>
    <t>Jean-Luc Reitzer</t>
  </si>
  <si>
    <t>Reitzer</t>
  </si>
  <si>
    <t>Altkirch (Haut-Rhin)</t>
  </si>
  <si>
    <t>http://www.depute-reitzer.net|https://twitter.com/JL_Reitzer|https://fr-fr.facebook.com/jlrdepute/|http://www.jlreitzer2017.fr</t>
  </si>
  <si>
    <t>Cadre d'entreprise chargé des relations sociales</t>
  </si>
  <si>
    <t>http://www2.assemblee-nationale.fr/deputes/fiche/OMC_PA2529</t>
  </si>
  <si>
    <t>jean-luc-reitzer</t>
  </si>
  <si>
    <t>https://www.nosdeputes.fr/jean-luc-reitzer</t>
  </si>
  <si>
    <t>https://www.nosdeputes.fr/jean-luc-reitzer/csv</t>
  </si>
  <si>
    <t>JL_Reitzer</t>
  </si>
  <si>
    <t>Cécile Rilhac</t>
  </si>
  <si>
    <t>Rilhac</t>
  </si>
  <si>
    <t>paris 15 (Paris)</t>
  </si>
  <si>
    <t>https://fr-fr.facebook.com/profile.php?id=100017133168739/|https://twitter.com/Cecile_Rilhac</t>
  </si>
  <si>
    <t>http://www2.assemblee-nationale.fr/deputes/fiche/OMC_PA720900</t>
  </si>
  <si>
    <t>cecile-rilhac</t>
  </si>
  <si>
    <t>https://www.nosdeputes.fr/cecile-rilhac</t>
  </si>
  <si>
    <t>https://www.nosdeputes.fr/cecile-rilhac/csv</t>
  </si>
  <si>
    <t>Cecile_Rilhac</t>
  </si>
  <si>
    <t>Marie-Pierre Rixain</t>
  </si>
  <si>
    <t>Rixain</t>
  </si>
  <si>
    <t>Marie-Pierre</t>
  </si>
  <si>
    <t>Saint-Cyr-l'Ecole (Yvelines)</t>
  </si>
  <si>
    <t>https://twitter.com/RixainMP</t>
  </si>
  <si>
    <t>Consultante en communication</t>
  </si>
  <si>
    <t>http://www2.assemblee-nationale.fr/deputes/fiche/OMC_PA722252</t>
  </si>
  <si>
    <t>marie-pierre-rixain</t>
  </si>
  <si>
    <t>https://www.nosdeputes.fr/marie-pierre-rixain</t>
  </si>
  <si>
    <t>https://www.nosdeputes.fr/marie-pierre-rixain/csv</t>
  </si>
  <si>
    <t>RixainMP</t>
  </si>
  <si>
    <t>Laëtitia Romeiro Dias</t>
  </si>
  <si>
    <t>Romeiro Dias</t>
  </si>
  <si>
    <t>Laëtitia</t>
  </si>
  <si>
    <t>Paris 13ème (Paris)</t>
  </si>
  <si>
    <t>https://twitter.com/Romeiro1L|https://www.facebook.com/LRomeiroDias|https://www.facebook.com/LaetitiaRomeiroDiasLegislatives</t>
  </si>
  <si>
    <t>http://www2.assemblee-nationale.fr/deputes/fiche/OMC_PA722022</t>
  </si>
  <si>
    <t>laetitia-romeiro-dias</t>
  </si>
  <si>
    <t>https://www.nosdeputes.fr/laetitia-romeiro-dias</t>
  </si>
  <si>
    <t>https://www.nosdeputes.fr/laetitia-romeiro-dias/csv</t>
  </si>
  <si>
    <t>Romeiro1L</t>
  </si>
  <si>
    <t>Cédric Roussel</t>
  </si>
  <si>
    <t>Cédric</t>
  </si>
  <si>
    <t>http://cedricroussel.en-marche.fr|https://fr-fr.facebook.com/CRoussel06/|https://www.cedricroussel.fr|https://twitter.com/CedricRoussel06</t>
  </si>
  <si>
    <t>Conseiller en gestion de patrimoine indépendant</t>
  </si>
  <si>
    <t>http://www2.assemblee-nationale.fr/deputes/fiche/OMC_PA718902</t>
  </si>
  <si>
    <t>cedric-roussel</t>
  </si>
  <si>
    <t>https://www.nosdeputes.fr/cedric-roussel</t>
  </si>
  <si>
    <t>https://www.nosdeputes.fr/cedric-roussel/csv</t>
  </si>
  <si>
    <t>CedricRoussel06</t>
  </si>
  <si>
    <t>François Ruffin</t>
  </si>
  <si>
    <t>Ruffin</t>
  </si>
  <si>
    <t>http://www.francoisruffin.fr|https://fr-fr.facebook.com/FrancoisRuffin80/|https://twitter.com/Francois_Ruffin</t>
  </si>
  <si>
    <t>Reporter</t>
  </si>
  <si>
    <t>http://www2.assemblee-nationale.fr/deputes/fiche/OMC_PA722142</t>
  </si>
  <si>
    <t>francois-ruffin</t>
  </si>
  <si>
    <t>https://www.nosdeputes.fr/francois-ruffin</t>
  </si>
  <si>
    <t>https://www.nosdeputes.fr/francois-ruffin/csv</t>
  </si>
  <si>
    <t>Francois_Ruffin</t>
  </si>
  <si>
    <t>Pacôme Rupin</t>
  </si>
  <si>
    <t>Rupin</t>
  </si>
  <si>
    <t>Pacôme</t>
  </si>
  <si>
    <t>Chambray-lès-Tours (Indre-et-Loire)</t>
  </si>
  <si>
    <t>https://fr-fr.facebook.com/pacome.rupin/|https://twitter.com/PacomeRupin|https://pacomerupin.fr|https://www.pacomerupin2017.fr</t>
  </si>
  <si>
    <t>Entrepreneur</t>
  </si>
  <si>
    <t>http://www2.assemblee-nationale.fr/deputes/fiche/OMC_PA721616</t>
  </si>
  <si>
    <t>pacome-rupin</t>
  </si>
  <si>
    <t>https://www.nosdeputes.fr/pacome-rupin</t>
  </si>
  <si>
    <t>https://www.nosdeputes.fr/pacome-rupin/csv</t>
  </si>
  <si>
    <t>PacomeRupin</t>
  </si>
  <si>
    <t>Liliana Tanguy</t>
  </si>
  <si>
    <t>Tanguy</t>
  </si>
  <si>
    <t>Liliana</t>
  </si>
  <si>
    <t>Pancevo (SERBIE)</t>
  </si>
  <si>
    <t>https://twitter.com/LilianeTanguyAN|http://www.lilianetanguy.en-marche.fr</t>
  </si>
  <si>
    <t>http://www2.assemblee-nationale.fr/deputes/fiche/OMC_PA719550</t>
  </si>
  <si>
    <t>liliana-tanguy</t>
  </si>
  <si>
    <t>https://www.nosdeputes.fr/liliana-tanguy</t>
  </si>
  <si>
    <t>https://www.nosdeputes.fr/liliana-tanguy/csv</t>
  </si>
  <si>
    <t>LilianeTanguyAN</t>
  </si>
  <si>
    <t>Jean Terlier</t>
  </si>
  <si>
    <t>Terlier</t>
  </si>
  <si>
    <t>Jean</t>
  </si>
  <si>
    <t>http://www.jean-terlier.fr|https://twitter.com/JeanTerlier</t>
  </si>
  <si>
    <t>http://www2.assemblee-nationale.fr/deputes/fiche/OMC_PA721584</t>
  </si>
  <si>
    <t>jean-terlier</t>
  </si>
  <si>
    <t>https://www.nosdeputes.fr/jean-terlier</t>
  </si>
  <si>
    <t>https://www.nosdeputes.fr/jean-terlier/csv</t>
  </si>
  <si>
    <t>JeanTerlier</t>
  </si>
  <si>
    <t>Agnès Thill</t>
  </si>
  <si>
    <t>Thill</t>
  </si>
  <si>
    <t>Agnès</t>
  </si>
  <si>
    <t>Paris 14ème (Paris)</t>
  </si>
  <si>
    <t>https://twitter.com/ThillAgnes</t>
  </si>
  <si>
    <t>Enseignant du 1er degré-Directeur d'école</t>
  </si>
  <si>
    <t>http://www2.assemblee-nationale.fr/deputes/fiche/OMC_PA720568</t>
  </si>
  <si>
    <t>agnes-thill</t>
  </si>
  <si>
    <t>https://www.nosdeputes.fr/agnes-thill</t>
  </si>
  <si>
    <t>https://www.nosdeputes.fr/agnes-thill/csv</t>
  </si>
  <si>
    <t>ThillAgnes</t>
  </si>
  <si>
    <t>Sabine Thillaye</t>
  </si>
  <si>
    <t>Thillaye</t>
  </si>
  <si>
    <t>Remscheid (Allemagne)</t>
  </si>
  <si>
    <t>https://twitter.com/SabineThillaye|https://fr-fr.facebook.com/SabineThillaye/|http://www.sabinethillaye2017.fr</t>
  </si>
  <si>
    <t>http://www2.assemblee-nationale.fr/deputes/fiche/OMC_PA719822</t>
  </si>
  <si>
    <t>sabine-thillaye</t>
  </si>
  <si>
    <t>https://www.nosdeputes.fr/sabine-thillaye</t>
  </si>
  <si>
    <t>https://www.nosdeputes.fr/sabine-thillaye/csv</t>
  </si>
  <si>
    <t>SabineThillaye</t>
  </si>
  <si>
    <t>Laurence Trastour-Isnart</t>
  </si>
  <si>
    <t>Trastour-Isnart</t>
  </si>
  <si>
    <t>Cagnes-sur-Mer (Alpes-Maritimes)</t>
  </si>
  <si>
    <t>https://twitter.com/trastour2017|https://fr-fr.facebook.com/trastour2017/|http://www.laurencetrastour2017.fr|https://www.laurence-trastour-isnart.fr</t>
  </si>
  <si>
    <t>Rédacteur territorial</t>
  </si>
  <si>
    <t>http://www2.assemblee-nationale.fr/deputes/fiche/OMC_PA718780</t>
  </si>
  <si>
    <t>laurence-trastour-isnart</t>
  </si>
  <si>
    <t>https://www.nosdeputes.fr/laurence-trastour-isnart</t>
  </si>
  <si>
    <t>https://www.nosdeputes.fr/laurence-trastour-isnart/csv</t>
  </si>
  <si>
    <t>trastour2017</t>
  </si>
  <si>
    <t>Guillaume Vuilletet</t>
  </si>
  <si>
    <t>Vuilletet</t>
  </si>
  <si>
    <t>https://twitter.com/g_vuilletet|https://fr-fr.facebook.com/guillaume.vuilletet/</t>
  </si>
  <si>
    <t>http://www2.assemblee-nationale.fr/deputes/fiche/OMC_PA721262</t>
  </si>
  <si>
    <t>guillaume-vuilletet</t>
  </si>
  <si>
    <t>https://www.nosdeputes.fr/guillaume-vuilletet</t>
  </si>
  <si>
    <t>https://www.nosdeputes.fr/guillaume-vuilletet/csv</t>
  </si>
  <si>
    <t>g_vuilletet</t>
  </si>
  <si>
    <t>Damien Adam</t>
  </si>
  <si>
    <t>Adam</t>
  </si>
  <si>
    <t>https://twitter.com/damienadam76|https://fr-fr.facebook.com/damienadam76/|http://damienadam.fr|http://www.damienadam2017.fr</t>
  </si>
  <si>
    <t>http://www2.assemblee-nationale.fr/deputes/fiche/OMC_PA722038</t>
  </si>
  <si>
    <t>damien-adam</t>
  </si>
  <si>
    <t>https://www.nosdeputes.fr/damien-adam</t>
  </si>
  <si>
    <t>https://www.nosdeputes.fr/damien-adam/csv</t>
  </si>
  <si>
    <t>damienadam76</t>
  </si>
  <si>
    <t>Louis Aliot</t>
  </si>
  <si>
    <t>Aliot</t>
  </si>
  <si>
    <t>http://louisaliot.eu|https://twitter.com/louis_aliot</t>
  </si>
  <si>
    <t>http://www2.assemblee-nationale.fr/deputes/fiche/OMC_PA720798</t>
  </si>
  <si>
    <t>louis-aliot</t>
  </si>
  <si>
    <t>https://www.nosdeputes.fr/louis-aliot</t>
  </si>
  <si>
    <t>https://www.nosdeputes.fr/louis-aliot/csv</t>
  </si>
  <si>
    <t>louis_aliot</t>
  </si>
  <si>
    <t>Christophe Arend</t>
  </si>
  <si>
    <t>Arend</t>
  </si>
  <si>
    <t>Forbach (Moselle)</t>
  </si>
  <si>
    <t>http://christophe-arend.fr|https://twitter.com/christophearend|https://legislatives.en-marche.fr/candidat/moselle-6eme-circonscription</t>
  </si>
  <si>
    <t>Dentiste</t>
  </si>
  <si>
    <t>http://www2.assemblee-nationale.fr/deputes/fiche/OMC_PA720310</t>
  </si>
  <si>
    <t>christophe-arend</t>
  </si>
  <si>
    <t>https://www.nosdeputes.fr/christophe-arend</t>
  </si>
  <si>
    <t>https://www.nosdeputes.fr/christophe-arend/csv</t>
  </si>
  <si>
    <t>christophearend</t>
  </si>
  <si>
    <t>Gabriel Attal</t>
  </si>
  <si>
    <t>Attal</t>
  </si>
  <si>
    <t>Gabriel</t>
  </si>
  <si>
    <t>https://twitter.com/GabrielAttal|http://www.gabrielattal.fr</t>
  </si>
  <si>
    <t>http://www2.assemblee-nationale.fr/deputes/fiche/OMC_PA722190</t>
  </si>
  <si>
    <t>gabriel-attal</t>
  </si>
  <si>
    <t>https://www.nosdeputes.fr/gabriel-attal</t>
  </si>
  <si>
    <t>https://www.nosdeputes.fr/gabriel-attal/csv</t>
  </si>
  <si>
    <t>GabrielAttal</t>
  </si>
  <si>
    <t>Géraldine Bannier</t>
  </si>
  <si>
    <t>Bannier</t>
  </si>
  <si>
    <t>Géraldine</t>
  </si>
  <si>
    <t>Laval (Mayenne)</t>
  </si>
  <si>
    <t>Mayenne</t>
  </si>
  <si>
    <t>https://twitter.com/Bannier_G|https://fr-fr.facebook.com/geraldine.bannier.1/</t>
  </si>
  <si>
    <t>http://www2.assemblee-nationale.fr/deputes/fiche/OMC_PA720256</t>
  </si>
  <si>
    <t>geraldine-bannier</t>
  </si>
  <si>
    <t>https://www.nosdeputes.fr/geraldine-bannier</t>
  </si>
  <si>
    <t>https://www.nosdeputes.fr/geraldine-bannier/csv</t>
  </si>
  <si>
    <t>Bannier_G</t>
  </si>
  <si>
    <t>Aurore Bergé</t>
  </si>
  <si>
    <t>Bergé</t>
  </si>
  <si>
    <t>Aurore</t>
  </si>
  <si>
    <t>https://fr-fr.facebook.com/Aurore-Bergé-39829403685/|https://twitter.com/auroreberge|http://auroreberge2017.fr|http://www.auroreberge.fr</t>
  </si>
  <si>
    <t>http://www2.assemblee-nationale.fr/deputes/fiche/OMC_PA722046</t>
  </si>
  <si>
    <t>aurore-berge</t>
  </si>
  <si>
    <t>https://www.nosdeputes.fr/aurore-berge</t>
  </si>
  <si>
    <t>https://www.nosdeputes.fr/aurore-berge/csv</t>
  </si>
  <si>
    <t>auroreberge</t>
  </si>
  <si>
    <t>Philippe Berta</t>
  </si>
  <si>
    <t>Berta</t>
  </si>
  <si>
    <t>Besançon (Doubs)</t>
  </si>
  <si>
    <t>https://twitter.com/PBertaGard|https://www.facebook.com/PBertaGard</t>
  </si>
  <si>
    <t>http://www2.assemblee-nationale.fr/deputes/fiche/OMC_PA719488</t>
  </si>
  <si>
    <t>philippe-berta</t>
  </si>
  <si>
    <t>https://www.nosdeputes.fr/philippe-berta</t>
  </si>
  <si>
    <t>https://www.nosdeputes.fr/philippe-berta/csv</t>
  </si>
  <si>
    <t>PBertaGard</t>
  </si>
  <si>
    <t>Grégory Besson-Moreau</t>
  </si>
  <si>
    <t>Besson-Moreau</t>
  </si>
  <si>
    <t>Grégory</t>
  </si>
  <si>
    <t>Brou-sur-Chantereine (Seine-et-Marne)</t>
  </si>
  <si>
    <t>https://twitter.com/GBessonMoreau|https://fr-fr.facebook.com/GBessonMoreau/</t>
  </si>
  <si>
    <t>Président de société</t>
  </si>
  <si>
    <t>http://www2.assemblee-nationale.fr/deputes/fiche/OMC_PA718876</t>
  </si>
  <si>
    <t>gregory-besson-moreau</t>
  </si>
  <si>
    <t>https://www.nosdeputes.fr/gregory-besson-moreau</t>
  </si>
  <si>
    <t>https://www.nosdeputes.fr/gregory-besson-moreau/csv</t>
  </si>
  <si>
    <t>GBessonMoreau</t>
  </si>
  <si>
    <t>Barbara Bessot Ballot</t>
  </si>
  <si>
    <t>Bessot Ballot</t>
  </si>
  <si>
    <t>Haute-Saône</t>
  </si>
  <si>
    <t>http://www.barbarabessotballot.fr|https://fr-fr.facebook.com/BessotBallot2017/|https://twitter.com/B_BessotBallot|https://fr-fr.facebook.com/barbarabessotballotlegislatives2017</t>
  </si>
  <si>
    <t>Cadre (entreprises publiques)</t>
  </si>
  <si>
    <t>http://www2.assemblee-nationale.fr/deputes/fiche/OMC_PA722312</t>
  </si>
  <si>
    <t>barbara-bessot-ballot</t>
  </si>
  <si>
    <t>https://www.nosdeputes.fr/barbara-bessot-ballot</t>
  </si>
  <si>
    <t>https://www.nosdeputes.fr/barbara-bessot-ballot/csv</t>
  </si>
  <si>
    <t>B_BessotBallot</t>
  </si>
  <si>
    <t>Bruno Bilde</t>
  </si>
  <si>
    <t>Bilde</t>
  </si>
  <si>
    <t>Laxou (Meurthe-et-Moselle)</t>
  </si>
  <si>
    <t>http://deputes-fn.fr|https://twitter.com/BrunoBilde|https://www.facebook.com/BildeBruno</t>
  </si>
  <si>
    <t>http://www2.assemblee-nationale.fr/deputes/fiche/OMC_PA720822</t>
  </si>
  <si>
    <t>bruno-bilde</t>
  </si>
  <si>
    <t>https://www.nosdeputes.fr/bruno-bilde</t>
  </si>
  <si>
    <t>https://www.nosdeputes.fr/bruno-bilde/csv</t>
  </si>
  <si>
    <t>BrunoBilde</t>
  </si>
  <si>
    <t>Yves Blein</t>
  </si>
  <si>
    <t>Blein</t>
  </si>
  <si>
    <t>http://www.yvesblein.fr|https://twitter.com/yves_blein</t>
  </si>
  <si>
    <t>http://www2.assemblee-nationale.fr/deputes/fiche/OMC_PA608641</t>
  </si>
  <si>
    <t>yves-blein</t>
  </si>
  <si>
    <t>https://www.nosdeputes.fr/yves-blein</t>
  </si>
  <si>
    <t>https://www.nosdeputes.fr/yves-blein/csv</t>
  </si>
  <si>
    <t>yves_blein</t>
  </si>
  <si>
    <t>Aude Bono-Vandorme</t>
  </si>
  <si>
    <t>Bono-Vandorme</t>
  </si>
  <si>
    <t>https://twitter.com/AudeBono|https://m.facebook.com/AudeBono2017</t>
  </si>
  <si>
    <t>http://www2.assemblee-nationale.fr/deputes/fiche/OMC_PA718756</t>
  </si>
  <si>
    <t>aude-bono-vandorme</t>
  </si>
  <si>
    <t>https://www.nosdeputes.fr/aude-bono-vandorme</t>
  </si>
  <si>
    <t>https://www.nosdeputes.fr/aude-bono-vandorme/csv</t>
  </si>
  <si>
    <t>AudeBono</t>
  </si>
  <si>
    <t>Éric Bothorel</t>
  </si>
  <si>
    <t>Bothorel</t>
  </si>
  <si>
    <t>Paimpol (Côtes-d'Armor)</t>
  </si>
  <si>
    <t>https://twitter.com/ebothorel|https://fr-fr.facebook.com/Eric-Bothorel-Député-circo2205/|http://ericbothorel.fr|http://ericbothorel.bzh</t>
  </si>
  <si>
    <t>http://www2.assemblee-nationale.fr/deputes/fiche/OMC_PA642695</t>
  </si>
  <si>
    <t>eric-bothorel</t>
  </si>
  <si>
    <t>https://www.nosdeputes.fr/eric-bothorel</t>
  </si>
  <si>
    <t>https://www.nosdeputes.fr/eric-bothorel/csv</t>
  </si>
  <si>
    <t>ebothorel</t>
  </si>
  <si>
    <t>Bertrand Bouyx</t>
  </si>
  <si>
    <t>Bouyx</t>
  </si>
  <si>
    <t>Bertrand</t>
  </si>
  <si>
    <t>Juvisy-sur-Orge (Essonne)</t>
  </si>
  <si>
    <t>https://fr-fr.facebook.com/bertrandbouyx/|https://twitter.com/BertrandBouyx</t>
  </si>
  <si>
    <t>http://www2.assemblee-nationale.fr/deputes/fiche/OMC_PA719032</t>
  </si>
  <si>
    <t>bertrand-bouyx</t>
  </si>
  <si>
    <t>https://www.nosdeputes.fr/bertrand-bouyx</t>
  </si>
  <si>
    <t>https://www.nosdeputes.fr/bertrand-bouyx/csv</t>
  </si>
  <si>
    <t>BertrandBouyx</t>
  </si>
  <si>
    <t>Guy Bricout</t>
  </si>
  <si>
    <t>Guy</t>
  </si>
  <si>
    <t>Caudry (Nord)</t>
  </si>
  <si>
    <t>http://guybricout.org|https://fr-fr.facebook.com/Guy-Bricout-1101832169837965/</t>
  </si>
  <si>
    <t>http://www2.assemblee-nationale.fr/deputes/fiche/OMC_PA267766</t>
  </si>
  <si>
    <t>guy-bricout</t>
  </si>
  <si>
    <t>https://www.nosdeputes.fr/guy-bricout</t>
  </si>
  <si>
    <t>https://www.nosdeputes.fr/guy-bricout/csv</t>
  </si>
  <si>
    <t>Sébastien Cazenove</t>
  </si>
  <si>
    <t>Cazenove</t>
  </si>
  <si>
    <t>http://sebastien-cazenove.org|https://fr-fr.facebook.com/sebastienCazenove2017/|https://twitter.com/SCazenove</t>
  </si>
  <si>
    <t>http://www2.assemblee-nationale.fr/deputes/fiche/OMC_PA720814</t>
  </si>
  <si>
    <t>sebastien-cazenove</t>
  </si>
  <si>
    <t>https://www.nosdeputes.fr/sebastien-cazenove</t>
  </si>
  <si>
    <t>https://www.nosdeputes.fr/sebastien-cazenove/csv</t>
  </si>
  <si>
    <t>SCazenove</t>
  </si>
  <si>
    <t>Émilie Chalas</t>
  </si>
  <si>
    <t>Chalas</t>
  </si>
  <si>
    <t>Échirolles (Isère)</t>
  </si>
  <si>
    <t>https://twitter.com/EmilieCChalas|https://fr-fr.facebook.com/emiliechalasofficiel/</t>
  </si>
  <si>
    <t>http://www2.assemblee-nationale.fr/deputes/fiche/OMC_PA719748</t>
  </si>
  <si>
    <t>emilie-chalas</t>
  </si>
  <si>
    <t>https://www.nosdeputes.fr/emilie-chalas</t>
  </si>
  <si>
    <t>https://www.nosdeputes.fr/emilie-chalas/csv</t>
  </si>
  <si>
    <t>EmilieCChalas</t>
  </si>
  <si>
    <t>Annie Chapelier</t>
  </si>
  <si>
    <t>Chapelier</t>
  </si>
  <si>
    <t>Windsor (Canada)</t>
  </si>
  <si>
    <t>https://twitter.com/chapelierannie|https://fr-fr.facebook.com/anniechapelier2017/</t>
  </si>
  <si>
    <t>Infirmière anesthésiste</t>
  </si>
  <si>
    <t>http://www2.assemblee-nationale.fr/deputes/fiche/OMC_PA719448</t>
  </si>
  <si>
    <t>annie-chapelier</t>
  </si>
  <si>
    <t>https://www.nosdeputes.fr/annie-chapelier</t>
  </si>
  <si>
    <t>https://www.nosdeputes.fr/annie-chapelier/csv</t>
  </si>
  <si>
    <t>chapelierannie</t>
  </si>
  <si>
    <t>François Cornut-Gentille</t>
  </si>
  <si>
    <t>Cornut-Gentille</t>
  </si>
  <si>
    <t>Saint-Mandé (Val-de-Marne)</t>
  </si>
  <si>
    <t>Haute-Marne</t>
  </si>
  <si>
    <t>http://www.francois-cornut-gentille.fr|https://twitter.com/FCornutGentille|http://www.francois.cornut-gentille.fr</t>
  </si>
  <si>
    <t>http://www2.assemblee-nationale.fr/deputes/fiche/OMC_PA923</t>
  </si>
  <si>
    <t>francois-cornut-gentille</t>
  </si>
  <si>
    <t>https://www.nosdeputes.fr/francois-cornut-gentille</t>
  </si>
  <si>
    <t>https://www.nosdeputes.fr/francois-cornut-gentille/csv</t>
  </si>
  <si>
    <t>FCornutGentille</t>
  </si>
  <si>
    <t>Yolaine de Courson</t>
  </si>
  <si>
    <t>Yolaine</t>
  </si>
  <si>
    <t>Neuilly sur Seine (Hauts-de-Seine)</t>
  </si>
  <si>
    <t>https://twitter.com/ydecourson</t>
  </si>
  <si>
    <t>Chef d'entreprise retraitée</t>
  </si>
  <si>
    <t>http://www2.assemblee-nationale.fr/deputes/fiche/OMC_PA719194</t>
  </si>
  <si>
    <t>yolaine-de-courson</t>
  </si>
  <si>
    <t>https://www.nosdeputes.fr/yolaine-de-courson</t>
  </si>
  <si>
    <t>https://www.nosdeputes.fr/yolaine-de-courson/csv</t>
  </si>
  <si>
    <t>ydecourson</t>
  </si>
  <si>
    <t>Frédéric Descrozaille</t>
  </si>
  <si>
    <t>Descrozaille</t>
  </si>
  <si>
    <t>Frédéric</t>
  </si>
  <si>
    <t>https://twitter.com/fdescrozaille|https://fr-fr.facebook.com/fdescrozaille9401/|http://descrozaille.fr</t>
  </si>
  <si>
    <t>http://www2.assemblee-nationale.fr/deputes/fiche/OMC_PA720862</t>
  </si>
  <si>
    <t>frederic-descrozaille</t>
  </si>
  <si>
    <t>https://www.nosdeputes.fr/frederic-descrozaille</t>
  </si>
  <si>
    <t>https://www.nosdeputes.fr/frederic-descrozaille/csv</t>
  </si>
  <si>
    <t>fdescrozaille</t>
  </si>
  <si>
    <t>Jean-François Eliaou</t>
  </si>
  <si>
    <t>Eliaou</t>
  </si>
  <si>
    <t>Jean-François</t>
  </si>
  <si>
    <t>https://fr-fr.facebook.com/JFEliaou/|https://twitter.com/JFEliaou|http://jeanfrancoiseliaou.fr|http://jeanfrancoiseliaou.en-marche.fr</t>
  </si>
  <si>
    <t>http://www2.assemblee-nationale.fr/deputes/fiche/OMC_PA719692</t>
  </si>
  <si>
    <t>jean-francois-eliaou</t>
  </si>
  <si>
    <t>https://www.nosdeputes.fr/jean-francois-eliaou</t>
  </si>
  <si>
    <t>https://www.nosdeputes.fr/jean-francois-eliaou/csv</t>
  </si>
  <si>
    <t>JFEliaou</t>
  </si>
  <si>
    <t>Nadia Essayan</t>
  </si>
  <si>
    <t>Essayan</t>
  </si>
  <si>
    <t>Dimbokro (Côte d'Ivoire)</t>
  </si>
  <si>
    <t>https://twitter.com/nadiaessayan|https://fr-fr.facebook.com/nadia.essayan/</t>
  </si>
  <si>
    <t>Cadre associatif</t>
  </si>
  <si>
    <t>http://www2.assemblee-nationale.fr/deputes/fiche/OMC_PA719044</t>
  </si>
  <si>
    <t>nadia-essayan</t>
  </si>
  <si>
    <t>https://www.nosdeputes.fr/nadia-essayan</t>
  </si>
  <si>
    <t>https://www.nosdeputes.fr/nadia-essayan/csv</t>
  </si>
  <si>
    <t>nadiaessayan</t>
  </si>
  <si>
    <t>Olivier Falorni</t>
  </si>
  <si>
    <t>Falorni</t>
  </si>
  <si>
    <t>Rochefort-sur-Mer (Charente-Maritime)</t>
  </si>
  <si>
    <t>https://fr-fr.facebook.com/olivierfalorni/|http://www.olivierfalorni.com|https://twitter.com/OlivierFalorni</t>
  </si>
  <si>
    <t>http://www2.assemblee-nationale.fr/deputes/fiche/OMC_PA605694</t>
  </si>
  <si>
    <t>olivier-falorni</t>
  </si>
  <si>
    <t>https://www.nosdeputes.fr/olivier-falorni</t>
  </si>
  <si>
    <t>https://www.nosdeputes.fr/olivier-falorni/csv</t>
  </si>
  <si>
    <t>OlivierFalorni</t>
  </si>
  <si>
    <t>Paula Forteza</t>
  </si>
  <si>
    <t>Forteza</t>
  </si>
  <si>
    <t>Paula</t>
  </si>
  <si>
    <t>http://www.forteza.fr|https://fr-fr.facebook.com/PaulaForteza/|https://twitter.com/PaulaForteza|http://www.forteza2017.fr</t>
  </si>
  <si>
    <t>http://www2.assemblee-nationale.fr/deputes/fiche/OMC_PA721142</t>
  </si>
  <si>
    <t>paula-forteza</t>
  </si>
  <si>
    <t>https://www.nosdeputes.fr/paula-forteza</t>
  </si>
  <si>
    <t>https://www.nosdeputes.fr/paula-forteza/csv</t>
  </si>
  <si>
    <t>PaulaForteza</t>
  </si>
  <si>
    <t>Bruno Fuchs</t>
  </si>
  <si>
    <t>Fuchs</t>
  </si>
  <si>
    <t>https://fr-fr.facebook.com/BrunoFuchsHautRhin2017/|https://twitter.com/bruno_fuchs|http://www.image-strategie.com</t>
  </si>
  <si>
    <t>http://www2.assemblee-nationale.fr/deputes/fiche/OMC_PA722284</t>
  </si>
  <si>
    <t>bruno-fuchs</t>
  </si>
  <si>
    <t>https://www.nosdeputes.fr/bruno-fuchs</t>
  </si>
  <si>
    <t>https://www.nosdeputes.fr/bruno-fuchs/csv</t>
  </si>
  <si>
    <t>bruno_fuchs</t>
  </si>
  <si>
    <t>Patricia Gallerneau</t>
  </si>
  <si>
    <t>Gallerneau</t>
  </si>
  <si>
    <t>Patricia</t>
  </si>
  <si>
    <t>https://fr-fr.facebook.com/patricia.gallerneau/|https://twitter.com/PGallerneau</t>
  </si>
  <si>
    <t>http://www2.assemblee-nationale.fr/deputes/fiche/OMC_PA721992</t>
  </si>
  <si>
    <t>patricia-gallerneau</t>
  </si>
  <si>
    <t>https://www.nosdeputes.fr/patricia-gallerneau</t>
  </si>
  <si>
    <t>https://www.nosdeputes.fr/patricia-gallerneau/csv</t>
  </si>
  <si>
    <t>PGallerneau</t>
  </si>
  <si>
    <t>Raphaël Gauvain</t>
  </si>
  <si>
    <t>Gauvain</t>
  </si>
  <si>
    <t>https://fr-fr.facebook.com/RaphaelGauvain71/|https://twitter.com/Gauvain_Raphael|http://www.boken.fr</t>
  </si>
  <si>
    <t>http://www2.assemblee-nationale.fr/deputes/fiche/OMC_PA721364</t>
  </si>
  <si>
    <t>raphael-gauvain</t>
  </si>
  <si>
    <t>https://www.nosdeputes.fr/raphael-gauvain</t>
  </si>
  <si>
    <t>https://www.nosdeputes.fr/raphael-gauvain/csv</t>
  </si>
  <si>
    <t>Gauvain_Raphael</t>
  </si>
  <si>
    <t>Raphaël Gérard</t>
  </si>
  <si>
    <t>Cirey-sur-Vezouze (Meurthe-et-Moselle)</t>
  </si>
  <si>
    <t>https://fr-fr.facebook.com/RaphaelGerardDepute17/|http://www.raphaelgerard.fr|https://twitter.com/RaphaelGerard17|http://raphaelgerard.en-marche.fr</t>
  </si>
  <si>
    <t>http://www2.assemblee-nationale.fr/deputes/fiche/OMC_PA719108</t>
  </si>
  <si>
    <t>raphael-gerard</t>
  </si>
  <si>
    <t>https://www.nosdeputes.fr/raphael-gerard</t>
  </si>
  <si>
    <t>https://www.nosdeputes.fr/raphael-gerard/csv</t>
  </si>
  <si>
    <t>RaphaelGerard17</t>
  </si>
  <si>
    <t>Olga Givernet</t>
  </si>
  <si>
    <t>Givernet</t>
  </si>
  <si>
    <t>Olga</t>
  </si>
  <si>
    <t>Saint-Germain-en-Laye (Yvelines)</t>
  </si>
  <si>
    <t>http://www.olga-givernet.fr|https://fr-fr.facebook.com/Page-politique-dOlga-Givernet-1118292008192135/|https://twitter.com/OlgaGivernet|http://www.olga2017.com</t>
  </si>
  <si>
    <t>Ingénieure aéronautique</t>
  </si>
  <si>
    <t>http://www2.assemblee-nationale.fr/deputes/fiche/OMC_PA718674</t>
  </si>
  <si>
    <t>olga-givernet</t>
  </si>
  <si>
    <t>https://www.nosdeputes.fr/olga-givernet</t>
  </si>
  <si>
    <t>https://www.nosdeputes.fr/olga-givernet/csv</t>
  </si>
  <si>
    <t>OlgaGivernet</t>
  </si>
  <si>
    <t>David Habib</t>
  </si>
  <si>
    <t>Habib</t>
  </si>
  <si>
    <t>http://www.david-habib.fr|https://twitter.com/DavidDhabib|https://fr-fr.facebook.com/DavidHabib64/</t>
  </si>
  <si>
    <t>Cadre</t>
  </si>
  <si>
    <t>http://www2.assemblee-nationale.fr/deputes/fiche/OMC_PA1592</t>
  </si>
  <si>
    <t>david-habib</t>
  </si>
  <si>
    <t>https://www.nosdeputes.fr/david-habib</t>
  </si>
  <si>
    <t>https://www.nosdeputes.fr/david-habib/csv</t>
  </si>
  <si>
    <t>DavidDhabib</t>
  </si>
  <si>
    <t>Véronique Hammerer</t>
  </si>
  <si>
    <t>Hammerer</t>
  </si>
  <si>
    <t>Dax (Landes)</t>
  </si>
  <si>
    <t>https://veroniquehammerer.com|https://twitter.com/hammerer2017</t>
  </si>
  <si>
    <t>http://www2.assemblee-nationale.fr/deputes/fiche/OMC_PA719652</t>
  </si>
  <si>
    <t>veronique-hammerer</t>
  </si>
  <si>
    <t>https://www.nosdeputes.fr/veronique-hammerer</t>
  </si>
  <si>
    <t>https://www.nosdeputes.fr/veronique-hammerer/csv</t>
  </si>
  <si>
    <t>hammerer2017</t>
  </si>
  <si>
    <t>Danièle Hérin</t>
  </si>
  <si>
    <t>Hérin</t>
  </si>
  <si>
    <t>Carcassonne (Aude)</t>
  </si>
  <si>
    <t>https://twitter.com/Daniele_herin|https://www.facebook.com/herindaniele</t>
  </si>
  <si>
    <t>Retraitée professeur d'université - ancienne présidente d'université</t>
  </si>
  <si>
    <t>http://www2.assemblee-nationale.fr/deputes/fiche/OMC_PA718794</t>
  </si>
  <si>
    <t>daniele-herin</t>
  </si>
  <si>
    <t>https://www.nosdeputes.fr/daniele-herin</t>
  </si>
  <si>
    <t>https://www.nosdeputes.fr/daniele-herin/csv</t>
  </si>
  <si>
    <t>Daniele_herin</t>
  </si>
  <si>
    <t>Christian Hutin</t>
  </si>
  <si>
    <t>Hutin</t>
  </si>
  <si>
    <t>https://twitter.com/ChristianHutin</t>
  </si>
  <si>
    <t>Médecin généraliste</t>
  </si>
  <si>
    <t>http://www2.assemblee-nationale.fr/deputes/fiche/OMC_PA333818</t>
  </si>
  <si>
    <t>christian-hutin</t>
  </si>
  <si>
    <t>https://www.nosdeputes.fr/christian-hutin</t>
  </si>
  <si>
    <t>https://www.nosdeputes.fr/christian-hutin/csv</t>
  </si>
  <si>
    <t>ChristianHutin</t>
  </si>
  <si>
    <t>Sébastien Huyghe</t>
  </si>
  <si>
    <t>Huyghe</t>
  </si>
  <si>
    <t>https://twitter.com/SebastienHuyghe|https://fr-fr.facebook.com/shuyghe.depute/|http://www.sebastienhuyghe.com</t>
  </si>
  <si>
    <t>http://www2.assemblee-nationale.fr/deputes/fiche/OMC_PA267200</t>
  </si>
  <si>
    <t>sebastien-huyghe</t>
  </si>
  <si>
    <t>https://www.nosdeputes.fr/sebastien-huyghe</t>
  </si>
  <si>
    <t>https://www.nosdeputes.fr/sebastien-huyghe/csv</t>
  </si>
  <si>
    <t>SebastienHuyghe</t>
  </si>
  <si>
    <t>Monique Iborra</t>
  </si>
  <si>
    <t>Iborra</t>
  </si>
  <si>
    <t>Maison Carrée (Algérie)</t>
  </si>
  <si>
    <t>https://fr-fr.facebook.com/monique.iborra/|https://twitter.com/MoniqueIborra|http://www.moniqueiborra.net</t>
  </si>
  <si>
    <t>Retraitée de la Fonction publique</t>
  </si>
  <si>
    <t>http://www2.assemblee-nationale.fr/deputes/fiche/OMC_PA331835</t>
  </si>
  <si>
    <t>monique-iborra</t>
  </si>
  <si>
    <t>https://www.nosdeputes.fr/monique-iborra</t>
  </si>
  <si>
    <t>https://www.nosdeputes.fr/monique-iborra/csv</t>
  </si>
  <si>
    <t>MoniqueIborra</t>
  </si>
  <si>
    <t>Cyrille Isaac-Sibille</t>
  </si>
  <si>
    <t>Isaac-Sibille</t>
  </si>
  <si>
    <t>Cyrille</t>
  </si>
  <si>
    <t>Lyon 6 (Rhône)</t>
  </si>
  <si>
    <t>https://twitter.com/Cisaacsibille|http://legislative.isaac-sibille.fr</t>
  </si>
  <si>
    <t>http://www2.assemblee-nationale.fr/deputes/fiche/OMC_PA722374</t>
  </si>
  <si>
    <t>cyrille-isaac-sibille</t>
  </si>
  <si>
    <t>https://www.nosdeputes.fr/cyrille-isaac-sibille</t>
  </si>
  <si>
    <t>https://www.nosdeputes.fr/cyrille-isaac-sibille/csv</t>
  </si>
  <si>
    <t>Cisaacsibille</t>
  </si>
  <si>
    <t>Yannick Kerlogot</t>
  </si>
  <si>
    <t>Kerlogot</t>
  </si>
  <si>
    <t>Saint-Brieuc (Côtes-d'Armor)</t>
  </si>
  <si>
    <t>https://fr-fr.facebook.com/blogyannickkerlogot/|https://twitter.com/Kerlogot22</t>
  </si>
  <si>
    <t>Enseignant du 1er degré, directeur d'école</t>
  </si>
  <si>
    <t>http://www2.assemblee-nationale.fr/deputes/fiche/OMC_PA719230</t>
  </si>
  <si>
    <t>yannick-kerlogot</t>
  </si>
  <si>
    <t>https://www.nosdeputes.fr/yannick-kerlogot</t>
  </si>
  <si>
    <t>https://www.nosdeputes.fr/yannick-kerlogot/csv</t>
  </si>
  <si>
    <t>Kerlogot22</t>
  </si>
  <si>
    <t>Brigitte Kuster</t>
  </si>
  <si>
    <t>Kuster</t>
  </si>
  <si>
    <t>https://fr-fr.facebook.com/brigitte.kuster.9/|https://twitter.com/Brigitte_Kuster|http://www.brigittekuster.fr</t>
  </si>
  <si>
    <t>http://www2.assemblee-nationale.fr/deputes/fiche/OMC_PA721506</t>
  </si>
  <si>
    <t>brigitte-kuster</t>
  </si>
  <si>
    <t>https://www.nosdeputes.fr/brigitte-kuster</t>
  </si>
  <si>
    <t>https://www.nosdeputes.fr/brigitte-kuster/csv</t>
  </si>
  <si>
    <t>Brigitte_Kuster</t>
  </si>
  <si>
    <t>Charles de la Verpillière</t>
  </si>
  <si>
    <t>la Verpillière (de)</t>
  </si>
  <si>
    <t>Bourg-en-Bresse (Ain)</t>
  </si>
  <si>
    <t>http://www.charlesdelaverpilliere.com|https://fr-fr.facebook.com/charlesdelaverpilliere/|https://twitter.com/delaverpilliere</t>
  </si>
  <si>
    <t>Conseiller d'État</t>
  </si>
  <si>
    <t>http://www2.assemblee-nationale.fr/deputes/fiche/OMC_PA1012</t>
  </si>
  <si>
    <t>charles-de-la-verpilliere</t>
  </si>
  <si>
    <t>https://www.nosdeputes.fr/charles-de-la-verpilliere</t>
  </si>
  <si>
    <t>https://www.nosdeputes.fr/charles-de-la-verpilliere/csv</t>
  </si>
  <si>
    <t>delaverpilliere</t>
  </si>
  <si>
    <t>Valérie Lacroute</t>
  </si>
  <si>
    <t>Lacroute</t>
  </si>
  <si>
    <t>Chalon-sur-Saône (Saône-et-Loire)</t>
  </si>
  <si>
    <t>https://twitter.com/VLacroute|https://fr-fr.facebook.com/Valerie-Lacroute-475468509260044/|http://www.valerie-lacroute.fr</t>
  </si>
  <si>
    <t>http://www2.assemblee-nationale.fr/deputes/fiche/OMC_PA609245</t>
  </si>
  <si>
    <t>valerie-lacroute</t>
  </si>
  <si>
    <t>https://www.nosdeputes.fr/valerie-lacroute</t>
  </si>
  <si>
    <t>https://www.nosdeputes.fr/valerie-lacroute/csv</t>
  </si>
  <si>
    <t>VLacroute</t>
  </si>
  <si>
    <t>Jean-Luc Lagleize</t>
  </si>
  <si>
    <t>Lagleize</t>
  </si>
  <si>
    <t>Tarbes (Hautes-Pyrénées)</t>
  </si>
  <si>
    <t>http://www.jeanluclagleize.fr|https://twitter.com/jeanluclagleize|https://fr-fr.facebook.com/jeanluc.lagleize/</t>
  </si>
  <si>
    <t>Conseiller patrimonial</t>
  </si>
  <si>
    <t>http://www2.assemblee-nationale.fr/deputes/fiche/OMC_PA719504</t>
  </si>
  <si>
    <t>jean-luc-lagleize</t>
  </si>
  <si>
    <t>https://www.nosdeputes.fr/jean-luc-lagleize</t>
  </si>
  <si>
    <t>https://www.nosdeputes.fr/jean-luc-lagleize/csv</t>
  </si>
  <si>
    <t>jeanluclagleize</t>
  </si>
  <si>
    <t>Frédérique Lardet</t>
  </si>
  <si>
    <t>Lardet</t>
  </si>
  <si>
    <t>Frédérique</t>
  </si>
  <si>
    <t>Annecy (Haute-Savoie)</t>
  </si>
  <si>
    <t>http://www.frederiquelardet.fr|https://fr-fr.facebook.com/frederique.lardet/|https://twitter.com/F_Lardet</t>
  </si>
  <si>
    <t>http://www2.assemblee-nationale.fr/deputes/fiche/OMC_PA721434</t>
  </si>
  <si>
    <t>frederique-lardet</t>
  </si>
  <si>
    <t>https://www.nosdeputes.fr/frederique-lardet</t>
  </si>
  <si>
    <t>https://www.nosdeputes.fr/frederique-lardet/csv</t>
  </si>
  <si>
    <t>F_Lardet</t>
  </si>
  <si>
    <t>Michel Larive</t>
  </si>
  <si>
    <t>Larive</t>
  </si>
  <si>
    <t>Ariège</t>
  </si>
  <si>
    <t>https://twitter.com/Michel_Larive|https://fr-fr.facebook.com/FI.09.02/|http://www.michellarive2017.com|http://www.michellarive2017.fr</t>
  </si>
  <si>
    <t>http://www2.assemblee-nationale.fr/deputes/fiche/OMC_PA718868</t>
  </si>
  <si>
    <t>michel-larive</t>
  </si>
  <si>
    <t>https://www.nosdeputes.fr/michel-larive</t>
  </si>
  <si>
    <t>https://www.nosdeputes.fr/michel-larive/csv</t>
  </si>
  <si>
    <t>Michel_Larive</t>
  </si>
  <si>
    <t>Stéphane Le Foll</t>
  </si>
  <si>
    <t>Le Foll</t>
  </si>
  <si>
    <t>https://twitter.com/SLeFoll|http://www.stephane-lefoll-72.fr|https://www.facebook.com/lefoll/videos/1214154122017674</t>
  </si>
  <si>
    <t>http://www2.assemblee-nationale.fr/deputes/fiche/OMC_PA588886</t>
  </si>
  <si>
    <t>stephane-le-foll</t>
  </si>
  <si>
    <t>https://www.nosdeputes.fr/stephane-le-foll</t>
  </si>
  <si>
    <t>https://www.nosdeputes.fr/stephane-le-foll/csv</t>
  </si>
  <si>
    <t>SLeFoll</t>
  </si>
  <si>
    <t>Martine Leguille-Balloy</t>
  </si>
  <si>
    <t>Leguille-Balloy</t>
  </si>
  <si>
    <t>La Guerche (Cher)</t>
  </si>
  <si>
    <t>http://www.martineleguilleballoy.fr|https://twitter.com/LeguilleBalloy|https://fr-fr.facebook.com/LeguilleBalloy/</t>
  </si>
  <si>
    <t>http://www2.assemblee-nationale.fr/deputes/fiche/OMC_PA722008</t>
  </si>
  <si>
    <t>martine-leguille-balloy</t>
  </si>
  <si>
    <t>https://www.nosdeputes.fr/martine-leguille-balloy</t>
  </si>
  <si>
    <t>https://www.nosdeputes.fr/martine-leguille-balloy/csv</t>
  </si>
  <si>
    <t>LeguilleBalloy</t>
  </si>
  <si>
    <t>Richard Lioger</t>
  </si>
  <si>
    <t>Lioger</t>
  </si>
  <si>
    <t>Paris 10 (Paris)</t>
  </si>
  <si>
    <t>http://www.richardlioger.fr|https://twitter.com/LiogerRichard</t>
  </si>
  <si>
    <t>http://www2.assemblee-nationale.fr/deputes/fiche/OMC_PA720378</t>
  </si>
  <si>
    <t>richard-lioger</t>
  </si>
  <si>
    <t>https://www.nosdeputes.fr/richard-lioger</t>
  </si>
  <si>
    <t>https://www.nosdeputes.fr/richard-lioger/csv</t>
  </si>
  <si>
    <t>LiogerRichard</t>
  </si>
  <si>
    <t>Jacques Maire</t>
  </si>
  <si>
    <t>Maire</t>
  </si>
  <si>
    <t>Enghien Les Bains (Val-d'Oise)</t>
  </si>
  <si>
    <t>http://www.jacquesmaire.com|https://twitter.com/JMaireofficiel|https://fr-fr.facebook.com/JacquesMaireLREM/|http://www.jacquesmaire.fr</t>
  </si>
  <si>
    <t>http://www2.assemblee-nationale.fr/deputes/fiche/OMC_PA722178</t>
  </si>
  <si>
    <t>jacques-maire</t>
  </si>
  <si>
    <t>https://www.nosdeputes.fr/jacques-maire</t>
  </si>
  <si>
    <t>https://www.nosdeputes.fr/jacques-maire/csv</t>
  </si>
  <si>
    <t>JMaireofficiel</t>
  </si>
  <si>
    <t>Emmanuel Maquet</t>
  </si>
  <si>
    <t>Maquet</t>
  </si>
  <si>
    <t>Emmanuel</t>
  </si>
  <si>
    <t>Dieppe (Seine-Maritime)</t>
  </si>
  <si>
    <t>http://www.emmanuelmaquet.fr|https://twitter.com/emmanuel_maquet</t>
  </si>
  <si>
    <t>Agent général d'assurances</t>
  </si>
  <si>
    <t>http://www2.assemblee-nationale.fr/deputes/fiche/OMC_PA346054</t>
  </si>
  <si>
    <t>emmanuel-maquet</t>
  </si>
  <si>
    <t>https://www.nosdeputes.fr/emmanuel-maquet</t>
  </si>
  <si>
    <t>https://www.nosdeputes.fr/emmanuel-maquet/csv</t>
  </si>
  <si>
    <t>emmanuel_maquet</t>
  </si>
  <si>
    <t>Denis Masséglia</t>
  </si>
  <si>
    <t>Masséglia</t>
  </si>
  <si>
    <t>https://twitter.com/denis_Masseglia|http://denismasseglia.fr</t>
  </si>
  <si>
    <t>Ingénieur Arts et métiers</t>
  </si>
  <si>
    <t>http://www2.assemblee-nationale.fr/deputes/fiche/OMC_PA720146</t>
  </si>
  <si>
    <t>denis-masseglia</t>
  </si>
  <si>
    <t>https://www.nosdeputes.fr/denis-masseglia</t>
  </si>
  <si>
    <t>https://www.nosdeputes.fr/denis-masseglia/csv</t>
  </si>
  <si>
    <t>denis_Masseglia</t>
  </si>
  <si>
    <t>Ludovic Mendes</t>
  </si>
  <si>
    <t>Mendes</t>
  </si>
  <si>
    <t>https://twitter.com/LudovicMDS|https://www.ludovic-mendes.fr|https://en-marche.fr/article/communique-liste-investis</t>
  </si>
  <si>
    <t>http://www2.assemblee-nationale.fr/deputes/fiche/OMC_PA720370</t>
  </si>
  <si>
    <t>ludovic-mendes</t>
  </si>
  <si>
    <t>https://www.nosdeputes.fr/ludovic-mendes</t>
  </si>
  <si>
    <t>https://www.nosdeputes.fr/ludovic-mendes/csv</t>
  </si>
  <si>
    <t>LudovicMDS</t>
  </si>
  <si>
    <t>Philippe Michel-Kleisbauer</t>
  </si>
  <si>
    <t>Michel-Kleisbauer</t>
  </si>
  <si>
    <t>Draguignan (Var)</t>
  </si>
  <si>
    <t>https://fr-fr.facebook.com/philippemichelkleisbauer/|http://www.philippe-michel.fr|https://twitter.com/PhilippeMichelK</t>
  </si>
  <si>
    <t>http://www2.assemblee-nationale.fr/deputes/fiche/OMC_PA721734</t>
  </si>
  <si>
    <t>philippe-michel-kleisbauer</t>
  </si>
  <si>
    <t>https://www.nosdeputes.fr/philippe-michel-kleisbauer</t>
  </si>
  <si>
    <t>https://www.nosdeputes.fr/philippe-michel-kleisbauer/csv</t>
  </si>
  <si>
    <t>PhilippeMichelK</t>
  </si>
  <si>
    <t>Sandrine Mörch</t>
  </si>
  <si>
    <t>Mörch</t>
  </si>
  <si>
    <t>Sandrine</t>
  </si>
  <si>
    <t>Issy-les-Moulineaux (Hauts-de-Seine)</t>
  </si>
  <si>
    <t>https://twitter.com/SandrineMorch|https://fr-fr.facebook.com/SandrineMorch/|http://sandrinemorch.en-marche.fr</t>
  </si>
  <si>
    <t>http://www2.assemblee-nationale.fr/deputes/fiche/OMC_PA719456</t>
  </si>
  <si>
    <t>sandrine-moerch</t>
  </si>
  <si>
    <t>https://www.nosdeputes.fr/sandrine-moerch</t>
  </si>
  <si>
    <t>https://www.nosdeputes.fr/sandrine-moerch/csv</t>
  </si>
  <si>
    <t>SandrineMorch</t>
  </si>
  <si>
    <t>Sébastien Nadot</t>
  </si>
  <si>
    <t>Nadot</t>
  </si>
  <si>
    <t>Fleurance (Gers)</t>
  </si>
  <si>
    <t>https://sebastiennadot.fr|https://twitter.com/Sebastien_Nadot</t>
  </si>
  <si>
    <t>http://www2.assemblee-nationale.fr/deputes/fiche/OMC_PA719464</t>
  </si>
  <si>
    <t>sebastien-nadot</t>
  </si>
  <si>
    <t>https://www.nosdeputes.fr/sebastien-nadot</t>
  </si>
  <si>
    <t>https://www.nosdeputes.fr/sebastien-nadot/csv</t>
  </si>
  <si>
    <t>Sebastien_Nadot</t>
  </si>
  <si>
    <t>Jean-François Parigi</t>
  </si>
  <si>
    <t>Parigi</t>
  </si>
  <si>
    <t>Châtenay-Malabris (Hauts-de-Seine)</t>
  </si>
  <si>
    <t>http://www2.assemblee-nationale.fr/deputes/fiche/OMC_PA721636</t>
  </si>
  <si>
    <t>jean-francois-parigi</t>
  </si>
  <si>
    <t>https://www.nosdeputes.fr/jean-francois-parigi</t>
  </si>
  <si>
    <t>https://www.nosdeputes.fr/jean-francois-parigi/csv</t>
  </si>
  <si>
    <t>Éric Pauget</t>
  </si>
  <si>
    <t>Pauget</t>
  </si>
  <si>
    <t>Antibes (Alpes-Maritimes)</t>
  </si>
  <si>
    <t>https://twitter.com/EricPAUGET1|http://www.ericpauget.fr</t>
  </si>
  <si>
    <t>http://www2.assemblee-nationale.fr/deputes/fiche/OMC_PA718784</t>
  </si>
  <si>
    <t>eric-pauget</t>
  </si>
  <si>
    <t>https://www.nosdeputes.fr/eric-pauget</t>
  </si>
  <si>
    <t>https://www.nosdeputes.fr/eric-pauget/csv</t>
  </si>
  <si>
    <t>EricPAUGET1</t>
  </si>
  <si>
    <t>Alain Perea</t>
  </si>
  <si>
    <t>Perea</t>
  </si>
  <si>
    <t>http://www.alainperea.fr|https://fr-fr.facebook.com/pereaalain/|https://twitter.com/pereaalain</t>
  </si>
  <si>
    <t>http://www2.assemblee-nationale.fr/deputes/fiche/OMC_PA718802</t>
  </si>
  <si>
    <t>alain-perea</t>
  </si>
  <si>
    <t>https://www.nosdeputes.fr/alain-perea</t>
  </si>
  <si>
    <t>https://www.nosdeputes.fr/alain-perea/csv</t>
  </si>
  <si>
    <t>pereaalain</t>
  </si>
  <si>
    <t>Maud Petit</t>
  </si>
  <si>
    <t>Maud</t>
  </si>
  <si>
    <t>http://www.maudpetit2017.fr|https://fr-fr.facebook.com/Maud-Petit-la-République-En-Marche-186397495216968/|http://maud-petit.fr|https://twitter.com/MaudPetit_AN94</t>
  </si>
  <si>
    <t>http://www2.assemblee-nationale.fr/deputes/fiche/OMC_PA721234</t>
  </si>
  <si>
    <t>maud-petit</t>
  </si>
  <si>
    <t>https://www.nosdeputes.fr/maud-petit</t>
  </si>
  <si>
    <t>https://www.nosdeputes.fr/maud-petit/csv</t>
  </si>
  <si>
    <t>MaudPetit_AN94</t>
  </si>
  <si>
    <t>Sylvia Pinel</t>
  </si>
  <si>
    <t>Pinel</t>
  </si>
  <si>
    <t>Sylvia</t>
  </si>
  <si>
    <t>L'Union (Haute-Garonne)</t>
  </si>
  <si>
    <t>https://twitter.com/SylviaPinel|https://fr-fr.facebook.com/sylvia.pinel/|http://www.partiradicaldegauche.fr</t>
  </si>
  <si>
    <t>http://www2.assemblee-nationale.fr/deputes/fiche/OMC_PA336175</t>
  </si>
  <si>
    <t>sylvia-pinel</t>
  </si>
  <si>
    <t>https://www.nosdeputes.fr/sylvia-pinel</t>
  </si>
  <si>
    <t>https://www.nosdeputes.fr/sylvia-pinel/csv</t>
  </si>
  <si>
    <t>SylviaPinel</t>
  </si>
  <si>
    <t>Éric Poulliat</t>
  </si>
  <si>
    <t>Poulliat</t>
  </si>
  <si>
    <t>https://twitter.com/EPoulliat</t>
  </si>
  <si>
    <t>http://www2.assemblee-nationale.fr/deputes/fiche/OMC_PA719600</t>
  </si>
  <si>
    <t>eric-poulliat</t>
  </si>
  <si>
    <t>https://www.nosdeputes.fr/eric-poulliat</t>
  </si>
  <si>
    <t>https://www.nosdeputes.fr/eric-poulliat/csv</t>
  </si>
  <si>
    <t>EPoulliat</t>
  </si>
  <si>
    <t>Hugues Renson</t>
  </si>
  <si>
    <t>Renson</t>
  </si>
  <si>
    <t>Hugues</t>
  </si>
  <si>
    <t>Paris 15 (Paris)</t>
  </si>
  <si>
    <t>https://twitter.com/huguesrenson</t>
  </si>
  <si>
    <t>http://www2.assemblee-nationale.fr/deputes/fiche/OMC_PA721824</t>
  </si>
  <si>
    <t>hugues-renson</t>
  </si>
  <si>
    <t>https://www.nosdeputes.fr/hugues-renson</t>
  </si>
  <si>
    <t>https://www.nosdeputes.fr/hugues-renson/csv</t>
  </si>
  <si>
    <t>huguesrenson</t>
  </si>
  <si>
    <t>Vincent Rolland</t>
  </si>
  <si>
    <t>Rolland</t>
  </si>
  <si>
    <t>Moutiers (Savoie)</t>
  </si>
  <si>
    <t>https://twitter.com/VRolland73</t>
  </si>
  <si>
    <t>http://www2.assemblee-nationale.fr/deputes/fiche/OMC_PA266808</t>
  </si>
  <si>
    <t>vincent-rolland</t>
  </si>
  <si>
    <t>https://www.nosdeputes.fr/vincent-rolland</t>
  </si>
  <si>
    <t>https://www.nosdeputes.fr/vincent-rolland/csv</t>
  </si>
  <si>
    <t>VRolland73</t>
  </si>
  <si>
    <t>Martial Saddier</t>
  </si>
  <si>
    <t>Saddier</t>
  </si>
  <si>
    <t>Martial</t>
  </si>
  <si>
    <t>https://twitter.com/MartialSaddier|http://www.martial-saddier.fr|https://fr-fr.facebook.com/martial.saddier.9/</t>
  </si>
  <si>
    <t>Ancien cadre à la Chambre d'agriculture d'Annecy</t>
  </si>
  <si>
    <t>http://www2.assemblee-nationale.fr/deputes/fiche/OMC_PA267527</t>
  </si>
  <si>
    <t>martial-saddier</t>
  </si>
  <si>
    <t>https://www.nosdeputes.fr/martial-saddier</t>
  </si>
  <si>
    <t>https://www.nosdeputes.fr/martial-saddier/csv</t>
  </si>
  <si>
    <t>MartialSaddier</t>
  </si>
  <si>
    <t>Hervé Saulignac</t>
  </si>
  <si>
    <t>Saulignac</t>
  </si>
  <si>
    <t>Privas (Ardèche)</t>
  </si>
  <si>
    <t>http://www.hervesaulignac.fr|https://twitter.com/hsaulignac|https://fr-fr.facebook.com/herve.saulignac/</t>
  </si>
  <si>
    <t>http://www2.assemblee-nationale.fr/deputes/fiche/OMC_PA340343</t>
  </si>
  <si>
    <t>herve-saulignac</t>
  </si>
  <si>
    <t>https://www.nosdeputes.fr/herve-saulignac</t>
  </si>
  <si>
    <t>https://www.nosdeputes.fr/herve-saulignac/csv</t>
  </si>
  <si>
    <t>hsaulignac</t>
  </si>
  <si>
    <t>Bruno Studer</t>
  </si>
  <si>
    <t>Studer</t>
  </si>
  <si>
    <t>https://fr-fr.facebook.com/BrunoStuder67/|https://twitter.com/brunostuder67|http://www.studer2017.fr</t>
  </si>
  <si>
    <t>http://www2.assemblee-nationale.fr/deputes/fiche/OMC_PA720754</t>
  </si>
  <si>
    <t>bruno-studer</t>
  </si>
  <si>
    <t>https://www.nosdeputes.fr/bruno-studer</t>
  </si>
  <si>
    <t>https://www.nosdeputes.fr/bruno-studer/csv</t>
  </si>
  <si>
    <t>brunostuder67</t>
  </si>
  <si>
    <t>Bénédicte Taurine</t>
  </si>
  <si>
    <t>Taurine</t>
  </si>
  <si>
    <t>Lavelanet (Ariège)</t>
  </si>
  <si>
    <t>https://lafranceinsoumise.fr|https://twitter.com/BenedictTaurine</t>
  </si>
  <si>
    <t>http://www2.assemblee-nationale.fr/deputes/fiche/OMC_PA718860</t>
  </si>
  <si>
    <t>benedicte-taurine</t>
  </si>
  <si>
    <t>https://www.nosdeputes.fr/benedicte-taurine</t>
  </si>
  <si>
    <t>https://www.nosdeputes.fr/benedicte-taurine/csv</t>
  </si>
  <si>
    <t>BenedictTaurine</t>
  </si>
  <si>
    <t>Jennifer De Temmerman</t>
  </si>
  <si>
    <t>Temmerman (De)</t>
  </si>
  <si>
    <t>Jennifer</t>
  </si>
  <si>
    <t>https://fr-fr.facebook.com/JenniferDeTemmermanXVNord/</t>
  </si>
  <si>
    <t>http://www2.assemblee-nationale.fr/deputes/fiche/OMC_PA720538</t>
  </si>
  <si>
    <t>jennifer-de-temmerman</t>
  </si>
  <si>
    <t>https://www.nosdeputes.fr/jennifer-de-temmerman</t>
  </si>
  <si>
    <t>https://www.nosdeputes.fr/jennifer-de-temmerman/csv</t>
  </si>
  <si>
    <t>Sylvain Waserman</t>
  </si>
  <si>
    <t>Waserman</t>
  </si>
  <si>
    <t>Paris 07 (Paris)</t>
  </si>
  <si>
    <t>https://twitter.com/SylvainWaserman|http://www.sylvainwaserman.fr|https://fr-fr.facebook.com/wasermansylvain/|http://www.sylvainwaserman.com</t>
  </si>
  <si>
    <t>http://www2.assemblee-nationale.fr/deputes/fiche/OMC_PA720746</t>
  </si>
  <si>
    <t>sylvain-waserman</t>
  </si>
  <si>
    <t>https://www.nosdeputes.fr/sylvain-waserman</t>
  </si>
  <si>
    <t>https://www.nosdeputes.fr/sylvain-waserman/csv</t>
  </si>
  <si>
    <t>SylvainWaserman</t>
  </si>
  <si>
    <t>Aude Amadou</t>
  </si>
  <si>
    <t>Amadou</t>
  </si>
  <si>
    <t>Coutances (Manche)</t>
  </si>
  <si>
    <t>https://twitter.com/AudeAmadou|https://fr-fr.facebook.com/AmadouAude/|https://fr-fr.facebook.com/AudeAmadou2017</t>
  </si>
  <si>
    <t>Ex-sportive de haut niveau</t>
  </si>
  <si>
    <t>http://www2.assemblee-nationale.fr/deputes/fiche/OMC_PA720124</t>
  </si>
  <si>
    <t>aude-amadou</t>
  </si>
  <si>
    <t>https://www.nosdeputes.fr/aude-amadou</t>
  </si>
  <si>
    <t>https://www.nosdeputes.fr/aude-amadou/csv</t>
  </si>
  <si>
    <t>AudeAmadou</t>
  </si>
  <si>
    <t>Emmanuelle Anthoine</t>
  </si>
  <si>
    <t>Anthoine</t>
  </si>
  <si>
    <t>Saint-Vallier (Drôme)</t>
  </si>
  <si>
    <t>https://fr-fr.facebook.com/emmanuelle.anthoine.1/|https://twitter.com/eanthoine26</t>
  </si>
  <si>
    <t>http://www2.assemblee-nationale.fr/deputes/fiche/OMC_PA719318</t>
  </si>
  <si>
    <t>emmanuelle-anthoine</t>
  </si>
  <si>
    <t>https://www.nosdeputes.fr/emmanuelle-anthoine</t>
  </si>
  <si>
    <t>https://www.nosdeputes.fr/emmanuelle-anthoine/csv</t>
  </si>
  <si>
    <t>eanthoine26</t>
  </si>
  <si>
    <t>Laetitia Avia</t>
  </si>
  <si>
    <t>Avia</t>
  </si>
  <si>
    <t>Laetitia</t>
  </si>
  <si>
    <t>Livry-Gargan (Seine-Saint-Denis)</t>
  </si>
  <si>
    <t>https://fr-fr.facebook.com/LaetitiaAviaLegislatives/|http://www.laetitia-avia.fr|https://twitter.com/LaetitiaAvia|http://www.laetitia-deputee.com</t>
  </si>
  <si>
    <t>http://www2.assemblee-nationale.fr/deputes/fiche/OMC_PA721624</t>
  </si>
  <si>
    <t>laetitia-avia</t>
  </si>
  <si>
    <t>https://www.nosdeputes.fr/laetitia-avia</t>
  </si>
  <si>
    <t>https://www.nosdeputes.fr/laetitia-avia/csv</t>
  </si>
  <si>
    <t>LaetitiaAvia</t>
  </si>
  <si>
    <t>Frédéric Barbier</t>
  </si>
  <si>
    <t>Barbier</t>
  </si>
  <si>
    <t>http://www.fredericbarbier.fr|https://twitter.com/Fred_Barbier</t>
  </si>
  <si>
    <t>Cadre en entreprise</t>
  </si>
  <si>
    <t>http://www2.assemblee-nationale.fr/deputes/fiche/OMC_PA642724</t>
  </si>
  <si>
    <t>frederic-barbier</t>
  </si>
  <si>
    <t>https://www.nosdeputes.fr/frederic-barbier</t>
  </si>
  <si>
    <t>https://www.nosdeputes.fr/frederic-barbier/csv</t>
  </si>
  <si>
    <t>Fred_Barbier</t>
  </si>
  <si>
    <t>Valérie Beauvais</t>
  </si>
  <si>
    <t>Beauvais</t>
  </si>
  <si>
    <t>https://fr-fr.facebook.com/valeriebeauvais2017/|https://twitter.com/valbeauvais</t>
  </si>
  <si>
    <t>http://www2.assemblee-nationale.fr/deputes/fiche/OMC_PA720210</t>
  </si>
  <si>
    <t>valerie-beauvais</t>
  </si>
  <si>
    <t>https://www.nosdeputes.fr/valerie-beauvais</t>
  </si>
  <si>
    <t>https://www.nosdeputes.fr/valerie-beauvais/csv</t>
  </si>
  <si>
    <t>valbeauvais</t>
  </si>
  <si>
    <t>Anne Blanc</t>
  </si>
  <si>
    <t>Blanc</t>
  </si>
  <si>
    <t>Anne</t>
  </si>
  <si>
    <t>https://fr-fr.facebook.com/AnneBlancOfficiel/|https://twitter.com/AnneBlanc_12</t>
  </si>
  <si>
    <t>Infirmière diplômée d'Etat</t>
  </si>
  <si>
    <t>http://www2.assemblee-nationale.fr/deputes/fiche/OMC_PA718990</t>
  </si>
  <si>
    <t>anne-blanc</t>
  </si>
  <si>
    <t>https://www.nosdeputes.fr/anne-blanc</t>
  </si>
  <si>
    <t>https://www.nosdeputes.fr/anne-blanc/csv</t>
  </si>
  <si>
    <t>AnneBlanc_12</t>
  </si>
  <si>
    <t>Pascal Bois</t>
  </si>
  <si>
    <t>Bois</t>
  </si>
  <si>
    <t>Pascal</t>
  </si>
  <si>
    <t>https://twitter.com/PascalBoisLaREM|https://fr-fr.facebook.com/pascal.bois/|http://www.pascalbois.fr</t>
  </si>
  <si>
    <t>http://www2.assemblee-nationale.fr/deputes/fiche/OMC_PA720576</t>
  </si>
  <si>
    <t>pascal-bois</t>
  </si>
  <si>
    <t>https://www.nosdeputes.fr/pascal-bois</t>
  </si>
  <si>
    <t>https://www.nosdeputes.fr/pascal-bois/csv</t>
  </si>
  <si>
    <t>PascalBoisLaREM</t>
  </si>
  <si>
    <t>Anne Brugnera</t>
  </si>
  <si>
    <t>Brugnera</t>
  </si>
  <si>
    <t>Versailles (Yvelines)</t>
  </si>
  <si>
    <t>http://www.annebrugnera.fr|https://twitter.com/AnneBrugnera|https://fr-fr.facebook.com/Anne-Brugnera/</t>
  </si>
  <si>
    <t>http://www2.assemblee-nationale.fr/deputes/fiche/OMC_PA721328</t>
  </si>
  <si>
    <t>anne-brugnera</t>
  </si>
  <si>
    <t>https://www.nosdeputes.fr/anne-brugnera</t>
  </si>
  <si>
    <t>https://www.nosdeputes.fr/anne-brugnera/csv</t>
  </si>
  <si>
    <t>AnneBrugnera</t>
  </si>
  <si>
    <t>Danielle Brulebois</t>
  </si>
  <si>
    <t>Brulebois</t>
  </si>
  <si>
    <t>Danielle</t>
  </si>
  <si>
    <t>Longwy sur le Doubs (Jura)</t>
  </si>
  <si>
    <t>https://fr-fr.facebook.com/daniellebrulebois/|https://twitter.com/dbrulebois|http://www.daniellebrulebois.fr|http://www.brulebois2017en-marche.fr</t>
  </si>
  <si>
    <t>Retraitée de l'enseignement</t>
  </si>
  <si>
    <t>http://www2.assemblee-nationale.fr/deputes/fiche/OMC_PA719890</t>
  </si>
  <si>
    <t>danielle-brulebois</t>
  </si>
  <si>
    <t>https://www.nosdeputes.fr/danielle-brulebois</t>
  </si>
  <si>
    <t>https://www.nosdeputes.fr/danielle-brulebois/csv</t>
  </si>
  <si>
    <t>dbrulebois</t>
  </si>
  <si>
    <t>Stéphane Buchou</t>
  </si>
  <si>
    <t>Buchou</t>
  </si>
  <si>
    <t>https://fr-fr.facebook.com/Buchouassembleenationale/|https://twitter.com/StephaneBuchou|https://www.facebook.com/StephaneBuchouDepute</t>
  </si>
  <si>
    <t>http://www2.assemblee-nationale.fr/deputes/fiche/OMC_PA722000</t>
  </si>
  <si>
    <t>stephane-buchou</t>
  </si>
  <si>
    <t>https://www.nosdeputes.fr/stephane-buchou</t>
  </si>
  <si>
    <t>https://www.nosdeputes.fr/stephane-buchou/csv</t>
  </si>
  <si>
    <t>StephaneBuchou</t>
  </si>
  <si>
    <t>Lionel Causse</t>
  </si>
  <si>
    <t>Causse</t>
  </si>
  <si>
    <t>Lionel</t>
  </si>
  <si>
    <t>http://www2.assemblee-nationale.fr/deputes/fiche/OMC_PA719922</t>
  </si>
  <si>
    <t>lionel-causse</t>
  </si>
  <si>
    <t>https://www.nosdeputes.fr/lionel-causse</t>
  </si>
  <si>
    <t>https://www.nosdeputes.fr/lionel-causse/csv</t>
  </si>
  <si>
    <t>Jean-François Cesarini</t>
  </si>
  <si>
    <t>Cesarini</t>
  </si>
  <si>
    <t>https://fr-fr.facebook.com/Jean-Francois-Cesarini-Souad-Zitouni-1960230264254661/|https://twitter.com/JFCesarini</t>
  </si>
  <si>
    <t>http://www2.assemblee-nationale.fr/deputes/fiche/OMC_PA721860</t>
  </si>
  <si>
    <t>jean-francois-cesarini</t>
  </si>
  <si>
    <t>https://www.nosdeputes.fr/jean-francois-cesarini</t>
  </si>
  <si>
    <t>https://www.nosdeputes.fr/jean-francois-cesarini/csv</t>
  </si>
  <si>
    <t>JFCesarini</t>
  </si>
  <si>
    <t>Sylvie Charrière</t>
  </si>
  <si>
    <t>Charrière</t>
  </si>
  <si>
    <t>Sylvie</t>
  </si>
  <si>
    <t>Montreuil-sous-Bois (Seine-Saint-Denis)</t>
  </si>
  <si>
    <t>http://sylviecharriere.fr|https://twitter.com/SylvieCharriere|https://fr-fr.facebook.com/LREMSylvieCharriere/</t>
  </si>
  <si>
    <t>http://www2.assemblee-nationale.fr/deputes/fiche/OMC_PA721218</t>
  </si>
  <si>
    <t>sylvie-charriere</t>
  </si>
  <si>
    <t>https://www.nosdeputes.fr/sylvie-charriere</t>
  </si>
  <si>
    <t>https://www.nosdeputes.fr/sylvie-charriere/csv</t>
  </si>
  <si>
    <t>SylvieCharriere</t>
  </si>
  <si>
    <t>Fannette Charvier</t>
  </si>
  <si>
    <t>Charvier</t>
  </si>
  <si>
    <t>Fannette</t>
  </si>
  <si>
    <t>http://www.fanettecharvier.fr|https://fr-fr.facebook.com/FannetteCharvier/|https://twitter.com/F_Charvier|http://www.fannettecharvier.com</t>
  </si>
  <si>
    <t>Employée (autres entreprises publiques)</t>
  </si>
  <si>
    <t>http://www2.assemblee-nationale.fr/deputes/fiche/OMC_PA719170</t>
  </si>
  <si>
    <t>fannette-charvier</t>
  </si>
  <si>
    <t>https://www.nosdeputes.fr/fannette-charvier</t>
  </si>
  <si>
    <t>https://www.nosdeputes.fr/fannette-charvier/csv</t>
  </si>
  <si>
    <t>F_Charvier</t>
  </si>
  <si>
    <t>Gérard Cherpion</t>
  </si>
  <si>
    <t>Cherpion</t>
  </si>
  <si>
    <t>Dombasle-sur-Meurthe (Meurthe-et-Moselle)</t>
  </si>
  <si>
    <t>http://www.gerard-cherpion.fr|https://twitter.com/GerardCherpion</t>
  </si>
  <si>
    <t>http://www2.assemblee-nationale.fr/deputes/fiche/OMC_PA856</t>
  </si>
  <si>
    <t>gerard-cherpion</t>
  </si>
  <si>
    <t>https://www.nosdeputes.fr/gerard-cherpion</t>
  </si>
  <si>
    <t>https://www.nosdeputes.fr/gerard-cherpion/csv</t>
  </si>
  <si>
    <t>GerardCherpion</t>
  </si>
  <si>
    <t>Mireille Clapot</t>
  </si>
  <si>
    <t>Clapot</t>
  </si>
  <si>
    <t>https://fr-fr.facebook.com/CLAPOTMireille/|https://twitter.com/clapotmireille|http://www.mireilleclapot.fr</t>
  </si>
  <si>
    <t>http://www2.assemblee-nationale.fr/deputes/fiche/OMC_PA719294</t>
  </si>
  <si>
    <t>mireille-clapot</t>
  </si>
  <si>
    <t>https://www.nosdeputes.fr/mireille-clapot</t>
  </si>
  <si>
    <t>https://www.nosdeputes.fr/mireille-clapot/csv</t>
  </si>
  <si>
    <t>clapotmireille</t>
  </si>
  <si>
    <t>Béatrice Descamps</t>
  </si>
  <si>
    <t>Descamps</t>
  </si>
  <si>
    <t>Béatrice</t>
  </si>
  <si>
    <t>Enseignant 1er deg.-directeur école</t>
  </si>
  <si>
    <t>http://www2.assemblee-nationale.fr/deputes/fiche/OMC_PA720696</t>
  </si>
  <si>
    <t>beatrice-descamps</t>
  </si>
  <si>
    <t>https://www.nosdeputes.fr/beatrice-descamps</t>
  </si>
  <si>
    <t>https://www.nosdeputes.fr/beatrice-descamps/csv</t>
  </si>
  <si>
    <t>Éric Diard</t>
  </si>
  <si>
    <t>Diard</t>
  </si>
  <si>
    <t>https://fr-fr.facebook.com/eric.diard.3/|http://www.ericdiard.fr|https://twitter.com/DiardEric</t>
  </si>
  <si>
    <t>http://www2.assemblee-nationale.fr/deputes/fiche/OMC_PA267440</t>
  </si>
  <si>
    <t>eric-diard</t>
  </si>
  <si>
    <t>https://www.nosdeputes.fr/eric-diard</t>
  </si>
  <si>
    <t>https://www.nosdeputes.fr/eric-diard/csv</t>
  </si>
  <si>
    <t>DiardEric</t>
  </si>
  <si>
    <t>Jean-Baptiste Djebbari</t>
  </si>
  <si>
    <t>Djebbari</t>
  </si>
  <si>
    <t>https://twitter.com/Djebbari_JB|https://fr-fr.facebook.com/Jean-Baptiste-Djebbari/|https://jeanbaptistedjebbari.en-marche.fr</t>
  </si>
  <si>
    <t>http://www2.assemblee-nationale.fr/deputes/fiche/OMC_PA722236</t>
  </si>
  <si>
    <t>jean-baptiste-djebbari</t>
  </si>
  <si>
    <t>https://www.nosdeputes.fr/jean-baptiste-djebbari</t>
  </si>
  <si>
    <t>https://www.nosdeputes.fr/jean-baptiste-djebbari/csv</t>
  </si>
  <si>
    <t>Djebbari_JB</t>
  </si>
  <si>
    <t>Loïc Dombreval</t>
  </si>
  <si>
    <t>Dombreval</t>
  </si>
  <si>
    <t>https://twitter.com/loicdombreval|http://www.dombreval2017.fr</t>
  </si>
  <si>
    <t>http://www2.assemblee-nationale.fr/deputes/fiche/OMC_PA718894</t>
  </si>
  <si>
    <t>loic-dombreval</t>
  </si>
  <si>
    <t>https://www.nosdeputes.fr/loic-dombreval</t>
  </si>
  <si>
    <t>https://www.nosdeputes.fr/loic-dombreval/csv</t>
  </si>
  <si>
    <t>loicdombreval</t>
  </si>
  <si>
    <t>Jacqueline Dubois</t>
  </si>
  <si>
    <t>Dubois</t>
  </si>
  <si>
    <t>Jacqueline</t>
  </si>
  <si>
    <t>Fréjus (Var)</t>
  </si>
  <si>
    <t>https://twitter.com/jacqlinedubois|https://fr-fr.facebook.com/jacqueline.dubois.319/|https://www.facebook.com/jacquelineduboisdeputee</t>
  </si>
  <si>
    <t>http://www2.assemblee-nationale.fr/deputes/fiche/OMC_PA719162</t>
  </si>
  <si>
    <t>jacqueline-dubois</t>
  </si>
  <si>
    <t>https://www.nosdeputes.fr/jacqueline-dubois</t>
  </si>
  <si>
    <t>https://www.nosdeputes.fr/jacqueline-dubois/csv</t>
  </si>
  <si>
    <t>jacqlinedubois</t>
  </si>
  <si>
    <t>Coralie Dubost</t>
  </si>
  <si>
    <t>Dubost</t>
  </si>
  <si>
    <t>Coralie</t>
  </si>
  <si>
    <t>http://www.coraliedubost.fr|https://twitter.com/CoDubost</t>
  </si>
  <si>
    <t>http://www2.assemblee-nationale.fr/deputes/fiche/OMC_PA719684</t>
  </si>
  <si>
    <t>coralie-dubost</t>
  </si>
  <si>
    <t>https://www.nosdeputes.fr/coralie-dubost</t>
  </si>
  <si>
    <t>https://www.nosdeputes.fr/coralie-dubost/csv</t>
  </si>
  <si>
    <t>CoDubost</t>
  </si>
  <si>
    <t>Frédérique Dumas</t>
  </si>
  <si>
    <t>Dumas</t>
  </si>
  <si>
    <t>Paris 20ème (Paris)</t>
  </si>
  <si>
    <t>https://fr-fr.facebook.com/FrederiqueDumasLREM/|https://twitter.com/dumasfrederique|http://www.frederiquedumas2017.fr|http://www.frederiquedumas.fr</t>
  </si>
  <si>
    <t>http://www2.assemblee-nationale.fr/deputes/fiche/OMC_PA721194</t>
  </si>
  <si>
    <t>frederique-dumas</t>
  </si>
  <si>
    <t>https://www.nosdeputes.fr/frederique-dumas</t>
  </si>
  <si>
    <t>https://www.nosdeputes.fr/frederique-dumas/csv</t>
  </si>
  <si>
    <t>dumasfrederique</t>
  </si>
  <si>
    <t>Élise Fajgeles</t>
  </si>
  <si>
    <t>Fajgeles</t>
  </si>
  <si>
    <t>Élise</t>
  </si>
  <si>
    <t>Sartrouville (Yvelines)</t>
  </si>
  <si>
    <t>https://twitter.com/EliseFajgeles|https://fr-fr.facebook.com/FajgelesElise/|http://elisefajgeles.fr</t>
  </si>
  <si>
    <t>Juriste au ministère de la Culture ; Avocate</t>
  </si>
  <si>
    <t>http://www2.assemblee-nationale.fr/deputes/fiche/OMC_PA721564</t>
  </si>
  <si>
    <t>elise-fajgeles</t>
  </si>
  <si>
    <t>https://www.nosdeputes.fr/elise-fajgeles</t>
  </si>
  <si>
    <t>https://www.nosdeputes.fr/elise-fajgeles/csv</t>
  </si>
  <si>
    <t>EliseFajgeles</t>
  </si>
  <si>
    <t>Michel Fanget</t>
  </si>
  <si>
    <t>Fanget</t>
  </si>
  <si>
    <t>https://twitter.com/michelfanget</t>
  </si>
  <si>
    <t>Cardiologue</t>
  </si>
  <si>
    <t>http://www2.assemblee-nationale.fr/deputes/fiche/OMC_PA1276</t>
  </si>
  <si>
    <t>michel-fanget</t>
  </si>
  <si>
    <t>https://www.nosdeputes.fr/michel-fanget</t>
  </si>
  <si>
    <t>https://www.nosdeputes.fr/michel-fanget/csv</t>
  </si>
  <si>
    <t>michelfanget</t>
  </si>
  <si>
    <t>Agnès Firmin Le Bodo</t>
  </si>
  <si>
    <t>Firmin Le Bodo</t>
  </si>
  <si>
    <t>https://twitter.com/agnesfirmin</t>
  </si>
  <si>
    <t>http://www2.assemblee-nationale.fr/deputes/fiche/OMC_PA267780</t>
  </si>
  <si>
    <t>agnes-firmin-le-bodo</t>
  </si>
  <si>
    <t>https://www.nosdeputes.fr/agnes-firmin-le-bodo</t>
  </si>
  <si>
    <t>https://www.nosdeputes.fr/agnes-firmin-le-bodo/csv</t>
  </si>
  <si>
    <t>agnesfirmin</t>
  </si>
  <si>
    <t>Emmanuelle Fontaine-Domeizel</t>
  </si>
  <si>
    <t>Fontaine-Domeizel</t>
  </si>
  <si>
    <t>Manosque (Alpes-de-Haute-Provence)</t>
  </si>
  <si>
    <t>https://fr-fr.facebook.com/emmanuelle.fontaine.domeizel/</t>
  </si>
  <si>
    <t>Infirmière libérale</t>
  </si>
  <si>
    <t>http://www2.assemblee-nationale.fr/deputes/fiche/OMC_PA718706</t>
  </si>
  <si>
    <t>emmanuelle-fontaine-domeizel</t>
  </si>
  <si>
    <t>https://www.nosdeputes.fr/emmanuelle-fontaine-domeizel</t>
  </si>
  <si>
    <t>https://www.nosdeputes.fr/emmanuelle-fontaine-domeizel/csv</t>
  </si>
  <si>
    <t>Pascale Fontenel-Personne</t>
  </si>
  <si>
    <t>Fontenel-Personne</t>
  </si>
  <si>
    <t>https://twitter.com/f_personne|https://fr-fr.facebook.com/fontenelpersonne/</t>
  </si>
  <si>
    <t>http://www2.assemblee-nationale.fr/deputes/fiche/OMC_PA721384</t>
  </si>
  <si>
    <t>pascale-fontenel-personne</t>
  </si>
  <si>
    <t>https://www.nosdeputes.fr/pascale-fontenel-personne</t>
  </si>
  <si>
    <t>https://www.nosdeputes.fr/pascale-fontenel-personne/csv</t>
  </si>
  <si>
    <t>f_personne</t>
  </si>
  <si>
    <t>Laurent Furst</t>
  </si>
  <si>
    <t>Furst</t>
  </si>
  <si>
    <t>https://fr-fr.facebook.com/profile.php?id=100008830864450/|http://www.laurentfurst.fr</t>
  </si>
  <si>
    <t>Directeur d'hôpital</t>
  </si>
  <si>
    <t>http://www2.assemblee-nationale.fr/deputes/fiche/OMC_PA266774</t>
  </si>
  <si>
    <t>laurent-furst</t>
  </si>
  <si>
    <t>https://www.nosdeputes.fr/laurent-furst</t>
  </si>
  <si>
    <t>https://www.nosdeputes.fr/laurent-furst/csv</t>
  </si>
  <si>
    <t>Claude de Ganay</t>
  </si>
  <si>
    <t>Ganay (de)</t>
  </si>
  <si>
    <t>https://fr-fr.facebook.com/claudedeGanay/|http://www.claudedeganay.fr|https://twitter.com/Cdganay</t>
  </si>
  <si>
    <t>http://www2.assemblee-nationale.fr/deputes/fiche/OMC_PA267735</t>
  </si>
  <si>
    <t>claude-de-ganay</t>
  </si>
  <si>
    <t>https://www.nosdeputes.fr/claude-de-ganay</t>
  </si>
  <si>
    <t>https://www.nosdeputes.fr/claude-de-ganay/csv</t>
  </si>
  <si>
    <t>Cdganay</t>
  </si>
  <si>
    <t>Thomas Gassilloud</t>
  </si>
  <si>
    <t>Gassilloud</t>
  </si>
  <si>
    <t>Saint-Symphorien-sur-Coise (Rhône)</t>
  </si>
  <si>
    <t>https://twitter.com/tgassilloud|https://fr-fr.facebook.com/ThomasGassilloud/</t>
  </si>
  <si>
    <t>http://www2.assemblee-nationale.fr/deputes/fiche/OMC_PA722358</t>
  </si>
  <si>
    <t>thomas-gassilloud</t>
  </si>
  <si>
    <t>https://www.nosdeputes.fr/thomas-gassilloud</t>
  </si>
  <si>
    <t>https://www.nosdeputes.fr/thomas-gassilloud/csv</t>
  </si>
  <si>
    <t>tgassilloud</t>
  </si>
  <si>
    <t>Laurence Gayte</t>
  </si>
  <si>
    <t>Gayte</t>
  </si>
  <si>
    <t>https://twitter.com/laurencegayte|https://fr-fr.facebook.com/GayteLaurence/</t>
  </si>
  <si>
    <t>http://www2.assemblee-nationale.fr/deputes/fiche/OMC_PA720806</t>
  </si>
  <si>
    <t>laurence-gayte</t>
  </si>
  <si>
    <t>https://www.nosdeputes.fr/laurence-gayte</t>
  </si>
  <si>
    <t>https://www.nosdeputes.fr/laurence-gayte/csv</t>
  </si>
  <si>
    <t>laurencegayte</t>
  </si>
  <si>
    <t>Éric Girardin</t>
  </si>
  <si>
    <t>Girardin</t>
  </si>
  <si>
    <t>Sézanne (Marne)</t>
  </si>
  <si>
    <t>https://twitter.com/GirardinEric</t>
  </si>
  <si>
    <t>http://www2.assemblee-nationale.fr/deputes/fiche/OMC_PA720222</t>
  </si>
  <si>
    <t>eric-girardin</t>
  </si>
  <si>
    <t>https://www.nosdeputes.fr/eric-girardin</t>
  </si>
  <si>
    <t>https://www.nosdeputes.fr/eric-girardin/csv</t>
  </si>
  <si>
    <t>GirardinEric</t>
  </si>
  <si>
    <t>Guillaume Gouffier-Cha</t>
  </si>
  <si>
    <t>Gouffier-Cha</t>
  </si>
  <si>
    <t>https://fr-fr.facebook.com/GouffierChaLegislatives/|https://twitter.com/g_gouffiercha</t>
  </si>
  <si>
    <t>Manager public</t>
  </si>
  <si>
    <t>http://www2.assemblee-nationale.fr/deputes/fiche/OMC_PA721296</t>
  </si>
  <si>
    <t>guillaume-gouffier-cha</t>
  </si>
  <si>
    <t>https://www.nosdeputes.fr/guillaume-gouffier-cha</t>
  </si>
  <si>
    <t>https://www.nosdeputes.fr/guillaume-gouffier-cha/csv</t>
  </si>
  <si>
    <t>g_gouffiercha</t>
  </si>
  <si>
    <t>Fabien Gouttefarde</t>
  </si>
  <si>
    <t>Gouttefarde</t>
  </si>
  <si>
    <t>https://fr-fr.facebook.com/FGouttefarde/|https://twitter.com/FGouttefarde|https://twitter.com/FabienGoutte|https://www.facebook.com/Gouttefarde2017</t>
  </si>
  <si>
    <t>http://www2.assemblee-nationale.fr/deputes/fiche/OMC_PA719330</t>
  </si>
  <si>
    <t>fabien-gouttefarde</t>
  </si>
  <si>
    <t>https://www.nosdeputes.fr/fabien-gouttefarde</t>
  </si>
  <si>
    <t>https://www.nosdeputes.fr/fabien-gouttefarde/csv</t>
  </si>
  <si>
    <t>FabienGoutte</t>
  </si>
  <si>
    <t>Jacques Krabal</t>
  </si>
  <si>
    <t>Krabal</t>
  </si>
  <si>
    <t>Epieds (Aisne)</t>
  </si>
  <si>
    <t>https://twitter.com/JKrabal|http://www.jacqueskrabal.com</t>
  </si>
  <si>
    <t>Retraité de l'enseignement</t>
  </si>
  <si>
    <t>http://www2.assemblee-nationale.fr/deputes/fiche/OMC_PA605084</t>
  </si>
  <si>
    <t>jacques-krabal</t>
  </si>
  <si>
    <t>https://www.nosdeputes.fr/jacques-krabal</t>
  </si>
  <si>
    <t>https://www.nosdeputes.fr/jacques-krabal/csv</t>
  </si>
  <si>
    <t>JKrabal</t>
  </si>
  <si>
    <t>Mustapha Laabid</t>
  </si>
  <si>
    <t>Laabid</t>
  </si>
  <si>
    <t>Mustapha</t>
  </si>
  <si>
    <t>https://twitter.com/mustapha_laabid|https://en-marche.fr/comites/f34d2568-08ff-5d83-8601-ccccc2b292b9/rennes-sud</t>
  </si>
  <si>
    <t>Directeur de fondation</t>
  </si>
  <si>
    <t>http://www2.assemblee-nationale.fr/deputes/fiche/OMC_PA719842</t>
  </si>
  <si>
    <t>mustapha-laabid</t>
  </si>
  <si>
    <t>https://www.nosdeputes.fr/mustapha-laabid</t>
  </si>
  <si>
    <t>https://www.nosdeputes.fr/mustapha-laabid/csv</t>
  </si>
  <si>
    <t>mustapha_laabid</t>
  </si>
  <si>
    <t>Gaël Le Bohec</t>
  </si>
  <si>
    <t>Le Bohec</t>
  </si>
  <si>
    <t>Gaël</t>
  </si>
  <si>
    <t>https://twitter.com/GaelLeBohec|http://lebohec-gael.fr|https://fr-fr.facebook.com/LeBohecGael/|http://lebohecgael.simplesite.com</t>
  </si>
  <si>
    <t>http://www2.assemblee-nationale.fr/deputes/fiche/OMC_PA719728</t>
  </si>
  <si>
    <t>gael-le-bohec</t>
  </si>
  <si>
    <t>https://www.nosdeputes.fr/gael-le-bohec</t>
  </si>
  <si>
    <t>https://www.nosdeputes.fr/gael-le-bohec/csv</t>
  </si>
  <si>
    <t>GaelLeBohec</t>
  </si>
  <si>
    <t>Sandrine Le Feur</t>
  </si>
  <si>
    <t>Le Feur</t>
  </si>
  <si>
    <t>Saint Brieuc (Côtes-d'Armor)</t>
  </si>
  <si>
    <t>https://twitter.com/SandrineLeFeur</t>
  </si>
  <si>
    <t>http://www2.assemblee-nationale.fr/deputes/fiche/OMC_PA719412</t>
  </si>
  <si>
    <t>sandrine-le-feur</t>
  </si>
  <si>
    <t>https://www.nosdeputes.fr/sandrine-le-feur</t>
  </si>
  <si>
    <t>https://www.nosdeputes.fr/sandrine-le-feur/csv</t>
  </si>
  <si>
    <t>SandrineLeFeur</t>
  </si>
  <si>
    <t>Annaïg Le Meur</t>
  </si>
  <si>
    <t>Le Meur</t>
  </si>
  <si>
    <t>Annaïg</t>
  </si>
  <si>
    <t>https://www.AnnaigLeMeur.bzh|https://twitter.com/AnnaigLeMeur_AN</t>
  </si>
  <si>
    <t>http://www2.assemblee-nationale.fr/deputes/fiche/OMC_PA719388</t>
  </si>
  <si>
    <t>annaig-le-meur</t>
  </si>
  <si>
    <t>https://www.nosdeputes.fr/annaig-le-meur</t>
  </si>
  <si>
    <t>https://www.nosdeputes.fr/annaig-le-meur/csv</t>
  </si>
  <si>
    <t>AnnaigLeMeur_AN</t>
  </si>
  <si>
    <t>Marine Le Pen</t>
  </si>
  <si>
    <t>Le Pen</t>
  </si>
  <si>
    <t>Marine</t>
  </si>
  <si>
    <t>https://fr-fr.facebook.com/MarineLePen/|https://twitter.com/MLP_officiel|https://www.marinelepen.fr</t>
  </si>
  <si>
    <t>http://www2.assemblee-nationale.fr/deputes/fiche/OMC_PA720614</t>
  </si>
  <si>
    <t>marine-le-pen</t>
  </si>
  <si>
    <t>https://www.nosdeputes.fr/marine-le-pen</t>
  </si>
  <si>
    <t>https://www.nosdeputes.fr/marine-le-pen/csv</t>
  </si>
  <si>
    <t>MLP_officiel</t>
  </si>
  <si>
    <t>Sébastien Leclerc</t>
  </si>
  <si>
    <t>Leclerc</t>
  </si>
  <si>
    <t>Lisieux (Calvados)</t>
  </si>
  <si>
    <t>http://www.Sebastienleclerc2017.fr|https://fr-fr.facebook.com/Sébastien-Leclerc-1021709477878241/|https://twitter.com/SebLeclerc14</t>
  </si>
  <si>
    <t>http://www2.assemblee-nationale.fr/deputes/fiche/OMC_PA340853</t>
  </si>
  <si>
    <t>sebastien-leclerc</t>
  </si>
  <si>
    <t>https://www.nosdeputes.fr/sebastien-leclerc</t>
  </si>
  <si>
    <t>https://www.nosdeputes.fr/sebastien-leclerc/csv</t>
  </si>
  <si>
    <t>SebLeclerc14</t>
  </si>
  <si>
    <t>Sereine Mauborgne</t>
  </si>
  <si>
    <t>Mauborgne</t>
  </si>
  <si>
    <t>Sereine</t>
  </si>
  <si>
    <t>https://fr-fr.facebook.com/SereineMauborgneREM/|https://twitter.com/sereineenmarche</t>
  </si>
  <si>
    <t>http://www2.assemblee-nationale.fr/deputes/fiche/OMC_PA721726</t>
  </si>
  <si>
    <t>sereine-mauborgne</t>
  </si>
  <si>
    <t>https://www.nosdeputes.fr/sereine-mauborgne</t>
  </si>
  <si>
    <t>https://www.nosdeputes.fr/sereine-mauborgne/csv</t>
  </si>
  <si>
    <t>sereineenmarche</t>
  </si>
  <si>
    <t>Jean François Mbaye</t>
  </si>
  <si>
    <t>Mbaye</t>
  </si>
  <si>
    <t>Jean François</t>
  </si>
  <si>
    <t>Dakar (Senegal)</t>
  </si>
  <si>
    <t>https://fr-fr.facebook.com/JFMBAYE/|https://twitter.com/JFMBAYE</t>
  </si>
  <si>
    <t>http://www2.assemblee-nationale.fr/deputes/fiche/OMC_PA720870</t>
  </si>
  <si>
    <t>jean-francois-mbaye</t>
  </si>
  <si>
    <t>https://www.nosdeputes.fr/jean-francois-mbaye</t>
  </si>
  <si>
    <t>https://www.nosdeputes.fr/jean-francois-mbaye/csv</t>
  </si>
  <si>
    <t>JFMBAYE</t>
  </si>
  <si>
    <t>Jérôme Nury</t>
  </si>
  <si>
    <t>Nury</t>
  </si>
  <si>
    <t>Jérôme</t>
  </si>
  <si>
    <t>http://www.jeromenury.fr|https://twitter.com/jeromenury</t>
  </si>
  <si>
    <t>Cadre de la fonction publique</t>
  </si>
  <si>
    <t>http://www2.assemblee-nationale.fr/deputes/fiche/OMC_PA720644</t>
  </si>
  <si>
    <t>jerome-nury</t>
  </si>
  <si>
    <t>https://www.nosdeputes.fr/jerome-nury</t>
  </si>
  <si>
    <t>https://www.nosdeputes.fr/jerome-nury/csv</t>
  </si>
  <si>
    <t>jeromenury</t>
  </si>
  <si>
    <t>George Pau-Langevin</t>
  </si>
  <si>
    <t>Pau-Langevin</t>
  </si>
  <si>
    <t>George</t>
  </si>
  <si>
    <t>https://twitter.com/Pau_Langevin|http://www.georgepaulangevin.fr|https://fr-fr.facebook.com/georgepaulange20/</t>
  </si>
  <si>
    <t>Avocat honoraire</t>
  </si>
  <si>
    <t>http://www2.assemblee-nationale.fr/deputes/fiche/OMC_PA335532</t>
  </si>
  <si>
    <t>george-pau-langevin</t>
  </si>
  <si>
    <t>https://www.nosdeputes.fr/george-pau-langevin</t>
  </si>
  <si>
    <t>https://www.nosdeputes.fr/george-pau-langevin/csv</t>
  </si>
  <si>
    <t>Pau_Langevin</t>
  </si>
  <si>
    <t>Anne-Laurence Petel</t>
  </si>
  <si>
    <t>Petel</t>
  </si>
  <si>
    <t>Anne-Laurence</t>
  </si>
  <si>
    <t>Saint Raphaël (Var)</t>
  </si>
  <si>
    <t>https://twitter.com/al_petel|https://fr-fr.facebook.com/petelannelaurence/|http://petel2017.fr|http://www.alpetel.fr</t>
  </si>
  <si>
    <t>Chargée des relations extérieures - secteur télécom</t>
  </si>
  <si>
    <t>http://www2.assemblee-nationale.fr/deputes/fiche/OMC_PA718930</t>
  </si>
  <si>
    <t>anne-laurence-petel</t>
  </si>
  <si>
    <t>https://www.nosdeputes.fr/anne-laurence-petel</t>
  </si>
  <si>
    <t>https://www.nosdeputes.fr/anne-laurence-petel/csv</t>
  </si>
  <si>
    <t>al_petel</t>
  </si>
  <si>
    <t>Claire Pitollat</t>
  </si>
  <si>
    <t>Pitollat</t>
  </si>
  <si>
    <t>Claire</t>
  </si>
  <si>
    <t>https://fr-fr.facebook.com/clairepitollat/|https://twitter.com/clairepitollat|http://www.claire-pitollat.fr|http://www.clairepitollat.fr</t>
  </si>
  <si>
    <t>http://www2.assemblee-nationale.fr/deputes/fiche/OMC_PA718910</t>
  </si>
  <si>
    <t>claire-pitollat</t>
  </si>
  <si>
    <t>https://www.nosdeputes.fr/claire-pitollat</t>
  </si>
  <si>
    <t>https://www.nosdeputes.fr/claire-pitollat/csv</t>
  </si>
  <si>
    <t>clairepitollat</t>
  </si>
  <si>
    <t>Cathy Racon-Bouzon</t>
  </si>
  <si>
    <t>Racon-Bouzon</t>
  </si>
  <si>
    <t>Cathy</t>
  </si>
  <si>
    <t>Domont (Val-d'Oise)</t>
  </si>
  <si>
    <t>https://twitter.com/RaconCathy|https://fr-fr.facebook.com/REM13circo5/|http://www.cathy2017.fr</t>
  </si>
  <si>
    <t>http://www2.assemblee-nationale.fr/deputes/fiche/OMC_PA718944</t>
  </si>
  <si>
    <t>cathy-racon-bouzon</t>
  </si>
  <si>
    <t>https://www.nosdeputes.fr/cathy-racon-bouzon</t>
  </si>
  <si>
    <t>https://www.nosdeputes.fr/cathy-racon-bouzon/csv</t>
  </si>
  <si>
    <t>RaconCathy</t>
  </si>
  <si>
    <t>Isabelle Rauch</t>
  </si>
  <si>
    <t>Rauch</t>
  </si>
  <si>
    <t>https://twitter.com/isabelle_rauch</t>
  </si>
  <si>
    <t>Consultante</t>
  </si>
  <si>
    <t>http://www2.assemblee-nationale.fr/deputes/fiche/OMC_PA720552</t>
  </si>
  <si>
    <t>isabelle-rauch</t>
  </si>
  <si>
    <t>https://www.nosdeputes.fr/isabelle-rauch</t>
  </si>
  <si>
    <t>https://www.nosdeputes.fr/isabelle-rauch/csv</t>
  </si>
  <si>
    <t>isabelle_rauch</t>
  </si>
  <si>
    <t>Laetitia Saint-Paul</t>
  </si>
  <si>
    <t>Saint-Paul</t>
  </si>
  <si>
    <t>Chartres (Eure-et-Loir)</t>
  </si>
  <si>
    <t>http://laetitiasaintpaul.enmarche.fr</t>
  </si>
  <si>
    <t>Officier de l'armée de Terre</t>
  </si>
  <si>
    <t>http://www2.assemblee-nationale.fr/deputes/fiche/OMC_PA720138</t>
  </si>
  <si>
    <t>laetitia-saint-paul</t>
  </si>
  <si>
    <t>https://www.nosdeputes.fr/laetitia-saint-paul</t>
  </si>
  <si>
    <t>https://www.nosdeputes.fr/laetitia-saint-paul/csv</t>
  </si>
  <si>
    <t>Valérie Thomas</t>
  </si>
  <si>
    <t>Desertines (Allier)</t>
  </si>
  <si>
    <t>https://twitter.com/Vthomas_63|https://valeriethomassite.wordpress.com</t>
  </si>
  <si>
    <t>http://www2.assemblee-nationale.fr/deputes/fiche/OMC_PA720830</t>
  </si>
  <si>
    <t>valerie-thomas</t>
  </si>
  <si>
    <t>https://www.nosdeputes.fr/valerie-thomas</t>
  </si>
  <si>
    <t>https://www.nosdeputes.fr/valerie-thomas/csv</t>
  </si>
  <si>
    <t>Vthomas_63</t>
  </si>
  <si>
    <t>Jean-Louis Touraine</t>
  </si>
  <si>
    <t>Touraine</t>
  </si>
  <si>
    <t>Lyon (3ème arrondissement) (Rhône)</t>
  </si>
  <si>
    <t>http://www.jeanlouistouraine.fr|https://fr-fr.facebook.com/jeanlouis.touraine/</t>
  </si>
  <si>
    <t>Professeur de médecine</t>
  </si>
  <si>
    <t>http://www2.assemblee-nationale.fr/deputes/fiche/OMC_PA334768</t>
  </si>
  <si>
    <t>jean-louis-touraine</t>
  </si>
  <si>
    <t>https://www.nosdeputes.fr/jean-louis-touraine</t>
  </si>
  <si>
    <t>https://www.nosdeputes.fr/jean-louis-touraine/csv</t>
  </si>
  <si>
    <t>Alain Tourret</t>
  </si>
  <si>
    <t>Tourret</t>
  </si>
  <si>
    <t>Boppard (Allemagne)</t>
  </si>
  <si>
    <t>http://www.alaintourret.fr|https://twitter.com/AlainTourret</t>
  </si>
  <si>
    <t>http://www2.assemblee-nationale.fr/deputes/fiche/OMC_PA2828</t>
  </si>
  <si>
    <t>alain-tourret</t>
  </si>
  <si>
    <t>https://www.nosdeputes.fr/alain-tourret</t>
  </si>
  <si>
    <t>https://www.nosdeputes.fr/alain-tourret/csv</t>
  </si>
  <si>
    <t>AlainTourret</t>
  </si>
  <si>
    <t>Nicole Trisse</t>
  </si>
  <si>
    <t>Trisse</t>
  </si>
  <si>
    <t>Sarreguemines (Moselle)</t>
  </si>
  <si>
    <t>http://www2.assemblee-nationale.fr/deputes/fiche/OMC_PA720394</t>
  </si>
  <si>
    <t>nicole-trisse</t>
  </si>
  <si>
    <t>https://www.nosdeputes.fr/nicole-trisse</t>
  </si>
  <si>
    <t>https://www.nosdeputes.fr/nicole-trisse/csv</t>
  </si>
  <si>
    <t>Frédérique Tuffnell</t>
  </si>
  <si>
    <t>Tuffnell</t>
  </si>
  <si>
    <t>Châtellerault (Vienne)</t>
  </si>
  <si>
    <t>https://twitter.com/TuffnellLREM17|https://fr-fr.facebook.com/Frederique.Tuffnell.Younes.Biar/</t>
  </si>
  <si>
    <t>http://www2.assemblee-nationale.fr/deputes/fiche/OMC_PA719092</t>
  </si>
  <si>
    <t>frederique-tuffnell</t>
  </si>
  <si>
    <t>https://www.nosdeputes.fr/frederique-tuffnell</t>
  </si>
  <si>
    <t>https://www.nosdeputes.fr/frederique-tuffnell/csv</t>
  </si>
  <si>
    <t>TuffnellLREM17</t>
  </si>
  <si>
    <t>André Villiers</t>
  </si>
  <si>
    <t>Villiers</t>
  </si>
  <si>
    <t>Avallon (Yonne)</t>
  </si>
  <si>
    <t>https://fr-fr.facebook.com/andre.villiers.3/|https://twitter.com/AVilliers2017</t>
  </si>
  <si>
    <t>http://www2.assemblee-nationale.fr/deputes/fiche/OMC_PA421348</t>
  </si>
  <si>
    <t>andre-villiers</t>
  </si>
  <si>
    <t>https://www.nosdeputes.fr/andre-villiers</t>
  </si>
  <si>
    <t>https://www.nosdeputes.fr/andre-villiers/csv</t>
  </si>
  <si>
    <t>AVilliers2017</t>
  </si>
  <si>
    <t>Michel Zumkeller</t>
  </si>
  <si>
    <t>Zumkeller</t>
  </si>
  <si>
    <t>Belfort (Territoire de Belfort)</t>
  </si>
  <si>
    <t>Territoire de Belfort</t>
  </si>
  <si>
    <t>http://www.michelzumkeller.fr|https://twitter.com/MichelZumkeller</t>
  </si>
  <si>
    <t>http://www2.assemblee-nationale.fr/deputes/fiche/OMC_PA267330</t>
  </si>
  <si>
    <t>michel-zumkeller</t>
  </si>
  <si>
    <t>https://www.nosdeputes.fr/michel-zumkeller</t>
  </si>
  <si>
    <t>https://www.nosdeputes.fr/michel-zumkeller/csv</t>
  </si>
  <si>
    <t>MichelZumkeller</t>
  </si>
  <si>
    <t>Jean-Félix Acquaviva</t>
  </si>
  <si>
    <t>Acquaviva</t>
  </si>
  <si>
    <t>Jean-Félix</t>
  </si>
  <si>
    <t>https://fr-fr.facebook.com/jeanfelixacquaviva/|https://twitter.com/JF_Acquaviva|http://www.corse.fr</t>
  </si>
  <si>
    <t>http://www2.assemblee-nationale.fr/deputes/fiche/OMC_PA719146</t>
  </si>
  <si>
    <t>jean-felix-acquaviva</t>
  </si>
  <si>
    <t>https://www.nosdeputes.fr/jean-felix-acquaviva</t>
  </si>
  <si>
    <t>https://www.nosdeputes.fr/jean-felix-acquaviva/csv</t>
  </si>
  <si>
    <t>JF_Acquaviva</t>
  </si>
  <si>
    <t>François André</t>
  </si>
  <si>
    <t>http://www.francoisandre.fr|https://twitter.com/FrancoisAndre35</t>
  </si>
  <si>
    <t>http://www2.assemblee-nationale.fr/deputes/fiche/OMC_PA606675</t>
  </si>
  <si>
    <t>francois-andre</t>
  </si>
  <si>
    <t>https://www.nosdeputes.fr/francois-andre</t>
  </si>
  <si>
    <t>https://www.nosdeputes.fr/francois-andre/csv</t>
  </si>
  <si>
    <t>FrancoisAndre35</t>
  </si>
  <si>
    <t>Valérie Bazin-Malgras</t>
  </si>
  <si>
    <t>Bazin-Malgras</t>
  </si>
  <si>
    <t>Romilly-sur-Seine (Aube)</t>
  </si>
  <si>
    <t>https://twitter.com/vbazinmalgras</t>
  </si>
  <si>
    <t>Commerçante</t>
  </si>
  <si>
    <t>http://www2.assemblee-nationale.fr/deputes/fiche/OMC_PA718884</t>
  </si>
  <si>
    <t>valerie-bazin-malgras</t>
  </si>
  <si>
    <t>https://www.nosdeputes.fr/valerie-bazin-malgras</t>
  </si>
  <si>
    <t>https://www.nosdeputes.fr/valerie-bazin-malgras/csv</t>
  </si>
  <si>
    <t>vbazinmalgras</t>
  </si>
  <si>
    <t>Jean-Yves Bony</t>
  </si>
  <si>
    <t>Bony</t>
  </si>
  <si>
    <t>Jean-Yves</t>
  </si>
  <si>
    <t>Exploitant agricole</t>
  </si>
  <si>
    <t>http://www2.assemblee-nationale.fr/deputes/fiche/OMC_PA266793</t>
  </si>
  <si>
    <t>jean-yves-bony</t>
  </si>
  <si>
    <t>https://www.nosdeputes.fr/jean-yves-bony</t>
  </si>
  <si>
    <t>https://www.nosdeputes.fr/jean-yves-bony/csv</t>
  </si>
  <si>
    <t>Valérie Boyer</t>
  </si>
  <si>
    <t>https://fr-fr.facebook.com/valerieboyer13/|https://twitter.com/valerieboyer13|http://valerieboyer.blogspot.fr</t>
  </si>
  <si>
    <t>Cadre du secteur de la santé</t>
  </si>
  <si>
    <t>http://www2.assemblee-nationale.fr/deputes/fiche/OMC_PA330684</t>
  </si>
  <si>
    <t>valerie-boyer</t>
  </si>
  <si>
    <t>https://www.nosdeputes.fr/valerie-boyer</t>
  </si>
  <si>
    <t>https://www.nosdeputes.fr/valerie-boyer/csv</t>
  </si>
  <si>
    <t>valerieboyer13</t>
  </si>
  <si>
    <t>Jean-Jacques Bridey</t>
  </si>
  <si>
    <t>Bridey</t>
  </si>
  <si>
    <t>Jean-Jacques</t>
  </si>
  <si>
    <t>https://twitter.com/jjbridey94260|https://fr-fr.facebook.com/jjbridey/|http://jeanjacquesbridey.fr</t>
  </si>
  <si>
    <t>http://www2.assemblee-nationale.fr/deputes/fiche/OMC_PA672</t>
  </si>
  <si>
    <t>jean-jacques-bridey</t>
  </si>
  <si>
    <t>https://www.nosdeputes.fr/jean-jacques-bridey</t>
  </si>
  <si>
    <t>https://www.nosdeputes.fr/jean-jacques-bridey/csv</t>
  </si>
  <si>
    <t>jjbridey94260</t>
  </si>
  <si>
    <t>Blandine Brocard</t>
  </si>
  <si>
    <t>Brocard</t>
  </si>
  <si>
    <t>Blandine</t>
  </si>
  <si>
    <t>http://www.blandinebrocard.com|https://twitter.com/BBrocard</t>
  </si>
  <si>
    <t>http://www2.assemblee-nationale.fr/deputes/fiche/OMC_PA721336</t>
  </si>
  <si>
    <t>blandine-brocard</t>
  </si>
  <si>
    <t>https://www.nosdeputes.fr/blandine-brocard</t>
  </si>
  <si>
    <t>https://www.nosdeputes.fr/blandine-brocard/csv</t>
  </si>
  <si>
    <t>BBrocard</t>
  </si>
  <si>
    <t>Jacques Cattin</t>
  </si>
  <si>
    <t>Cattin</t>
  </si>
  <si>
    <t>http://www.jacques-cattin.fr|http://www.jacquescattin2017.fr|https://twitter.com/JCattin2017</t>
  </si>
  <si>
    <t>Viticulteur négociant</t>
  </si>
  <si>
    <t>http://www2.assemblee-nationale.fr/deputes/fiche/OMC_PA767</t>
  </si>
  <si>
    <t>jacques-cattin</t>
  </si>
  <si>
    <t>https://www.nosdeputes.fr/jacques-cattin</t>
  </si>
  <si>
    <t>https://www.nosdeputes.fr/jacques-cattin/csv</t>
  </si>
  <si>
    <t>JCattin2017</t>
  </si>
  <si>
    <t>Guillaume Chiche</t>
  </si>
  <si>
    <t>Chiche</t>
  </si>
  <si>
    <t>Niort (Deux-Sèvres)</t>
  </si>
  <si>
    <t>https://twitter.com/GuillaumeChiche|https://fr-fr.facebook.com/guillaume.chiche/|https://fr-fr.facebook.com/GCHICHE2017</t>
  </si>
  <si>
    <t>http://www2.assemblee-nationale.fr/deputes/fiche/OMC_PA722126</t>
  </si>
  <si>
    <t>guillaume-chiche</t>
  </si>
  <si>
    <t>https://www.nosdeputes.fr/guillaume-chiche</t>
  </si>
  <si>
    <t>https://www.nosdeputes.fr/guillaume-chiche/csv</t>
  </si>
  <si>
    <t>GuillaumeChiche</t>
  </si>
  <si>
    <t>Fabienne Colboc</t>
  </si>
  <si>
    <t>Colboc</t>
  </si>
  <si>
    <t>Fabienne</t>
  </si>
  <si>
    <t>Thiais (Val-de-Marne)</t>
  </si>
  <si>
    <t>http://fabiennecolboc.fr|https://twitter.com/fabiennecolboc</t>
  </si>
  <si>
    <t>http://www2.assemblee-nationale.fr/deputes/fiche/OMC_PA719814</t>
  </si>
  <si>
    <t>fabienne-colboc</t>
  </si>
  <si>
    <t>https://www.nosdeputes.fr/fabienne-colboc</t>
  </si>
  <si>
    <t>https://www.nosdeputes.fr/fabienne-colboc/csv</t>
  </si>
  <si>
    <t>fabiennecolboc</t>
  </si>
  <si>
    <t>Jean-Pierre Cubertafon</t>
  </si>
  <si>
    <t>Cubertafon</t>
  </si>
  <si>
    <t>Lanouaille (Dordogne)</t>
  </si>
  <si>
    <t>https://fr-fr.facebook.com/jeanpierre.cubertafon/</t>
  </si>
  <si>
    <t>Retraité des professions libérales</t>
  </si>
  <si>
    <t>http://www2.assemblee-nationale.fr/deputes/fiche/OMC_PA719266</t>
  </si>
  <si>
    <t>jean-pierre-cubertafon</t>
  </si>
  <si>
    <t>https://www.nosdeputes.fr/jean-pierre-cubertafon</t>
  </si>
  <si>
    <t>https://www.nosdeputes.fr/jean-pierre-cubertafon/csv</t>
  </si>
  <si>
    <t>Rémi Delatte</t>
  </si>
  <si>
    <t>Rémi</t>
  </si>
  <si>
    <t>Dijon (Côte-d'Or)</t>
  </si>
  <si>
    <t>http://www2.assemblee-nationale.fr/deputes/fiche/OMC_PA267450</t>
  </si>
  <si>
    <t>remi-delatte</t>
  </si>
  <si>
    <t>https://www.nosdeputes.fr/remi-delatte</t>
  </si>
  <si>
    <t>https://www.nosdeputes.fr/remi-delatte/csv</t>
  </si>
  <si>
    <t>Christophe Di Pompeo</t>
  </si>
  <si>
    <t>Di Pompeo</t>
  </si>
  <si>
    <t>Hautmont (Nord)</t>
  </si>
  <si>
    <t>https://twitter.com/DipompeoChrist</t>
  </si>
  <si>
    <t>http://www2.assemblee-nationale.fr/deputes/fiche/OMC_PA720438</t>
  </si>
  <si>
    <t>christophe-di-pompeo</t>
  </si>
  <si>
    <t>https://www.nosdeputes.fr/christophe-di-pompeo</t>
  </si>
  <si>
    <t>https://www.nosdeputes.fr/christophe-di-pompeo/csv</t>
  </si>
  <si>
    <t>DipompeoChrist</t>
  </si>
  <si>
    <t>Olivier Faure</t>
  </si>
  <si>
    <t>Faure</t>
  </si>
  <si>
    <t>La Tronche (Isère)</t>
  </si>
  <si>
    <t>https://fr-fr.facebook.com/olivierfaure77/|https://twitter.com/faureolivier|http://www.olivierfaure.fr</t>
  </si>
  <si>
    <t>http://www2.assemblee-nationale.fr/deputes/fiche/OMC_PA609332</t>
  </si>
  <si>
    <t>olivier-faure</t>
  </si>
  <si>
    <t>https://www.nosdeputes.fr/olivier-faure</t>
  </si>
  <si>
    <t>https://www.nosdeputes.fr/olivier-faure/csv</t>
  </si>
  <si>
    <t>faureolivier</t>
  </si>
  <si>
    <t>Valéria Faure-Muntian</t>
  </si>
  <si>
    <t>Faure-Muntian</t>
  </si>
  <si>
    <t>Valéria</t>
  </si>
  <si>
    <t>Kilia (Ukraine)</t>
  </si>
  <si>
    <t>http://www.valeriafm.fr|https://fr-fr.facebook.com/Valeriafauremuntian/|https://twitter.com/V_Faure_Muntian</t>
  </si>
  <si>
    <t>Agent d'assurances</t>
  </si>
  <si>
    <t>http://www2.assemblee-nationale.fr/deputes/fiche/OMC_PA719960</t>
  </si>
  <si>
    <t>valeria-faure-muntian</t>
  </si>
  <si>
    <t>https://www.nosdeputes.fr/valeria-faure-muntian</t>
  </si>
  <si>
    <t>https://www.nosdeputes.fr/valeria-faure-muntian/csv</t>
  </si>
  <si>
    <t>V_Faure_Muntian</t>
  </si>
  <si>
    <t>Yannick Favennec Becot</t>
  </si>
  <si>
    <t>Favennec Becot</t>
  </si>
  <si>
    <t>Chaudron-en-Mauges (Maine-et-Loire)</t>
  </si>
  <si>
    <t>https://twitter.com/yfavennec|http://www.favennecactualite.com</t>
  </si>
  <si>
    <t>Directeur de cabinet</t>
  </si>
  <si>
    <t>http://www2.assemblee-nationale.fr/deputes/fiche/OMC_PA267042</t>
  </si>
  <si>
    <t>yannick-favennec-becot</t>
  </si>
  <si>
    <t>https://www.nosdeputes.fr/yannick-favennec-becot</t>
  </si>
  <si>
    <t>https://www.nosdeputes.fr/yannick-favennec-becot/csv</t>
  </si>
  <si>
    <t>yfavennec</t>
  </si>
  <si>
    <t>Jean-Jacques Ferrara</t>
  </si>
  <si>
    <t>Ferrara</t>
  </si>
  <si>
    <t>2A</t>
  </si>
  <si>
    <t>Corse-du-Sud</t>
  </si>
  <si>
    <t>https://twitter.com/jjferrarafb|http://www.jeanjacquesferrara.com</t>
  </si>
  <si>
    <t>http://www2.assemblee-nationale.fr/deputes/fiche/OMC_PA643103</t>
  </si>
  <si>
    <t>jean-jacques-ferrara</t>
  </si>
  <si>
    <t>https://www.nosdeputes.fr/jean-jacques-ferrara</t>
  </si>
  <si>
    <t>https://www.nosdeputes.fr/jean-jacques-ferrara/csv</t>
  </si>
  <si>
    <t>jjferrarafb</t>
  </si>
  <si>
    <t>Laurent Garcia</t>
  </si>
  <si>
    <t>Garcia</t>
  </si>
  <si>
    <t>Paris (16e) (Paris)</t>
  </si>
  <si>
    <t>https://fr-fr.facebook.com/Laurent-Garcia-député-de-Meurthe-et-Moselle-1159962430725786/|http://www.laurentgarcia.fr|https://twitter.com/GarciaLaxou|http://www.laurentgarcia.com|http://www.laurentgarcia2017.com|https://fr-fr.facebook.com/Laurent-Garcia-2017-1159962430725786</t>
  </si>
  <si>
    <t>http://www2.assemblee-nationale.fr/deputes/fiche/OMC_PA720178</t>
  </si>
  <si>
    <t>laurent-garcia</t>
  </si>
  <si>
    <t>https://www.nosdeputes.fr/laurent-garcia</t>
  </si>
  <si>
    <t>https://www.nosdeputes.fr/laurent-garcia/csv</t>
  </si>
  <si>
    <t>GarciaLaxou</t>
  </si>
  <si>
    <t>Guillaume Garot</t>
  </si>
  <si>
    <t>Garot</t>
  </si>
  <si>
    <t>https://fr-fr.facebook.com/guillaumegarot.fr/|http://www.guillaume-garot.fr|https://twitter.com/guillaumegarot</t>
  </si>
  <si>
    <t>Cadre administratif</t>
  </si>
  <si>
    <t>http://www2.assemblee-nationale.fr/deputes/fiche/OMC_PA333285</t>
  </si>
  <si>
    <t>guillaume-garot</t>
  </si>
  <si>
    <t>https://www.nosdeputes.fr/guillaume-garot</t>
  </si>
  <si>
    <t>https://www.nosdeputes.fr/guillaume-garot/csv</t>
  </si>
  <si>
    <t>guillaumegarot</t>
  </si>
  <si>
    <t>Séverine Gipson</t>
  </si>
  <si>
    <t>Gipson</t>
  </si>
  <si>
    <t>Séverine</t>
  </si>
  <si>
    <t>Évreux (Eure)</t>
  </si>
  <si>
    <t>https://twitter.com/severine_gipson</t>
  </si>
  <si>
    <t>Cadre en certification</t>
  </si>
  <si>
    <t>http://www2.assemblee-nationale.fr/deputes/fiche/OMC_PA719326</t>
  </si>
  <si>
    <t>severine-gipson</t>
  </si>
  <si>
    <t>https://www.nosdeputes.fr/severine-gipson</t>
  </si>
  <si>
    <t>https://www.nosdeputes.fr/severine-gipson/csv</t>
  </si>
  <si>
    <t>severine_gipson</t>
  </si>
  <si>
    <t>Bruno Joncour</t>
  </si>
  <si>
    <t>Joncour</t>
  </si>
  <si>
    <t>Bizerte (Tunisie)</t>
  </si>
  <si>
    <t>https://fr-fr.facebook.com/bruno.joncour/|https://twitter.com/BJoncour</t>
  </si>
  <si>
    <t>Secrétaire administratif des affaires sanitaires et sociales</t>
  </si>
  <si>
    <t>http://www2.assemblee-nationale.fr/deputes/fiche/OMC_PA719210</t>
  </si>
  <si>
    <t>bruno-joncour</t>
  </si>
  <si>
    <t>https://www.nosdeputes.fr/bruno-joncour</t>
  </si>
  <si>
    <t>https://www.nosdeputes.fr/bruno-joncour/csv</t>
  </si>
  <si>
    <t>BJoncour</t>
  </si>
  <si>
    <t>Laure de La Raudière</t>
  </si>
  <si>
    <t>La Raudière (de)</t>
  </si>
  <si>
    <t>Laure</t>
  </si>
  <si>
    <t>http://www.la-raudiere.com|https://twitter.com/lauredlr|https://fr-fr.facebook.com/laure.delaraudiere/</t>
  </si>
  <si>
    <t>http://www2.assemblee-nationale.fr/deputes/fiche/OMC_PA331567</t>
  </si>
  <si>
    <t>laure-de-la-raudiere</t>
  </si>
  <si>
    <t>https://www.nosdeputes.fr/laure-de-la-raudiere</t>
  </si>
  <si>
    <t>https://www.nosdeputes.fr/laure-de-la-raudiere/csv</t>
  </si>
  <si>
    <t>lauredlr</t>
  </si>
  <si>
    <t>Jean Lassalle</t>
  </si>
  <si>
    <t>Lassalle</t>
  </si>
  <si>
    <t>Lourdios-Ichère (Pyrénées-Atlantiques)</t>
  </si>
  <si>
    <t>http://www.jeanlassalle.fr|https://twitter.com/jeanlassalle|https://www.instagram.com/jeanlassalleoff</t>
  </si>
  <si>
    <t>Technicien agricole</t>
  </si>
  <si>
    <t>http://www2.assemblee-nationale.fr/deputes/fiche/OMC_PA1838</t>
  </si>
  <si>
    <t>jean-lassalle</t>
  </si>
  <si>
    <t>https://www.nosdeputes.fr/jean-lassalle</t>
  </si>
  <si>
    <t>https://www.nosdeputes.fr/jean-lassalle/csv</t>
  </si>
  <si>
    <t>jeanlassalle</t>
  </si>
  <si>
    <t>Florence Lasserre-David</t>
  </si>
  <si>
    <t>Lasserre-David</t>
  </si>
  <si>
    <t>http://www.florence-lasserre-david.fr</t>
  </si>
  <si>
    <t>http://www2.assemblee-nationale.fr/deputes/fiche/OMC_PA720764</t>
  </si>
  <si>
    <t>florence-lasserre-david</t>
  </si>
  <si>
    <t>https://www.nosdeputes.fr/florence-lasserre-david</t>
  </si>
  <si>
    <t>https://www.nosdeputes.fr/florence-lasserre-david/csv</t>
  </si>
  <si>
    <t>Christophe Lejeune</t>
  </si>
  <si>
    <t>Lejeune</t>
  </si>
  <si>
    <t>Luxeuil-les-Bains (Haute-Saône)</t>
  </si>
  <si>
    <t>http://www.christophe-lejeune-depute.fr</t>
  </si>
  <si>
    <t>Courtier en assurances</t>
  </si>
  <si>
    <t>http://www2.assemblee-nationale.fr/deputes/fiche/OMC_PA722320</t>
  </si>
  <si>
    <t>christophe-lejeune</t>
  </si>
  <si>
    <t>https://www.nosdeputes.fr/christophe-lejeune</t>
  </si>
  <si>
    <t>https://www.nosdeputes.fr/christophe-lejeune/csv</t>
  </si>
  <si>
    <t>Marion Lenne</t>
  </si>
  <si>
    <t>Lenne</t>
  </si>
  <si>
    <t>Marion</t>
  </si>
  <si>
    <t>Gardanne (Bouches-du-Rhône)</t>
  </si>
  <si>
    <t>http://www.marionlenne.fr|https://twitter.com/marion_lenne</t>
  </si>
  <si>
    <t>Cheffe de projet</t>
  </si>
  <si>
    <t>http://www2.assemblee-nationale.fr/deputes/fiche/OMC_PA721450</t>
  </si>
  <si>
    <t>marion-lenne</t>
  </si>
  <si>
    <t>https://www.nosdeputes.fr/marion-lenne</t>
  </si>
  <si>
    <t>https://www.nosdeputes.fr/marion-lenne/csv</t>
  </si>
  <si>
    <t>marion_lenne</t>
  </si>
  <si>
    <t>Brigitte Liso</t>
  </si>
  <si>
    <t>Liso</t>
  </si>
  <si>
    <t>https://fr-fr.facebook.com/brigitteliso/|https://twitter.com/brigitte_liso|https://www.brigitteliso.fr</t>
  </si>
  <si>
    <t>http://www2.assemblee-nationale.fr/deputes/fiche/OMC_PA720446</t>
  </si>
  <si>
    <t>brigitte-liso</t>
  </si>
  <si>
    <t>https://www.nosdeputes.fr/brigitte-liso</t>
  </si>
  <si>
    <t>https://www.nosdeputes.fr/brigitte-liso/csv</t>
  </si>
  <si>
    <t>brigitte_liso</t>
  </si>
  <si>
    <t>Sandra Marsaud</t>
  </si>
  <si>
    <t>Marsaud</t>
  </si>
  <si>
    <t>Sandra</t>
  </si>
  <si>
    <t>Périgueux (Dordogne)</t>
  </si>
  <si>
    <t>https://twitter.com/MARSAUDSandra|https://www.facebook.com/SandraMarsaudLaRepubliqueEnMarche</t>
  </si>
  <si>
    <t>http://www2.assemblee-nationale.fr/deputes/fiche/OMC_PA719080</t>
  </si>
  <si>
    <t>sandra-marsaud</t>
  </si>
  <si>
    <t>https://www.nosdeputes.fr/sandra-marsaud</t>
  </si>
  <si>
    <t>https://www.nosdeputes.fr/sandra-marsaud/csv</t>
  </si>
  <si>
    <t>MARSAUDSandra</t>
  </si>
  <si>
    <t>Fabien Matras</t>
  </si>
  <si>
    <t>Matras</t>
  </si>
  <si>
    <t>Enseignant vacataire Faculté</t>
  </si>
  <si>
    <t>http://www2.assemblee-nationale.fr/deputes/fiche/OMC_PA721800</t>
  </si>
  <si>
    <t>fabien-matras</t>
  </si>
  <si>
    <t>https://www.nosdeputes.fr/fabien-matras</t>
  </si>
  <si>
    <t>https://www.nosdeputes.fr/fabien-matras/csv</t>
  </si>
  <si>
    <t>Monica Michel</t>
  </si>
  <si>
    <t>Monica</t>
  </si>
  <si>
    <t>Victoria (Seychelles)</t>
  </si>
  <si>
    <t>https://fr-fr.facebook.com/MonicaMichelEM/|https://twitter.com/MonicaMichel_Of</t>
  </si>
  <si>
    <t>Directrice commerciale</t>
  </si>
  <si>
    <t>http://www2.assemblee-nationale.fr/deputes/fiche/OMC_PA719130</t>
  </si>
  <si>
    <t>monica-michel</t>
  </si>
  <si>
    <t>https://www.nosdeputes.fr/monica-michel</t>
  </si>
  <si>
    <t>https://www.nosdeputes.fr/monica-michel/csv</t>
  </si>
  <si>
    <t>MonicaMichel_Of</t>
  </si>
  <si>
    <t>Adrien Morenas</t>
  </si>
  <si>
    <t>Morenas</t>
  </si>
  <si>
    <t>Carpentras (Vaucluse)</t>
  </si>
  <si>
    <t>http://www.adrien-morenas.fr|https://twitter.com/AdrienMorenas|https://www.facebook.com/morenas.adrien</t>
  </si>
  <si>
    <t>Étudiant en ostéopathie</t>
  </si>
  <si>
    <t>http://www2.assemblee-nationale.fr/deputes/fiche/OMC_PA721876</t>
  </si>
  <si>
    <t>adrien-morenas</t>
  </si>
  <si>
    <t>https://www.nosdeputes.fr/adrien-morenas</t>
  </si>
  <si>
    <t>https://www.nosdeputes.fr/adrien-morenas/csv</t>
  </si>
  <si>
    <t>AdrienMorenas</t>
  </si>
  <si>
    <t>Bertrand Pancher</t>
  </si>
  <si>
    <t>Pancher</t>
  </si>
  <si>
    <t>Saint-Mihiel (Meuse)</t>
  </si>
  <si>
    <t>https://twitter.com/BertrandPancher|https://fr-fr.facebook.com/bertrand.pancher/|http://www.bertrandpancher.fr|http://www.bertrandpancher.com</t>
  </si>
  <si>
    <t>Directeur du développement</t>
  </si>
  <si>
    <t>http://www2.assemblee-nationale.fr/deputes/fiche/OMC_PA333421</t>
  </si>
  <si>
    <t>bertrand-pancher</t>
  </si>
  <si>
    <t>https://www.nosdeputes.fr/bertrand-pancher</t>
  </si>
  <si>
    <t>https://www.nosdeputes.fr/bertrand-pancher/csv</t>
  </si>
  <si>
    <t>BertrandPancher</t>
  </si>
  <si>
    <t>Didier Paris</t>
  </si>
  <si>
    <t>https://fr-fr.facebook.com/didierparis2017/</t>
  </si>
  <si>
    <t>http://www2.assemblee-nationale.fr/deputes/fiche/OMC_PA719202</t>
  </si>
  <si>
    <t>didier-paris</t>
  </si>
  <si>
    <t>https://www.nosdeputes.fr/didier-paris</t>
  </si>
  <si>
    <t>https://www.nosdeputes.fr/didier-paris/csv</t>
  </si>
  <si>
    <t>Frédéric Petit</t>
  </si>
  <si>
    <t>http://frederic-petit.eu|http://www.fredericpetit.eu|https://twitter.com/fpetitan</t>
  </si>
  <si>
    <t>http://www2.assemblee-nationale.fr/deputes/fiche/OMC_PA721182</t>
  </si>
  <si>
    <t>frederic-petit</t>
  </si>
  <si>
    <t>https://www.nosdeputes.fr/frederic-petit</t>
  </si>
  <si>
    <t>https://www.nosdeputes.fr/frederic-petit/csv</t>
  </si>
  <si>
    <t>fpetitan</t>
  </si>
  <si>
    <t>Béatrice Piron</t>
  </si>
  <si>
    <t>Piron</t>
  </si>
  <si>
    <t>Martigues (Bouches-du-Rhône)</t>
  </si>
  <si>
    <t>http://www.beatricepiron.fr|https://twitter.com/beatricepiron|https://fr-fr.facebook.com/BPiron78/</t>
  </si>
  <si>
    <t>http://www2.assemblee-nationale.fr/deputes/fiche/OMC_PA721844</t>
  </si>
  <si>
    <t>beatrice-piron</t>
  </si>
  <si>
    <t>https://www.nosdeputes.fr/beatrice-piron</t>
  </si>
  <si>
    <t>https://www.nosdeputes.fr/beatrice-piron/csv</t>
  </si>
  <si>
    <t>beatricepiron</t>
  </si>
  <si>
    <t>Bérengère Poletti</t>
  </si>
  <si>
    <t>Poletti</t>
  </si>
  <si>
    <t>Bérengère</t>
  </si>
  <si>
    <t>Biencourt-sur-Orge (Meuse)</t>
  </si>
  <si>
    <t>https://twitter.com/poletti_b|http://www.berengere-poletti.fr</t>
  </si>
  <si>
    <t>Sage-femme</t>
  </si>
  <si>
    <t>http://www2.assemblee-nationale.fr/deputes/fiche/OMC_PA267260</t>
  </si>
  <si>
    <t>berengere-poletti</t>
  </si>
  <si>
    <t>https://www.nosdeputes.fr/berengere-poletti</t>
  </si>
  <si>
    <t>https://www.nosdeputes.fr/berengere-poletti/csv</t>
  </si>
  <si>
    <t>poletti_b</t>
  </si>
  <si>
    <t>Pierre-Alain Raphan</t>
  </si>
  <si>
    <t>Raphan</t>
  </si>
  <si>
    <t>Pierre-Alain</t>
  </si>
  <si>
    <t>Choisy-le-Roi (Val-de-Marne)</t>
  </si>
  <si>
    <t>http://www.raphan2017.fr|https://twitter.com/p_a_raphan</t>
  </si>
  <si>
    <t>Directeur d'un cabinet de conseil</t>
  </si>
  <si>
    <t>http://www2.assemblee-nationale.fr/deputes/fiche/OMC_PA721888</t>
  </si>
  <si>
    <t>pierre-alain-raphan</t>
  </si>
  <si>
    <t>https://www.nosdeputes.fr/pierre-alain-raphan</t>
  </si>
  <si>
    <t>https://www.nosdeputes.fr/pierre-alain-raphan/csv</t>
  </si>
  <si>
    <t>p_a_raphan</t>
  </si>
  <si>
    <t>Stéphanie Rist</t>
  </si>
  <si>
    <t>Rist</t>
  </si>
  <si>
    <t>Athis-Mons (Essonne)</t>
  </si>
  <si>
    <t>http://stephanierist.en-marche.fr|https://fr-fr.facebook.com/StephanieRistEnMarche/|https://twitter.com/stephanie_rist</t>
  </si>
  <si>
    <t>http://www2.assemblee-nationale.fr/deputes/fiche/OMC_PA720066</t>
  </si>
  <si>
    <t>stephanie-rist</t>
  </si>
  <si>
    <t>https://www.nosdeputes.fr/stephanie-rist</t>
  </si>
  <si>
    <t>https://www.nosdeputes.fr/stephanie-rist/csv</t>
  </si>
  <si>
    <t>stephanie_rist</t>
  </si>
  <si>
    <t>Jacques Savatier</t>
  </si>
  <si>
    <t>Savatier</t>
  </si>
  <si>
    <t>Fontenay-le-Comte (Vendée)</t>
  </si>
  <si>
    <t>https://jacques-savatier.fr|https://twitter.com/JacquesSavatier</t>
  </si>
  <si>
    <t>Retraité de la fonction publique (hors enseignement)</t>
  </si>
  <si>
    <t>http://www2.assemblee-nationale.fr/deputes/fiche/OMC_PA722078</t>
  </si>
  <si>
    <t>jacques-savatier</t>
  </si>
  <si>
    <t>https://www.nosdeputes.fr/jacques-savatier</t>
  </si>
  <si>
    <t>https://www.nosdeputes.fr/jacques-savatier/csv</t>
  </si>
  <si>
    <t>JacquesSavatier</t>
  </si>
  <si>
    <t>Jean-Bernard Sempastous</t>
  </si>
  <si>
    <t>Sempastous</t>
  </si>
  <si>
    <t>Jean-Bernard</t>
  </si>
  <si>
    <t>Bagnères-de-Bigorre (Hautes-Pyrénées)</t>
  </si>
  <si>
    <t>http://www.jeanbernardsempastous.fr|https://twitter.com/Sempastoushp</t>
  </si>
  <si>
    <t>http://www2.assemblee-nationale.fr/deputes/fiche/OMC_PA720780</t>
  </si>
  <si>
    <t>jean-bernard-sempastous</t>
  </si>
  <si>
    <t>https://www.nosdeputes.fr/jean-bernard-sempastous</t>
  </si>
  <si>
    <t>https://www.nosdeputes.fr/jean-bernard-sempastous/csv</t>
  </si>
  <si>
    <t>Sempastoushp</t>
  </si>
  <si>
    <t>Adrien Taquet</t>
  </si>
  <si>
    <t>Taquet</t>
  </si>
  <si>
    <t>https://twitter.com/AdrienTaquet|http://taquet2017.fr|https://fr-fr.facebook.com/taquet2017/</t>
  </si>
  <si>
    <t>Dirigeant d'une agence de communication</t>
  </si>
  <si>
    <t>http://www2.assemblee-nationale.fr/deputes/fiche/OMC_PA722086</t>
  </si>
  <si>
    <t>adrien-taquet</t>
  </si>
  <si>
    <t>https://www.nosdeputes.fr/adrien-taquet</t>
  </si>
  <si>
    <t>https://www.nosdeputes.fr/adrien-taquet/csv</t>
  </si>
  <si>
    <t>AdrienTaquet</t>
  </si>
  <si>
    <t>Nicolas Turquois</t>
  </si>
  <si>
    <t>Turquois</t>
  </si>
  <si>
    <t>http://www.nicolas-turquois.fr|https://twitter.com/TurquoisNicolas</t>
  </si>
  <si>
    <t>http://www2.assemblee-nationale.fr/deputes/fiche/OMC_PA722162</t>
  </si>
  <si>
    <t>nicolas-turquois</t>
  </si>
  <si>
    <t>https://www.nosdeputes.fr/nicolas-turquois</t>
  </si>
  <si>
    <t>https://www.nosdeputes.fr/nicolas-turquois/csv</t>
  </si>
  <si>
    <t>TurquoisNicolas</t>
  </si>
  <si>
    <t>Francis Vercamer</t>
  </si>
  <si>
    <t>Vercamer</t>
  </si>
  <si>
    <t>Francis</t>
  </si>
  <si>
    <t>https://twitter.com/FVercamer|http://www.vercamer.fr|https://fr-fr.facebook.com/vercamer2017/|https://fr-fr.facebook.com/vercamer</t>
  </si>
  <si>
    <t>http://www2.assemblee-nationale.fr/deputes/fiche/OMC_PA267585</t>
  </si>
  <si>
    <t>francis-vercamer</t>
  </si>
  <si>
    <t>https://www.nosdeputes.fr/francis-vercamer</t>
  </si>
  <si>
    <t>https://www.nosdeputes.fr/francis-vercamer/csv</t>
  </si>
  <si>
    <t>FVercamer</t>
  </si>
  <si>
    <t>Didier Baichère</t>
  </si>
  <si>
    <t>Baichère</t>
  </si>
  <si>
    <t>Limoux (Aude)</t>
  </si>
  <si>
    <t>http://www.didierbaichere.fr|https://fr-fr.facebook.com/dbaichere78/|https://twitter.com/dbaichere</t>
  </si>
  <si>
    <t>Directeur des Ressources Humaines</t>
  </si>
  <si>
    <t>http://www2.assemblee-nationale.fr/deputes/fiche/OMC_PA721776</t>
  </si>
  <si>
    <t>didier-baichere</t>
  </si>
  <si>
    <t>https://www.nosdeputes.fr/didier-baichere</t>
  </si>
  <si>
    <t>https://www.nosdeputes.fr/didier-baichere/csv</t>
  </si>
  <si>
    <t>dbaichere</t>
  </si>
  <si>
    <t>Ericka Bareigts</t>
  </si>
  <si>
    <t>Bareigts</t>
  </si>
  <si>
    <t>Ericka</t>
  </si>
  <si>
    <t>https://fr-fr.facebook.com/erickabareigts974/|https://twitter.com/ebareigts|http://www.ericka2017.re|http://www.gouvernement.fr</t>
  </si>
  <si>
    <t>http://www2.assemblee-nationale.fr/deputes/fiche/OMC_PA610681</t>
  </si>
  <si>
    <t>ericka-bareigts</t>
  </si>
  <si>
    <t>https://www.nosdeputes.fr/ericka-bareigts</t>
  </si>
  <si>
    <t>https://www.nosdeputes.fr/ericka-bareigts/csv</t>
  </si>
  <si>
    <t>ebareigts</t>
  </si>
  <si>
    <t>Marie-George Buffet</t>
  </si>
  <si>
    <t>Buffet</t>
  </si>
  <si>
    <t>Marie-George</t>
  </si>
  <si>
    <t>Sceaux (Hauts-de-Seine)</t>
  </si>
  <si>
    <t>Employée</t>
  </si>
  <si>
    <t>http://www2.assemblee-nationale.fr/deputes/fiche/OMC_PA689</t>
  </si>
  <si>
    <t>marie-george-buffet</t>
  </si>
  <si>
    <t>https://www.nosdeputes.fr/marie-george-buffet</t>
  </si>
  <si>
    <t>https://www.nosdeputes.fr/marie-george-buffet/csv</t>
  </si>
  <si>
    <t>Jean-Marie Fiévet</t>
  </si>
  <si>
    <t>Fiévet</t>
  </si>
  <si>
    <t>https://twitter.com/JeanMarieFIEVET|https://www.facebook.com/FIEVETJeanMarie</t>
  </si>
  <si>
    <t>http://www2.assemblee-nationale.fr/deputes/fiche/OMC_PA722134</t>
  </si>
  <si>
    <t>jean-marie-fievet</t>
  </si>
  <si>
    <t>https://www.nosdeputes.fr/jean-marie-fievet</t>
  </si>
  <si>
    <t>https://www.nosdeputes.fr/jean-marie-fievet/csv</t>
  </si>
  <si>
    <t>JeanMarieFIEVET</t>
  </si>
  <si>
    <t>Nicolas Forissier</t>
  </si>
  <si>
    <t>Forissier</t>
  </si>
  <si>
    <t>https://fr-fr.facebook.com/nicolas.forissier/|https://twitter.com/N_Forissier</t>
  </si>
  <si>
    <t>http://www2.assemblee-nationale.fr/deputes/fiche/OMC_PA1327</t>
  </si>
  <si>
    <t>nicolas-forissier</t>
  </si>
  <si>
    <t>https://www.nosdeputes.fr/nicolas-forissier</t>
  </si>
  <si>
    <t>https://www.nosdeputes.fr/nicolas-forissier/csv</t>
  </si>
  <si>
    <t>N_Forissier</t>
  </si>
  <si>
    <t>Anne Genetet</t>
  </si>
  <si>
    <t>Genetet</t>
  </si>
  <si>
    <t>Neuilly sur seine (Paris)</t>
  </si>
  <si>
    <t>https://twitter.com/AGenetet|http://www.facebook.com/AnneGenetet2017</t>
  </si>
  <si>
    <t>http://www2.assemblee-nationale.fr/deputes/fiche/OMC_PA721024</t>
  </si>
  <si>
    <t>anne-genetet</t>
  </si>
  <si>
    <t>https://www.nosdeputes.fr/anne-genetet</t>
  </si>
  <si>
    <t>https://www.nosdeputes.fr/anne-genetet/csv</t>
  </si>
  <si>
    <t>AGenetet</t>
  </si>
  <si>
    <t>Meyer Habib</t>
  </si>
  <si>
    <t>Meyer</t>
  </si>
  <si>
    <t>Paris 12 (Paris)</t>
  </si>
  <si>
    <t>http://www.meyerhabib.com|https://twitter.com/Meyer_Habib</t>
  </si>
  <si>
    <t>http://www2.assemblee-nationale.fr/deputes/fiche/OMC_PA695100</t>
  </si>
  <si>
    <t>meyer-habib</t>
  </si>
  <si>
    <t>https://www.nosdeputes.fr/meyer-habib</t>
  </si>
  <si>
    <t>https://www.nosdeputes.fr/meyer-habib/csv</t>
  </si>
  <si>
    <t>Meyer_Habib</t>
  </si>
  <si>
    <t>Michel Herbillon</t>
  </si>
  <si>
    <t>Herbillon</t>
  </si>
  <si>
    <t>https://fr-fr.facebook.com/michel.herbillon.94/</t>
  </si>
  <si>
    <t>Cadre supérieur</t>
  </si>
  <si>
    <t>http://www2.assemblee-nationale.fr/deputes/fiche/OMC_PA1630</t>
  </si>
  <si>
    <t>michel-herbillon</t>
  </si>
  <si>
    <t>https://www.nosdeputes.fr/michel-herbillon</t>
  </si>
  <si>
    <t>https://www.nosdeputes.fr/michel-herbillon/csv</t>
  </si>
  <si>
    <t>Philippe Huppé</t>
  </si>
  <si>
    <t>Huppé</t>
  </si>
  <si>
    <t>Mazamet (Tarn)</t>
  </si>
  <si>
    <t>http://www.philippehuppe.fr|https://twitter.com/PhilippeHuppe</t>
  </si>
  <si>
    <t>Homme de lettres et artiste</t>
  </si>
  <si>
    <t>http://www2.assemblee-nationale.fr/deputes/fiche/OMC_PA719700</t>
  </si>
  <si>
    <t>philippe-huppe</t>
  </si>
  <si>
    <t>https://www.nosdeputes.fr/philippe-huppe</t>
  </si>
  <si>
    <t>https://www.nosdeputes.fr/philippe-huppe/csv</t>
  </si>
  <si>
    <t>PhilippeHuppe</t>
  </si>
  <si>
    <t>Hubert Julien-Laferriere</t>
  </si>
  <si>
    <t>Julien-Laferriere</t>
  </si>
  <si>
    <t>Boulogne Billancourt (Hauts-de-Seine)</t>
  </si>
  <si>
    <t>https://twitter.com/hub_laferriere|https://www.facebook.com/hjulienlaferriere</t>
  </si>
  <si>
    <t>Professeur certifié de SES</t>
  </si>
  <si>
    <t>http://www2.assemblee-nationale.fr/deputes/fiche/OMC_PA722344</t>
  </si>
  <si>
    <t>hubert-julien-laferriere</t>
  </si>
  <si>
    <t>https://www.nosdeputes.fr/hubert-julien-laferriere</t>
  </si>
  <si>
    <t>https://www.nosdeputes.fr/hubert-julien-laferriere/csv</t>
  </si>
  <si>
    <t>hub_laferriere</t>
  </si>
  <si>
    <t>Loïc Kervran</t>
  </si>
  <si>
    <t>Kervran</t>
  </si>
  <si>
    <t>Moulins (Allier)</t>
  </si>
  <si>
    <t>https://twitter.com/LoicKervran18|https://fr-fr.facebook.com/facebook.com/LoicKervran18/</t>
  </si>
  <si>
    <t>http://www2.assemblee-nationale.fr/deputes/fiche/OMC_PA719052</t>
  </si>
  <si>
    <t>loic-kervran</t>
  </si>
  <si>
    <t>https://www.nosdeputes.fr/loic-kervran</t>
  </si>
  <si>
    <t>https://www.nosdeputes.fr/loic-kervran/csv</t>
  </si>
  <si>
    <t>LoicKervran18</t>
  </si>
  <si>
    <t>Geneviève Levy</t>
  </si>
  <si>
    <t>Levy</t>
  </si>
  <si>
    <t>Geneviève</t>
  </si>
  <si>
    <t>http://www.genevievelevy.fr|http://www.genevievelevy2017.fr|https://twitter.com/genevievelevy83</t>
  </si>
  <si>
    <t>Expert foncier et commercial</t>
  </si>
  <si>
    <t>http://www2.assemblee-nationale.fr/deputes/fiche/OMC_PA267378</t>
  </si>
  <si>
    <t>genevieve-levy</t>
  </si>
  <si>
    <t>https://www.nosdeputes.fr/genevieve-levy</t>
  </si>
  <si>
    <t>https://www.nosdeputes.fr/genevieve-levy/csv</t>
  </si>
  <si>
    <t>genevievelevy83</t>
  </si>
  <si>
    <t>Sophie Mette</t>
  </si>
  <si>
    <t>Mette</t>
  </si>
  <si>
    <t>Montauban (Tarn-et-Garonne)</t>
  </si>
  <si>
    <t>https://twitter.com/SophieMette1</t>
  </si>
  <si>
    <t>http://www2.assemblee-nationale.fr/deputes/fiche/OMC_PA719640</t>
  </si>
  <si>
    <t>sophie-mette</t>
  </si>
  <si>
    <t>https://www.nosdeputes.fr/sophie-mette</t>
  </si>
  <si>
    <t>https://www.nosdeputes.fr/sophie-mette/csv</t>
  </si>
  <si>
    <t>SophieMette1</t>
  </si>
  <si>
    <t>Marjolaine Meynier-Millefert</t>
  </si>
  <si>
    <t>Meynier-Millefert</t>
  </si>
  <si>
    <t>Marjolaine</t>
  </si>
  <si>
    <t>https://fr-fr.facebook.com/MarjolaineMeynierMillefert/|https://twitter.com/M_MeynierM|http://www.en-marche.fr</t>
  </si>
  <si>
    <t>http://www2.assemblee-nationale.fr/deputes/fiche/OMC_PA719882</t>
  </si>
  <si>
    <t>marjolaine-meynier-millefert</t>
  </si>
  <si>
    <t>https://www.nosdeputes.fr/marjolaine-meynier-millefert</t>
  </si>
  <si>
    <t>https://www.nosdeputes.fr/marjolaine-meynier-millefert/csv</t>
  </si>
  <si>
    <t>M_MeynierM</t>
  </si>
  <si>
    <t>Damien Pichereau</t>
  </si>
  <si>
    <t>Pichereau</t>
  </si>
  <si>
    <t>Mamers (Sarthe)</t>
  </si>
  <si>
    <t>http://www.damien-pichereau.fr|https://twitter.com/DamienPichereau</t>
  </si>
  <si>
    <t>http://www2.assemblee-nationale.fr/deputes/fiche/OMC_PA721372</t>
  </si>
  <si>
    <t>damien-pichereau</t>
  </si>
  <si>
    <t>https://www.nosdeputes.fr/damien-pichereau</t>
  </si>
  <si>
    <t>https://www.nosdeputes.fr/damien-pichereau/csv</t>
  </si>
  <si>
    <t>DamienPichereau</t>
  </si>
  <si>
    <t>Jean-François Portarrieu</t>
  </si>
  <si>
    <t>Portarrieu</t>
  </si>
  <si>
    <t>http://portarrieu.fr|https://twitter.com/jfportarrieu</t>
  </si>
  <si>
    <t>Journaliste</t>
  </si>
  <si>
    <t>http://www2.assemblee-nationale.fr/deputes/fiche/OMC_PA719528</t>
  </si>
  <si>
    <t>jean-francois-portarrieu</t>
  </si>
  <si>
    <t>https://www.nosdeputes.fr/jean-francois-portarrieu</t>
  </si>
  <si>
    <t>https://www.nosdeputes.fr/jean-francois-portarrieu/csv</t>
  </si>
  <si>
    <t>jfportarrieu</t>
  </si>
  <si>
    <t>Frédéric Reiss</t>
  </si>
  <si>
    <t>Reiss</t>
  </si>
  <si>
    <t>Haguenau (Bas-Rhin)</t>
  </si>
  <si>
    <t>http://www.fredericreiss.net</t>
  </si>
  <si>
    <t>Agrégé de mathématiques</t>
  </si>
  <si>
    <t>http://www2.assemblee-nationale.fr/deputes/fiche/OMC_PA266776</t>
  </si>
  <si>
    <t>frederic-reiss</t>
  </si>
  <si>
    <t>https://www.nosdeputes.fr/frederic-reiss</t>
  </si>
  <si>
    <t>https://www.nosdeputes.fr/frederic-reiss/csv</t>
  </si>
  <si>
    <t>Muriel Ressiguier</t>
  </si>
  <si>
    <t>Ressiguier</t>
  </si>
  <si>
    <t>Muriel</t>
  </si>
  <si>
    <t>Châteauroux (Indre)</t>
  </si>
  <si>
    <t>https://fr-fr.facebook.com/Ressiguier2017/|https://twitter.com/mressiguier|http://murielressiguier.fr|https://www.youtube.com/channel/UCiVFJiVl-GBPfmahaPZ4Hew</t>
  </si>
  <si>
    <t>http://www2.assemblee-nationale.fr/deputes/fiche/OMC_PA719676</t>
  </si>
  <si>
    <t>muriel-ressiguier</t>
  </si>
  <si>
    <t>https://www.nosdeputes.fr/muriel-ressiguier</t>
  </si>
  <si>
    <t>https://www.nosdeputes.fr/muriel-ressiguier/csv</t>
  </si>
  <si>
    <t>mressiguier</t>
  </si>
  <si>
    <t>Laurianne Rossi</t>
  </si>
  <si>
    <t>Rossi</t>
  </si>
  <si>
    <t>Laurianne</t>
  </si>
  <si>
    <t>https://twitter.com/lauriannerossi|https://fr-fr.facebook.com/LaurianneRossiDeputee/|http://www.lauriannerossi.fr|http://www.LaurianneRossi2017.fr|https://fr-fr.facebook.com/LaurianneRossi2017</t>
  </si>
  <si>
    <t>http://www2.assemblee-nationale.fr/deputes/fiche/OMC_PA721600</t>
  </si>
  <si>
    <t>laurianne-rossi</t>
  </si>
  <si>
    <t>https://www.nosdeputes.fr/laurianne-rossi</t>
  </si>
  <si>
    <t>https://www.nosdeputes.fr/laurianne-rossi/csv</t>
  </si>
  <si>
    <t>lauriannerossi</t>
  </si>
  <si>
    <t>Joachim Son-Forget</t>
  </si>
  <si>
    <t>Son-Forget</t>
  </si>
  <si>
    <t>Joachim</t>
  </si>
  <si>
    <t>Séoul (Corée du Sud)</t>
  </si>
  <si>
    <t>https://twitter.com/sonjoachim|http://joachimson.com|http://joachimsonforget.fr</t>
  </si>
  <si>
    <t>http://www2.assemblee-nationale.fr/deputes/fiche/OMC_PA721174</t>
  </si>
  <si>
    <t>joachim-son-forget</t>
  </si>
  <si>
    <t>https://www.nosdeputes.fr/joachim-son-forget</t>
  </si>
  <si>
    <t>https://www.nosdeputes.fr/joachim-son-forget/csv</t>
  </si>
  <si>
    <t>sonjoachim</t>
  </si>
  <si>
    <t>Bertrand Sorre</t>
  </si>
  <si>
    <t>Sorre</t>
  </si>
  <si>
    <t>Cherbourg (Manche)</t>
  </si>
  <si>
    <t>https://twitter.com/BertrandSorre|https://fr-fr.facebook.com/bertrandsorrecandidat/</t>
  </si>
  <si>
    <t>Enseignant 1er degré-directeur d'école (en disponibilité)</t>
  </si>
  <si>
    <t>http://www2.assemblee-nationale.fr/deputes/fiche/OMC_PA720190</t>
  </si>
  <si>
    <t>bertrand-sorre</t>
  </si>
  <si>
    <t>https://www.nosdeputes.fr/bertrand-sorre</t>
  </si>
  <si>
    <t>https://www.nosdeputes.fr/bertrand-sorre/csv</t>
  </si>
  <si>
    <t>BertrandSorre</t>
  </si>
  <si>
    <t>Marie Tamarelle-Verhaeghe</t>
  </si>
  <si>
    <t>Tamarelle-Verhaeghe</t>
  </si>
  <si>
    <t>Petit-Quevilly (Seine-Maritime)</t>
  </si>
  <si>
    <t>https://twitter.com/mtamverhaeghe|https://fr-fr.facebook.com/Marie-Tamarelle-Verhaeghe-En-Marche-Législatives-2017/</t>
  </si>
  <si>
    <t>http://www2.assemblee-nationale.fr/deputes/fiche/OMC_PA719350</t>
  </si>
  <si>
    <t>marie-tamarelle-verhaeghe</t>
  </si>
  <si>
    <t>https://www.nosdeputes.fr/marie-tamarelle-verhaeghe</t>
  </si>
  <si>
    <t>https://www.nosdeputes.fr/marie-tamarelle-verhaeghe/csv</t>
  </si>
  <si>
    <t>mtamverhaeghe</t>
  </si>
  <si>
    <t>Buon Tan</t>
  </si>
  <si>
    <t>Tan</t>
  </si>
  <si>
    <t>Buon</t>
  </si>
  <si>
    <t>Phnom Penh (Cambodge)</t>
  </si>
  <si>
    <t>http://www.buontan.fr|http://www.buon-tan.fr|https://twitter.com/BuonTAN</t>
  </si>
  <si>
    <t>http://www2.assemblee-nationale.fr/deputes/fiche/OMC_PA721690</t>
  </si>
  <si>
    <t>buon-tan</t>
  </si>
  <si>
    <t>https://www.nosdeputes.fr/buon-tan</t>
  </si>
  <si>
    <t>https://www.nosdeputes.fr/buon-tan/csv</t>
  </si>
  <si>
    <t>BuonTAN</t>
  </si>
  <si>
    <t>Stéphane Testé</t>
  </si>
  <si>
    <t>Testé</t>
  </si>
  <si>
    <t>Aulnay-sous-Bois (Seine-Saint-Denis)</t>
  </si>
  <si>
    <t>https://fr-fr.facebook.com/LREMStephaneTeste/|http://www.stephaneteste.fr</t>
  </si>
  <si>
    <t>Enseignant du 1er dégré-Directeur d'école</t>
  </si>
  <si>
    <t>http://www2.assemblee-nationale.fr/deputes/fiche/OMC_PA720854</t>
  </si>
  <si>
    <t>stephane-teste</t>
  </si>
  <si>
    <t>https://www.nosdeputes.fr/stephane-teste</t>
  </si>
  <si>
    <t>https://www.nosdeputes.fr/stephane-teste/csv</t>
  </si>
  <si>
    <t>Manuel Valls</t>
  </si>
  <si>
    <t>Valls</t>
  </si>
  <si>
    <t>Manuel</t>
  </si>
  <si>
    <t>Barcelone (Espagne)</t>
  </si>
  <si>
    <t>http://manuelvalls.fr|https://twitter.com/manuelvalls</t>
  </si>
  <si>
    <t>http://www2.assemblee-nationale.fr/deputes/fiche/OMC_PA267622</t>
  </si>
  <si>
    <t>manuel-valls</t>
  </si>
  <si>
    <t>https://www.nosdeputes.fr/manuel-valls</t>
  </si>
  <si>
    <t>https://www.nosdeputes.fr/manuel-valls/csv</t>
  </si>
  <si>
    <t>manuelvalls</t>
  </si>
  <si>
    <t>Pierre Vatin</t>
  </si>
  <si>
    <t>Vatin</t>
  </si>
  <si>
    <t>https://fr-fr.facebook.com/pierrevatin/</t>
  </si>
  <si>
    <t>http://www2.assemblee-nationale.fr/deputes/fiche/OMC_PA720586</t>
  </si>
  <si>
    <t>pierre-vatin</t>
  </si>
  <si>
    <t>https://www.nosdeputes.fr/pierre-vatin</t>
  </si>
  <si>
    <t>https://www.nosdeputes.fr/pierre-vatin/csv</t>
  </si>
  <si>
    <t>Alexandra Valetta Ardisson</t>
  </si>
  <si>
    <t>Ardisson</t>
  </si>
  <si>
    <t>Alexandra Valetta</t>
  </si>
  <si>
    <t>Cannes (Alpes-Maritimes)</t>
  </si>
  <si>
    <t>https://twitter.com/A_Ardisson|http://www.alexandra-valetta-ardisson.fr|https://www.linkedin.com/in/alexandra-ardisson-20a5b083</t>
  </si>
  <si>
    <t>Coordinatrice aménagement numérique</t>
  </si>
  <si>
    <t>http://www2.assemblee-nationale.fr/deputes/fiche/OMC_PA718768</t>
  </si>
  <si>
    <t>alexandra-valetta-ardisson</t>
  </si>
  <si>
    <t>https://www.nosdeputes.fr/alexandra-valetta-ardisson</t>
  </si>
  <si>
    <t>https://www.nosdeputes.fr/alexandra-valetta-ardisson/csv</t>
  </si>
  <si>
    <t>A_Ardisson</t>
  </si>
  <si>
    <t>Jean-Philippe Ardouin</t>
  </si>
  <si>
    <t>Ardouin</t>
  </si>
  <si>
    <t>Jean-Philippe</t>
  </si>
  <si>
    <t>Saintes (Charente-Maritime)</t>
  </si>
  <si>
    <t>https://fr-fr.facebook.com/jpardouin/</t>
  </si>
  <si>
    <t>http://www2.assemblee-nationale.fr/deputes/fiche/OMC_PA719100</t>
  </si>
  <si>
    <t>jean-philippe-ardouin</t>
  </si>
  <si>
    <t>https://www.nosdeputes.fr/jean-philippe-ardouin</t>
  </si>
  <si>
    <t>https://www.nosdeputes.fr/jean-philippe-ardouin/csv</t>
  </si>
  <si>
    <t>Olivier Becht</t>
  </si>
  <si>
    <t>Becht</t>
  </si>
  <si>
    <t>http://www.becht-groff2017.fr|https://twitter.com/BechtGroff2017</t>
  </si>
  <si>
    <t>http://www2.assemblee-nationale.fr/deputes/fiche/OMC_PA642935</t>
  </si>
  <si>
    <t>olivier-becht</t>
  </si>
  <si>
    <t>https://www.nosdeputes.fr/olivier-becht</t>
  </si>
  <si>
    <t>https://www.nosdeputes.fr/olivier-becht/csv</t>
  </si>
  <si>
    <t>BechtGroff2017</t>
  </si>
  <si>
    <t>Hervé Berville</t>
  </si>
  <si>
    <t>Berville</t>
  </si>
  <si>
    <t>Madanzh-Buhimga (Rwanda)</t>
  </si>
  <si>
    <t>https://fr-fr.facebook.com/HerveBerville/|https://twitter.com/HerveBerville|https://medium.com/@herve.berville|https://www.facebook.com/pg/HerveBerville</t>
  </si>
  <si>
    <t>http://www2.assemblee-nationale.fr/deputes/fiche/OMC_PA719218</t>
  </si>
  <si>
    <t>herve-berville</t>
  </si>
  <si>
    <t>https://www.nosdeputes.fr/herve-berville</t>
  </si>
  <si>
    <t>https://www.nosdeputes.fr/herve-berville/csv</t>
  </si>
  <si>
    <t>HerveBerville</t>
  </si>
  <si>
    <t>Christophe Blanchet</t>
  </si>
  <si>
    <t>Blanchet</t>
  </si>
  <si>
    <t>https://fr-fr.facebook.com/christopheblanchet2017/|http://www.christopheblanchet2017.fr|https://twitter.com/christoblanchet</t>
  </si>
  <si>
    <t>http://www2.assemblee-nationale.fr/deputes/fiche/OMC_PA719024</t>
  </si>
  <si>
    <t>christophe-blanchet</t>
  </si>
  <si>
    <t>https://www.nosdeputes.fr/christophe-blanchet</t>
  </si>
  <si>
    <t>https://www.nosdeputes.fr/christophe-blanchet/csv</t>
  </si>
  <si>
    <t>christoblanchet</t>
  </si>
  <si>
    <t>Marine Brenier</t>
  </si>
  <si>
    <t>Brenier</t>
  </si>
  <si>
    <t>https://twitter.com/marinebrenier|http://www.marinebrenier.fr|https://fr-fr.facebook.com/marine.brenier/</t>
  </si>
  <si>
    <t>http://www2.assemblee-nationale.fr/deputes/fiche/OMC_PA713448</t>
  </si>
  <si>
    <t>marine-brenier</t>
  </si>
  <si>
    <t>https://www.nosdeputes.fr/marine-brenier</t>
  </si>
  <si>
    <t>https://www.nosdeputes.fr/marine-brenier/csv</t>
  </si>
  <si>
    <t>marinebrenier</t>
  </si>
  <si>
    <t>Luc Carvounas</t>
  </si>
  <si>
    <t>Carvounas</t>
  </si>
  <si>
    <t>Luc</t>
  </si>
  <si>
    <t>charenton le pont (Val-de-Marne)</t>
  </si>
  <si>
    <t>https://twitter.com/luccarvounas|http://www.luccarvounas.net|https://fr-fr.facebook.com/luccarvounas/|http://www.luccarvounas.fr</t>
  </si>
  <si>
    <t>http://www2.assemblee-nationale.fr/deputes/fiche/OMC_PA429893</t>
  </si>
  <si>
    <t>luc-carvounas</t>
  </si>
  <si>
    <t>https://www.nosdeputes.fr/luc-carvounas</t>
  </si>
  <si>
    <t>https://www.nosdeputes.fr/luc-carvounas/csv</t>
  </si>
  <si>
    <t>luccarvounas</t>
  </si>
  <si>
    <t>Gilbert Collard</t>
  </si>
  <si>
    <t>Collard</t>
  </si>
  <si>
    <t>Gilbert</t>
  </si>
  <si>
    <t>https://fr-fr.facebook.com/collard.officiel/|https://twitter.com/GilbertCollard|http://gilbertcollard.fr</t>
  </si>
  <si>
    <t>http://www2.assemblee-nationale.fr/deputes/fiche/OMC_PA606212</t>
  </si>
  <si>
    <t>gilbert-collard</t>
  </si>
  <si>
    <t>https://www.nosdeputes.fr/gilbert-collard</t>
  </si>
  <si>
    <t>https://www.nosdeputes.fr/gilbert-collard/csv</t>
  </si>
  <si>
    <t>GilbertCollard</t>
  </si>
  <si>
    <t>Paul-André Colombani</t>
  </si>
  <si>
    <t>Colombani</t>
  </si>
  <si>
    <t>Paul-André</t>
  </si>
  <si>
    <t>https://twitter.com/pacolombani</t>
  </si>
  <si>
    <t>http://www2.assemblee-nationale.fr/deputes/fiche/OMC_PA719286</t>
  </si>
  <si>
    <t>paul-andre-colombani</t>
  </si>
  <si>
    <t>https://www.nosdeputes.fr/paul-andre-colombani</t>
  </si>
  <si>
    <t>https://www.nosdeputes.fr/paul-andre-colombani/csv</t>
  </si>
  <si>
    <t>pacolombani</t>
  </si>
  <si>
    <t>Bernard Deflesselles</t>
  </si>
  <si>
    <t>Deflesselles</t>
  </si>
  <si>
    <t>Paris 6ème (Paris)</t>
  </si>
  <si>
    <t>https://fr-fr.facebook.com/bernarddeflesselles/|http://www.bernarddeflesselles.com|https://twitter.com/BDeflesselles|http://www.bernardeeflesselles.com</t>
  </si>
  <si>
    <t>http://www2.assemblee-nationale.fr/deputes/fiche/OMC_PA1029</t>
  </si>
  <si>
    <t>bernard-deflesselles</t>
  </si>
  <si>
    <t>https://www.nosdeputes.fr/bernard-deflesselles</t>
  </si>
  <si>
    <t>https://www.nosdeputes.fr/bernard-deflesselles/csv</t>
  </si>
  <si>
    <t>BDeflesselles</t>
  </si>
  <si>
    <t>Stéphanie Do</t>
  </si>
  <si>
    <t>Do</t>
  </si>
  <si>
    <t>Hô Chi Minh Ville (Vietnam)</t>
  </si>
  <si>
    <t>https://fr-fr.facebook.com/StephanieDo.REM77/|http://www.stephaniedo.fr|https://twitter.com/DoStephanie_77</t>
  </si>
  <si>
    <t>http://www2.assemblee-nationale.fr/deputes/fiche/OMC_PA721718</t>
  </si>
  <si>
    <t>stephanie-do</t>
  </si>
  <si>
    <t>https://www.nosdeputes.fr/stephanie-do</t>
  </si>
  <si>
    <t>https://www.nosdeputes.fr/stephanie-do/csv</t>
  </si>
  <si>
    <t>DoStephanie_77</t>
  </si>
  <si>
    <t>José Evrard</t>
  </si>
  <si>
    <t>Evrard</t>
  </si>
  <si>
    <t>José</t>
  </si>
  <si>
    <t>Cauchy-à-la-Tour (Pas-de-Calais)</t>
  </si>
  <si>
    <t>Non déclaré(s)</t>
  </si>
  <si>
    <t>http://www2.assemblee-nationale.fr/deputes/fiche/OMC_PA720664</t>
  </si>
  <si>
    <t>jose-evrard</t>
  </si>
  <si>
    <t>https://www.nosdeputes.fr/jose-evrard</t>
  </si>
  <si>
    <t>https://www.nosdeputes.fr/jose-evrard/csv</t>
  </si>
  <si>
    <t>Richard Ferrand</t>
  </si>
  <si>
    <t>Ferrand</t>
  </si>
  <si>
    <t>http://www.richardferrand.fr|https://twitter.com/RichardFerrand</t>
  </si>
  <si>
    <t>http://www2.assemblee-nationale.fr/deputes/fiche/OMC_PA606171</t>
  </si>
  <si>
    <t>richard-ferrand</t>
  </si>
  <si>
    <t>https://www.nosdeputes.fr/richard-ferrand</t>
  </si>
  <si>
    <t>https://www.nosdeputes.fr/richard-ferrand/csv</t>
  </si>
  <si>
    <t>RichardFerrand</t>
  </si>
  <si>
    <t>Valérie Gomez-Bassac</t>
  </si>
  <si>
    <t>Gomez-Bassac</t>
  </si>
  <si>
    <t>https://fr-fr.facebook.com/Gomez.Bassac.Valerie/|https://twitter.com/VGB83|http://www.valerie.gomez-bassac.fr</t>
  </si>
  <si>
    <t>http://www2.assemblee-nationale.fr/deputes/fiche/OMC_PA721784</t>
  </si>
  <si>
    <t>valerie-gomez-bassac</t>
  </si>
  <si>
    <t>https://www.nosdeputes.fr/valerie-gomez-bassac</t>
  </si>
  <si>
    <t>https://www.nosdeputes.fr/valerie-gomez-bassac/csv</t>
  </si>
  <si>
    <t>VGB83</t>
  </si>
  <si>
    <t>Émilie Guerel</t>
  </si>
  <si>
    <t>Guerel</t>
  </si>
  <si>
    <t>https://fr-fr.facebook.com/EmilieGuerel8307/|https://twitter.com/eguerelLREM|http://www.emilieguerel2017.com</t>
  </si>
  <si>
    <t>Professeur du secondaire et techn.</t>
  </si>
  <si>
    <t>http://www2.assemblee-nationale.fr/deputes/fiche/OMC_PA721792</t>
  </si>
  <si>
    <t>emilie-guerel</t>
  </si>
  <si>
    <t>https://www.nosdeputes.fr/emilie-guerel</t>
  </si>
  <si>
    <t>https://www.nosdeputes.fr/emilie-guerel/csv</t>
  </si>
  <si>
    <t>eguerelLREM</t>
  </si>
  <si>
    <t>Claire Guion-Firmin</t>
  </si>
  <si>
    <t>Guion-Firmin</t>
  </si>
  <si>
    <t>Saint-Martin (Saint-Barthélemy et Saint-Martin)</t>
  </si>
  <si>
    <t>Saint-Barthélemy et Saint-Martin</t>
  </si>
  <si>
    <t>Directrice générale ajointe d'hôtel</t>
  </si>
  <si>
    <t>http://www2.assemblee-nationale.fr/deputes/fiche/OMC_PA721126</t>
  </si>
  <si>
    <t>claire-guion-firmin</t>
  </si>
  <si>
    <t>https://www.nosdeputes.fr/claire-guion-firmin</t>
  </si>
  <si>
    <t>https://www.nosdeputes.fr/claire-guion-firmin/csv</t>
  </si>
  <si>
    <t>Pierre Henriet</t>
  </si>
  <si>
    <t>Henriet</t>
  </si>
  <si>
    <t>https://twitter.com/HenrietPierre|https://fr-fr.facebook.com/pierre.henriet/|http://www.sudvendee-enmarche.fr</t>
  </si>
  <si>
    <t>http://www2.assemblee-nationale.fr/deputes/fiche/OMC_PA722070</t>
  </si>
  <si>
    <t>pierre-henriet</t>
  </si>
  <si>
    <t>https://www.nosdeputes.fr/pierre-henriet</t>
  </si>
  <si>
    <t>https://www.nosdeputes.fr/pierre-henriet/csv</t>
  </si>
  <si>
    <t>HenrietPierre</t>
  </si>
  <si>
    <t>Sonia Krimi</t>
  </si>
  <si>
    <t>Krimi</t>
  </si>
  <si>
    <t>Sonia</t>
  </si>
  <si>
    <t>Tunis (Tunisie)</t>
  </si>
  <si>
    <t>http://www.soniakrimi.fr|https://fr-fr.facebook.com/SoniaKrimi2017/|https://soniakrimi2017.info|https://twitter.com/Sonia_Krimi</t>
  </si>
  <si>
    <t>http://www2.assemblee-nationale.fr/deputes/fiche/OMC_PA720202</t>
  </si>
  <si>
    <t>sonia-krimi</t>
  </si>
  <si>
    <t>https://www.nosdeputes.fr/sonia-krimi</t>
  </si>
  <si>
    <t>https://www.nosdeputes.fr/sonia-krimi/csv</t>
  </si>
  <si>
    <t>Sonia_Krimi</t>
  </si>
  <si>
    <t>Jérôme Lambert</t>
  </si>
  <si>
    <t>Lambert</t>
  </si>
  <si>
    <t>Vincennes (Val-de-Marne)</t>
  </si>
  <si>
    <t>https://twitter.com/jeromelambert16</t>
  </si>
  <si>
    <t>Cadre de l'industrie</t>
  </si>
  <si>
    <t>http://www2.assemblee-nationale.fr/deputes/fiche/OMC_PA1809</t>
  </si>
  <si>
    <t>jerome-lambert</t>
  </si>
  <si>
    <t>https://www.nosdeputes.fr/jerome-lambert</t>
  </si>
  <si>
    <t>https://www.nosdeputes.fr/jerome-lambert/csv</t>
  </si>
  <si>
    <t>jeromelambert16</t>
  </si>
  <si>
    <t>Maurice Leroy</t>
  </si>
  <si>
    <t>Leroy</t>
  </si>
  <si>
    <t>Maurice</t>
  </si>
  <si>
    <t>https://fr-fr.facebook.com/maurice.leroy.politique/|https://twitter.com/MauriceLeroy|http://www.mauriceleroymedia.com</t>
  </si>
  <si>
    <t>Économiste</t>
  </si>
  <si>
    <t>http://www2.assemblee-nationale.fr/deputes/fiche/OMC_PA1960</t>
  </si>
  <si>
    <t>maurice-leroy</t>
  </si>
  <si>
    <t>https://www.nosdeputes.fr/maurice-leroy</t>
  </si>
  <si>
    <t>https://www.nosdeputes.fr/maurice-leroy/csv</t>
  </si>
  <si>
    <t>MauriceLeroy</t>
  </si>
  <si>
    <t>Jacqueline Maquet</t>
  </si>
  <si>
    <t>Estrée-Blanche (Pas-de-Calais)</t>
  </si>
  <si>
    <t>https://fr-fr.facebook.com/jacqueline.maquet.5/|https://twitter.com/JMaquetDeputee|http://jacquelinemaquet2017.fr</t>
  </si>
  <si>
    <t>Directrice de mission</t>
  </si>
  <si>
    <t>http://www2.assemblee-nationale.fr/deputes/fiche/OMC_PA334116</t>
  </si>
  <si>
    <t>jacqueline-maquet</t>
  </si>
  <si>
    <t>https://www.nosdeputes.fr/jacqueline-maquet</t>
  </si>
  <si>
    <t>https://www.nosdeputes.fr/jacqueline-maquet/csv</t>
  </si>
  <si>
    <t>JMaquetDeputee</t>
  </si>
  <si>
    <t>Cécile Muschotti</t>
  </si>
  <si>
    <t>Muschotti</t>
  </si>
  <si>
    <t>https://twitter.com/CMUSCHOTTI|https://fr-fr.facebook.com/cmuschotti/|http://muschotti.fr</t>
  </si>
  <si>
    <t>Directrice d’un centre de formation des apprentis</t>
  </si>
  <si>
    <t>http://www2.assemblee-nationale.fr/deputes/fiche/OMC_PA721656</t>
  </si>
  <si>
    <t>cecile-muschotti</t>
  </si>
  <si>
    <t>https://www.nosdeputes.fr/cecile-muschotti</t>
  </si>
  <si>
    <t>https://www.nosdeputes.fr/cecile-muschotti/csv</t>
  </si>
  <si>
    <t>CMUSCHOTTI</t>
  </si>
  <si>
    <t>Delphine O</t>
  </si>
  <si>
    <t>O</t>
  </si>
  <si>
    <t>Mont-Saint-Aignan (Seine-Maritime)</t>
  </si>
  <si>
    <t>https://fr-fr.facebook.com/delphineo16e/|https://twitter.com/odelphine|https://www.delphine-o.fr</t>
  </si>
  <si>
    <t>http://www2.assemblee-nationale.fr/deputes/fiche/OMC_PA721956</t>
  </si>
  <si>
    <t>delphine-o</t>
  </si>
  <si>
    <t>https://www.nosdeputes.fr/delphine-o</t>
  </si>
  <si>
    <t>https://www.nosdeputes.fr/delphine-o/csv</t>
  </si>
  <si>
    <t>odelphine</t>
  </si>
  <si>
    <t>Aurélien Taché</t>
  </si>
  <si>
    <t>Taché</t>
  </si>
  <si>
    <t>https://fr-fr.facebook.com/AurelienTacheLREM/|https://twitter.com/Aurelientache|http://aurelientache.fr</t>
  </si>
  <si>
    <t>http://www2.assemblee-nationale.fr/deputes/fiche/OMC_PA720952</t>
  </si>
  <si>
    <t>aurelien-tache</t>
  </si>
  <si>
    <t>https://www.nosdeputes.fr/aurelien-tache</t>
  </si>
  <si>
    <t>https://www.nosdeputes.fr/aurelien-tache/csv</t>
  </si>
  <si>
    <t>Aurelientache</t>
  </si>
  <si>
    <t>Alice Thourot</t>
  </si>
  <si>
    <t>Thourot</t>
  </si>
  <si>
    <t>Alice</t>
  </si>
  <si>
    <t>Bar-le-Duc (Meuse)</t>
  </si>
  <si>
    <t>https://twitter.com/AliceThourot|https://fr-fr.facebook.com/AThourot/|http://alicethourot2017.fr|https://fr-fr.facebook.com/thourot2017</t>
  </si>
  <si>
    <t>http://www2.assemblee-nationale.fr/deputes/fiche/OMC_PA719302</t>
  </si>
  <si>
    <t>alice-thourot</t>
  </si>
  <si>
    <t>https://www.nosdeputes.fr/alice-thourot</t>
  </si>
  <si>
    <t>https://www.nosdeputes.fr/alice-thourot/csv</t>
  </si>
  <si>
    <t>AliceThourot</t>
  </si>
  <si>
    <t>Michel Vialay</t>
  </si>
  <si>
    <t>Vialay</t>
  </si>
  <si>
    <t>http://www.michelvialay.fr|http://www.michelvialay78.fr|http://www.michelvialay2017.fr|https://twitter.com/MichelVialay</t>
  </si>
  <si>
    <t>http://www2.assemblee-nationale.fr/deputes/fiche/OMC_PA721968</t>
  </si>
  <si>
    <t>michel-vialay</t>
  </si>
  <si>
    <t>https://www.nosdeputes.fr/michel-vialay</t>
  </si>
  <si>
    <t>https://www.nosdeputes.fr/michel-vialay/csv</t>
  </si>
  <si>
    <t>MichelVialay</t>
  </si>
  <si>
    <t>Cédric Villani</t>
  </si>
  <si>
    <t>Villani</t>
  </si>
  <si>
    <t>Brive (Corrèze)</t>
  </si>
  <si>
    <t>http://www.villani2017.eu|https://fr-fr.facebook.com/CedricVillaniOfficiel/|https://twitter.com/VillaniCedric</t>
  </si>
  <si>
    <t>http://www2.assemblee-nationale.fr/deputes/fiche/OMC_PA722260</t>
  </si>
  <si>
    <t>cedric-villani</t>
  </si>
  <si>
    <t>https://www.nosdeputes.fr/cedric-villani</t>
  </si>
  <si>
    <t>https://www.nosdeputes.fr/cedric-villani/csv</t>
  </si>
  <si>
    <t>VillaniCedric</t>
  </si>
  <si>
    <t>Gisèle Biémouret</t>
  </si>
  <si>
    <t>Biémouret</t>
  </si>
  <si>
    <t>Gisèle</t>
  </si>
  <si>
    <t>http://giselebiemouret.fr|https://twitter.com/GiseleBiemouret</t>
  </si>
  <si>
    <t>http://www2.assemblee-nationale.fr/deputes/fiche/OMC_PA508</t>
  </si>
  <si>
    <t>gisele-biemouret</t>
  </si>
  <si>
    <t>https://www.nosdeputes.fr/gisele-biemouret</t>
  </si>
  <si>
    <t>https://www.nosdeputes.fr/gisele-biemouret/csv</t>
  </si>
  <si>
    <t>GiseleBiemouret</t>
  </si>
  <si>
    <t>Stéphane Demilly</t>
  </si>
  <si>
    <t>Demilly</t>
  </si>
  <si>
    <t>Albert (Somme)</t>
  </si>
  <si>
    <t>http://www.stephane-demilly.org|https://fr-fr.facebook.com/stephane.demilly.1/</t>
  </si>
  <si>
    <t>Formateur en management</t>
  </si>
  <si>
    <t>http://www2.assemblee-nationale.fr/deputes/fiche/OMC_PA267241</t>
  </si>
  <si>
    <t>stephane-demilly</t>
  </si>
  <si>
    <t>https://www.nosdeputes.fr/stephane-demilly</t>
  </si>
  <si>
    <t>https://www.nosdeputes.fr/stephane-demilly/csv</t>
  </si>
  <si>
    <t>Marianne Dubois</t>
  </si>
  <si>
    <t>Marianne</t>
  </si>
  <si>
    <t>Corbeil-Essonnes (Essonne)</t>
  </si>
  <si>
    <t>https://twitter.com/DuboisMarianne|https://fr-fr.facebook.com/DuboisMarianne/|http://www.marianne-dubois.fr|http://www.marianne2017.fr</t>
  </si>
  <si>
    <t>http://www2.assemblee-nationale.fr/deputes/fiche/OMC_PA342935</t>
  </si>
  <si>
    <t>marianne-dubois</t>
  </si>
  <si>
    <t>https://www.nosdeputes.fr/marianne-dubois</t>
  </si>
  <si>
    <t>https://www.nosdeputes.fr/marianne-dubois/csv</t>
  </si>
  <si>
    <t>DuboisMarianne</t>
  </si>
  <si>
    <t>Françoise Dumas</t>
  </si>
  <si>
    <t>Françoise</t>
  </si>
  <si>
    <t>Alès (Gard)</t>
  </si>
  <si>
    <t>https://francoisedumas.net|https://twitter.com/fdumasdeputee</t>
  </si>
  <si>
    <t>Cadre supérieur de la fonction publique, directeur territorial</t>
  </si>
  <si>
    <t>http://www2.assemblee-nationale.fr/deputes/fiche/OMC_PA606202</t>
  </si>
  <si>
    <t>francoise-dumas</t>
  </si>
  <si>
    <t>https://www.nosdeputes.fr/francoise-dumas</t>
  </si>
  <si>
    <t>https://www.nosdeputes.fr/francoise-dumas/csv</t>
  </si>
  <si>
    <t>fdumasdeputee</t>
  </si>
  <si>
    <t>Laurence Dumont</t>
  </si>
  <si>
    <t>http://www.laurencedumont.fr|https://twitter.com/LDumontDeputee</t>
  </si>
  <si>
    <t>Chargée d'études</t>
  </si>
  <si>
    <t>http://www2.assemblee-nationale.fr/deputes/fiche/OMC_PA1198</t>
  </si>
  <si>
    <t>laurence-dumont</t>
  </si>
  <si>
    <t>https://www.nosdeputes.fr/laurence-dumont</t>
  </si>
  <si>
    <t>https://www.nosdeputes.fr/laurence-dumont/csv</t>
  </si>
  <si>
    <t>LDumontDeputee</t>
  </si>
  <si>
    <t>Nicolas Dupont-Aignan</t>
  </si>
  <si>
    <t>Dupont-Aignan</t>
  </si>
  <si>
    <t>Debout la France</t>
  </si>
  <si>
    <t>http://www.nda2015.fr|http://www.nda-2017.fr|http://www.debout-la-france.fr|https://twitter.com/dupontaignan|http://www.nicolasdupontaignan.fr</t>
  </si>
  <si>
    <t>Administrateur civil</t>
  </si>
  <si>
    <t>http://www2.assemblee-nationale.fr/deputes/fiche/OMC_PA1206</t>
  </si>
  <si>
    <t>nicolas-dupont-aignan</t>
  </si>
  <si>
    <t>https://www.nosdeputes.fr/nicolas-dupont-aignan</t>
  </si>
  <si>
    <t>https://www.nosdeputes.fr/nicolas-dupont-aignan/csv</t>
  </si>
  <si>
    <t>dupontaignan</t>
  </si>
  <si>
    <t>Grégory Galbadon</t>
  </si>
  <si>
    <t>Galbadon</t>
  </si>
  <si>
    <t>http://www2.assemblee-nationale.fr/deputes/fiche/OMC_PA720198</t>
  </si>
  <si>
    <t>gregory-galbadon</t>
  </si>
  <si>
    <t>https://www.nosdeputes.fr/gregory-galbadon</t>
  </si>
  <si>
    <t>https://www.nosdeputes.fr/gregory-galbadon/csv</t>
  </si>
  <si>
    <t>Sandrine Josso</t>
  </si>
  <si>
    <t>Josso</t>
  </si>
  <si>
    <t>Guérande (Loire-Atlantique)</t>
  </si>
  <si>
    <t>https://fr-fr.facebook.com/Sandrinejosso2017/|https://twitter.com/sandrinejossoAN</t>
  </si>
  <si>
    <t>http://www2.assemblee-nationale.fr/deputes/fiche/OMC_PA720038</t>
  </si>
  <si>
    <t>sandrine-josso</t>
  </si>
  <si>
    <t>https://www.nosdeputes.fr/sandrine-josso</t>
  </si>
  <si>
    <t>https://www.nosdeputes.fr/sandrine-josso/csv</t>
  </si>
  <si>
    <t>sandrinejossoAN</t>
  </si>
  <si>
    <t>François-Michel Lambert</t>
  </si>
  <si>
    <t>François-Michel</t>
  </si>
  <si>
    <t>La Havane (Cuba)</t>
  </si>
  <si>
    <t>https://twitter.com/fm_lambert|http://fmlambert.fr|http://www.fmlambert2017.fr</t>
  </si>
  <si>
    <t>http://www2.assemblee-nationale.fr/deputes/fiche/OMC_PA605518</t>
  </si>
  <si>
    <t>francois-michel-lambert</t>
  </si>
  <si>
    <t>https://www.nosdeputes.fr/francois-michel-lambert</t>
  </si>
  <si>
    <t>https://www.nosdeputes.fr/francois-michel-lambert/csv</t>
  </si>
  <si>
    <t>fm_lambert</t>
  </si>
  <si>
    <t>Anne-Christine Lang</t>
  </si>
  <si>
    <t>Lang</t>
  </si>
  <si>
    <t>Anne-Christine</t>
  </si>
  <si>
    <t>Mont-de-Marsan (Landes)</t>
  </si>
  <si>
    <t>https://twitter.com/AChristine_Lang|http://www.annechristinelang.fr|https://fr-fr.facebook.com/ACLang13/</t>
  </si>
  <si>
    <t>http://www2.assemblee-nationale.fr/deputes/fiche/OMC_PA643205</t>
  </si>
  <si>
    <t>anne-christine-lang</t>
  </si>
  <si>
    <t>https://www.nosdeputes.fr/anne-christine-lang</t>
  </si>
  <si>
    <t>https://www.nosdeputes.fr/anne-christine-lang/csv</t>
  </si>
  <si>
    <t>AChristine_Lang</t>
  </si>
  <si>
    <t>Patrick Mignola</t>
  </si>
  <si>
    <t>Mignola</t>
  </si>
  <si>
    <t>https://fr-fr.facebook.com/patrick.mignola/|https://twitter.com/PatrickMignola|http://www.laravoire.com/index.php</t>
  </si>
  <si>
    <t>http://www2.assemblee-nationale.fr/deputes/fiche/OMC_PA721418</t>
  </si>
  <si>
    <t>patrick-mignola</t>
  </si>
  <si>
    <t>https://www.nosdeputes.fr/patrick-mignola</t>
  </si>
  <si>
    <t>https://www.nosdeputes.fr/patrick-mignola/csv</t>
  </si>
  <si>
    <t>PatrickMignola</t>
  </si>
  <si>
    <t>Josy Poueyto</t>
  </si>
  <si>
    <t>Poueyto</t>
  </si>
  <si>
    <t>Josy</t>
  </si>
  <si>
    <t>Paris 4ème (Paris)</t>
  </si>
  <si>
    <t>https://twitter.com/josypoueyto</t>
  </si>
  <si>
    <t>Retraitée de la fonction publique (hors enseignement)</t>
  </si>
  <si>
    <t>http://www2.assemblee-nationale.fr/deputes/fiche/OMC_PA720720</t>
  </si>
  <si>
    <t>josy-poueyto</t>
  </si>
  <si>
    <t>https://www.nosdeputes.fr/josy-poueyto</t>
  </si>
  <si>
    <t>https://www.nosdeputes.fr/josy-poueyto/csv</t>
  </si>
  <si>
    <t>josypoueyto</t>
  </si>
  <si>
    <t>Franck Riester</t>
  </si>
  <si>
    <t>Riester</t>
  </si>
  <si>
    <t>Franck</t>
  </si>
  <si>
    <t>https://twitter.com/franckriester|http://www.franckriester.fr|https://fr-fr.facebook.com/franck.riester/|https://fr-fr.facebook.com/@franck.riester</t>
  </si>
  <si>
    <t>http://www2.assemblee-nationale.fr/deputes/fiche/OMC_PA335758</t>
  </si>
  <si>
    <t>franck-riester</t>
  </si>
  <si>
    <t>https://www.nosdeputes.fr/franck-riester</t>
  </si>
  <si>
    <t>https://www.nosdeputes.fr/franck-riester/csv</t>
  </si>
  <si>
    <t>franckriester</t>
  </si>
  <si>
    <t>Gwendal Rouillard</t>
  </si>
  <si>
    <t>Rouillard</t>
  </si>
  <si>
    <t>Gwendal</t>
  </si>
  <si>
    <t>https://fr-fr.facebook.com/gwendal.rouillard1/|https://twitter.com/G_ROUILLARD|http://www.gwendal-rouillard.fr</t>
  </si>
  <si>
    <t>Cadre du secteur public</t>
  </si>
  <si>
    <t>http://www2.assemblee-nationale.fr/deputes/fiche/OMC_PA343493</t>
  </si>
  <si>
    <t>gwendal-rouillard</t>
  </si>
  <si>
    <t>https://www.nosdeputes.fr/gwendal-rouillard</t>
  </si>
  <si>
    <t>https://www.nosdeputes.fr/gwendal-rouillard/csv</t>
  </si>
  <si>
    <t>G_ROUILLARD</t>
  </si>
  <si>
    <t>Jean-Charles Taugourdeau</t>
  </si>
  <si>
    <t>Taugourdeau</t>
  </si>
  <si>
    <t>Dreux (Eure-et-Loir)</t>
  </si>
  <si>
    <t>http://jctaugourdeau.fr|https://fr-fr.facebook.com//JeanCharlesTaugourdeau/|https://twitter.com/jctaugourdeau</t>
  </si>
  <si>
    <t>http://www2.assemblee-nationale.fr/deputes/fiche/OMC_PA2792</t>
  </si>
  <si>
    <t>jean-charles-taugourdeau</t>
  </si>
  <si>
    <t>https://www.nosdeputes.fr/jean-charles-taugourdeau</t>
  </si>
  <si>
    <t>https://www.nosdeputes.fr/jean-charles-taugourdeau/csv</t>
  </si>
  <si>
    <t>jctaugourdeau</t>
  </si>
  <si>
    <t>Xavier Batut</t>
  </si>
  <si>
    <t>Batut</t>
  </si>
  <si>
    <t>Créteil (Val-de-Marne)</t>
  </si>
  <si>
    <t>https://twitter.com/XavierBatut|http://www.xavierbatut.com|https://fr-fr.facebook.com/xavier.batut10/|https://xavierbatut.en-marche.fr</t>
  </si>
  <si>
    <t>http://www2.assemblee-nationale.fr/deputes/fiche/OMC_PA721522</t>
  </si>
  <si>
    <t>xavier-batut</t>
  </si>
  <si>
    <t>https://www.nosdeputes.fr/xavier-batut</t>
  </si>
  <si>
    <t>https://www.nosdeputes.fr/xavier-batut/csv</t>
  </si>
  <si>
    <t>XavierBatut</t>
  </si>
  <si>
    <t>Anne-France Brunet</t>
  </si>
  <si>
    <t>Brunet</t>
  </si>
  <si>
    <t>Anne-France</t>
  </si>
  <si>
    <t>Saint-Maur des Fossés (Val-de-Marne)</t>
  </si>
  <si>
    <t>http://www.annefrancebrunet.fr|https://www.facebook.com/BrunetAF|https://twitter.com/AFBrunet_4403</t>
  </si>
  <si>
    <t>http://www2.assemblee-nationale.fr/deputes/fiche/OMC_PA720116</t>
  </si>
  <si>
    <t>anne-france-brunet</t>
  </si>
  <si>
    <t>https://www.nosdeputes.fr/anne-france-brunet</t>
  </si>
  <si>
    <t>https://www.nosdeputes.fr/anne-france-brunet/csv</t>
  </si>
  <si>
    <t>AFBrunet_4403</t>
  </si>
  <si>
    <t>M'jid El Guerrab</t>
  </si>
  <si>
    <t>El Guerrab</t>
  </si>
  <si>
    <t>M'jid</t>
  </si>
  <si>
    <t>http://mjidelguerrab.fr|https://twitter.com/elguerrab_mjid|https://fr-fr.facebook.com/mjidelguerrab/</t>
  </si>
  <si>
    <t>http://www2.assemblee-nationale.fr/deputes/fiche/OMC_PA720996</t>
  </si>
  <si>
    <t>m-jid-el-guerrab</t>
  </si>
  <si>
    <t>https://www.nosdeputes.fr/m-jid-el-guerrab</t>
  </si>
  <si>
    <t>https://www.nosdeputes.fr/m-jid-el-guerrab/csv</t>
  </si>
  <si>
    <t>elguerrab_mjid</t>
  </si>
  <si>
    <t>Alexandre Freschi</t>
  </si>
  <si>
    <t>Freschi</t>
  </si>
  <si>
    <t>Marmande (Lot-et-Garonne)</t>
  </si>
  <si>
    <t>https://fr-fr.facebook.com/Alexandre.V.Freschi/|https://twitter.com/AVFreschi</t>
  </si>
  <si>
    <t>Dirigeant de société</t>
  </si>
  <si>
    <t>http://www2.assemblee-nationale.fr/deputes/fiche/OMC_PA720030</t>
  </si>
  <si>
    <t>alexandre-freschi</t>
  </si>
  <si>
    <t>https://www.nosdeputes.fr/alexandre-freschi</t>
  </si>
  <si>
    <t>https://www.nosdeputes.fr/alexandre-freschi/csv</t>
  </si>
  <si>
    <t>AVFreschi</t>
  </si>
  <si>
    <t>Philippe Gomès</t>
  </si>
  <si>
    <t>Gomès</t>
  </si>
  <si>
    <t>Alger (Algérie)</t>
  </si>
  <si>
    <t>Nouvelle-Calédonie</t>
  </si>
  <si>
    <t>Calédonie Ensemble</t>
  </si>
  <si>
    <t>http://www.caledonie-ensemble.com|https://twitter.com/PhilippeGomesCE</t>
  </si>
  <si>
    <t>Cadre supérieur de la fonction publique</t>
  </si>
  <si>
    <t>http://www2.assemblee-nationale.fr/deputes/fiche/OMC_PA610775</t>
  </si>
  <si>
    <t>philippe-gomes</t>
  </si>
  <si>
    <t>https://www.nosdeputes.fr/philippe-gomes</t>
  </si>
  <si>
    <t>https://www.nosdeputes.fr/philippe-gomes/csv</t>
  </si>
  <si>
    <t>PhilippeGomesCE</t>
  </si>
  <si>
    <t>Yves Jégo</t>
  </si>
  <si>
    <t>Jégo</t>
  </si>
  <si>
    <t>http://www.yvesjego.fr|http://www.yvesjego.com|https://twitter.com/yvesjego</t>
  </si>
  <si>
    <t>http://www2.assemblee-nationale.fr/deputes/fiche/OMC_PA267801</t>
  </si>
  <si>
    <t>yves-jego</t>
  </si>
  <si>
    <t>https://www.nosdeputes.fr/yves-jego</t>
  </si>
  <si>
    <t>https://www.nosdeputes.fr/yves-jego/csv</t>
  </si>
  <si>
    <t>yvesjego</t>
  </si>
  <si>
    <t>Anissa Khedher</t>
  </si>
  <si>
    <t>Khedher</t>
  </si>
  <si>
    <t>Anissa</t>
  </si>
  <si>
    <t>Vénissieux (Rhône)</t>
  </si>
  <si>
    <t>http://anissakhedher.en-marche.fr|https://twitter.com/Anissa_Khedher|https://www.facebook.com/anissakhedher</t>
  </si>
  <si>
    <t>Cadre hospitalier</t>
  </si>
  <si>
    <t>http://www2.assemblee-nationale.fr/deputes/fiche/OMC_PA722300</t>
  </si>
  <si>
    <t>anissa-khedher</t>
  </si>
  <si>
    <t>https://www.nosdeputes.fr/anissa-khedher</t>
  </si>
  <si>
    <t>https://www.nosdeputes.fr/anissa-khedher/csv</t>
  </si>
  <si>
    <t>Anissa_Khedher</t>
  </si>
  <si>
    <t>Jean-Christophe Lagarde</t>
  </si>
  <si>
    <t>Lagarde</t>
  </si>
  <si>
    <t>Jean-Christophe</t>
  </si>
  <si>
    <t>https://fr-fr.facebook.com/jeanchristophe.lagarde.3/|http://www.jclagarde.fr|https://twitter.com/jclagarde</t>
  </si>
  <si>
    <t>Attaché de direction</t>
  </si>
  <si>
    <t>http://www2.assemblee-nationale.fr/deputes/fiche/OMC_PA268019</t>
  </si>
  <si>
    <t>jean-christophe-lagarde</t>
  </si>
  <si>
    <t>https://www.nosdeputes.fr/jean-christophe-lagarde</t>
  </si>
  <si>
    <t>https://www.nosdeputes.fr/jean-christophe-lagarde/csv</t>
  </si>
  <si>
    <t>jclagarde</t>
  </si>
  <si>
    <t>Jean-Charles Larsonneur</t>
  </si>
  <si>
    <t>Larsonneur</t>
  </si>
  <si>
    <t>https://fr-fr.facebook.com/jeancharleslarsonneur/|http://www.jeancharleslarsonneur.fr|https://twitter.com/JCLarsonneur</t>
  </si>
  <si>
    <t>Diplomate</t>
  </si>
  <si>
    <t>http://www2.assemblee-nationale.fr/deputes/fiche/OMC_PA719396</t>
  </si>
  <si>
    <t>jean-charles-larsonneur</t>
  </si>
  <si>
    <t>https://www.nosdeputes.fr/jean-charles-larsonneur</t>
  </si>
  <si>
    <t>https://www.nosdeputes.fr/jean-charles-larsonneur/csv</t>
  </si>
  <si>
    <t>JCLarsonneur</t>
  </si>
  <si>
    <t>Marie-France Lorho</t>
  </si>
  <si>
    <t>Lorho</t>
  </si>
  <si>
    <t>Marie-France</t>
  </si>
  <si>
    <t>http://mariefrancelorho.fr|https://fr-fr.facebook.com/mariefrancelorho/|https://twitter.com/FranceLorho</t>
  </si>
  <si>
    <t>Déléguée médicale</t>
  </si>
  <si>
    <t>http://www2.assemblee-nationale.fr/deputes/fiche/OMC_PA721932</t>
  </si>
  <si>
    <t>marie-france-lorho</t>
  </si>
  <si>
    <t>https://www.nosdeputes.fr/marie-france-lorho</t>
  </si>
  <si>
    <t>https://www.nosdeputes.fr/marie-france-lorho/csv</t>
  </si>
  <si>
    <t>FranceLorho</t>
  </si>
  <si>
    <t>Josette Manin</t>
  </si>
  <si>
    <t>Manin</t>
  </si>
  <si>
    <t>Josette</t>
  </si>
  <si>
    <t>Lamentin (Martinique)</t>
  </si>
  <si>
    <t>Martinique</t>
  </si>
  <si>
    <t>Parti progressiste martiniquais</t>
  </si>
  <si>
    <t>http://www2.assemblee-nationale.fr/deputes/fiche/OMC_PA720988</t>
  </si>
  <si>
    <t>josette-manin</t>
  </si>
  <si>
    <t>https://www.nosdeputes.fr/josette-manin</t>
  </si>
  <si>
    <t>https://www.nosdeputes.fr/josette-manin/csv</t>
  </si>
  <si>
    <t>Patricia Mirallès</t>
  </si>
  <si>
    <t>Mirallès</t>
  </si>
  <si>
    <t>https://fr-fr.facebook.com/patricia.miralles34000/|https://twitter.com/MIRALLESMP</t>
  </si>
  <si>
    <t>Fonctionnaire de catégorie C</t>
  </si>
  <si>
    <t>http://www2.assemblee-nationale.fr/deputes/fiche/OMC_PA719668</t>
  </si>
  <si>
    <t>patricia-miralles</t>
  </si>
  <si>
    <t>https://www.nosdeputes.fr/patricia-miralles</t>
  </si>
  <si>
    <t>https://www.nosdeputes.fr/patricia-miralles/csv</t>
  </si>
  <si>
    <t>MIRALLESMP</t>
  </si>
  <si>
    <t>Bernard Reynès</t>
  </si>
  <si>
    <t>Reynès</t>
  </si>
  <si>
    <t>Meknès (Maroc)</t>
  </si>
  <si>
    <t>https://twitter.com/bernardreynes|https://fr-fr.facebook.com/bernard.reynes/|http://www.bernard-reynes.fr|http://www.bernard-reynes.com</t>
  </si>
  <si>
    <t>Chirurgien-Dentiste</t>
  </si>
  <si>
    <t>http://www2.assemblee-nationale.fr/deputes/fiche/OMC_PA330788</t>
  </si>
  <si>
    <t>bernard-reynes</t>
  </si>
  <si>
    <t>https://www.nosdeputes.fr/bernard-reynes</t>
  </si>
  <si>
    <t>https://www.nosdeputes.fr/bernard-reynes/csv</t>
  </si>
  <si>
    <t>bernardreynes</t>
  </si>
  <si>
    <t>Maina Sage</t>
  </si>
  <si>
    <t>Sage</t>
  </si>
  <si>
    <t>Maina</t>
  </si>
  <si>
    <t>Papeete (Polynésie Française)</t>
  </si>
  <si>
    <t>Polynésie Française</t>
  </si>
  <si>
    <t>Tapura Huiraatira</t>
  </si>
  <si>
    <t>https://twitter.com/MainaSage|https://fr-fr.facebook.com/MainaSageDeputee/|http://www.msage-an.fr</t>
  </si>
  <si>
    <t>Consultant en communication</t>
  </si>
  <si>
    <t>http://www2.assemblee-nationale.fr/deputes/fiche/OMC_PA702052</t>
  </si>
  <si>
    <t>maina-sage</t>
  </si>
  <si>
    <t>https://www.nosdeputes.fr/maina-sage</t>
  </si>
  <si>
    <t>https://www.nosdeputes.fr/maina-sage/csv</t>
  </si>
  <si>
    <t>MainaSage</t>
  </si>
  <si>
    <t>Stéphane Trompille</t>
  </si>
  <si>
    <t>Trompille</t>
  </si>
  <si>
    <t>Bourg en Bresse (Ain)</t>
  </si>
  <si>
    <t>https://fr-fr.facebook.com/profile.php?id=100011273400352/|https://twitter.com/S_Trompille|https://en-marche.fr|https://www.instagram.com/stephane.trompille/?hl=fr</t>
  </si>
  <si>
    <t>Employé de banque</t>
  </si>
  <si>
    <t>http://www2.assemblee-nationale.fr/deputes/fiche/OMC_PA718682</t>
  </si>
  <si>
    <t>stephane-trompille</t>
  </si>
  <si>
    <t>https://www.nosdeputes.fr/stephane-trompille</t>
  </si>
  <si>
    <t>https://www.nosdeputes.fr/stephane-trompille/csv</t>
  </si>
  <si>
    <t>S_Trompille</t>
  </si>
  <si>
    <t>Patrick Vignal</t>
  </si>
  <si>
    <t>Vignal</t>
  </si>
  <si>
    <t>http://www.patrickvignal.fr|https://twitter.com/PatrickVignal</t>
  </si>
  <si>
    <t>http://www2.assemblee-nationale.fr/deputes/fiche/OMC_PA606639</t>
  </si>
  <si>
    <t>patrick-vignal</t>
  </si>
  <si>
    <t>https://www.nosdeputes.fr/patrick-vignal</t>
  </si>
  <si>
    <t>https://www.nosdeputes.fr/patrick-vignal/csv</t>
  </si>
  <si>
    <t>PatrickVignal</t>
  </si>
  <si>
    <t>Bérangère Abba</t>
  </si>
  <si>
    <t>Abba</t>
  </si>
  <si>
    <t>Chaumont (Haute-Marne)</t>
  </si>
  <si>
    <t>https://fr-fr.facebook.com/berangere.abba/|https://twitter.com/b_abba</t>
  </si>
  <si>
    <t>Responsable de commerce</t>
  </si>
  <si>
    <t>http://www2.assemblee-nationale.fr/deputes/fiche/OMC_PA720242</t>
  </si>
  <si>
    <t>berangere-abba</t>
  </si>
  <si>
    <t>https://www.nosdeputes.fr/berangere-abba</t>
  </si>
  <si>
    <t>https://www.nosdeputes.fr/berangere-abba/csv</t>
  </si>
  <si>
    <t>b_abba</t>
  </si>
  <si>
    <t>Florian Bachelier</t>
  </si>
  <si>
    <t>Bachelier</t>
  </si>
  <si>
    <t>Florian</t>
  </si>
  <si>
    <t>Thionville (Moselle)</t>
  </si>
  <si>
    <t>https://fr-fr.facebook.com/florianbachelierLREM/|https://twitter.com/fbachel1er|http://www.florianbachelier.fr|http://www.florianbachelier.com|http://florianbachelier.en-marche.fr</t>
  </si>
  <si>
    <t>http://www2.assemblee-nationale.fr/deputes/fiche/OMC_PA719770</t>
  </si>
  <si>
    <t>florian-bachelier</t>
  </si>
  <si>
    <t>https://www.nosdeputes.fr/florian-bachelier</t>
  </si>
  <si>
    <t>https://www.nosdeputes.fr/florian-bachelier/csv</t>
  </si>
  <si>
    <t>fbachel1er</t>
  </si>
  <si>
    <t>Dino Cinieri</t>
  </si>
  <si>
    <t>Cinieri</t>
  </si>
  <si>
    <t>Dino</t>
  </si>
  <si>
    <t>Firminy (Loire)</t>
  </si>
  <si>
    <t>https://twitter.com/DinoCinieri|https://fr-fr.facebook.com/dino.cinieri/|http://dinocinieri.fr</t>
  </si>
  <si>
    <t>Consultant sécurité</t>
  </si>
  <si>
    <t>http://www2.assemblee-nationale.fr/deputes/fiche/OMC_PA267429</t>
  </si>
  <si>
    <t>dino-cinieri</t>
  </si>
  <si>
    <t>https://www.nosdeputes.fr/dino-cinieri</t>
  </si>
  <si>
    <t>https://www.nosdeputes.fr/dino-cinieri/csv</t>
  </si>
  <si>
    <t>DinoCinieri</t>
  </si>
  <si>
    <t>Jean-Michel Clément</t>
  </si>
  <si>
    <t>Clément</t>
  </si>
  <si>
    <t>Mauprevoir (Vienne)</t>
  </si>
  <si>
    <t>http://www.jeanmichelclement.com|https://fr-fr.facebook.com/jeanmichel.clement.3/|https://twitter.com/jmclement86</t>
  </si>
  <si>
    <t>http://www2.assemblee-nationale.fr/deputes/fiche/OMC_PA336439</t>
  </si>
  <si>
    <t>jean-michel-clement</t>
  </si>
  <si>
    <t>https://www.nosdeputes.fr/jean-michel-clement</t>
  </si>
  <si>
    <t>https://www.nosdeputes.fr/jean-michel-clement/csv</t>
  </si>
  <si>
    <t>jmclement86</t>
  </si>
  <si>
    <t>Fabien Lainé</t>
  </si>
  <si>
    <t>Lainé</t>
  </si>
  <si>
    <t>Arcachon (Gironde)</t>
  </si>
  <si>
    <t>Commercial</t>
  </si>
  <si>
    <t>http://www2.assemblee-nationale.fr/deputes/fiche/OMC_PA719918</t>
  </si>
  <si>
    <t>fabien-laine</t>
  </si>
  <si>
    <t>https://www.nosdeputes.fr/fabien-laine</t>
  </si>
  <si>
    <t>https://www.nosdeputes.fr/fabien-laine/csv</t>
  </si>
  <si>
    <t>Frédérique Meunier</t>
  </si>
  <si>
    <t>Meunier</t>
  </si>
  <si>
    <t>https://twitter.com/fmeunier19</t>
  </si>
  <si>
    <t>http://www2.assemblee-nationale.fr/deputes/fiche/OMC_PA719272</t>
  </si>
  <si>
    <t>frederique-meunier</t>
  </si>
  <si>
    <t>https://www.nosdeputes.fr/frederique-meunier</t>
  </si>
  <si>
    <t>https://www.nosdeputes.fr/frederique-meunier/csv</t>
  </si>
  <si>
    <t>fmeunier19</t>
  </si>
  <si>
    <t>Guillaume Peltier</t>
  </si>
  <si>
    <t>Peltier</t>
  </si>
  <si>
    <t>https://twitter.com/G_Peltier|https://fr-fr.facebook.com/GuillaumePeltier.fr/|http://www.guillaumepeltier.fr|http://www.guillaumepeltier.com</t>
  </si>
  <si>
    <t>http://www2.assemblee-nationale.fr/deputes/fiche/OMC_PA719946</t>
  </si>
  <si>
    <t>guillaume-peltier</t>
  </si>
  <si>
    <t>https://www.nosdeputes.fr/guillaume-peltier</t>
  </si>
  <si>
    <t>https://www.nosdeputes.fr/guillaume-peltier/csv</t>
  </si>
  <si>
    <t>G_Peltier</t>
  </si>
  <si>
    <t>Nadia Ramassamy</t>
  </si>
  <si>
    <t>Ramassamy</t>
  </si>
  <si>
    <t>Sainte-Clotilde (Réunion)</t>
  </si>
  <si>
    <t>http://www2.assemblee-nationale.fr/deputes/fiche/OMC_PA721070</t>
  </si>
  <si>
    <t>nadia-ramassamy</t>
  </si>
  <si>
    <t>https://www.nosdeputes.fr/nadia-ramassamy</t>
  </si>
  <si>
    <t>https://www.nosdeputes.fr/nadia-ramassamy/csv</t>
  </si>
  <si>
    <t>Olivier Serva</t>
  </si>
  <si>
    <t>Serva</t>
  </si>
  <si>
    <t>Guadeloupe</t>
  </si>
  <si>
    <t>http://www.olivierserva.fr|https://fr-fr.facebook.com/Olivier-SERVA-407236749324296/|https://twitter.com/olivier_serva</t>
  </si>
  <si>
    <t>Expert comptable</t>
  </si>
  <si>
    <t>http://www2.assemblee-nationale.fr/deputes/fiche/OMC_PA720960</t>
  </si>
  <si>
    <t>olivier-serva</t>
  </si>
  <si>
    <t>https://www.nosdeputes.fr/olivier-serva</t>
  </si>
  <si>
    <t>https://www.nosdeputes.fr/olivier-serva/csv</t>
  </si>
  <si>
    <t>olivier_serva</t>
  </si>
  <si>
    <t>Gabriel Serville</t>
  </si>
  <si>
    <t>Serville</t>
  </si>
  <si>
    <t>Cayenne (Guyane)</t>
  </si>
  <si>
    <t>Guyane</t>
  </si>
  <si>
    <t>https://fr-fr.facebook.com/GabrielServille/|http://www.gabrielserville.com|https://twitter.com/GabrielServille</t>
  </si>
  <si>
    <t>Professeur de Mathématiques - Proviseur</t>
  </si>
  <si>
    <t>http://www2.assemblee-nationale.fr/deputes/fiche/OMC_PA610667</t>
  </si>
  <si>
    <t>gabriel-serville</t>
  </si>
  <si>
    <t>https://www.nosdeputes.fr/gabriel-serville</t>
  </si>
  <si>
    <t>https://www.nosdeputes.fr/gabriel-serville/csv</t>
  </si>
  <si>
    <t>GabrielServille</t>
  </si>
  <si>
    <t>Bruno Bonnell</t>
  </si>
  <si>
    <t>Bonnell</t>
  </si>
  <si>
    <t>https://twitter.com/BrunoBonnellOff|http://www.brunobonnell-villeurbanne.fr|https://fr-fr.facebook.com/Bruno.Bonnell/</t>
  </si>
  <si>
    <t>http://www2.assemblee-nationale.fr/deputes/fiche/OMC_PA721344</t>
  </si>
  <si>
    <t>bruno-bonnell</t>
  </si>
  <si>
    <t>https://www.nosdeputes.fr/bruno-bonnell</t>
  </si>
  <si>
    <t>https://www.nosdeputes.fr/bruno-bonnell/csv</t>
  </si>
  <si>
    <t>BrunoBonnellOff</t>
  </si>
  <si>
    <t>Jean-Claude Bouchet</t>
  </si>
  <si>
    <t>Bouchet</t>
  </si>
  <si>
    <t>Cavaillon (Vaucluse)</t>
  </si>
  <si>
    <t>https://twitter.com/JCBOUCHET|http://www.jeanclaudebouchet.fr</t>
  </si>
  <si>
    <t>Gérant de société</t>
  </si>
  <si>
    <t>http://www2.assemblee-nationale.fr/deputes/fiche/OMC_PA336316</t>
  </si>
  <si>
    <t>jean-claude-bouchet</t>
  </si>
  <si>
    <t>https://www.nosdeputes.fr/jean-claude-bouchet</t>
  </si>
  <si>
    <t>https://www.nosdeputes.fr/jean-claude-bouchet/csv</t>
  </si>
  <si>
    <t>JCBOUCHET</t>
  </si>
  <si>
    <t>Danièle Cazarian</t>
  </si>
  <si>
    <t>Cazarian</t>
  </si>
  <si>
    <t>Lyon 7ème (Rhône)</t>
  </si>
  <si>
    <t>Administratrice de sociétés</t>
  </si>
  <si>
    <t>http://www2.assemblee-nationale.fr/deputes/fiche/OMC_PA721352</t>
  </si>
  <si>
    <t>daniele-cazarian</t>
  </si>
  <si>
    <t>https://www.nosdeputes.fr/daniele-cazarian</t>
  </si>
  <si>
    <t>https://www.nosdeputes.fr/daniele-cazarian/csv</t>
  </si>
  <si>
    <t>Jean-Jacques Gaultier</t>
  </si>
  <si>
    <t>Gaultier</t>
  </si>
  <si>
    <t>https://fr-fr.facebook.com/Jean-Jacques-Gaultier-1088303261286818/|https://twitter.com/JJ_Gaultier</t>
  </si>
  <si>
    <t>Médecin biologiste</t>
  </si>
  <si>
    <t>http://www2.assemblee-nationale.fr/deputes/fiche/OMC_PA267324</t>
  </si>
  <si>
    <t>jean-jacques-gaultier</t>
  </si>
  <si>
    <t>https://www.nosdeputes.fr/jean-jacques-gaultier</t>
  </si>
  <si>
    <t>https://www.nosdeputes.fr/jean-jacques-gaultier/csv</t>
  </si>
  <si>
    <t>JJ_Gaultier</t>
  </si>
  <si>
    <t>Serge Letchimy</t>
  </si>
  <si>
    <t>Letchimy</t>
  </si>
  <si>
    <t>Serge</t>
  </si>
  <si>
    <t>Gros Morne (Martinique)</t>
  </si>
  <si>
    <t>http://serge-letchimy.fr|https://twitter.com/SergeLetchimy</t>
  </si>
  <si>
    <t>Urbaniste</t>
  </si>
  <si>
    <t>http://www2.assemblee-nationale.fr/deputes/fiche/OMC_PA337483</t>
  </si>
  <si>
    <t>serge-letchimy</t>
  </si>
  <si>
    <t>https://www.nosdeputes.fr/serge-letchimy</t>
  </si>
  <si>
    <t>https://www.nosdeputes.fr/serge-letchimy/csv</t>
  </si>
  <si>
    <t>SergeLetchimy</t>
  </si>
  <si>
    <t>Guy Teissier</t>
  </si>
  <si>
    <t>Teissier</t>
  </si>
  <si>
    <t>http://www.guyteissier.com|https://twitter.com/guyteissier</t>
  </si>
  <si>
    <t>Retraité</t>
  </si>
  <si>
    <t>http://www2.assemblee-nationale.fr/deputes/fiche/OMC_PA2796</t>
  </si>
  <si>
    <t>guy-teissier</t>
  </si>
  <si>
    <t>https://www.nosdeputes.fr/guy-teissier</t>
  </si>
  <si>
    <t>https://www.nosdeputes.fr/guy-teissier/csv</t>
  </si>
  <si>
    <t>guyteissier</t>
  </si>
  <si>
    <t>Hélène Vainqueur-Christophe</t>
  </si>
  <si>
    <t>Vainqueur-Christophe</t>
  </si>
  <si>
    <t>Trois-Rivières (Guadeloupe)</t>
  </si>
  <si>
    <t>https://twitter.com/hvchristophe</t>
  </si>
  <si>
    <t>http://www2.assemblee-nationale.fr/deputes/fiche/OMC_PA643145</t>
  </si>
  <si>
    <t>helene-vainqueur-christophe</t>
  </si>
  <si>
    <t>https://www.nosdeputes.fr/helene-vainqueur-christophe</t>
  </si>
  <si>
    <t>https://www.nosdeputes.fr/helene-vainqueur-christophe/csv</t>
  </si>
  <si>
    <t>hvchristophe</t>
  </si>
  <si>
    <t>Nathalie Bassire</t>
  </si>
  <si>
    <t>Bassire</t>
  </si>
  <si>
    <t>Saint-Pierre (Réunion)</t>
  </si>
  <si>
    <t>http://www.nathaliebassire.re|https://fr-fr.facebook.com/nathbassire/|https://twitter.com/NathalieBassire</t>
  </si>
  <si>
    <t>http://www2.assemblee-nationale.fr/deputes/fiche/OMC_PA721046</t>
  </si>
  <si>
    <t>nathalie-bassire</t>
  </si>
  <si>
    <t>https://www.nosdeputes.fr/nathalie-bassire</t>
  </si>
  <si>
    <t>https://www.nosdeputes.fr/nathalie-bassire/csv</t>
  </si>
  <si>
    <t>NathalieBassire</t>
  </si>
  <si>
    <t>Moetai Brotherson</t>
  </si>
  <si>
    <t>Brotherson</t>
  </si>
  <si>
    <t>Moetai</t>
  </si>
  <si>
    <t>Tavini Huiraatira No Te Ao Maohi - Front de libération de Polynésie</t>
  </si>
  <si>
    <t>https://twitter.com/Moetai1|https://fr-fr.facebook.com/moetai2017/|http://www.moetai.brotherson.org</t>
  </si>
  <si>
    <t>http://www2.assemblee-nationale.fr/deputes/fiche/OMC_PA721118</t>
  </si>
  <si>
    <t>moetai-brotherson</t>
  </si>
  <si>
    <t>https://www.nosdeputes.fr/moetai-brotherson</t>
  </si>
  <si>
    <t>https://www.nosdeputes.fr/moetai-brotherson/csv</t>
  </si>
  <si>
    <t>Moetai1</t>
  </si>
  <si>
    <t>Philippe Folliot</t>
  </si>
  <si>
    <t>Folliot</t>
  </si>
  <si>
    <t>https://fr-fr.facebook.com/philippe.folliot.14/|http://www.philippe-folliot.fr|https://twitter.com/philippefolliot</t>
  </si>
  <si>
    <t>Directeur d'un organisme de financement du logement social</t>
  </si>
  <si>
    <t>http://www2.assemblee-nationale.fr/deputes/fiche/OMC_PA267673</t>
  </si>
  <si>
    <t>philippe-folliot</t>
  </si>
  <si>
    <t>https://www.nosdeputes.fr/philippe-folliot</t>
  </si>
  <si>
    <t>https://www.nosdeputes.fr/philippe-folliot/csv</t>
  </si>
  <si>
    <t>philippefolliot</t>
  </si>
  <si>
    <t>Claire O'Petit</t>
  </si>
  <si>
    <t>O'Petit</t>
  </si>
  <si>
    <t>Epinay-sur-Seine (Seine-Saint-Denis)</t>
  </si>
  <si>
    <t>http://www.claireopetit.fr</t>
  </si>
  <si>
    <t>Retraitée artisan, commerçant, chef d'entreprise</t>
  </si>
  <si>
    <t>http://www2.assemblee-nationale.fr/deputes/fiche/OMC_PA719364</t>
  </si>
  <si>
    <t>claire-o-petit</t>
  </si>
  <si>
    <t>https://www.nosdeputes.fr/claire-o-petit</t>
  </si>
  <si>
    <t>https://www.nosdeputes.fr/claire-o-petit/csv</t>
  </si>
  <si>
    <t>Thierry Solère</t>
  </si>
  <si>
    <t>Solère</t>
  </si>
  <si>
    <t>https://fr-fr.facebook.com/tsolere/|http://thierrysolere.fr|http://solere.blogs.com|https://twitter.com/solere92</t>
  </si>
  <si>
    <t>http://www2.assemblee-nationale.fr/deputes/fiche/OMC_PA346876</t>
  </si>
  <si>
    <t>thierry-solere</t>
  </si>
  <si>
    <t>https://www.nosdeputes.fr/thierry-solere</t>
  </si>
  <si>
    <t>https://www.nosdeputes.fr/thierry-solere/csv</t>
  </si>
  <si>
    <t>solere92</t>
  </si>
  <si>
    <t>Sira Sylla</t>
  </si>
  <si>
    <t>Sylla</t>
  </si>
  <si>
    <t>Sira</t>
  </si>
  <si>
    <t>https://twitter.com/sirasylla76</t>
  </si>
  <si>
    <t>http://www2.assemblee-nationale.fr/deputes/fiche/OMC_PA722118</t>
  </si>
  <si>
    <t>sira-sylla</t>
  </si>
  <si>
    <t>https://www.nosdeputes.fr/sira-sylla</t>
  </si>
  <si>
    <t>https://www.nosdeputes.fr/sira-sylla/csv</t>
  </si>
  <si>
    <t>sirasylla76</t>
  </si>
  <si>
    <t>Mansour Kamardine</t>
  </si>
  <si>
    <t>Kamardine</t>
  </si>
  <si>
    <t>Mansour</t>
  </si>
  <si>
    <t>Sada (Mayotte)</t>
  </si>
  <si>
    <t>Mayotte</t>
  </si>
  <si>
    <t>https://fr-fr.facebook.com/MansourKamardine2017/|http://www.mansour-kamardine.net</t>
  </si>
  <si>
    <t>http://www2.assemblee-nationale.fr/deputes/fiche/OMC_PA267901</t>
  </si>
  <si>
    <t>mansour-kamardine</t>
  </si>
  <si>
    <t>https://www.nosdeputes.fr/mansour-kamardine</t>
  </si>
  <si>
    <t>https://www.nosdeputes.fr/mansour-kamardine/csv</t>
  </si>
  <si>
    <t>Amal-Amélia Lakrafi</t>
  </si>
  <si>
    <t>Lakrafi</t>
  </si>
  <si>
    <t>Amal-Amélia</t>
  </si>
  <si>
    <t>Casablanca (Maroc)</t>
  </si>
  <si>
    <t>http://amelia2017.fr|https://fr-fr.facebook.com/FDEcirco10/|https://twitter.com/amelia_lkf|http://www.lakrafi.fr|http://fb.me/FDEcirco10</t>
  </si>
  <si>
    <t>http://www2.assemblee-nationale.fr/deputes/fiche/OMC_PA721004</t>
  </si>
  <si>
    <t>amal-amelia-lakrafi</t>
  </si>
  <si>
    <t>https://www.nosdeputes.fr/amal-amelia-lakrafi</t>
  </si>
  <si>
    <t>https://www.nosdeputes.fr/amal-amelia-lakrafi/csv</t>
  </si>
  <si>
    <t>amelia_lkf</t>
  </si>
  <si>
    <t>David Lorion</t>
  </si>
  <si>
    <t>Lorion</t>
  </si>
  <si>
    <t>https://fr-fr.facebook.com/davidlorionofficiel/|http://www.davidlorion.re|https://twitter.com/David_Lorion</t>
  </si>
  <si>
    <t>Maître de conférences à l'Université</t>
  </si>
  <si>
    <t>http://www2.assemblee-nationale.fr/deputes/fiche/OMC_PA721054</t>
  </si>
  <si>
    <t>david-lorion</t>
  </si>
  <si>
    <t>https://www.nosdeputes.fr/david-lorion</t>
  </si>
  <si>
    <t>https://www.nosdeputes.fr/david-lorion/csv</t>
  </si>
  <si>
    <t>David_Lorion</t>
  </si>
  <si>
    <t>Thierry Robert</t>
  </si>
  <si>
    <t>https://fr-fr.facebook.com/thierry.robert.974/|https://twitter.com/trobert974|http://www.thierryrobert.re</t>
  </si>
  <si>
    <t>Directeur d'entreprise</t>
  </si>
  <si>
    <t>http://www2.assemblee-nationale.fr/deputes/fiche/OMC_PA610733</t>
  </si>
  <si>
    <t>thierry-robert</t>
  </si>
  <si>
    <t>https://www.nosdeputes.fr/thierry-robert</t>
  </si>
  <si>
    <t>https://www.nosdeputes.fr/thierry-robert/csv</t>
  </si>
  <si>
    <t>trobert974</t>
  </si>
  <si>
    <t>Justine Benin</t>
  </si>
  <si>
    <t>Benin</t>
  </si>
  <si>
    <t>Justine</t>
  </si>
  <si>
    <t>Abymes (Guadeloupe)</t>
  </si>
  <si>
    <t>https://fr-fr.facebook.com/justinebenin2/</t>
  </si>
  <si>
    <t>http://www2.assemblee-nationale.fr/deputes/fiche/OMC_PA720968</t>
  </si>
  <si>
    <t>justine-benin</t>
  </si>
  <si>
    <t>https://www.nosdeputes.fr/justine-benin</t>
  </si>
  <si>
    <t>https://www.nosdeputes.fr/justine-benin/csv</t>
  </si>
  <si>
    <t>Philippe Dunoyer</t>
  </si>
  <si>
    <t>Dunoyer</t>
  </si>
  <si>
    <t>Nouméa (Nouvelle-Calédonie)</t>
  </si>
  <si>
    <t>http://www2.assemblee-nationale.fr/deputes/fiche/OMC_PA721094</t>
  </si>
  <si>
    <t>philippe-dunoyer</t>
  </si>
  <si>
    <t>https://www.nosdeputes.fr/philippe-dunoyer</t>
  </si>
  <si>
    <t>https://www.nosdeputes.fr/philippe-dunoyer/csv</t>
  </si>
  <si>
    <t>Max Mathiasin</t>
  </si>
  <si>
    <t>Mathiasin</t>
  </si>
  <si>
    <t>Max</t>
  </si>
  <si>
    <t>Deshaies (Guadeloupe)</t>
  </si>
  <si>
    <t>https://twitter.com/MaxMathiasin</t>
  </si>
  <si>
    <t>Fonction publique territoriale</t>
  </si>
  <si>
    <t>http://www2.assemblee-nationale.fr/deputes/fiche/OMC_PA720976</t>
  </si>
  <si>
    <t>max-mathiasin</t>
  </si>
  <si>
    <t>https://www.nosdeputes.fr/max-mathiasin</t>
  </si>
  <si>
    <t>https://www.nosdeputes.fr/max-mathiasin/csv</t>
  </si>
  <si>
    <t>MaxMathiasin</t>
  </si>
  <si>
    <t>Nicole Sanquer</t>
  </si>
  <si>
    <t>Sanquer</t>
  </si>
  <si>
    <t>Papeete (Polynésie française)</t>
  </si>
  <si>
    <t>https://fr-fr.facebook.com/nicolesanquerfareata/</t>
  </si>
  <si>
    <t>http://www2.assemblee-nationale.fr/deputes/fiche/OMC_PA721110</t>
  </si>
  <si>
    <t>nicole-sanquer</t>
  </si>
  <si>
    <t>https://www.nosdeputes.fr/nicole-sanquer</t>
  </si>
  <si>
    <t>https://www.nosdeputes.fr/nicole-sanquer/csv</t>
  </si>
  <si>
    <t>Huguette Bello</t>
  </si>
  <si>
    <t>Bello</t>
  </si>
  <si>
    <t>Ravine-des-Cabris (Réunion)</t>
  </si>
  <si>
    <t>http://www.huguettebello.re|https://twitter.com/HuguetteBello</t>
  </si>
  <si>
    <t>Directrice d'école maternelle</t>
  </si>
  <si>
    <t>http://www2.assemblee-nationale.fr/deputes/fiche/OMC_PA441</t>
  </si>
  <si>
    <t>huguette-bello</t>
  </si>
  <si>
    <t>https://www.nosdeputes.fr/huguette-bello</t>
  </si>
  <si>
    <t>https://www.nosdeputes.fr/huguette-bello/csv</t>
  </si>
  <si>
    <t>HuguetteBello</t>
  </si>
  <si>
    <t>Olivier Dassault</t>
  </si>
  <si>
    <t>Dassault</t>
  </si>
  <si>
    <t>https://twitter.com/ODassault|http://www.olivierdassault.fr|https://fr-fr.facebook.com/olivier.dassault/</t>
  </si>
  <si>
    <t>Président de sociétés</t>
  </si>
  <si>
    <t>http://www2.assemblee-nationale.fr/deputes/fiche/OMC_PA998</t>
  </si>
  <si>
    <t>olivier-dassault</t>
  </si>
  <si>
    <t>https://www.nosdeputes.fr/olivier-dassault</t>
  </si>
  <si>
    <t>https://www.nosdeputes.fr/olivier-dassault/csv</t>
  </si>
  <si>
    <t>ODassault</t>
  </si>
  <si>
    <t>Jean-Philippe Nilor</t>
  </si>
  <si>
    <t>Nilor</t>
  </si>
  <si>
    <t>Fort-de-France (Martinique)</t>
  </si>
  <si>
    <t>Mouvement Indépendantiste Martiniquais</t>
  </si>
  <si>
    <t>http://www2.assemblee-nationale.fr/deputes/fiche/OMC_PA610654</t>
  </si>
  <si>
    <t>jean-philippe-nilor</t>
  </si>
  <si>
    <t>https://www.nosdeputes.fr/jean-philippe-nilor</t>
  </si>
  <si>
    <t>https://www.nosdeputes.fr/jean-philippe-nilor/csv</t>
  </si>
  <si>
    <t>Stéphane Claireaux</t>
  </si>
  <si>
    <t>Claireaux</t>
  </si>
  <si>
    <t>Saint-Pierre-et-Miquelon (Saint-Pierre-et-Miquelon)</t>
  </si>
  <si>
    <t>Saint-Pierre-et-Miquelon</t>
  </si>
  <si>
    <t>Cap sur l'avenir</t>
  </si>
  <si>
    <t>http://depute975.net|https://fr-fr.facebook.com/depute975/|https://twitter.com/sclaireaux</t>
  </si>
  <si>
    <t>Infographiste</t>
  </si>
  <si>
    <t>http://www2.assemblee-nationale.fr/deputes/fiche/OMC_PA702054</t>
  </si>
  <si>
    <t>stephane-claireaux</t>
  </si>
  <si>
    <t>https://www.nosdeputes.fr/stephane-claireaux</t>
  </si>
  <si>
    <t>https://www.nosdeputes.fr/stephane-claireaux/csv</t>
  </si>
  <si>
    <t>sclaireaux</t>
  </si>
  <si>
    <t>Michèle Tabarot</t>
  </si>
  <si>
    <t>Tabarot</t>
  </si>
  <si>
    <t>Alicante (Espagne)</t>
  </si>
  <si>
    <t>https://twitter.com/MTabarot|http://www.micheletabarot.fr</t>
  </si>
  <si>
    <t>http://www2.assemblee-nationale.fr/deputes/fiche/OMC_PA267794</t>
  </si>
  <si>
    <t>michele-tabarot</t>
  </si>
  <si>
    <t>https://www.nosdeputes.fr/michele-tabarot</t>
  </si>
  <si>
    <t>https://www.nosdeputes.fr/michele-tabarot/csv</t>
  </si>
  <si>
    <t>MTabarot</t>
  </si>
  <si>
    <t>Bernard Brochand</t>
  </si>
  <si>
    <t>Brochand</t>
  </si>
  <si>
    <t>Cadre du secteur privé retraité</t>
  </si>
  <si>
    <t>http://www2.assemblee-nationale.fr/deputes/fiche/OMC_PA223837</t>
  </si>
  <si>
    <t>bernard-brochand</t>
  </si>
  <si>
    <t>https://www.nosdeputes.fr/bernard-brochand</t>
  </si>
  <si>
    <t>https://www.nosdeputes.fr/bernard-brochand/csv</t>
  </si>
  <si>
    <t>Franck Marlin</t>
  </si>
  <si>
    <t>Marlin</t>
  </si>
  <si>
    <t>http://www.franckmarlin.fr|http://www.franckmarlin.com|https://twitter.com/franckmarlin</t>
  </si>
  <si>
    <t>Grands corps de l'État</t>
  </si>
  <si>
    <t>http://www2.assemblee-nationale.fr/deputes/fiche/OMC_PA2086</t>
  </si>
  <si>
    <t>franck-marlin</t>
  </si>
  <si>
    <t>https://www.nosdeputes.fr/franck-marlin</t>
  </si>
  <si>
    <t>https://www.nosdeputes.fr/franck-marlin/csv</t>
  </si>
  <si>
    <t>franckmarlin</t>
  </si>
  <si>
    <t>Bruno Nestor Azerot</t>
  </si>
  <si>
    <t>Azerot</t>
  </si>
  <si>
    <t>Bruno Nestor</t>
  </si>
  <si>
    <t>Trinité (Martinique)</t>
  </si>
  <si>
    <t>http://brunonestorazerot.fr|https://twitter.com/BNAzerot</t>
  </si>
  <si>
    <t>http://www2.assemblee-nationale.fr/deputes/fiche/OMC_PA610634</t>
  </si>
  <si>
    <t>bruno-nestor-azerot</t>
  </si>
  <si>
    <t>https://www.nosdeputes.fr/bruno-nestor-azerot</t>
  </si>
  <si>
    <t>https://www.nosdeputes.fr/bruno-nestor-azerot/csv</t>
  </si>
  <si>
    <t>BNAzerot</t>
  </si>
  <si>
    <t>Michèle Victory</t>
  </si>
  <si>
    <t>Victory</t>
  </si>
  <si>
    <t>Actualité</t>
  </si>
  <si>
    <t>http://www2.assemblee-nationale.fr/deputes/fiche/OMC_PA340357</t>
  </si>
  <si>
    <t>michele-victory</t>
  </si>
  <si>
    <t>https://www.nosdeputes.fr/michele-victory</t>
  </si>
  <si>
    <t>https://www.nosdeputes.fr/michele-victory/csv</t>
  </si>
  <si>
    <t>Ian Boucard</t>
  </si>
  <si>
    <t>Boucard</t>
  </si>
  <si>
    <t>Ian</t>
  </si>
  <si>
    <t>https://fr-fr.facebook.com/@IBoucard90/|https://twitter.com/IanBoucard|http://boucard2017.fr</t>
  </si>
  <si>
    <t>http://www2.assemblee-nationale.fr/deputes/fiche/OMC_PA721816</t>
  </si>
  <si>
    <t>ian-boucard</t>
  </si>
  <si>
    <t>https://www.nosdeputes.fr/ian-boucard</t>
  </si>
  <si>
    <t>https://www.nosdeputes.fr/ian-boucard/csv</t>
  </si>
  <si>
    <t>IanBoucard</t>
  </si>
  <si>
    <t>Antoine Savignat</t>
  </si>
  <si>
    <t>Savignat</t>
  </si>
  <si>
    <t>Cormeilles-en-Parisis (Val-d'Oise)</t>
  </si>
  <si>
    <t>http://www2.assemblee-nationale.fr/deputes/fiche/OMC_PA748954</t>
  </si>
  <si>
    <t>antoine-savignat</t>
  </si>
  <si>
    <t>https://www.nosdeputes.fr/antoine-savignat</t>
  </si>
  <si>
    <t>https://www.nosdeputes.fr/antoine-savignat/csv</t>
  </si>
  <si>
    <t>MAX</t>
  </si>
  <si>
    <t>MIN</t>
  </si>
  <si>
    <t>MOYENNE</t>
  </si>
  <si>
    <t>verif_presence</t>
  </si>
  <si>
    <t>age</t>
  </si>
  <si>
    <t>ville</t>
  </si>
  <si>
    <t>département</t>
  </si>
  <si>
    <t>département_français</t>
  </si>
  <si>
    <t>pays</t>
  </si>
  <si>
    <t>COUNTA de id</t>
  </si>
  <si>
    <t>Total général</t>
  </si>
  <si>
    <t>Lescure, Roland 1ère circonscription
député LREM 15 commentaires
Forteza, Paula 2ème circonscription
députée LREM 21 commentaires
Holroyd, Alexandre 3ème circonscription
député LREM 27 commentaires
Anglade, Pieyre-Alexandre 4ème circonscription
député LREM 13 commentaires</t>
  </si>
  <si>
    <t>Cazebonne, Samantha 5ème circonscription
ancienne députée LREM 14 commentaires
Son-Forget, Joachim 6ème circonscription
député LREM 13 commentaires
Petit, Frédéric 7ème circonscription
député MODEM
Habib, Meyer 8ème circonscription
député UAI 5 commentaires</t>
  </si>
  <si>
    <t>El Guerrab, M'jid 9ème circonscription
député NI
Lakrafi, Amal-Amélia 10ème circonscription
députée LREM 13 commentaires
Genetet, Anne 11ème circonscription
députée LREM 14 commentaires</t>
  </si>
  <si>
    <t>Anglade, Pieyre-Alexandre 4</t>
  </si>
  <si>
    <t>Cazebonne, Samantha 5</t>
  </si>
  <si>
    <t>El Guerrab, M'jid 9</t>
  </si>
  <si>
    <t>Forteza, Paula 2</t>
  </si>
  <si>
    <t>Genetet, Anne 11</t>
  </si>
  <si>
    <t>Habib, Meyer 8</t>
  </si>
  <si>
    <t>Holroyd, Alexandre 3</t>
  </si>
  <si>
    <t>Lakrafi, Amal-Amélia 10</t>
  </si>
  <si>
    <t>Lescure, Roland</t>
  </si>
  <si>
    <t>Petit, Frédéric 7</t>
  </si>
  <si>
    <t>Son-Forget, Joachim 6</t>
  </si>
  <si>
    <t>Nº</t>
  </si>
  <si>
    <t>Département</t>
  </si>
  <si>
    <t>Ain (m.s.)</t>
  </si>
  <si>
    <t>Aisne (f.s.)</t>
  </si>
  <si>
    <t>Allier (m.s.)</t>
  </si>
  <si>
    <t>Alpes-de-Haute-Provence (f.p.)</t>
  </si>
  <si>
    <t>Hautes-Alpes (f.p.)</t>
  </si>
  <si>
    <t>Alpes-Maritimes (f.p.)</t>
  </si>
  <si>
    <t>Ardèche (f.s.)</t>
  </si>
  <si>
    <t>Ardennes (f.p.)</t>
  </si>
  <si>
    <t>Ariège (f.s.)</t>
  </si>
  <si>
    <t>Aube (f.s.)</t>
  </si>
  <si>
    <t>Aude (f.s.)</t>
  </si>
  <si>
    <t>Aveyron (m.s.)</t>
  </si>
  <si>
    <t>Bouches-du-Rhône (f.p.)</t>
  </si>
  <si>
    <t>Calvados (m.s.)</t>
  </si>
  <si>
    <t>Cantal (m.s.)</t>
  </si>
  <si>
    <t>Charente (f.s.)</t>
  </si>
  <si>
    <t>Charente-Maritime (f.s.)</t>
  </si>
  <si>
    <t>Cher (m.s.)</t>
  </si>
  <si>
    <t>Corrèze (f.s.)</t>
  </si>
  <si>
    <t>‍2A</t>
  </si>
  <si>
    <t>Corse-du-Sud (f.s.)</t>
  </si>
  <si>
    <t>‍2B</t>
  </si>
  <si>
    <t>Haute-Corse (f.s.)</t>
  </si>
  <si>
    <t>Côte-d'Or (f.s.)</t>
  </si>
  <si>
    <t>Côtes-d'Armor (f.p.)</t>
  </si>
  <si>
    <t>Creuse (f.s.)</t>
  </si>
  <si>
    <t>Dordogne (f.s.)</t>
  </si>
  <si>
    <t>Doubs (m.s.)</t>
  </si>
  <si>
    <t>Drôme (f.s.)</t>
  </si>
  <si>
    <t>Eure (f.s.)</t>
  </si>
  <si>
    <t>Eure-et-Loir (f.s.)[b]</t>
  </si>
  <si>
    <t>Finistère (m.s.)</t>
  </si>
  <si>
    <t>Gard (m.s.)</t>
  </si>
  <si>
    <t>Haute-Garonne (f.s.)</t>
  </si>
  <si>
    <t>Gers (m.s.)</t>
  </si>
  <si>
    <t>Gironde (f.s.)</t>
  </si>
  <si>
    <t>Hérault (m.s.)</t>
  </si>
  <si>
    <t>Ille-et-Vilaine (f.s.)</t>
  </si>
  <si>
    <t>Indre (f.s.)</t>
  </si>
  <si>
    <t>Indre-et-Loire (f.s.)</t>
  </si>
  <si>
    <t>Isère (f.s.)</t>
  </si>
  <si>
    <t>Jura (m.s.)</t>
  </si>
  <si>
    <t>Landes (f.p.)</t>
  </si>
  <si>
    <t>Loir-et-Cher (m.s.)</t>
  </si>
  <si>
    <t>Loire (f.s.)</t>
  </si>
  <si>
    <t>Haute-Loire (f.s.)</t>
  </si>
  <si>
    <t>Loire-Atlantique (f.s.)</t>
  </si>
  <si>
    <t>Loiret (m.s.)</t>
  </si>
  <si>
    <t>Lot (m.s.)</t>
  </si>
  <si>
    <t>Lot-et-Garonne (m.s.)</t>
  </si>
  <si>
    <t>Lozère (f.s.)</t>
  </si>
  <si>
    <t>Maine-et-Loire (m.s.)[c]</t>
  </si>
  <si>
    <t>Manche (f.s.)</t>
  </si>
  <si>
    <t>Marne (f.s.)</t>
  </si>
  <si>
    <t>Haute-Marne (f.s.)</t>
  </si>
  <si>
    <t>Mayenne (f.s.)</t>
  </si>
  <si>
    <t>Meurthe-et-Moselle (f.s.)</t>
  </si>
  <si>
    <t>Meuse (f.s.)</t>
  </si>
  <si>
    <t>Morbihan (m.s.)</t>
  </si>
  <si>
    <t>Moselle (f.s.)</t>
  </si>
  <si>
    <t>Nièvre (f.s.)</t>
  </si>
  <si>
    <t>Nord (m.s.)</t>
  </si>
  <si>
    <t>Oise (f.s.)</t>
  </si>
  <si>
    <t>Orne (f.s.)</t>
  </si>
  <si>
    <t>Pas-de-Calais (m.s.)</t>
  </si>
  <si>
    <t>Puy-de-Dôme (m.s.)</t>
  </si>
  <si>
    <t>Pyrénées-Atlantiques (f.p.)</t>
  </si>
  <si>
    <t>Hautes-Pyrénées (f.p.)</t>
  </si>
  <si>
    <t>Pyrénées-Orientales (f.p.)</t>
  </si>
  <si>
    <t>Bas-Rhin (m.s.)</t>
  </si>
  <si>
    <t>Haut-Rhin (m.s.)</t>
  </si>
  <si>
    <t>Circonscription départementale du Rhône, incluant le département du Rhône 
(69D) (m.s.) et la métropole de Lyon (69M)[d]</t>
  </si>
  <si>
    <t>Haute-Saône (f.s.)</t>
  </si>
  <si>
    <t>Saône-et-Loire (f.s.)</t>
  </si>
  <si>
    <t>Sarthe (f.s.)</t>
  </si>
  <si>
    <t>Savoie (f.s.)</t>
  </si>
  <si>
    <t>Haute-Savoie (f.s.)</t>
  </si>
  <si>
    <t>Paris (m.s.)[f]</t>
  </si>
  <si>
    <t>Seine-Maritime (f.s.)</t>
  </si>
  <si>
    <t>Seine-et-Marne (f.s.)</t>
  </si>
  <si>
    <t>Yvelines (f.p.)</t>
  </si>
  <si>
    <t>Deux-Sèvres (f.p.)</t>
  </si>
  <si>
    <t>Somme (f.s.)</t>
  </si>
  <si>
    <t>Tarn (m.s.)</t>
  </si>
  <si>
    <t>Tarn-et-Garonne (m.s.)</t>
  </si>
  <si>
    <t>Var (m.s.)</t>
  </si>
  <si>
    <t>Vaucluse (m.s.)[g]</t>
  </si>
  <si>
    <t>Vendée (f.s.)</t>
  </si>
  <si>
    <t>Vienne (f.s.)</t>
  </si>
  <si>
    <t>Haute-Vienne (f.s.)</t>
  </si>
  <si>
    <t>Vosges (f.p.)</t>
  </si>
  <si>
    <t>Yonne (f.s.)</t>
  </si>
  <si>
    <t>Territoire de Belfort (m.s.)</t>
  </si>
  <si>
    <t>Essonne (f.s.)</t>
  </si>
  <si>
    <t>Hauts-de-Seine (m.p.)</t>
  </si>
  <si>
    <t>Seine-Saint-Denis (f.s.)</t>
  </si>
  <si>
    <t>Val-de-Marne (m.s.)</t>
  </si>
  <si>
    <t>Val-d'Oise (m.s.)</t>
  </si>
  <si>
    <t>Guadeloupe (f.s.)</t>
  </si>
  <si>
    <t>Martinique (f.s.)</t>
  </si>
  <si>
    <t>Guyane (f.s.)</t>
  </si>
  <si>
    <t>La Réunion (f.s.)</t>
  </si>
  <si>
    <t>Mayotte (f.s.)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</si>
</sst>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8">
    <font>
      <sz val="10.0"/>
      <color rgb="FF000000"/>
      <name val="Arial"/>
    </font>
    <font/>
    <font>
      <u/>
      <color rgb="FF0000FF"/>
    </font>
    <font>
      <u/>
      <color rgb="FF0000FF"/>
    </font>
    <font>
      <name val="Arial"/>
    </font>
    <font>
      <b/>
      <name val="Arial"/>
    </font>
    <font>
      <u/>
      <color rgb="FF1155CC"/>
      <name val="Arial"/>
    </font>
    <font>
      <u/>
      <color rgb="FF1155CC"/>
      <name val="Arial"/>
    </font>
  </fonts>
  <fills count="3">
    <fill>
      <patternFill patternType="none"/>
    </fill>
    <fill>
      <patternFill patternType="lightGray"/>
    </fill>
    <fill>
      <patternFill patternType="solid">
        <fgColor rgb="FFF4CCCC"/>
        <bgColor rgb="FFF4CCCC"/>
      </patternFill>
    </fill>
  </fills>
  <borders count="2">
    <border/>
    <border>
      <right/>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2" fontId="1" numFmtId="0" xfId="0" applyAlignment="1" applyFill="1" applyFont="1">
      <alignment readingOrder="0"/>
    </xf>
    <xf borderId="0" fillId="2" fontId="1" numFmtId="164" xfId="0" applyAlignment="1" applyFont="1" applyNumberFormat="1">
      <alignment readingOrder="0"/>
    </xf>
    <xf borderId="0" fillId="2" fontId="1" numFmtId="0" xfId="0" applyFont="1"/>
    <xf borderId="0" fillId="2" fontId="3" numFmtId="0" xfId="0" applyAlignment="1" applyFont="1">
      <alignment readingOrder="0"/>
    </xf>
    <xf borderId="0" fillId="0" fontId="1" numFmtId="0" xfId="0" applyAlignment="1" applyFont="1">
      <alignment shrinkToFit="0" wrapText="1"/>
    </xf>
    <xf borderId="0" fillId="0" fontId="4" numFmtId="0" xfId="0" applyAlignment="1" applyFont="1">
      <alignment vertical="bottom"/>
    </xf>
    <xf borderId="0" fillId="0" fontId="5" numFmtId="0" xfId="0" applyAlignment="1" applyFont="1">
      <alignment vertical="bottom"/>
    </xf>
    <xf borderId="0" fillId="0" fontId="4" numFmtId="0" xfId="0" applyAlignment="1" applyFont="1">
      <alignment horizontal="right" vertical="bottom"/>
    </xf>
    <xf borderId="0" fillId="0" fontId="4" numFmtId="164" xfId="0" applyAlignment="1" applyFont="1" applyNumberFormat="1">
      <alignment horizontal="right" vertical="bottom"/>
    </xf>
    <xf borderId="0" fillId="0" fontId="4" numFmtId="0" xfId="0" applyAlignment="1" applyFont="1">
      <alignment vertical="bottom"/>
    </xf>
    <xf borderId="1" fillId="0" fontId="4" numFmtId="0" xfId="0" applyAlignment="1" applyBorder="1" applyFont="1">
      <alignment shrinkToFit="0" vertical="bottom" wrapText="0"/>
    </xf>
    <xf borderId="1" fillId="0" fontId="4" numFmtId="0" xfId="0" applyAlignment="1" applyBorder="1" applyFont="1">
      <alignment vertical="bottom"/>
    </xf>
    <xf borderId="0" fillId="0" fontId="6" numFmtId="0" xfId="0" applyAlignment="1" applyFont="1">
      <alignment vertical="bottom"/>
    </xf>
    <xf borderId="1" fillId="0" fontId="7" numFmtId="0" xfId="0" applyAlignment="1" applyBorder="1" applyFont="1">
      <alignment shrinkToFit="0" vertical="bottom" wrapText="0"/>
    </xf>
    <xf borderId="1" fillId="0" fontId="4" numFmtId="0" xfId="0" applyAlignment="1" applyBorder="1" applyFont="1">
      <alignment shrinkToFit="0" vertical="bottom" wrapText="0"/>
    </xf>
  </cellXfs>
  <cellStyles count="1">
    <cellStyle xfId="0" name="Normal" builtinId="0"/>
  </cellStyles>
  <dxfs count="8">
    <dxf>
      <font/>
      <fill>
        <patternFill patternType="solid">
          <fgColor rgb="FFB7E1CD"/>
          <bgColor rgb="FFB7E1CD"/>
        </patternFill>
      </fill>
      <border/>
    </dxf>
    <dxf>
      <font>
        <color rgb="FF000000"/>
      </font>
      <fill>
        <patternFill patternType="solid">
          <fgColor rgb="FFF4C7C3"/>
          <bgColor rgb="FFF4C7C3"/>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3" type="wholeTable"/>
      <tableStyleElement dxfId="4" type="firstRowSubheading"/>
      <tableStyleElement dxfId="4" type="secondRowSubheading"/>
      <tableStyleElement dxfId="4" type="thirdRowSubheading"/>
      <tableStyleElement dxfId="5" type="firstColumnSubheading"/>
      <tableStyleElement dxfId="5" type="secondColumnSubheading"/>
      <tableStyleElement dxfId="5" type="thirdColumnSubheading"/>
      <tableStyleElement dxfId="5" type="headerRow"/>
      <tableStyleElement dxfId="6" type="firstSubtotalRow"/>
      <tableStyleElement dxfId="6" type="secondSubtotalRow"/>
      <tableStyleElement dxfId="6" type="thirdSubtotalRow"/>
      <tableStyleElement dxfId="7" type="totalRow"/>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pivotCacheDefinition" Target="pivotCache/pivotCacheDefinition1.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S1000" sheet="edition2"/>
  </cacheSource>
  <cacheFields>
    <cacheField name="id" numFmtId="0">
      <sharedItems containsString="0" containsBlank="1" containsNumber="1" containsInteger="1">
        <n v="193.0"/>
        <n v="275.0"/>
        <n v="441.0"/>
        <n v="577.0"/>
        <n v="213.0"/>
        <n v="472.0"/>
        <n v="46.0"/>
        <n v="346.0"/>
        <n v="111.0"/>
        <n v="352.0"/>
        <m/>
      </sharedItems>
    </cacheField>
    <cacheField name="nom" numFmtId="0">
      <sharedItems containsBlank="1">
        <s v="Joachim Son-Forget"/>
        <s v="Roland Lescure"/>
        <s v="Pieyre-Alexandre Anglade"/>
        <s v="Paula Forteza"/>
        <s v="Frédéric Petit"/>
        <s v="Anne Genetet"/>
        <s v="Meyer Habib"/>
        <s v="M'jid El Guerrab"/>
        <s v="Amal-Amélia Lakrafi"/>
        <s v="Alexandre Holroyd"/>
        <m/>
      </sharedItems>
    </cacheField>
    <cacheField name="nom_de_famille" numFmtId="0">
      <sharedItems containsBlank="1">
        <s v="Son-Forget"/>
        <s v="Lescure"/>
        <s v="Anglade"/>
        <s v="Forteza"/>
        <s v="Petit"/>
        <s v="Genetet"/>
        <s v="Habib"/>
        <s v="El Guerrab"/>
        <s v="Lakrafi"/>
        <s v="Holroyd"/>
        <m/>
      </sharedItems>
    </cacheField>
    <cacheField name="prenom" numFmtId="0">
      <sharedItems containsBlank="1">
        <s v="Joachim"/>
        <s v="Roland"/>
        <s v="Pieyre-Alexandre"/>
        <s v="Paula"/>
        <s v="Frédéric"/>
        <s v="Anne"/>
        <s v="Meyer"/>
        <s v="M'jid"/>
        <s v="Amal-Amélia"/>
        <s v="Alexandre"/>
        <m/>
      </sharedItems>
    </cacheField>
    <cacheField name="sexe" numFmtId="0">
      <sharedItems containsBlank="1">
        <s v="H"/>
        <s v="F"/>
        <m/>
      </sharedItems>
    </cacheField>
    <cacheField name="date_naissance" numFmtId="164">
      <sharedItems containsDate="1" containsString="0" containsBlank="1">
        <d v="1983-04-15T00:00:00Z"/>
        <d v="1966-11-26T00:00:00Z"/>
        <d v="1986-11-02T00:00:00Z"/>
        <d v="1986-08-08T00:00:00Z"/>
        <d v="1961-02-10T00:00:00Z"/>
        <d v="1963-04-20T00:00:00Z"/>
        <d v="1961-04-28T00:00:00Z"/>
        <d v="1983-04-25T00:00:00Z"/>
        <d v="1978-03-20T00:00:00Z"/>
        <d v="1987-05-17T00:00:00Z"/>
        <m/>
      </sharedItems>
    </cacheField>
    <cacheField name="age" numFmtId="0">
      <sharedItems containsString="0" containsBlank="1" containsNumber="1" containsInteger="1">
        <n v="43.0"/>
        <n v="59.0"/>
        <n v="39.0"/>
        <n v="40.0"/>
        <n v="65.0"/>
        <n v="63.0"/>
        <n v="48.0"/>
        <m/>
      </sharedItems>
    </cacheField>
    <cacheField name="lieu_naissance" numFmtId="0">
      <sharedItems containsBlank="1">
        <s v="Séoul (Corée du Sud)"/>
        <s v="Paris 11ème (Paris)"/>
        <s v="Paris 16 (Paris)"/>
        <s v="Paris (Paris)"/>
        <s v="Marseille (Bouches-du-Rhône)"/>
        <s v="Neuilly sur seine (Paris)"/>
        <s v="Paris 12 (Paris)"/>
        <s v="Aurillac (Cantal)"/>
        <s v="Casablanca (Maroc)"/>
        <s v="Bale (Suisse)"/>
        <m/>
      </sharedItems>
    </cacheField>
    <cacheField name="ville" numFmtId="0">
      <sharedItems containsBlank="1">
        <s v="Séoul "/>
        <s v="Paris 11ème "/>
        <s v="Paris 16 "/>
        <s v="Paris "/>
        <s v="Marseille "/>
        <s v="Neuilly sur seine "/>
        <s v="Paris 12 "/>
        <s v="Aurillac "/>
        <s v="Casablanca "/>
        <s v="Bale "/>
        <m/>
      </sharedItems>
    </cacheField>
    <cacheField name="département" numFmtId="0">
      <sharedItems containsBlank="1">
        <s v="Corée du Sud"/>
        <s v="Paris"/>
        <s v="Bouches-du-Rhône"/>
        <s v="Cantal"/>
        <s v="Maroc"/>
        <s v="Suisse"/>
        <m/>
      </sharedItems>
    </cacheField>
    <cacheField name="département_français" numFmtId="0">
      <sharedItems containsBlank="1">
        <s v="Non"/>
        <s v="Oui"/>
        <m/>
      </sharedItems>
    </cacheField>
    <cacheField name="pays" numFmtId="0">
      <sharedItems containsBlank="1">
        <s v="Corée du Sud"/>
        <s v="France"/>
        <s v="Maroc"/>
        <s v="Suisse"/>
        <m/>
      </sharedItems>
    </cacheField>
    <cacheField name="num_deptmt" numFmtId="0">
      <sharedItems containsString="0" containsBlank="1" containsNumber="1" containsInteger="1">
        <n v="999.0"/>
        <m/>
      </sharedItems>
    </cacheField>
    <cacheField name="nom_circo" numFmtId="0">
      <sharedItems containsBlank="1">
        <s v="Français établis hors de France"/>
        <m/>
      </sharedItems>
    </cacheField>
    <cacheField name="num_circo" numFmtId="0">
      <sharedItems containsString="0" containsBlank="1" containsNumber="1" containsInteger="1">
        <n v="6.0"/>
        <n v="1.0"/>
        <n v="4.0"/>
        <n v="2.0"/>
        <n v="7.0"/>
        <n v="11.0"/>
        <n v="8.0"/>
        <n v="9.0"/>
        <n v="10.0"/>
        <n v="3.0"/>
        <m/>
      </sharedItems>
    </cacheField>
    <cacheField name="mandat_debut" numFmtId="164">
      <sharedItems containsDate="1" containsString="0" containsBlank="1">
        <d v="2017-06-21T00:00:00Z"/>
        <m/>
      </sharedItems>
    </cacheField>
    <cacheField name="mandat_fin" numFmtId="0">
      <sharedItems containsString="0" containsBlank="1">
        <m/>
      </sharedItems>
    </cacheField>
    <cacheField name="ancien_depute" numFmtId="0">
      <sharedItems containsString="0" containsBlank="1" containsNumber="1" containsInteger="1">
        <n v="0.0"/>
        <m/>
      </sharedItems>
    </cacheField>
    <cacheField name="groupe_sigle" numFmtId="0">
      <sharedItems containsBlank="1">
        <s v="LREM"/>
        <s v="MODEM"/>
        <s v="UAI"/>
        <s v="NI"/>
        <m/>
      </sharedItems>
    </cacheField>
    <cacheField name="parti_ratt_financier" numFmtId="0">
      <sharedItems containsBlank="1">
        <s v="En marche !"/>
        <s v="Mouvement Démocrate"/>
        <s v="Union des démocrates, radicaux et libéraux"/>
        <s v="Parti radical de gauche"/>
        <m/>
      </sharedItems>
    </cacheField>
    <cacheField name="sites_web" numFmtId="0">
      <sharedItems containsBlank="1">
        <s v="https://twitter.com/sonjoachim|http://joachimson.com|http://joachimsonforget.fr"/>
        <s v="https://fr-fr.facebook.com/RolandLescure/|http://rolandlescure.org|https://twitter.com/rolandlescure|https://fr-fr.facebook.com/RolandLescure.RepubliqueEnMarche"/>
        <s v="http://www.paanglade.eu|https://twitter.com/PA_Anglade"/>
        <s v="http://www.forteza.fr|https://fr-fr.facebook.com/PaulaForteza/|https://twitter.com/PaulaForteza|http://www.forteza2017.fr"/>
        <s v="http://frederic-petit.eu|http://www.fredericpetit.eu|https://twitter.com/fpetitan"/>
        <s v="https://twitter.com/AGenetet|http://www.facebook.com/AnneGenetet2017"/>
        <s v="http://www.meyerhabib.com|https://twitter.com/Meyer_Habib"/>
        <s v="http://mjidelguerrab.fr|https://twitter.com/elguerrab_mjid|https://fr-fr.facebook.com/mjidelguerrab/"/>
        <s v="http://amelia2017.fr|https://fr-fr.facebook.com/FDEcirco10/|https://twitter.com/amelia_lkf|http://www.lakrafi.fr|http://fb.me/FDEcirco10"/>
        <s v="http://www.alexandre-holroyd.fr|https://twitter.com/alexIholroyd"/>
        <m/>
      </sharedItems>
    </cacheField>
    <cacheField name="emails" numFmtId="0">
      <sharedItems containsString="0" containsBlank="1">
        <m/>
      </sharedItems>
    </cacheField>
    <cacheField name="anciens_mandats" numFmtId="0">
      <sharedItems containsString="0" containsBlank="1">
        <m/>
      </sharedItems>
    </cacheField>
    <cacheField name="profession">
      <sharedItems containsBlank="1" containsMixedTypes="1" containsNumber="1" containsInteger="1">
        <s v="Médecin"/>
        <s v="Cadre supérieur (secteur privé)"/>
        <s v="Agent contractuel au Parlement européen"/>
        <s v="Ingénieur"/>
        <s v="Autre cadre (secteur privé)"/>
        <s v="Chef d'entreprise"/>
        <n v="0.0"/>
        <m/>
      </sharedItems>
    </cacheField>
    <cacheField name="place_en_hemicycle" numFmtId="0">
      <sharedItems containsString="0" containsBlank="1" containsNumber="1" containsInteger="1">
        <n v="564.0"/>
        <n v="634.0"/>
        <n v="227.0"/>
        <n v="450.0"/>
        <n v="260.0"/>
        <n v="351.0"/>
        <n v="144.0"/>
        <n v="640.0"/>
        <n v="555.0"/>
        <n v="298.0"/>
        <m/>
      </sharedItems>
    </cacheField>
    <cacheField name="url_an" numFmtId="0">
      <sharedItems containsBlank="1">
        <s v="http://www2.assemblee-nationale.fr/deputes/fiche/OMC_PA721174"/>
        <s v="http://www2.assemblee-nationale.fr/deputes/fiche/OMC_PA721134"/>
        <s v="http://www2.assemblee-nationale.fr/deputes/fiche/OMC_PA721158"/>
        <s v="http://www2.assemblee-nationale.fr/deputes/fiche/OMC_PA721142"/>
        <s v="http://www2.assemblee-nationale.fr/deputes/fiche/OMC_PA721182"/>
        <s v="http://www2.assemblee-nationale.fr/deputes/fiche/OMC_PA721024"/>
        <s v="http://www2.assemblee-nationale.fr/deputes/fiche/OMC_PA695100"/>
        <s v="http://www2.assemblee-nationale.fr/deputes/fiche/OMC_PA720996"/>
        <s v="http://www2.assemblee-nationale.fr/deputes/fiche/OMC_PA721004"/>
        <s v="http://www2.assemblee-nationale.fr/deputes/fiche/OMC_PA721150"/>
        <m/>
      </sharedItems>
    </cacheField>
    <cacheField name="id_an" numFmtId="0">
      <sharedItems containsString="0" containsBlank="1" containsNumber="1" containsInteger="1">
        <n v="721174.0"/>
        <n v="721134.0"/>
        <n v="721158.0"/>
        <n v="721142.0"/>
        <n v="721182.0"/>
        <n v="721024.0"/>
        <n v="695100.0"/>
        <n v="720996.0"/>
        <n v="721004.0"/>
        <n v="721150.0"/>
        <m/>
      </sharedItems>
    </cacheField>
    <cacheField name="slug" numFmtId="0">
      <sharedItems containsBlank="1">
        <s v="joachim-son-forget"/>
        <s v="roland-lescure"/>
        <s v="pieyre-alexandre-anglade"/>
        <s v="paula-forteza"/>
        <s v="frederic-petit"/>
        <s v="anne-genetet"/>
        <s v="meyer-habib"/>
        <s v="m-jid-el-guerrab"/>
        <s v="amal-amelia-lakrafi"/>
        <s v="alexandre-holroyd"/>
        <m/>
      </sharedItems>
    </cacheField>
    <cacheField name="url_nosdeputes" numFmtId="0">
      <sharedItems containsBlank="1">
        <s v="https://www.nosdeputes.fr/joachim-son-forget"/>
        <s v="https://www.nosdeputes.fr/roland-lescure"/>
        <s v="https://www.nosdeputes.fr/pieyre-alexandre-anglade"/>
        <s v="https://www.nosdeputes.fr/paula-forteza"/>
        <s v="https://www.nosdeputes.fr/frederic-petit"/>
        <s v="https://www.nosdeputes.fr/anne-genetet"/>
        <s v="https://www.nosdeputes.fr/meyer-habib"/>
        <s v="https://www.nosdeputes.fr/m-jid-el-guerrab"/>
        <s v="https://www.nosdeputes.fr/amal-amelia-lakrafi"/>
        <s v="https://www.nosdeputes.fr/alexandre-holroyd"/>
        <m/>
      </sharedItems>
    </cacheField>
    <cacheField name="url_nosdeputes_api" numFmtId="0">
      <sharedItems containsBlank="1">
        <s v="https://www.nosdeputes.fr/joachim-son-forget/csv"/>
        <s v="https://www.nosdeputes.fr/roland-lescure/csv"/>
        <s v="https://www.nosdeputes.fr/pieyre-alexandre-anglade/csv"/>
        <s v="https://www.nosdeputes.fr/paula-forteza/csv"/>
        <s v="https://www.nosdeputes.fr/frederic-petit/csv"/>
        <s v="https://www.nosdeputes.fr/anne-genetet/csv"/>
        <s v="https://www.nosdeputes.fr/meyer-habib/csv"/>
        <s v="https://www.nosdeputes.fr/m-jid-el-guerrab/csv"/>
        <s v="https://www.nosdeputes.fr/amal-amelia-lakrafi/csv"/>
        <s v="https://www.nosdeputes.fr/alexandre-holroyd/csv"/>
        <m/>
      </sharedItems>
    </cacheField>
    <cacheField name="nb_mandats" numFmtId="0">
      <sharedItems containsString="0" containsBlank="1" containsNumber="1" containsInteger="1">
        <n v="1.0"/>
        <m/>
      </sharedItems>
    </cacheField>
    <cacheField name="twitter" numFmtId="0">
      <sharedItems containsBlank="1">
        <s v="sonjoachim"/>
        <s v="rolandlescure"/>
        <s v="PA_Anglade"/>
        <s v="PaulaForteza"/>
        <s v="fpetitan"/>
        <s v="AGenetet"/>
        <s v="Meyer_Habib"/>
        <s v="elguerrab_mjid"/>
        <s v="amelia_lkf"/>
        <s v="alexIholroyd"/>
        <m/>
      </sharedItems>
    </cacheField>
    <cacheField name="semaines_presence" numFmtId="0">
      <sharedItems containsString="0" containsBlank="1" containsNumber="1" containsInteger="1">
        <n v="17.0"/>
        <n v="23.0"/>
        <n v="21.0"/>
        <n v="20.0"/>
        <n v="18.0"/>
        <n v="14.0"/>
        <n v="10.0"/>
        <n v="25.0"/>
        <m/>
      </sharedItems>
    </cacheField>
    <cacheField name="commission_presences" numFmtId="0">
      <sharedItems containsString="0" containsBlank="1" containsNumber="1" containsInteger="1">
        <n v="24.0"/>
        <n v="61.0"/>
        <n v="48.0"/>
        <n v="32.0"/>
        <n v="30.0"/>
        <n v="11.0"/>
        <n v="16.0"/>
        <n v="18.0"/>
        <n v="62.0"/>
        <m/>
      </sharedItems>
    </cacheField>
    <cacheField name="commission_interventions" numFmtId="0">
      <sharedItems containsString="0" containsBlank="1" containsNumber="1" containsInteger="1">
        <n v="9.0"/>
        <n v="174.0"/>
        <n v="26.0"/>
        <n v="41.0"/>
        <n v="17.0"/>
        <n v="19.0"/>
        <n v="11.0"/>
        <n v="5.0"/>
        <n v="3.0"/>
        <n v="21.0"/>
        <m/>
      </sharedItems>
    </cacheField>
    <cacheField name="hemicycle_interventions" numFmtId="0">
      <sharedItems containsString="0" containsBlank="1" containsNumber="1" containsInteger="1">
        <n v="8.0"/>
        <n v="30.0"/>
        <n v="2.0"/>
        <n v="78.0"/>
        <n v="37.0"/>
        <n v="14.0"/>
        <n v="84.0"/>
        <n v="0.0"/>
        <n v="13.0"/>
        <m/>
      </sharedItems>
    </cacheField>
    <cacheField name="hemicycle_interventions_courtes" numFmtId="0">
      <sharedItems containsString="0" containsBlank="1" containsNumber="1" containsInteger="1">
        <n v="4.0"/>
        <n v="7.0"/>
        <n v="1.0"/>
        <n v="20.0"/>
        <n v="15.0"/>
        <n v="6.0"/>
        <n v="62.0"/>
        <n v="11.0"/>
        <n v="0.0"/>
        <n v="2.0"/>
        <m/>
      </sharedItems>
    </cacheField>
    <cacheField name="amendements_proposes" numFmtId="0">
      <sharedItems containsString="0" containsBlank="1" containsNumber="1" containsInteger="1">
        <n v="1.0"/>
        <n v="0.0"/>
        <n v="209.0"/>
        <n v="5.0"/>
        <n v="18.0"/>
        <n v="11.0"/>
        <n v="3.0"/>
        <n v="10.0"/>
        <m/>
      </sharedItems>
    </cacheField>
    <cacheField name="amendements_signes" numFmtId="0">
      <sharedItems containsString="0" containsBlank="1" containsNumber="1" containsInteger="1">
        <n v="26.0"/>
        <n v="45.0"/>
        <n v="15.0"/>
        <n v="274.0"/>
        <n v="195.0"/>
        <n v="32.0"/>
        <n v="498.0"/>
        <n v="13.0"/>
        <n v="34.0"/>
        <n v="169.0"/>
        <m/>
      </sharedItems>
    </cacheField>
    <cacheField name="amendements_adoptes" numFmtId="0">
      <sharedItems containsString="0" containsBlank="1" containsNumber="1" containsInteger="1">
        <n v="13.0"/>
        <n v="20.0"/>
        <n v="6.0"/>
        <n v="204.0"/>
        <n v="18.0"/>
        <n v="12.0"/>
        <n v="21.0"/>
        <n v="0.0"/>
        <n v="11.0"/>
        <n v="107.0"/>
        <m/>
      </sharedItems>
    </cacheField>
    <cacheField name="rapports" numFmtId="0">
      <sharedItems containsString="0" containsBlank="1" containsNumber="1" containsInteger="1">
        <n v="0.0"/>
        <n v="1.0"/>
        <m/>
      </sharedItems>
    </cacheField>
    <cacheField name="propositions_ecrites" numFmtId="0">
      <sharedItems containsString="0" containsBlank="1" containsNumber="1" containsInteger="1">
        <n v="1.0"/>
        <n v="0.0"/>
        <m/>
      </sharedItems>
    </cacheField>
    <cacheField name="propositions_signees" numFmtId="0">
      <sharedItems containsString="0" containsBlank="1" containsNumber="1" containsInteger="1">
        <n v="5.0"/>
        <n v="4.0"/>
        <n v="8.0"/>
        <n v="18.0"/>
        <n v="2.0"/>
        <m/>
      </sharedItems>
    </cacheField>
    <cacheField name="questions_ecrites" numFmtId="0">
      <sharedItems containsString="0" containsBlank="1" containsNumber="1" containsInteger="1">
        <n v="2.0"/>
        <n v="5.0"/>
        <n v="1.0"/>
        <n v="0.0"/>
        <n v="4.0"/>
        <n v="30.0"/>
        <m/>
      </sharedItems>
    </cacheField>
    <cacheField name="questions_orales" numFmtId="0">
      <sharedItems containsString="0" containsBlank="1" containsNumber="1" containsInteger="1">
        <n v="1.0"/>
        <n v="0.0"/>
        <n v="2.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4" cacheId="0" dataCaption="" compact="0" compactData="0">
  <location ref="A1:E8" firstHeaderRow="0" firstDataRow="1" firstDataCol="1"/>
  <pivotFields>
    <pivotField name="id" dataField="1" compact="0" outline="0" multipleItemSelectionAllowed="1" showAll="0">
      <items>
        <item x="0"/>
        <item x="1"/>
        <item x="2"/>
        <item x="3"/>
        <item x="4"/>
        <item x="5"/>
        <item x="6"/>
        <item x="7"/>
        <item x="8"/>
        <item x="9"/>
        <item x="10"/>
        <item t="default"/>
      </items>
    </pivotField>
    <pivotField name="nom" compact="0" outline="0" multipleItemSelectionAllowed="1" showAll="0">
      <items>
        <item x="0"/>
        <item x="1"/>
        <item x="2"/>
        <item x="3"/>
        <item x="4"/>
        <item x="5"/>
        <item x="6"/>
        <item x="7"/>
        <item x="8"/>
        <item x="9"/>
        <item x="10"/>
        <item t="default"/>
      </items>
    </pivotField>
    <pivotField name="nom_de_famille" compact="0" outline="0" multipleItemSelectionAllowed="1" showAll="0">
      <items>
        <item x="0"/>
        <item x="1"/>
        <item x="2"/>
        <item x="3"/>
        <item x="4"/>
        <item x="5"/>
        <item x="6"/>
        <item x="7"/>
        <item x="8"/>
        <item x="9"/>
        <item x="10"/>
        <item t="default"/>
      </items>
    </pivotField>
    <pivotField name="prenom" compact="0" outline="0" multipleItemSelectionAllowed="1" showAll="0">
      <items>
        <item x="0"/>
        <item x="1"/>
        <item x="2"/>
        <item x="3"/>
        <item x="4"/>
        <item x="5"/>
        <item x="6"/>
        <item x="7"/>
        <item x="8"/>
        <item x="9"/>
        <item x="10"/>
        <item t="default"/>
      </items>
    </pivotField>
    <pivotField name="sexe" axis="axisCol" compact="0" outline="0" multipleItemSelectionAllowed="1" showAll="0" sortType="ascending">
      <items>
        <item x="2"/>
        <item x="1"/>
        <item x="0"/>
        <item t="default"/>
      </items>
    </pivotField>
    <pivotField name="date_naissance" compact="0" numFmtId="164" outline="0" multipleItemSelectionAllowed="1" showAll="0">
      <items>
        <item x="0"/>
        <item x="1"/>
        <item x="2"/>
        <item x="3"/>
        <item x="4"/>
        <item x="5"/>
        <item x="6"/>
        <item x="7"/>
        <item x="8"/>
        <item x="9"/>
        <item x="10"/>
        <item t="default"/>
      </items>
    </pivotField>
    <pivotField name="age" compact="0" outline="0" multipleItemSelectionAllowed="1" showAll="0">
      <items>
        <item x="0"/>
        <item x="1"/>
        <item x="2"/>
        <item x="3"/>
        <item x="4"/>
        <item x="5"/>
        <item x="6"/>
        <item x="7"/>
        <item t="default"/>
      </items>
    </pivotField>
    <pivotField name="lieu_naissance" compact="0" outline="0" multipleItemSelectionAllowed="1" showAll="0">
      <items>
        <item x="0"/>
        <item x="1"/>
        <item x="2"/>
        <item x="3"/>
        <item x="4"/>
        <item x="5"/>
        <item x="6"/>
        <item x="7"/>
        <item x="8"/>
        <item x="9"/>
        <item x="10"/>
        <item t="default"/>
      </items>
    </pivotField>
    <pivotField name="ville" compact="0" outline="0" multipleItemSelectionAllowed="1" showAll="0">
      <items>
        <item x="0"/>
        <item x="1"/>
        <item x="2"/>
        <item x="3"/>
        <item x="4"/>
        <item x="5"/>
        <item x="6"/>
        <item x="7"/>
        <item x="8"/>
        <item x="9"/>
        <item x="10"/>
        <item t="default"/>
      </items>
    </pivotField>
    <pivotField name="département" compact="0" outline="0" multipleItemSelectionAllowed="1" showAll="0">
      <items>
        <item x="0"/>
        <item x="1"/>
        <item x="2"/>
        <item x="3"/>
        <item x="4"/>
        <item x="5"/>
        <item x="6"/>
        <item t="default"/>
      </items>
    </pivotField>
    <pivotField name="département_français" compact="0" outline="0" multipleItemSelectionAllowed="1" showAll="0">
      <items>
        <item x="0"/>
        <item x="1"/>
        <item x="2"/>
        <item t="default"/>
      </items>
    </pivotField>
    <pivotField name="pays" compact="0" outline="0" multipleItemSelectionAllowed="1" showAll="0">
      <items>
        <item x="0"/>
        <item x="1"/>
        <item x="2"/>
        <item x="3"/>
        <item x="4"/>
        <item t="default"/>
      </items>
    </pivotField>
    <pivotField name="num_deptmt" compact="0" outline="0" multipleItemSelectionAllowed="1" showAll="0">
      <items>
        <item x="0"/>
        <item x="1"/>
        <item t="default"/>
      </items>
    </pivotField>
    <pivotField name="nom_circo" compact="0" outline="0" multipleItemSelectionAllowed="1" showAll="0">
      <items>
        <item x="0"/>
        <item x="1"/>
        <item t="default"/>
      </items>
    </pivotField>
    <pivotField name="num_circo" compact="0" outline="0" multipleItemSelectionAllowed="1" showAll="0">
      <items>
        <item x="0"/>
        <item x="1"/>
        <item x="2"/>
        <item x="3"/>
        <item x="4"/>
        <item x="5"/>
        <item x="6"/>
        <item x="7"/>
        <item x="8"/>
        <item x="9"/>
        <item x="10"/>
        <item t="default"/>
      </items>
    </pivotField>
    <pivotField name="mandat_debut" compact="0" numFmtId="164" outline="0" multipleItemSelectionAllowed="1" showAll="0">
      <items>
        <item x="0"/>
        <item x="1"/>
        <item t="default"/>
      </items>
    </pivotField>
    <pivotField name="mandat_fin" compact="0" outline="0" multipleItemSelectionAllowed="1" showAll="0">
      <items>
        <item x="0"/>
        <item t="default"/>
      </items>
    </pivotField>
    <pivotField name="ancien_depute" compact="0" outline="0" multipleItemSelectionAllowed="1" showAll="0">
      <items>
        <item x="0"/>
        <item x="1"/>
        <item t="default"/>
      </items>
    </pivotField>
    <pivotField name="groupe_sigle" axis="axisRow" compact="0" outline="0" multipleItemSelectionAllowed="1" showAll="0" sortType="ascending">
      <items>
        <item x="4"/>
        <item x="0"/>
        <item x="1"/>
        <item x="3"/>
        <item x="2"/>
        <item t="default"/>
      </items>
    </pivotField>
    <pivotField name="parti_ratt_financier" compact="0" outline="0" multipleItemSelectionAllowed="1" showAll="0">
      <items>
        <item x="0"/>
        <item x="1"/>
        <item x="2"/>
        <item x="3"/>
        <item x="4"/>
        <item t="default"/>
      </items>
    </pivotField>
    <pivotField name="sites_web" compact="0" outline="0" multipleItemSelectionAllowed="1" showAll="0">
      <items>
        <item x="0"/>
        <item x="1"/>
        <item x="2"/>
        <item x="3"/>
        <item x="4"/>
        <item x="5"/>
        <item x="6"/>
        <item x="7"/>
        <item x="8"/>
        <item x="9"/>
        <item x="10"/>
        <item t="default"/>
      </items>
    </pivotField>
    <pivotField name="emails" compact="0" outline="0" multipleItemSelectionAllowed="1" showAll="0">
      <items>
        <item x="0"/>
        <item t="default"/>
      </items>
    </pivotField>
    <pivotField name="anciens_mandats" compact="0" outline="0" multipleItemSelectionAllowed="1" showAll="0">
      <items>
        <item x="0"/>
        <item t="default"/>
      </items>
    </pivotField>
    <pivotField name="profession" compact="0" outline="0" multipleItemSelectionAllowed="1" showAll="0">
      <items>
        <item x="0"/>
        <item x="1"/>
        <item x="2"/>
        <item x="3"/>
        <item x="4"/>
        <item x="5"/>
        <item x="6"/>
        <item x="7"/>
        <item t="default"/>
      </items>
    </pivotField>
    <pivotField name="place_en_hemicycle" compact="0" outline="0" multipleItemSelectionAllowed="1" showAll="0">
      <items>
        <item x="0"/>
        <item x="1"/>
        <item x="2"/>
        <item x="3"/>
        <item x="4"/>
        <item x="5"/>
        <item x="6"/>
        <item x="7"/>
        <item x="8"/>
        <item x="9"/>
        <item x="10"/>
        <item t="default"/>
      </items>
    </pivotField>
    <pivotField name="url_an" compact="0" outline="0" multipleItemSelectionAllowed="1" showAll="0">
      <items>
        <item x="0"/>
        <item x="1"/>
        <item x="2"/>
        <item x="3"/>
        <item x="4"/>
        <item x="5"/>
        <item x="6"/>
        <item x="7"/>
        <item x="8"/>
        <item x="9"/>
        <item x="10"/>
        <item t="default"/>
      </items>
    </pivotField>
    <pivotField name="id_an" compact="0" outline="0" multipleItemSelectionAllowed="1" showAll="0">
      <items>
        <item x="0"/>
        <item x="1"/>
        <item x="2"/>
        <item x="3"/>
        <item x="4"/>
        <item x="5"/>
        <item x="6"/>
        <item x="7"/>
        <item x="8"/>
        <item x="9"/>
        <item x="10"/>
        <item t="default"/>
      </items>
    </pivotField>
    <pivotField name="slug" compact="0" outline="0" multipleItemSelectionAllowed="1" showAll="0">
      <items>
        <item x="0"/>
        <item x="1"/>
        <item x="2"/>
        <item x="3"/>
        <item x="4"/>
        <item x="5"/>
        <item x="6"/>
        <item x="7"/>
        <item x="8"/>
        <item x="9"/>
        <item x="10"/>
        <item t="default"/>
      </items>
    </pivotField>
    <pivotField name="url_nosdeputes" compact="0" outline="0" multipleItemSelectionAllowed="1" showAll="0">
      <items>
        <item x="0"/>
        <item x="1"/>
        <item x="2"/>
        <item x="3"/>
        <item x="4"/>
        <item x="5"/>
        <item x="6"/>
        <item x="7"/>
        <item x="8"/>
        <item x="9"/>
        <item x="10"/>
        <item t="default"/>
      </items>
    </pivotField>
    <pivotField name="url_nosdeputes_api" compact="0" outline="0" multipleItemSelectionAllowed="1" showAll="0">
      <items>
        <item x="0"/>
        <item x="1"/>
        <item x="2"/>
        <item x="3"/>
        <item x="4"/>
        <item x="5"/>
        <item x="6"/>
        <item x="7"/>
        <item x="8"/>
        <item x="9"/>
        <item x="10"/>
        <item t="default"/>
      </items>
    </pivotField>
    <pivotField name="nb_mandats" compact="0" outline="0" multipleItemSelectionAllowed="1" showAll="0">
      <items>
        <item x="0"/>
        <item x="1"/>
        <item t="default"/>
      </items>
    </pivotField>
    <pivotField name="twitter" compact="0" outline="0" multipleItemSelectionAllowed="1" showAll="0">
      <items>
        <item x="0"/>
        <item x="1"/>
        <item x="2"/>
        <item x="3"/>
        <item x="4"/>
        <item x="5"/>
        <item x="6"/>
        <item x="7"/>
        <item x="8"/>
        <item x="9"/>
        <item x="10"/>
        <item t="default"/>
      </items>
    </pivotField>
    <pivotField name="semaines_presence" compact="0" outline="0" multipleItemSelectionAllowed="1" showAll="0">
      <items>
        <item x="0"/>
        <item x="1"/>
        <item x="2"/>
        <item x="3"/>
        <item x="4"/>
        <item x="5"/>
        <item x="6"/>
        <item x="7"/>
        <item x="8"/>
        <item t="default"/>
      </items>
    </pivotField>
    <pivotField name="commission_presences" compact="0" outline="0" multipleItemSelectionAllowed="1" showAll="0">
      <items>
        <item x="0"/>
        <item x="1"/>
        <item x="2"/>
        <item x="3"/>
        <item x="4"/>
        <item x="5"/>
        <item x="6"/>
        <item x="7"/>
        <item x="8"/>
        <item x="9"/>
        <item t="default"/>
      </items>
    </pivotField>
    <pivotField name="commission_interventions" compact="0" outline="0" multipleItemSelectionAllowed="1" showAll="0">
      <items>
        <item x="0"/>
        <item x="1"/>
        <item x="2"/>
        <item x="3"/>
        <item x="4"/>
        <item x="5"/>
        <item x="6"/>
        <item x="7"/>
        <item x="8"/>
        <item x="9"/>
        <item x="10"/>
        <item t="default"/>
      </items>
    </pivotField>
    <pivotField name="hemicycle_interventions" compact="0" outline="0" multipleItemSelectionAllowed="1" showAll="0">
      <items>
        <item x="0"/>
        <item x="1"/>
        <item x="2"/>
        <item x="3"/>
        <item x="4"/>
        <item x="5"/>
        <item x="6"/>
        <item x="7"/>
        <item x="8"/>
        <item x="9"/>
        <item t="default"/>
      </items>
    </pivotField>
    <pivotField name="hemicycle_interventions_courtes" compact="0" outline="0" multipleItemSelectionAllowed="1" showAll="0">
      <items>
        <item x="0"/>
        <item x="1"/>
        <item x="2"/>
        <item x="3"/>
        <item x="4"/>
        <item x="5"/>
        <item x="6"/>
        <item x="7"/>
        <item x="8"/>
        <item x="9"/>
        <item x="10"/>
        <item t="default"/>
      </items>
    </pivotField>
    <pivotField name="amendements_proposes" compact="0" outline="0" multipleItemSelectionAllowed="1" showAll="0">
      <items>
        <item x="0"/>
        <item x="1"/>
        <item x="2"/>
        <item x="3"/>
        <item x="4"/>
        <item x="5"/>
        <item x="6"/>
        <item x="7"/>
        <item x="8"/>
        <item t="default"/>
      </items>
    </pivotField>
    <pivotField name="amendements_signes" compact="0" outline="0" multipleItemSelectionAllowed="1" showAll="0">
      <items>
        <item x="0"/>
        <item x="1"/>
        <item x="2"/>
        <item x="3"/>
        <item x="4"/>
        <item x="5"/>
        <item x="6"/>
        <item x="7"/>
        <item x="8"/>
        <item x="9"/>
        <item x="10"/>
        <item t="default"/>
      </items>
    </pivotField>
    <pivotField name="amendements_adoptes" compact="0" outline="0" multipleItemSelectionAllowed="1" showAll="0">
      <items>
        <item x="0"/>
        <item x="1"/>
        <item x="2"/>
        <item x="3"/>
        <item x="4"/>
        <item x="5"/>
        <item x="6"/>
        <item x="7"/>
        <item x="8"/>
        <item x="9"/>
        <item x="10"/>
        <item t="default"/>
      </items>
    </pivotField>
    <pivotField name="rapports" compact="0" outline="0" multipleItemSelectionAllowed="1" showAll="0">
      <items>
        <item x="0"/>
        <item x="1"/>
        <item x="2"/>
        <item t="default"/>
      </items>
    </pivotField>
    <pivotField name="propositions_ecrites" compact="0" outline="0" multipleItemSelectionAllowed="1" showAll="0">
      <items>
        <item x="0"/>
        <item x="1"/>
        <item x="2"/>
        <item t="default"/>
      </items>
    </pivotField>
    <pivotField name="propositions_signees" compact="0" outline="0" multipleItemSelectionAllowed="1" showAll="0">
      <items>
        <item x="0"/>
        <item x="1"/>
        <item x="2"/>
        <item x="3"/>
        <item x="4"/>
        <item x="5"/>
        <item t="default"/>
      </items>
    </pivotField>
    <pivotField name="questions_ecrites" compact="0" outline="0" multipleItemSelectionAllowed="1" showAll="0">
      <items>
        <item x="0"/>
        <item x="1"/>
        <item x="2"/>
        <item x="3"/>
        <item x="4"/>
        <item x="5"/>
        <item x="6"/>
        <item t="default"/>
      </items>
    </pivotField>
    <pivotField name="questions_orales" compact="0" outline="0" multipleItemSelectionAllowed="1" showAll="0">
      <items>
        <item x="0"/>
        <item x="1"/>
        <item x="2"/>
        <item x="3"/>
        <item t="default"/>
      </items>
    </pivotField>
  </pivotFields>
  <rowFields>
    <field x="18"/>
  </rowFields>
  <colFields>
    <field x="4"/>
  </colFields>
  <dataFields>
    <dataField name="COUNTA of id" fld="0" subtotal="count" baseField="0"/>
  </dataFields>
  <pivotTableStyleInfo name="Google Sheets Pivot Table Style" showRowHeaders="1" showColHeaders="1" showLastColumn="1"/>
</pivotTableDefinition>
</file>

<file path=xl/worksheets/_rels/sheet1.xml.rels><?xml version="1.0" encoding="UTF-8" standalone="yes"?><Relationships xmlns="http://schemas.openxmlformats.org/package/2006/relationships"><Relationship Id="rId392" Type="http://schemas.openxmlformats.org/officeDocument/2006/relationships/hyperlink" Target="http://www2.assemblee-nationale.fr/deputes/fiche/OMC_PA607553" TargetMode="External"/><Relationship Id="rId391" Type="http://schemas.openxmlformats.org/officeDocument/2006/relationships/hyperlink" Target="https://www.nosdeputes.fr/laurent-pietraszewski/csv" TargetMode="External"/><Relationship Id="rId390" Type="http://schemas.openxmlformats.org/officeDocument/2006/relationships/hyperlink" Target="https://www.nosdeputes.fr/laurent-pietraszewski" TargetMode="External"/><Relationship Id="rId1" Type="http://schemas.openxmlformats.org/officeDocument/2006/relationships/hyperlink" Target="http://www2.assemblee-nationale.fr/deputes/fiche/OMC_PA331582" TargetMode="External"/><Relationship Id="rId2" Type="http://schemas.openxmlformats.org/officeDocument/2006/relationships/hyperlink" Target="https://www.nosdeputes.fr/philippe-vigier" TargetMode="External"/><Relationship Id="rId3" Type="http://schemas.openxmlformats.org/officeDocument/2006/relationships/hyperlink" Target="https://www.nosdeputes.fr/philippe-vigier/csv" TargetMode="External"/><Relationship Id="rId4" Type="http://schemas.openxmlformats.org/officeDocument/2006/relationships/hyperlink" Target="http://www2.assemblee-nationale.fr/deputes/fiche/OMC_PA721410" TargetMode="External"/><Relationship Id="rId9" Type="http://schemas.openxmlformats.org/officeDocument/2006/relationships/hyperlink" Target="https://www.nosdeputes.fr/yael-braun-pivet/csv" TargetMode="External"/><Relationship Id="rId385" Type="http://schemas.openxmlformats.org/officeDocument/2006/relationships/hyperlink" Target="https://www.nosdeputes.fr/valerie-petit/csv" TargetMode="External"/><Relationship Id="rId384" Type="http://schemas.openxmlformats.org/officeDocument/2006/relationships/hyperlink" Target="https://www.nosdeputes.fr/valerie-petit" TargetMode="External"/><Relationship Id="rId383" Type="http://schemas.openxmlformats.org/officeDocument/2006/relationships/hyperlink" Target="http://www2.assemblee-nationale.fr/deputes/fiche/OMC_PA720500" TargetMode="External"/><Relationship Id="rId382" Type="http://schemas.openxmlformats.org/officeDocument/2006/relationships/hyperlink" Target="https://twitter.com/ValeriePetit_EM" TargetMode="External"/><Relationship Id="rId5" Type="http://schemas.openxmlformats.org/officeDocument/2006/relationships/hyperlink" Target="https://www.nosdeputes.fr/emilie-bonnivard" TargetMode="External"/><Relationship Id="rId389" Type="http://schemas.openxmlformats.org/officeDocument/2006/relationships/hyperlink" Target="http://www2.assemblee-nationale.fr/deputes/fiche/OMC_PA720512" TargetMode="External"/><Relationship Id="rId6" Type="http://schemas.openxmlformats.org/officeDocument/2006/relationships/hyperlink" Target="https://www.nosdeputes.fr/emilie-bonnivard/csv" TargetMode="External"/><Relationship Id="rId388" Type="http://schemas.openxmlformats.org/officeDocument/2006/relationships/hyperlink" Target="https://www.nosdeputes.fr/benedicte-peyrol/csv" TargetMode="External"/><Relationship Id="rId7" Type="http://schemas.openxmlformats.org/officeDocument/2006/relationships/hyperlink" Target="http://www2.assemblee-nationale.fr/deputes/fiche/OMC_PA721908" TargetMode="External"/><Relationship Id="rId387" Type="http://schemas.openxmlformats.org/officeDocument/2006/relationships/hyperlink" Target="https://www.nosdeputes.fr/benedicte-peyrol" TargetMode="External"/><Relationship Id="rId8" Type="http://schemas.openxmlformats.org/officeDocument/2006/relationships/hyperlink" Target="https://www.nosdeputes.fr/yael-braun-pivet" TargetMode="External"/><Relationship Id="rId386" Type="http://schemas.openxmlformats.org/officeDocument/2006/relationships/hyperlink" Target="http://www2.assemblee-nationale.fr/deputes/fiche/OMC_PA718736" TargetMode="External"/><Relationship Id="rId381" Type="http://schemas.openxmlformats.org/officeDocument/2006/relationships/hyperlink" Target="https://www.nosdeputes.fr/bernard-perrut/csv" TargetMode="External"/><Relationship Id="rId380" Type="http://schemas.openxmlformats.org/officeDocument/2006/relationships/hyperlink" Target="https://www.nosdeputes.fr/bernard-perrut" TargetMode="External"/><Relationship Id="rId379" Type="http://schemas.openxmlformats.org/officeDocument/2006/relationships/hyperlink" Target="http://www2.assemblee-nationale.fr/deputes/fiche/OMC_PA2377" TargetMode="External"/><Relationship Id="rId374" Type="http://schemas.openxmlformats.org/officeDocument/2006/relationships/hyperlink" Target="https://www.nosdeputes.fr/herve-pellois/csv" TargetMode="External"/><Relationship Id="rId373" Type="http://schemas.openxmlformats.org/officeDocument/2006/relationships/hyperlink" Target="https://www.nosdeputes.fr/herve-pellois" TargetMode="External"/><Relationship Id="rId372" Type="http://schemas.openxmlformats.org/officeDocument/2006/relationships/hyperlink" Target="http://www2.assemblee-nationale.fr/deputes/fiche/OMC_PA607595" TargetMode="External"/><Relationship Id="rId371" Type="http://schemas.openxmlformats.org/officeDocument/2006/relationships/hyperlink" Target="https://www.nosdeputes.fr/mathilde-panot/csv" TargetMode="External"/><Relationship Id="rId378" Type="http://schemas.openxmlformats.org/officeDocument/2006/relationships/hyperlink" Target="https://www.nosdeputes.fr/patrice-perrot/csv" TargetMode="External"/><Relationship Id="rId377" Type="http://schemas.openxmlformats.org/officeDocument/2006/relationships/hyperlink" Target="https://www.nosdeputes.fr/patrice-perrot" TargetMode="External"/><Relationship Id="rId376" Type="http://schemas.openxmlformats.org/officeDocument/2006/relationships/hyperlink" Target="http://www2.assemblee-nationale.fr/deputes/fiche/OMC_PA720414" TargetMode="External"/><Relationship Id="rId375" Type="http://schemas.openxmlformats.org/officeDocument/2006/relationships/hyperlink" Target="https://fr-fr.facebook.com/patriceperrotenmarche58/" TargetMode="External"/><Relationship Id="rId396" Type="http://schemas.openxmlformats.org/officeDocument/2006/relationships/hyperlink" Target="https://www.nosdeputes.fr/natalia-pouzyreff" TargetMode="External"/><Relationship Id="rId395" Type="http://schemas.openxmlformats.org/officeDocument/2006/relationships/hyperlink" Target="http://www2.assemblee-nationale.fr/deputes/fiche/OMC_PA721916" TargetMode="External"/><Relationship Id="rId394" Type="http://schemas.openxmlformats.org/officeDocument/2006/relationships/hyperlink" Target="https://www.nosdeputes.fr/dominique-potier/csv" TargetMode="External"/><Relationship Id="rId393" Type="http://schemas.openxmlformats.org/officeDocument/2006/relationships/hyperlink" Target="https://www.nosdeputes.fr/dominique-potier" TargetMode="External"/><Relationship Id="rId399" Type="http://schemas.openxmlformats.org/officeDocument/2006/relationships/hyperlink" Target="https://www.nosdeputes.fr/loic-prud-homme" TargetMode="External"/><Relationship Id="rId398" Type="http://schemas.openxmlformats.org/officeDocument/2006/relationships/hyperlink" Target="http://www2.assemblee-nationale.fr/deputes/fiche/OMC_PA719578" TargetMode="External"/><Relationship Id="rId397" Type="http://schemas.openxmlformats.org/officeDocument/2006/relationships/hyperlink" Target="https://www.nosdeputes.fr/natalia-pouzyreff/csv" TargetMode="External"/><Relationship Id="rId1730" Type="http://schemas.openxmlformats.org/officeDocument/2006/relationships/hyperlink" Target="https://www.nosdeputes.fr/david-lorion" TargetMode="External"/><Relationship Id="rId1731" Type="http://schemas.openxmlformats.org/officeDocument/2006/relationships/hyperlink" Target="https://www.nosdeputes.fr/david-lorion/csv" TargetMode="External"/><Relationship Id="rId1732" Type="http://schemas.openxmlformats.org/officeDocument/2006/relationships/hyperlink" Target="http://www2.assemblee-nationale.fr/deputes/fiche/OMC_PA610733" TargetMode="External"/><Relationship Id="rId1733" Type="http://schemas.openxmlformats.org/officeDocument/2006/relationships/hyperlink" Target="https://www.nosdeputes.fr/thierry-robert" TargetMode="External"/><Relationship Id="rId1734" Type="http://schemas.openxmlformats.org/officeDocument/2006/relationships/hyperlink" Target="https://www.nosdeputes.fr/thierry-robert/csv" TargetMode="External"/><Relationship Id="rId1735" Type="http://schemas.openxmlformats.org/officeDocument/2006/relationships/hyperlink" Target="https://fr-fr.facebook.com/justinebenin2/" TargetMode="External"/><Relationship Id="rId1736" Type="http://schemas.openxmlformats.org/officeDocument/2006/relationships/hyperlink" Target="http://www2.assemblee-nationale.fr/deputes/fiche/OMC_PA720968" TargetMode="External"/><Relationship Id="rId1737" Type="http://schemas.openxmlformats.org/officeDocument/2006/relationships/hyperlink" Target="https://www.nosdeputes.fr/justine-benin" TargetMode="External"/><Relationship Id="rId1738" Type="http://schemas.openxmlformats.org/officeDocument/2006/relationships/hyperlink" Target="https://www.nosdeputes.fr/justine-benin/csv" TargetMode="External"/><Relationship Id="rId1739" Type="http://schemas.openxmlformats.org/officeDocument/2006/relationships/hyperlink" Target="http://www2.assemblee-nationale.fr/deputes/fiche/OMC_PA721094" TargetMode="External"/><Relationship Id="rId1720" Type="http://schemas.openxmlformats.org/officeDocument/2006/relationships/hyperlink" Target="http://www2.assemblee-nationale.fr/deputes/fiche/OMC_PA722118" TargetMode="External"/><Relationship Id="rId1721" Type="http://schemas.openxmlformats.org/officeDocument/2006/relationships/hyperlink" Target="https://www.nosdeputes.fr/sira-sylla" TargetMode="External"/><Relationship Id="rId1722" Type="http://schemas.openxmlformats.org/officeDocument/2006/relationships/hyperlink" Target="https://www.nosdeputes.fr/sira-sylla/csv" TargetMode="External"/><Relationship Id="rId1723" Type="http://schemas.openxmlformats.org/officeDocument/2006/relationships/hyperlink" Target="http://www2.assemblee-nationale.fr/deputes/fiche/OMC_PA267901" TargetMode="External"/><Relationship Id="rId1724" Type="http://schemas.openxmlformats.org/officeDocument/2006/relationships/hyperlink" Target="https://www.nosdeputes.fr/mansour-kamardine" TargetMode="External"/><Relationship Id="rId1725" Type="http://schemas.openxmlformats.org/officeDocument/2006/relationships/hyperlink" Target="https://www.nosdeputes.fr/mansour-kamardine/csv" TargetMode="External"/><Relationship Id="rId1726" Type="http://schemas.openxmlformats.org/officeDocument/2006/relationships/hyperlink" Target="http://www2.assemblee-nationale.fr/deputes/fiche/OMC_PA721004" TargetMode="External"/><Relationship Id="rId1727" Type="http://schemas.openxmlformats.org/officeDocument/2006/relationships/hyperlink" Target="https://www.nosdeputes.fr/amal-amelia-lakrafi" TargetMode="External"/><Relationship Id="rId1728" Type="http://schemas.openxmlformats.org/officeDocument/2006/relationships/hyperlink" Target="https://www.nosdeputes.fr/amal-amelia-lakrafi/csv" TargetMode="External"/><Relationship Id="rId1729" Type="http://schemas.openxmlformats.org/officeDocument/2006/relationships/hyperlink" Target="http://www2.assemblee-nationale.fr/deputes/fiche/OMC_PA721054" TargetMode="External"/><Relationship Id="rId1752" Type="http://schemas.openxmlformats.org/officeDocument/2006/relationships/hyperlink" Target="https://www.nosdeputes.fr/huguette-bello/csv" TargetMode="External"/><Relationship Id="rId1753" Type="http://schemas.openxmlformats.org/officeDocument/2006/relationships/hyperlink" Target="http://www2.assemblee-nationale.fr/deputes/fiche/OMC_PA998" TargetMode="External"/><Relationship Id="rId1754" Type="http://schemas.openxmlformats.org/officeDocument/2006/relationships/hyperlink" Target="https://www.nosdeputes.fr/olivier-dassault" TargetMode="External"/><Relationship Id="rId1755" Type="http://schemas.openxmlformats.org/officeDocument/2006/relationships/hyperlink" Target="https://www.nosdeputes.fr/olivier-dassault/csv" TargetMode="External"/><Relationship Id="rId1756" Type="http://schemas.openxmlformats.org/officeDocument/2006/relationships/hyperlink" Target="http://www2.assemblee-nationale.fr/deputes/fiche/OMC_PA610654" TargetMode="External"/><Relationship Id="rId1757" Type="http://schemas.openxmlformats.org/officeDocument/2006/relationships/hyperlink" Target="https://www.nosdeputes.fr/jean-philippe-nilor" TargetMode="External"/><Relationship Id="rId1758" Type="http://schemas.openxmlformats.org/officeDocument/2006/relationships/hyperlink" Target="https://www.nosdeputes.fr/jean-philippe-nilor/csv" TargetMode="External"/><Relationship Id="rId1759" Type="http://schemas.openxmlformats.org/officeDocument/2006/relationships/hyperlink" Target="http://www2.assemblee-nationale.fr/deputes/fiche/OMC_PA702054" TargetMode="External"/><Relationship Id="rId808" Type="http://schemas.openxmlformats.org/officeDocument/2006/relationships/hyperlink" Target="https://www.nosdeputes.fr/bruno-questel/csv" TargetMode="External"/><Relationship Id="rId807" Type="http://schemas.openxmlformats.org/officeDocument/2006/relationships/hyperlink" Target="https://www.nosdeputes.fr/bruno-questel" TargetMode="External"/><Relationship Id="rId806" Type="http://schemas.openxmlformats.org/officeDocument/2006/relationships/hyperlink" Target="http://www2.assemblee-nationale.fr/deputes/fiche/OMC_PA643127" TargetMode="External"/><Relationship Id="rId805" Type="http://schemas.openxmlformats.org/officeDocument/2006/relationships/hyperlink" Target="https://www.nosdeputes.fr/benoit-potterie/csv" TargetMode="External"/><Relationship Id="rId809" Type="http://schemas.openxmlformats.org/officeDocument/2006/relationships/hyperlink" Target="http://www2.assemblee-nationale.fr/deputes/fiche/OMC_PA720092" TargetMode="External"/><Relationship Id="rId800" Type="http://schemas.openxmlformats.org/officeDocument/2006/relationships/hyperlink" Target="http://www2.assemblee-nationale.fr/deputes/fiche/OMC_PA609520" TargetMode="External"/><Relationship Id="rId804" Type="http://schemas.openxmlformats.org/officeDocument/2006/relationships/hyperlink" Target="https://www.nosdeputes.fr/benoit-potterie" TargetMode="External"/><Relationship Id="rId803" Type="http://schemas.openxmlformats.org/officeDocument/2006/relationships/hyperlink" Target="http://www2.assemblee-nationale.fr/deputes/fiche/OMC_PA720590" TargetMode="External"/><Relationship Id="rId802" Type="http://schemas.openxmlformats.org/officeDocument/2006/relationships/hyperlink" Target="https://www.nosdeputes.fr/barbara-pompili/csv" TargetMode="External"/><Relationship Id="rId801" Type="http://schemas.openxmlformats.org/officeDocument/2006/relationships/hyperlink" Target="https://www.nosdeputes.fr/barbara-pompili" TargetMode="External"/><Relationship Id="rId1750" Type="http://schemas.openxmlformats.org/officeDocument/2006/relationships/hyperlink" Target="http://www2.assemblee-nationale.fr/deputes/fiche/OMC_PA441" TargetMode="External"/><Relationship Id="rId1751" Type="http://schemas.openxmlformats.org/officeDocument/2006/relationships/hyperlink" Target="https://www.nosdeputes.fr/huguette-bello" TargetMode="External"/><Relationship Id="rId1741" Type="http://schemas.openxmlformats.org/officeDocument/2006/relationships/hyperlink" Target="https://www.nosdeputes.fr/philippe-dunoyer/csv" TargetMode="External"/><Relationship Id="rId1742" Type="http://schemas.openxmlformats.org/officeDocument/2006/relationships/hyperlink" Target="https://twitter.com/MaxMathiasin" TargetMode="External"/><Relationship Id="rId1743" Type="http://schemas.openxmlformats.org/officeDocument/2006/relationships/hyperlink" Target="http://www2.assemblee-nationale.fr/deputes/fiche/OMC_PA720976" TargetMode="External"/><Relationship Id="rId1744" Type="http://schemas.openxmlformats.org/officeDocument/2006/relationships/hyperlink" Target="https://www.nosdeputes.fr/max-mathiasin" TargetMode="External"/><Relationship Id="rId1745" Type="http://schemas.openxmlformats.org/officeDocument/2006/relationships/hyperlink" Target="https://www.nosdeputes.fr/max-mathiasin/csv" TargetMode="External"/><Relationship Id="rId1746" Type="http://schemas.openxmlformats.org/officeDocument/2006/relationships/hyperlink" Target="https://fr-fr.facebook.com/nicolesanquerfareata/" TargetMode="External"/><Relationship Id="rId1747" Type="http://schemas.openxmlformats.org/officeDocument/2006/relationships/hyperlink" Target="http://www2.assemblee-nationale.fr/deputes/fiche/OMC_PA721110" TargetMode="External"/><Relationship Id="rId1748" Type="http://schemas.openxmlformats.org/officeDocument/2006/relationships/hyperlink" Target="https://www.nosdeputes.fr/nicole-sanquer" TargetMode="External"/><Relationship Id="rId1749" Type="http://schemas.openxmlformats.org/officeDocument/2006/relationships/hyperlink" Target="https://www.nosdeputes.fr/nicole-sanquer/csv" TargetMode="External"/><Relationship Id="rId1740" Type="http://schemas.openxmlformats.org/officeDocument/2006/relationships/hyperlink" Target="https://www.nosdeputes.fr/philippe-dunoyer" TargetMode="External"/><Relationship Id="rId1710" Type="http://schemas.openxmlformats.org/officeDocument/2006/relationships/hyperlink" Target="https://www.nosdeputes.fr/philippe-folliot" TargetMode="External"/><Relationship Id="rId1711" Type="http://schemas.openxmlformats.org/officeDocument/2006/relationships/hyperlink" Target="https://www.nosdeputes.fr/philippe-folliot/csv" TargetMode="External"/><Relationship Id="rId1712" Type="http://schemas.openxmlformats.org/officeDocument/2006/relationships/hyperlink" Target="http://www.claireopetit.fr" TargetMode="External"/><Relationship Id="rId1713" Type="http://schemas.openxmlformats.org/officeDocument/2006/relationships/hyperlink" Target="http://www2.assemblee-nationale.fr/deputes/fiche/OMC_PA719364" TargetMode="External"/><Relationship Id="rId1714" Type="http://schemas.openxmlformats.org/officeDocument/2006/relationships/hyperlink" Target="https://www.nosdeputes.fr/claire-o-petit" TargetMode="External"/><Relationship Id="rId1715" Type="http://schemas.openxmlformats.org/officeDocument/2006/relationships/hyperlink" Target="https://www.nosdeputes.fr/claire-o-petit/csv" TargetMode="External"/><Relationship Id="rId1716" Type="http://schemas.openxmlformats.org/officeDocument/2006/relationships/hyperlink" Target="http://www2.assemblee-nationale.fr/deputes/fiche/OMC_PA346876" TargetMode="External"/><Relationship Id="rId1717" Type="http://schemas.openxmlformats.org/officeDocument/2006/relationships/hyperlink" Target="https://www.nosdeputes.fr/thierry-solere" TargetMode="External"/><Relationship Id="rId1718" Type="http://schemas.openxmlformats.org/officeDocument/2006/relationships/hyperlink" Target="https://www.nosdeputes.fr/thierry-solere/csv" TargetMode="External"/><Relationship Id="rId1719" Type="http://schemas.openxmlformats.org/officeDocument/2006/relationships/hyperlink" Target="https://twitter.com/sirasylla76" TargetMode="External"/><Relationship Id="rId1700" Type="http://schemas.openxmlformats.org/officeDocument/2006/relationships/hyperlink" Target="http://www2.assemblee-nationale.fr/deputes/fiche/OMC_PA643145" TargetMode="External"/><Relationship Id="rId1701" Type="http://schemas.openxmlformats.org/officeDocument/2006/relationships/hyperlink" Target="https://www.nosdeputes.fr/helene-vainqueur-christophe" TargetMode="External"/><Relationship Id="rId1702" Type="http://schemas.openxmlformats.org/officeDocument/2006/relationships/hyperlink" Target="https://www.nosdeputes.fr/helene-vainqueur-christophe/csv" TargetMode="External"/><Relationship Id="rId1703" Type="http://schemas.openxmlformats.org/officeDocument/2006/relationships/hyperlink" Target="http://www2.assemblee-nationale.fr/deputes/fiche/OMC_PA721046" TargetMode="External"/><Relationship Id="rId1704" Type="http://schemas.openxmlformats.org/officeDocument/2006/relationships/hyperlink" Target="https://www.nosdeputes.fr/nathalie-bassire" TargetMode="External"/><Relationship Id="rId1705" Type="http://schemas.openxmlformats.org/officeDocument/2006/relationships/hyperlink" Target="https://www.nosdeputes.fr/nathalie-bassire/csv" TargetMode="External"/><Relationship Id="rId1706" Type="http://schemas.openxmlformats.org/officeDocument/2006/relationships/hyperlink" Target="http://www2.assemblee-nationale.fr/deputes/fiche/OMC_PA721118" TargetMode="External"/><Relationship Id="rId1707" Type="http://schemas.openxmlformats.org/officeDocument/2006/relationships/hyperlink" Target="https://www.nosdeputes.fr/moetai-brotherson" TargetMode="External"/><Relationship Id="rId1708" Type="http://schemas.openxmlformats.org/officeDocument/2006/relationships/hyperlink" Target="https://www.nosdeputes.fr/moetai-brotherson/csv" TargetMode="External"/><Relationship Id="rId1709" Type="http://schemas.openxmlformats.org/officeDocument/2006/relationships/hyperlink" Target="http://www2.assemblee-nationale.fr/deputes/fiche/OMC_PA267673" TargetMode="External"/><Relationship Id="rId40" Type="http://schemas.openxmlformats.org/officeDocument/2006/relationships/hyperlink" Target="https://twitter.com/C_deCourson" TargetMode="External"/><Relationship Id="rId1334" Type="http://schemas.openxmlformats.org/officeDocument/2006/relationships/hyperlink" Target="http://www2.assemblee-nationale.fr/deputes/fiche/OMC_PA721450" TargetMode="External"/><Relationship Id="rId1335" Type="http://schemas.openxmlformats.org/officeDocument/2006/relationships/hyperlink" Target="https://www.nosdeputes.fr/marion-lenne" TargetMode="External"/><Relationship Id="rId42" Type="http://schemas.openxmlformats.org/officeDocument/2006/relationships/hyperlink" Target="https://www.nosdeputes.fr/charles-de-courson" TargetMode="External"/><Relationship Id="rId1336" Type="http://schemas.openxmlformats.org/officeDocument/2006/relationships/hyperlink" Target="https://www.nosdeputes.fr/marion-lenne/csv" TargetMode="External"/><Relationship Id="rId41" Type="http://schemas.openxmlformats.org/officeDocument/2006/relationships/hyperlink" Target="http://www2.assemblee-nationale.fr/deputes/fiche/OMC_PA942" TargetMode="External"/><Relationship Id="rId1337" Type="http://schemas.openxmlformats.org/officeDocument/2006/relationships/hyperlink" Target="http://www2.assemblee-nationale.fr/deputes/fiche/OMC_PA720446" TargetMode="External"/><Relationship Id="rId44" Type="http://schemas.openxmlformats.org/officeDocument/2006/relationships/hyperlink" Target="http://www2.assemblee-nationale.fr/deputes/fiche/OMC_PA643175" TargetMode="External"/><Relationship Id="rId1338" Type="http://schemas.openxmlformats.org/officeDocument/2006/relationships/hyperlink" Target="https://www.nosdeputes.fr/brigitte-liso" TargetMode="External"/><Relationship Id="rId43" Type="http://schemas.openxmlformats.org/officeDocument/2006/relationships/hyperlink" Target="https://www.nosdeputes.fr/charles-de-courson/csv" TargetMode="External"/><Relationship Id="rId1339" Type="http://schemas.openxmlformats.org/officeDocument/2006/relationships/hyperlink" Target="https://www.nosdeputes.fr/brigitte-liso/csv" TargetMode="External"/><Relationship Id="rId46" Type="http://schemas.openxmlformats.org/officeDocument/2006/relationships/hyperlink" Target="https://www.nosdeputes.fr/stella-dupont/csv" TargetMode="External"/><Relationship Id="rId45" Type="http://schemas.openxmlformats.org/officeDocument/2006/relationships/hyperlink" Target="https://www.nosdeputes.fr/stella-dupont" TargetMode="External"/><Relationship Id="rId745" Type="http://schemas.openxmlformats.org/officeDocument/2006/relationships/hyperlink" Target="https://www.nosdeputes.fr/jean-carles-grelier/csv" TargetMode="External"/><Relationship Id="rId744" Type="http://schemas.openxmlformats.org/officeDocument/2006/relationships/hyperlink" Target="https://www.nosdeputes.fr/jean-carles-grelier" TargetMode="External"/><Relationship Id="rId743" Type="http://schemas.openxmlformats.org/officeDocument/2006/relationships/hyperlink" Target="http://www2.assemblee-nationale.fr/deputes/fiche/OMC_PA267318" TargetMode="External"/><Relationship Id="rId742" Type="http://schemas.openxmlformats.org/officeDocument/2006/relationships/hyperlink" Target="https://www.nosdeputes.fr/olivia-gregoire/csv" TargetMode="External"/><Relationship Id="rId749" Type="http://schemas.openxmlformats.org/officeDocument/2006/relationships/hyperlink" Target="http://www2.assemblee-nationale.fr/deputes/fiche/OMC_PA722094" TargetMode="External"/><Relationship Id="rId748" Type="http://schemas.openxmlformats.org/officeDocument/2006/relationships/hyperlink" Target="https://www.nosdeputes.fr/marie-guevenoux/csv" TargetMode="External"/><Relationship Id="rId747" Type="http://schemas.openxmlformats.org/officeDocument/2006/relationships/hyperlink" Target="https://www.nosdeputes.fr/marie-guevenoux" TargetMode="External"/><Relationship Id="rId746" Type="http://schemas.openxmlformats.org/officeDocument/2006/relationships/hyperlink" Target="http://www2.assemblee-nationale.fr/deputes/fiche/OMC_PA721880" TargetMode="External"/><Relationship Id="rId48" Type="http://schemas.openxmlformats.org/officeDocument/2006/relationships/hyperlink" Target="https://www.nosdeputes.fr/stanislas-guerini" TargetMode="External"/><Relationship Id="rId47" Type="http://schemas.openxmlformats.org/officeDocument/2006/relationships/hyperlink" Target="http://www2.assemblee-nationale.fr/deputes/fiche/OMC_PA721498" TargetMode="External"/><Relationship Id="rId49" Type="http://schemas.openxmlformats.org/officeDocument/2006/relationships/hyperlink" Target="https://www.nosdeputes.fr/stanislas-guerini/csv" TargetMode="External"/><Relationship Id="rId741" Type="http://schemas.openxmlformats.org/officeDocument/2006/relationships/hyperlink" Target="https://www.nosdeputes.fr/olivia-gregoire" TargetMode="External"/><Relationship Id="rId1330" Type="http://schemas.openxmlformats.org/officeDocument/2006/relationships/hyperlink" Target="http://www.christophe-lejeune-depute.fr" TargetMode="External"/><Relationship Id="rId740" Type="http://schemas.openxmlformats.org/officeDocument/2006/relationships/hyperlink" Target="http://www2.assemblee-nationale.fr/deputes/fiche/OMC_PA721764" TargetMode="External"/><Relationship Id="rId1331" Type="http://schemas.openxmlformats.org/officeDocument/2006/relationships/hyperlink" Target="http://www2.assemblee-nationale.fr/deputes/fiche/OMC_PA722320" TargetMode="External"/><Relationship Id="rId1332" Type="http://schemas.openxmlformats.org/officeDocument/2006/relationships/hyperlink" Target="https://www.nosdeputes.fr/christophe-lejeune" TargetMode="External"/><Relationship Id="rId1333" Type="http://schemas.openxmlformats.org/officeDocument/2006/relationships/hyperlink" Target="https://www.nosdeputes.fr/christophe-lejeune/csv" TargetMode="External"/><Relationship Id="rId1323" Type="http://schemas.openxmlformats.org/officeDocument/2006/relationships/hyperlink" Target="http://www2.assemblee-nationale.fr/deputes/fiche/OMC_PA1838" TargetMode="External"/><Relationship Id="rId1324" Type="http://schemas.openxmlformats.org/officeDocument/2006/relationships/hyperlink" Target="https://www.nosdeputes.fr/jean-lassalle" TargetMode="External"/><Relationship Id="rId31" Type="http://schemas.openxmlformats.org/officeDocument/2006/relationships/hyperlink" Target="http://www2.assemblee-nationale.fr/deputes/fiche/OMC_PA720430" TargetMode="External"/><Relationship Id="rId1325" Type="http://schemas.openxmlformats.org/officeDocument/2006/relationships/hyperlink" Target="https://www.nosdeputes.fr/jean-lassalle/csv" TargetMode="External"/><Relationship Id="rId30" Type="http://schemas.openxmlformats.org/officeDocument/2006/relationships/hyperlink" Target="https://www.nosdeputes.fr/thibault-bazin/csv" TargetMode="External"/><Relationship Id="rId1326" Type="http://schemas.openxmlformats.org/officeDocument/2006/relationships/hyperlink" Target="http://www.florence-lasserre-david.fr" TargetMode="External"/><Relationship Id="rId33" Type="http://schemas.openxmlformats.org/officeDocument/2006/relationships/hyperlink" Target="https://www.nosdeputes.fr/ugo-bernalicis/csv" TargetMode="External"/><Relationship Id="rId1327" Type="http://schemas.openxmlformats.org/officeDocument/2006/relationships/hyperlink" Target="http://www2.assemblee-nationale.fr/deputes/fiche/OMC_PA720764" TargetMode="External"/><Relationship Id="rId32" Type="http://schemas.openxmlformats.org/officeDocument/2006/relationships/hyperlink" Target="https://www.nosdeputes.fr/ugo-bernalicis" TargetMode="External"/><Relationship Id="rId1328" Type="http://schemas.openxmlformats.org/officeDocument/2006/relationships/hyperlink" Target="https://www.nosdeputes.fr/florence-lasserre-david" TargetMode="External"/><Relationship Id="rId35" Type="http://schemas.openxmlformats.org/officeDocument/2006/relationships/hyperlink" Target="https://www.nosdeputes.fr/jean-louis-bricout" TargetMode="External"/><Relationship Id="rId1329" Type="http://schemas.openxmlformats.org/officeDocument/2006/relationships/hyperlink" Target="https://www.nosdeputes.fr/florence-lasserre-david/csv" TargetMode="External"/><Relationship Id="rId34" Type="http://schemas.openxmlformats.org/officeDocument/2006/relationships/hyperlink" Target="http://www2.assemblee-nationale.fr/deputes/fiche/OMC_PA605069" TargetMode="External"/><Relationship Id="rId739" Type="http://schemas.openxmlformats.org/officeDocument/2006/relationships/hyperlink" Target="https://www.nosdeputes.fr/philippe-gosselin/csv" TargetMode="External"/><Relationship Id="rId734" Type="http://schemas.openxmlformats.org/officeDocument/2006/relationships/hyperlink" Target="http://www2.assemblee-nationale.fr/deputes/fiche/OMC_PA605991" TargetMode="External"/><Relationship Id="rId733" Type="http://schemas.openxmlformats.org/officeDocument/2006/relationships/hyperlink" Target="https://www.nosdeputes.fr/albane-gaillot/csv" TargetMode="External"/><Relationship Id="rId732" Type="http://schemas.openxmlformats.org/officeDocument/2006/relationships/hyperlink" Target="https://www.nosdeputes.fr/albane-gaillot" TargetMode="External"/><Relationship Id="rId731" Type="http://schemas.openxmlformats.org/officeDocument/2006/relationships/hyperlink" Target="http://www2.assemblee-nationale.fr/deputes/fiche/OMC_PA721246" TargetMode="External"/><Relationship Id="rId738" Type="http://schemas.openxmlformats.org/officeDocument/2006/relationships/hyperlink" Target="https://www.nosdeputes.fr/philippe-gosselin" TargetMode="External"/><Relationship Id="rId737" Type="http://schemas.openxmlformats.org/officeDocument/2006/relationships/hyperlink" Target="http://www2.assemblee-nationale.fr/deputes/fiche/OMC_PA266797" TargetMode="External"/><Relationship Id="rId736" Type="http://schemas.openxmlformats.org/officeDocument/2006/relationships/hyperlink" Target="https://www.nosdeputes.fr/annie-genevard/csv" TargetMode="External"/><Relationship Id="rId735" Type="http://schemas.openxmlformats.org/officeDocument/2006/relationships/hyperlink" Target="https://www.nosdeputes.fr/annie-genevard" TargetMode="External"/><Relationship Id="rId37" Type="http://schemas.openxmlformats.org/officeDocument/2006/relationships/hyperlink" Target="http://www2.assemblee-nationale.fr/deputes/fiche/OMC_PA721202" TargetMode="External"/><Relationship Id="rId36" Type="http://schemas.openxmlformats.org/officeDocument/2006/relationships/hyperlink" Target="https://www.nosdeputes.fr/jean-louis-bricout/csv" TargetMode="External"/><Relationship Id="rId39" Type="http://schemas.openxmlformats.org/officeDocument/2006/relationships/hyperlink" Target="https://www.nosdeputes.fr/eric-coquerel/csv" TargetMode="External"/><Relationship Id="rId38" Type="http://schemas.openxmlformats.org/officeDocument/2006/relationships/hyperlink" Target="https://www.nosdeputes.fr/eric-coquerel" TargetMode="External"/><Relationship Id="rId730" Type="http://schemas.openxmlformats.org/officeDocument/2006/relationships/hyperlink" Target="https://www.nosdeputes.fr/jean-luc-fugit/csv" TargetMode="External"/><Relationship Id="rId1320" Type="http://schemas.openxmlformats.org/officeDocument/2006/relationships/hyperlink" Target="http://www2.assemblee-nationale.fr/deputes/fiche/OMC_PA331567" TargetMode="External"/><Relationship Id="rId1321" Type="http://schemas.openxmlformats.org/officeDocument/2006/relationships/hyperlink" Target="https://www.nosdeputes.fr/laure-de-la-raudiere" TargetMode="External"/><Relationship Id="rId1322" Type="http://schemas.openxmlformats.org/officeDocument/2006/relationships/hyperlink" Target="https://www.nosdeputes.fr/laure-de-la-raudiere/csv" TargetMode="External"/><Relationship Id="rId1356" Type="http://schemas.openxmlformats.org/officeDocument/2006/relationships/hyperlink" Target="http://www2.assemblee-nationale.fr/deputes/fiche/OMC_PA719202" TargetMode="External"/><Relationship Id="rId1357" Type="http://schemas.openxmlformats.org/officeDocument/2006/relationships/hyperlink" Target="https://www.nosdeputes.fr/didier-paris" TargetMode="External"/><Relationship Id="rId20" Type="http://schemas.openxmlformats.org/officeDocument/2006/relationships/hyperlink" Target="https://www.nosdeputes.fr/jean-marie-sermier" TargetMode="External"/><Relationship Id="rId1358" Type="http://schemas.openxmlformats.org/officeDocument/2006/relationships/hyperlink" Target="https://www.nosdeputes.fr/didier-paris/csv" TargetMode="External"/><Relationship Id="rId1359" Type="http://schemas.openxmlformats.org/officeDocument/2006/relationships/hyperlink" Target="http://www2.assemblee-nationale.fr/deputes/fiche/OMC_PA721182" TargetMode="External"/><Relationship Id="rId22" Type="http://schemas.openxmlformats.org/officeDocument/2006/relationships/hyperlink" Target="http://www2.assemblee-nationale.fr/deputes/fiche/OMC_PA607090" TargetMode="External"/><Relationship Id="rId21" Type="http://schemas.openxmlformats.org/officeDocument/2006/relationships/hyperlink" Target="https://www.nosdeputes.fr/jean-marie-sermier/csv" TargetMode="External"/><Relationship Id="rId24" Type="http://schemas.openxmlformats.org/officeDocument/2006/relationships/hyperlink" Target="https://www.nosdeputes.fr/jean-pierre-vigier/csv" TargetMode="External"/><Relationship Id="rId23" Type="http://schemas.openxmlformats.org/officeDocument/2006/relationships/hyperlink" Target="https://www.nosdeputes.fr/jean-pierre-vigier" TargetMode="External"/><Relationship Id="rId767" Type="http://schemas.openxmlformats.org/officeDocument/2006/relationships/hyperlink" Target="http://www2.assemblee-nationale.fr/deputes/fiche/OMC_PA721852" TargetMode="External"/><Relationship Id="rId766" Type="http://schemas.openxmlformats.org/officeDocument/2006/relationships/hyperlink" Target="https://www.nosdeputes.fr/aina-kuric/csv" TargetMode="External"/><Relationship Id="rId765" Type="http://schemas.openxmlformats.org/officeDocument/2006/relationships/hyperlink" Target="https://www.nosdeputes.fr/aina-kuric" TargetMode="External"/><Relationship Id="rId764" Type="http://schemas.openxmlformats.org/officeDocument/2006/relationships/hyperlink" Target="http://www2.assemblee-nationale.fr/deputes/fiche/OMC_PA720214" TargetMode="External"/><Relationship Id="rId769" Type="http://schemas.openxmlformats.org/officeDocument/2006/relationships/hyperlink" Target="https://www.nosdeputes.fr/marie-lebec/csv" TargetMode="External"/><Relationship Id="rId768" Type="http://schemas.openxmlformats.org/officeDocument/2006/relationships/hyperlink" Target="https://www.nosdeputes.fr/marie-lebec" TargetMode="External"/><Relationship Id="rId26" Type="http://schemas.openxmlformats.org/officeDocument/2006/relationships/hyperlink" Target="https://www.nosdeputes.fr/eric-alauzet" TargetMode="External"/><Relationship Id="rId25" Type="http://schemas.openxmlformats.org/officeDocument/2006/relationships/hyperlink" Target="http://www2.assemblee-nationale.fr/deputes/fiche/OMC_PA605963" TargetMode="External"/><Relationship Id="rId28" Type="http://schemas.openxmlformats.org/officeDocument/2006/relationships/hyperlink" Target="http://www2.assemblee-nationale.fr/deputes/fiche/OMC_PA642847" TargetMode="External"/><Relationship Id="rId1350" Type="http://schemas.openxmlformats.org/officeDocument/2006/relationships/hyperlink" Target="https://www.nosdeputes.fr/adrien-morenas" TargetMode="External"/><Relationship Id="rId27" Type="http://schemas.openxmlformats.org/officeDocument/2006/relationships/hyperlink" Target="https://www.nosdeputes.fr/eric-alauzet/csv" TargetMode="External"/><Relationship Id="rId1351" Type="http://schemas.openxmlformats.org/officeDocument/2006/relationships/hyperlink" Target="https://www.nosdeputes.fr/adrien-morenas/csv" TargetMode="External"/><Relationship Id="rId763" Type="http://schemas.openxmlformats.org/officeDocument/2006/relationships/hyperlink" Target="https://www.nosdeputes.fr/rodrigue-kokouendo/csv" TargetMode="External"/><Relationship Id="rId1352" Type="http://schemas.openxmlformats.org/officeDocument/2006/relationships/hyperlink" Target="http://www2.assemblee-nationale.fr/deputes/fiche/OMC_PA333421" TargetMode="External"/><Relationship Id="rId29" Type="http://schemas.openxmlformats.org/officeDocument/2006/relationships/hyperlink" Target="https://www.nosdeputes.fr/thibault-bazin" TargetMode="External"/><Relationship Id="rId762" Type="http://schemas.openxmlformats.org/officeDocument/2006/relationships/hyperlink" Target="https://www.nosdeputes.fr/rodrigue-kokouendo" TargetMode="External"/><Relationship Id="rId1353" Type="http://schemas.openxmlformats.org/officeDocument/2006/relationships/hyperlink" Target="https://www.nosdeputes.fr/bertrand-pancher" TargetMode="External"/><Relationship Id="rId761" Type="http://schemas.openxmlformats.org/officeDocument/2006/relationships/hyperlink" Target="http://www2.assemblee-nationale.fr/deputes/fiche/OMC_PA721644" TargetMode="External"/><Relationship Id="rId1354" Type="http://schemas.openxmlformats.org/officeDocument/2006/relationships/hyperlink" Target="https://www.nosdeputes.fr/bertrand-pancher/csv" TargetMode="External"/><Relationship Id="rId760" Type="http://schemas.openxmlformats.org/officeDocument/2006/relationships/hyperlink" Target="https://www.nosdeputes.fr/marietta-karamanli/csv" TargetMode="External"/><Relationship Id="rId1355" Type="http://schemas.openxmlformats.org/officeDocument/2006/relationships/hyperlink" Target="https://fr-fr.facebook.com/didierparis2017/" TargetMode="External"/><Relationship Id="rId1345" Type="http://schemas.openxmlformats.org/officeDocument/2006/relationships/hyperlink" Target="https://www.nosdeputes.fr/fabien-matras/csv" TargetMode="External"/><Relationship Id="rId1346" Type="http://schemas.openxmlformats.org/officeDocument/2006/relationships/hyperlink" Target="http://www2.assemblee-nationale.fr/deputes/fiche/OMC_PA719130" TargetMode="External"/><Relationship Id="rId1347" Type="http://schemas.openxmlformats.org/officeDocument/2006/relationships/hyperlink" Target="https://www.nosdeputes.fr/monica-michel" TargetMode="External"/><Relationship Id="rId1348" Type="http://schemas.openxmlformats.org/officeDocument/2006/relationships/hyperlink" Target="https://www.nosdeputes.fr/monica-michel/csv" TargetMode="External"/><Relationship Id="rId11" Type="http://schemas.openxmlformats.org/officeDocument/2006/relationships/hyperlink" Target="https://www.nosdeputes.fr/xavier-breton" TargetMode="External"/><Relationship Id="rId1349" Type="http://schemas.openxmlformats.org/officeDocument/2006/relationships/hyperlink" Target="http://www2.assemblee-nationale.fr/deputes/fiche/OMC_PA721876" TargetMode="External"/><Relationship Id="rId10" Type="http://schemas.openxmlformats.org/officeDocument/2006/relationships/hyperlink" Target="http://www2.assemblee-nationale.fr/deputes/fiche/OMC_PA330008" TargetMode="External"/><Relationship Id="rId13" Type="http://schemas.openxmlformats.org/officeDocument/2006/relationships/hyperlink" Target="http://www2.assemblee-nationale.fr/deputes/fiche/OMC_PA718720" TargetMode="External"/><Relationship Id="rId12" Type="http://schemas.openxmlformats.org/officeDocument/2006/relationships/hyperlink" Target="https://www.nosdeputes.fr/xavier-breton/csv" TargetMode="External"/><Relationship Id="rId756" Type="http://schemas.openxmlformats.org/officeDocument/2006/relationships/hyperlink" Target="https://www.nosdeputes.fr/caroline-janvier" TargetMode="External"/><Relationship Id="rId755" Type="http://schemas.openxmlformats.org/officeDocument/2006/relationships/hyperlink" Target="http://www2.assemblee-nationale.fr/deputes/fiche/OMC_PA720074" TargetMode="External"/><Relationship Id="rId754" Type="http://schemas.openxmlformats.org/officeDocument/2006/relationships/hyperlink" Target="https://www.nosdeputes.fr/dimitri-houbron/csv" TargetMode="External"/><Relationship Id="rId753" Type="http://schemas.openxmlformats.org/officeDocument/2006/relationships/hyperlink" Target="https://www.nosdeputes.fr/dimitri-houbron" TargetMode="External"/><Relationship Id="rId759" Type="http://schemas.openxmlformats.org/officeDocument/2006/relationships/hyperlink" Target="https://www.nosdeputes.fr/marietta-karamanli" TargetMode="External"/><Relationship Id="rId758" Type="http://schemas.openxmlformats.org/officeDocument/2006/relationships/hyperlink" Target="http://www2.assemblee-nationale.fr/deputes/fiche/OMC_PA335054" TargetMode="External"/><Relationship Id="rId757" Type="http://schemas.openxmlformats.org/officeDocument/2006/relationships/hyperlink" Target="https://www.nosdeputes.fr/caroline-janvier/csv" TargetMode="External"/><Relationship Id="rId15" Type="http://schemas.openxmlformats.org/officeDocument/2006/relationships/hyperlink" Target="https://www.nosdeputes.fr/jean-paul-dufregne/csv" TargetMode="External"/><Relationship Id="rId14" Type="http://schemas.openxmlformats.org/officeDocument/2006/relationships/hyperlink" Target="https://www.nosdeputes.fr/jean-paul-dufregne" TargetMode="External"/><Relationship Id="rId17" Type="http://schemas.openxmlformats.org/officeDocument/2006/relationships/hyperlink" Target="https://www.nosdeputes.fr/christine-pires-beaune" TargetMode="External"/><Relationship Id="rId16" Type="http://schemas.openxmlformats.org/officeDocument/2006/relationships/hyperlink" Target="http://www2.assemblee-nationale.fr/deputes/fiche/OMC_PA608172" TargetMode="External"/><Relationship Id="rId1340" Type="http://schemas.openxmlformats.org/officeDocument/2006/relationships/hyperlink" Target="http://www2.assemblee-nationale.fr/deputes/fiche/OMC_PA719080" TargetMode="External"/><Relationship Id="rId19" Type="http://schemas.openxmlformats.org/officeDocument/2006/relationships/hyperlink" Target="http://www2.assemblee-nationale.fr/deputes/fiche/OMC_PA267204" TargetMode="External"/><Relationship Id="rId752" Type="http://schemas.openxmlformats.org/officeDocument/2006/relationships/hyperlink" Target="http://www2.assemblee-nationale.fr/deputes/fiche/OMC_PA720454" TargetMode="External"/><Relationship Id="rId1341" Type="http://schemas.openxmlformats.org/officeDocument/2006/relationships/hyperlink" Target="https://www.nosdeputes.fr/sandra-marsaud" TargetMode="External"/><Relationship Id="rId18" Type="http://schemas.openxmlformats.org/officeDocument/2006/relationships/hyperlink" Target="https://www.nosdeputes.fr/christine-pires-beaune/csv" TargetMode="External"/><Relationship Id="rId751" Type="http://schemas.openxmlformats.org/officeDocument/2006/relationships/hyperlink" Target="https://www.nosdeputes.fr/christine-hennion/csv" TargetMode="External"/><Relationship Id="rId1342" Type="http://schemas.openxmlformats.org/officeDocument/2006/relationships/hyperlink" Target="https://www.nosdeputes.fr/sandra-marsaud/csv" TargetMode="External"/><Relationship Id="rId750" Type="http://schemas.openxmlformats.org/officeDocument/2006/relationships/hyperlink" Target="https://www.nosdeputes.fr/christine-hennion" TargetMode="External"/><Relationship Id="rId1343" Type="http://schemas.openxmlformats.org/officeDocument/2006/relationships/hyperlink" Target="http://www2.assemblee-nationale.fr/deputes/fiche/OMC_PA721800" TargetMode="External"/><Relationship Id="rId1344" Type="http://schemas.openxmlformats.org/officeDocument/2006/relationships/hyperlink" Target="https://www.nosdeputes.fr/fabien-matras" TargetMode="External"/><Relationship Id="rId84" Type="http://schemas.openxmlformats.org/officeDocument/2006/relationships/hyperlink" Target="https://fr-fr.facebook.com/hwulfranc/" TargetMode="External"/><Relationship Id="rId1774" Type="http://schemas.openxmlformats.org/officeDocument/2006/relationships/hyperlink" Target="http://www2.assemblee-nationale.fr/deputes/fiche/OMC_PA340357" TargetMode="External"/><Relationship Id="rId83" Type="http://schemas.openxmlformats.org/officeDocument/2006/relationships/hyperlink" Target="https://www.nosdeputes.fr/elisabeth-toutut-picard/csv" TargetMode="External"/><Relationship Id="rId1775" Type="http://schemas.openxmlformats.org/officeDocument/2006/relationships/hyperlink" Target="https://www.nosdeputes.fr/michele-victory" TargetMode="External"/><Relationship Id="rId86" Type="http://schemas.openxmlformats.org/officeDocument/2006/relationships/hyperlink" Target="https://www.nosdeputes.fr/hubert-wulfranc" TargetMode="External"/><Relationship Id="rId1776" Type="http://schemas.openxmlformats.org/officeDocument/2006/relationships/hyperlink" Target="https://www.nosdeputes.fr/michele-victory/csv" TargetMode="External"/><Relationship Id="rId85" Type="http://schemas.openxmlformats.org/officeDocument/2006/relationships/hyperlink" Target="http://www2.assemblee-nationale.fr/deputes/fiche/OMC_PA722110" TargetMode="External"/><Relationship Id="rId1777" Type="http://schemas.openxmlformats.org/officeDocument/2006/relationships/hyperlink" Target="http://www2.assemblee-nationale.fr/deputes/fiche/OMC_PA721816" TargetMode="External"/><Relationship Id="rId88" Type="http://schemas.openxmlformats.org/officeDocument/2006/relationships/hyperlink" Target="http://www2.assemblee-nationale.fr/deputes/fiche/OMC_PA719866" TargetMode="External"/><Relationship Id="rId1778" Type="http://schemas.openxmlformats.org/officeDocument/2006/relationships/hyperlink" Target="https://www.nosdeputes.fr/ian-boucard" TargetMode="External"/><Relationship Id="rId87" Type="http://schemas.openxmlformats.org/officeDocument/2006/relationships/hyperlink" Target="https://www.nosdeputes.fr/hubert-wulfranc/csv" TargetMode="External"/><Relationship Id="rId1779" Type="http://schemas.openxmlformats.org/officeDocument/2006/relationships/hyperlink" Target="https://www.nosdeputes.fr/ian-boucard/csv" TargetMode="External"/><Relationship Id="rId89" Type="http://schemas.openxmlformats.org/officeDocument/2006/relationships/hyperlink" Target="https://www.nosdeputes.fr/caroline-abadie" TargetMode="External"/><Relationship Id="rId709" Type="http://schemas.openxmlformats.org/officeDocument/2006/relationships/hyperlink" Target="http://www2.assemblee-nationale.fr/deputes/fiche/OMC_PA722382" TargetMode="External"/><Relationship Id="rId708" Type="http://schemas.openxmlformats.org/officeDocument/2006/relationships/hyperlink" Target="https://twitter.com/BenjaminDirx" TargetMode="External"/><Relationship Id="rId707" Type="http://schemas.openxmlformats.org/officeDocument/2006/relationships/hyperlink" Target="https://www.nosdeputes.fr/nicolas-demoulin/csv" TargetMode="External"/><Relationship Id="rId706" Type="http://schemas.openxmlformats.org/officeDocument/2006/relationships/hyperlink" Target="https://www.nosdeputes.fr/nicolas-demoulin" TargetMode="External"/><Relationship Id="rId80" Type="http://schemas.openxmlformats.org/officeDocument/2006/relationships/hyperlink" Target="https://www.nosdeputes.fr/benoit-simian/csv" TargetMode="External"/><Relationship Id="rId82" Type="http://schemas.openxmlformats.org/officeDocument/2006/relationships/hyperlink" Target="https://www.nosdeputes.fr/elisabeth-toutut-picard" TargetMode="External"/><Relationship Id="rId81" Type="http://schemas.openxmlformats.org/officeDocument/2006/relationships/hyperlink" Target="http://www2.assemblee-nationale.fr/deputes/fiche/OMC_PA719540" TargetMode="External"/><Relationship Id="rId701" Type="http://schemas.openxmlformats.org/officeDocument/2006/relationships/hyperlink" Target="https://www.nosdeputes.fr/berangere-couillard/csv" TargetMode="External"/><Relationship Id="rId700" Type="http://schemas.openxmlformats.org/officeDocument/2006/relationships/hyperlink" Target="https://www.nosdeputes.fr/berangere-couillard" TargetMode="External"/><Relationship Id="rId705" Type="http://schemas.openxmlformats.org/officeDocument/2006/relationships/hyperlink" Target="http://www2.assemblee-nationale.fr/deputes/fiche/OMC_PA719830" TargetMode="External"/><Relationship Id="rId704" Type="http://schemas.openxmlformats.org/officeDocument/2006/relationships/hyperlink" Target="https://www.nosdeputes.fr/michel-delpon/csv" TargetMode="External"/><Relationship Id="rId703" Type="http://schemas.openxmlformats.org/officeDocument/2006/relationships/hyperlink" Target="https://www.nosdeputes.fr/michel-delpon" TargetMode="External"/><Relationship Id="rId702" Type="http://schemas.openxmlformats.org/officeDocument/2006/relationships/hyperlink" Target="http://www2.assemblee-nationale.fr/deputes/fiche/OMC_PA719258" TargetMode="External"/><Relationship Id="rId1770" Type="http://schemas.openxmlformats.org/officeDocument/2006/relationships/hyperlink" Target="https://www.nosdeputes.fr/franck-marlin/csv" TargetMode="External"/><Relationship Id="rId1771" Type="http://schemas.openxmlformats.org/officeDocument/2006/relationships/hyperlink" Target="http://www2.assemblee-nationale.fr/deputes/fiche/OMC_PA610634" TargetMode="External"/><Relationship Id="rId1772" Type="http://schemas.openxmlformats.org/officeDocument/2006/relationships/hyperlink" Target="https://www.nosdeputes.fr/bruno-nestor-azerot" TargetMode="External"/><Relationship Id="rId1773" Type="http://schemas.openxmlformats.org/officeDocument/2006/relationships/hyperlink" Target="https://www.nosdeputes.fr/bruno-nestor-azerot/csv" TargetMode="External"/><Relationship Id="rId73" Type="http://schemas.openxmlformats.org/officeDocument/2006/relationships/hyperlink" Target="https://www.nosdeputes.fr/aurelien-pradie" TargetMode="External"/><Relationship Id="rId1763" Type="http://schemas.openxmlformats.org/officeDocument/2006/relationships/hyperlink" Target="https://www.nosdeputes.fr/michele-tabarot" TargetMode="External"/><Relationship Id="rId72" Type="http://schemas.openxmlformats.org/officeDocument/2006/relationships/hyperlink" Target="http://www2.assemblee-nationale.fr/deputes/fiche/OMC_PA720100" TargetMode="External"/><Relationship Id="rId1764" Type="http://schemas.openxmlformats.org/officeDocument/2006/relationships/hyperlink" Target="https://www.nosdeputes.fr/michele-tabarot/csv" TargetMode="External"/><Relationship Id="rId75" Type="http://schemas.openxmlformats.org/officeDocument/2006/relationships/hyperlink" Target="http://www2.assemblee-nationale.fr/deputes/fiche/OMC_PA722398" TargetMode="External"/><Relationship Id="rId1765" Type="http://schemas.openxmlformats.org/officeDocument/2006/relationships/hyperlink" Target="http://www2.assemblee-nationale.fr/deputes/fiche/OMC_PA223837" TargetMode="External"/><Relationship Id="rId74" Type="http://schemas.openxmlformats.org/officeDocument/2006/relationships/hyperlink" Target="https://www.nosdeputes.fr/aurelien-pradie/csv" TargetMode="External"/><Relationship Id="rId1766" Type="http://schemas.openxmlformats.org/officeDocument/2006/relationships/hyperlink" Target="https://www.nosdeputes.fr/bernard-brochand" TargetMode="External"/><Relationship Id="rId77" Type="http://schemas.openxmlformats.org/officeDocument/2006/relationships/hyperlink" Target="https://www.nosdeputes.fr/remy-rebeyrotte/csv" TargetMode="External"/><Relationship Id="rId1767" Type="http://schemas.openxmlformats.org/officeDocument/2006/relationships/hyperlink" Target="https://www.nosdeputes.fr/bernard-brochand/csv" TargetMode="External"/><Relationship Id="rId76" Type="http://schemas.openxmlformats.org/officeDocument/2006/relationships/hyperlink" Target="https://www.nosdeputes.fr/remy-rebeyrotte" TargetMode="External"/><Relationship Id="rId1768" Type="http://schemas.openxmlformats.org/officeDocument/2006/relationships/hyperlink" Target="http://www2.assemblee-nationale.fr/deputes/fiche/OMC_PA2086" TargetMode="External"/><Relationship Id="rId79" Type="http://schemas.openxmlformats.org/officeDocument/2006/relationships/hyperlink" Target="https://www.nosdeputes.fr/benoit-simian" TargetMode="External"/><Relationship Id="rId1769" Type="http://schemas.openxmlformats.org/officeDocument/2006/relationships/hyperlink" Target="https://www.nosdeputes.fr/franck-marlin" TargetMode="External"/><Relationship Id="rId78" Type="http://schemas.openxmlformats.org/officeDocument/2006/relationships/hyperlink" Target="http://www2.assemblee-nationale.fr/deputes/fiche/OMC_PA719592" TargetMode="External"/><Relationship Id="rId71" Type="http://schemas.openxmlformats.org/officeDocument/2006/relationships/hyperlink" Target="https://www.nosdeputes.fr/daniele-obono/csv" TargetMode="External"/><Relationship Id="rId70" Type="http://schemas.openxmlformats.org/officeDocument/2006/relationships/hyperlink" Target="https://www.nosdeputes.fr/daniele-obono" TargetMode="External"/><Relationship Id="rId1760" Type="http://schemas.openxmlformats.org/officeDocument/2006/relationships/hyperlink" Target="https://www.nosdeputes.fr/stephane-claireaux" TargetMode="External"/><Relationship Id="rId1761" Type="http://schemas.openxmlformats.org/officeDocument/2006/relationships/hyperlink" Target="https://www.nosdeputes.fr/stephane-claireaux/csv" TargetMode="External"/><Relationship Id="rId1762" Type="http://schemas.openxmlformats.org/officeDocument/2006/relationships/hyperlink" Target="http://www2.assemblee-nationale.fr/deputes/fiche/OMC_PA267794" TargetMode="External"/><Relationship Id="rId62" Type="http://schemas.openxmlformats.org/officeDocument/2006/relationships/hyperlink" Target="http://www2.assemblee-nationale.fr/deputes/fiche/OMC_PA719850" TargetMode="External"/><Relationship Id="rId1312" Type="http://schemas.openxmlformats.org/officeDocument/2006/relationships/hyperlink" Target="https://www.nosdeputes.fr/guillaume-garot/csv" TargetMode="External"/><Relationship Id="rId61" Type="http://schemas.openxmlformats.org/officeDocument/2006/relationships/hyperlink" Target="https://www.nosdeputes.fr/mohamed-laqhila/csv" TargetMode="External"/><Relationship Id="rId1313" Type="http://schemas.openxmlformats.org/officeDocument/2006/relationships/hyperlink" Target="https://twitter.com/severine_gipson" TargetMode="External"/><Relationship Id="rId64" Type="http://schemas.openxmlformats.org/officeDocument/2006/relationships/hyperlink" Target="https://www.nosdeputes.fr/cendra-motin/csv" TargetMode="External"/><Relationship Id="rId1314" Type="http://schemas.openxmlformats.org/officeDocument/2006/relationships/hyperlink" Target="http://www2.assemblee-nationale.fr/deputes/fiche/OMC_PA719326" TargetMode="External"/><Relationship Id="rId63" Type="http://schemas.openxmlformats.org/officeDocument/2006/relationships/hyperlink" Target="https://www.nosdeputes.fr/cendra-motin" TargetMode="External"/><Relationship Id="rId1315" Type="http://schemas.openxmlformats.org/officeDocument/2006/relationships/hyperlink" Target="https://www.nosdeputes.fr/severine-gipson" TargetMode="External"/><Relationship Id="rId66" Type="http://schemas.openxmlformats.org/officeDocument/2006/relationships/hyperlink" Target="https://www.nosdeputes.fr/naima-moutchou" TargetMode="External"/><Relationship Id="rId1316" Type="http://schemas.openxmlformats.org/officeDocument/2006/relationships/hyperlink" Target="https://www.nosdeputes.fr/severine-gipson/csv" TargetMode="External"/><Relationship Id="rId65" Type="http://schemas.openxmlformats.org/officeDocument/2006/relationships/hyperlink" Target="http://www2.assemblee-nationale.fr/deputes/fiche/OMC_PA720908" TargetMode="External"/><Relationship Id="rId1317" Type="http://schemas.openxmlformats.org/officeDocument/2006/relationships/hyperlink" Target="http://www2.assemblee-nationale.fr/deputes/fiche/OMC_PA719210" TargetMode="External"/><Relationship Id="rId68" Type="http://schemas.openxmlformats.org/officeDocument/2006/relationships/hyperlink" Target="https://twitter.com/Deputee_Obono" TargetMode="External"/><Relationship Id="rId1318" Type="http://schemas.openxmlformats.org/officeDocument/2006/relationships/hyperlink" Target="https://www.nosdeputes.fr/bruno-joncour" TargetMode="External"/><Relationship Id="rId67" Type="http://schemas.openxmlformats.org/officeDocument/2006/relationships/hyperlink" Target="https://www.nosdeputes.fr/naima-moutchou/csv" TargetMode="External"/><Relationship Id="rId1319" Type="http://schemas.openxmlformats.org/officeDocument/2006/relationships/hyperlink" Target="https://www.nosdeputes.fr/bruno-joncour/csv" TargetMode="External"/><Relationship Id="rId729" Type="http://schemas.openxmlformats.org/officeDocument/2006/relationships/hyperlink" Target="https://www.nosdeputes.fr/jean-luc-fugit" TargetMode="External"/><Relationship Id="rId728" Type="http://schemas.openxmlformats.org/officeDocument/2006/relationships/hyperlink" Target="http://www2.assemblee-nationale.fr/deputes/fiche/OMC_PA722366" TargetMode="External"/><Relationship Id="rId60" Type="http://schemas.openxmlformats.org/officeDocument/2006/relationships/hyperlink" Target="https://www.nosdeputes.fr/mohamed-laqhila" TargetMode="External"/><Relationship Id="rId723" Type="http://schemas.openxmlformats.org/officeDocument/2006/relationships/hyperlink" Target="https://www.nosdeputes.fr/bruno-duverge/csv" TargetMode="External"/><Relationship Id="rId722" Type="http://schemas.openxmlformats.org/officeDocument/2006/relationships/hyperlink" Target="https://www.nosdeputes.fr/bruno-duverge" TargetMode="External"/><Relationship Id="rId721" Type="http://schemas.openxmlformats.org/officeDocument/2006/relationships/hyperlink" Target="http://www2.assemblee-nationale.fr/deputes/fiche/OMC_PA720652" TargetMode="External"/><Relationship Id="rId720" Type="http://schemas.openxmlformats.org/officeDocument/2006/relationships/hyperlink" Target="https://www.nosdeputes.fr/virginie-duby-muller/csv" TargetMode="External"/><Relationship Id="rId727" Type="http://schemas.openxmlformats.org/officeDocument/2006/relationships/hyperlink" Target="https://twitter.com/Jean_LucFUGIT" TargetMode="External"/><Relationship Id="rId726" Type="http://schemas.openxmlformats.org/officeDocument/2006/relationships/hyperlink" Target="https://www.nosdeputes.fr/christophe-euzet/csv" TargetMode="External"/><Relationship Id="rId725" Type="http://schemas.openxmlformats.org/officeDocument/2006/relationships/hyperlink" Target="https://www.nosdeputes.fr/christophe-euzet" TargetMode="External"/><Relationship Id="rId724" Type="http://schemas.openxmlformats.org/officeDocument/2006/relationships/hyperlink" Target="http://www2.assemblee-nationale.fr/deputes/fiche/OMC_PA719616" TargetMode="External"/><Relationship Id="rId69" Type="http://schemas.openxmlformats.org/officeDocument/2006/relationships/hyperlink" Target="http://www2.assemblee-nationale.fr/deputes/fiche/OMC_PA721960" TargetMode="External"/><Relationship Id="rId1310" Type="http://schemas.openxmlformats.org/officeDocument/2006/relationships/hyperlink" Target="http://www2.assemblee-nationale.fr/deputes/fiche/OMC_PA333285" TargetMode="External"/><Relationship Id="rId1311" Type="http://schemas.openxmlformats.org/officeDocument/2006/relationships/hyperlink" Target="https://www.nosdeputes.fr/guillaume-garot" TargetMode="External"/><Relationship Id="rId51" Type="http://schemas.openxmlformats.org/officeDocument/2006/relationships/hyperlink" Target="https://www.nosdeputes.fr/patrick-hetzel" TargetMode="External"/><Relationship Id="rId1301" Type="http://schemas.openxmlformats.org/officeDocument/2006/relationships/hyperlink" Target="http://www2.assemblee-nationale.fr/deputes/fiche/OMC_PA267042" TargetMode="External"/><Relationship Id="rId50" Type="http://schemas.openxmlformats.org/officeDocument/2006/relationships/hyperlink" Target="http://www2.assemblee-nationale.fr/deputes/fiche/OMC_PA608416" TargetMode="External"/><Relationship Id="rId1302" Type="http://schemas.openxmlformats.org/officeDocument/2006/relationships/hyperlink" Target="https://www.nosdeputes.fr/yannick-favennec-becot" TargetMode="External"/><Relationship Id="rId53" Type="http://schemas.openxmlformats.org/officeDocument/2006/relationships/hyperlink" Target="http://www2.assemblee-nationale.fr/deputes/fiche/OMC_PA721150" TargetMode="External"/><Relationship Id="rId1303" Type="http://schemas.openxmlformats.org/officeDocument/2006/relationships/hyperlink" Target="https://www.nosdeputes.fr/yannick-favennec-becot/csv" TargetMode="External"/><Relationship Id="rId52" Type="http://schemas.openxmlformats.org/officeDocument/2006/relationships/hyperlink" Target="https://www.nosdeputes.fr/patrick-hetzel/csv" TargetMode="External"/><Relationship Id="rId1304" Type="http://schemas.openxmlformats.org/officeDocument/2006/relationships/hyperlink" Target="http://www2.assemblee-nationale.fr/deputes/fiche/OMC_PA643103" TargetMode="External"/><Relationship Id="rId55" Type="http://schemas.openxmlformats.org/officeDocument/2006/relationships/hyperlink" Target="https://www.nosdeputes.fr/alexandre-holroyd/csv" TargetMode="External"/><Relationship Id="rId1305" Type="http://schemas.openxmlformats.org/officeDocument/2006/relationships/hyperlink" Target="https://www.nosdeputes.fr/jean-jacques-ferrara" TargetMode="External"/><Relationship Id="rId54" Type="http://schemas.openxmlformats.org/officeDocument/2006/relationships/hyperlink" Target="https://www.nosdeputes.fr/alexandre-holroyd" TargetMode="External"/><Relationship Id="rId1306" Type="http://schemas.openxmlformats.org/officeDocument/2006/relationships/hyperlink" Target="https://www.nosdeputes.fr/jean-jacques-ferrara/csv" TargetMode="External"/><Relationship Id="rId57" Type="http://schemas.openxmlformats.org/officeDocument/2006/relationships/hyperlink" Target="https://www.nosdeputes.fr/catherine-kamowski" TargetMode="External"/><Relationship Id="rId1307" Type="http://schemas.openxmlformats.org/officeDocument/2006/relationships/hyperlink" Target="http://www2.assemblee-nationale.fr/deputes/fiche/OMC_PA720178" TargetMode="External"/><Relationship Id="rId56" Type="http://schemas.openxmlformats.org/officeDocument/2006/relationships/hyperlink" Target="http://www2.assemblee-nationale.fr/deputes/fiche/OMC_PA719994" TargetMode="External"/><Relationship Id="rId1308" Type="http://schemas.openxmlformats.org/officeDocument/2006/relationships/hyperlink" Target="https://www.nosdeputes.fr/laurent-garcia" TargetMode="External"/><Relationship Id="rId1309" Type="http://schemas.openxmlformats.org/officeDocument/2006/relationships/hyperlink" Target="https://www.nosdeputes.fr/laurent-garcia/csv" TargetMode="External"/><Relationship Id="rId719" Type="http://schemas.openxmlformats.org/officeDocument/2006/relationships/hyperlink" Target="https://www.nosdeputes.fr/virginie-duby-muller" TargetMode="External"/><Relationship Id="rId718" Type="http://schemas.openxmlformats.org/officeDocument/2006/relationships/hyperlink" Target="http://www2.assemblee-nationale.fr/deputes/fiche/OMC_PA608826" TargetMode="External"/><Relationship Id="rId717" Type="http://schemas.openxmlformats.org/officeDocument/2006/relationships/hyperlink" Target="https://www.nosdeputes.fr/nicole-dubre-chirat/csv" TargetMode="External"/><Relationship Id="rId712" Type="http://schemas.openxmlformats.org/officeDocument/2006/relationships/hyperlink" Target="http://www2.assemblee-nationale.fr/deputes/fiche/OMC_PA608292" TargetMode="External"/><Relationship Id="rId711" Type="http://schemas.openxmlformats.org/officeDocument/2006/relationships/hyperlink" Target="https://www.nosdeputes.fr/benjamin-dirx/csv" TargetMode="External"/><Relationship Id="rId710" Type="http://schemas.openxmlformats.org/officeDocument/2006/relationships/hyperlink" Target="https://www.nosdeputes.fr/benjamin-dirx" TargetMode="External"/><Relationship Id="rId716" Type="http://schemas.openxmlformats.org/officeDocument/2006/relationships/hyperlink" Target="https://www.nosdeputes.fr/nicole-dubre-chirat" TargetMode="External"/><Relationship Id="rId715" Type="http://schemas.openxmlformats.org/officeDocument/2006/relationships/hyperlink" Target="http://www2.assemblee-nationale.fr/deputes/fiche/OMC_PA720154" TargetMode="External"/><Relationship Id="rId714" Type="http://schemas.openxmlformats.org/officeDocument/2006/relationships/hyperlink" Target="https://www.nosdeputes.fr/jeanine-dubie/csv" TargetMode="External"/><Relationship Id="rId713" Type="http://schemas.openxmlformats.org/officeDocument/2006/relationships/hyperlink" Target="https://www.nosdeputes.fr/jeanine-dubie" TargetMode="External"/><Relationship Id="rId59" Type="http://schemas.openxmlformats.org/officeDocument/2006/relationships/hyperlink" Target="http://www2.assemblee-nationale.fr/deputes/fiche/OMC_PA718978" TargetMode="External"/><Relationship Id="rId58" Type="http://schemas.openxmlformats.org/officeDocument/2006/relationships/hyperlink" Target="https://www.nosdeputes.fr/catherine-kamowski/csv" TargetMode="External"/><Relationship Id="rId1780" Type="http://schemas.openxmlformats.org/officeDocument/2006/relationships/hyperlink" Target="http://www2.assemblee-nationale.fr/deputes/fiche/OMC_PA748954" TargetMode="External"/><Relationship Id="rId1781" Type="http://schemas.openxmlformats.org/officeDocument/2006/relationships/hyperlink" Target="https://www.nosdeputes.fr/antoine-savignat" TargetMode="External"/><Relationship Id="rId1782" Type="http://schemas.openxmlformats.org/officeDocument/2006/relationships/hyperlink" Target="https://www.nosdeputes.fr/antoine-savignat/csv" TargetMode="External"/><Relationship Id="rId1783" Type="http://schemas.openxmlformats.org/officeDocument/2006/relationships/drawing" Target="../drawings/drawing1.xml"/><Relationship Id="rId1300" Type="http://schemas.openxmlformats.org/officeDocument/2006/relationships/hyperlink" Target="https://www.nosdeputes.fr/valeria-faure-muntian/csv" TargetMode="External"/><Relationship Id="rId349" Type="http://schemas.openxmlformats.org/officeDocument/2006/relationships/hyperlink" Target="https://www.nosdeputes.fr/thomas-mesnier/csv" TargetMode="External"/><Relationship Id="rId348" Type="http://schemas.openxmlformats.org/officeDocument/2006/relationships/hyperlink" Target="https://www.nosdeputes.fr/thomas-mesnier" TargetMode="External"/><Relationship Id="rId347" Type="http://schemas.openxmlformats.org/officeDocument/2006/relationships/hyperlink" Target="http://www2.assemblee-nationale.fr/deputes/fiche/OMC_PA719072" TargetMode="External"/><Relationship Id="rId346" Type="http://schemas.openxmlformats.org/officeDocument/2006/relationships/hyperlink" Target="https://www.nosdeputes.fr/emmanuelle-menard/csv" TargetMode="External"/><Relationship Id="rId341" Type="http://schemas.openxmlformats.org/officeDocument/2006/relationships/hyperlink" Target="http://www2.assemblee-nationale.fr/deputes/fiche/OMC_PA2150" TargetMode="External"/><Relationship Id="rId340" Type="http://schemas.openxmlformats.org/officeDocument/2006/relationships/hyperlink" Target="https://www.nosdeputes.fr/jean-louis-masson/csv" TargetMode="External"/><Relationship Id="rId345" Type="http://schemas.openxmlformats.org/officeDocument/2006/relationships/hyperlink" Target="https://www.nosdeputes.fr/emmanuelle-menard" TargetMode="External"/><Relationship Id="rId344" Type="http://schemas.openxmlformats.org/officeDocument/2006/relationships/hyperlink" Target="http://www2.assemblee-nationale.fr/deputes/fiche/OMC_PA719608" TargetMode="External"/><Relationship Id="rId343" Type="http://schemas.openxmlformats.org/officeDocument/2006/relationships/hyperlink" Target="https://www.nosdeputes.fr/jean-luc-melenchon/csv" TargetMode="External"/><Relationship Id="rId342" Type="http://schemas.openxmlformats.org/officeDocument/2006/relationships/hyperlink" Target="https://www.nosdeputes.fr/jean-luc-melenchon" TargetMode="External"/><Relationship Id="rId338" Type="http://schemas.openxmlformats.org/officeDocument/2006/relationships/hyperlink" Target="http://www2.assemblee-nationale.fr/deputes/fiche/OMC_PA346218" TargetMode="External"/><Relationship Id="rId337" Type="http://schemas.openxmlformats.org/officeDocument/2006/relationships/hyperlink" Target="http://jlmasson.fr" TargetMode="External"/><Relationship Id="rId336" Type="http://schemas.openxmlformats.org/officeDocument/2006/relationships/hyperlink" Target="https://www.nosdeputes.fr/didier-martin/csv" TargetMode="External"/><Relationship Id="rId335" Type="http://schemas.openxmlformats.org/officeDocument/2006/relationships/hyperlink" Target="https://www.nosdeputes.fr/didier-martin" TargetMode="External"/><Relationship Id="rId339" Type="http://schemas.openxmlformats.org/officeDocument/2006/relationships/hyperlink" Target="https://www.nosdeputes.fr/jean-louis-masson" TargetMode="External"/><Relationship Id="rId330" Type="http://schemas.openxmlformats.org/officeDocument/2006/relationships/hyperlink" Target="https://www.nosdeputes.fr/marie-ange-magne/csv" TargetMode="External"/><Relationship Id="rId334" Type="http://schemas.openxmlformats.org/officeDocument/2006/relationships/hyperlink" Target="http://www2.assemblee-nationale.fr/deputes/fiche/OMC_PA719154" TargetMode="External"/><Relationship Id="rId333" Type="http://schemas.openxmlformats.org/officeDocument/2006/relationships/hyperlink" Target="https://www.nosdeputes.fr/sylvain-maillard/csv" TargetMode="External"/><Relationship Id="rId332" Type="http://schemas.openxmlformats.org/officeDocument/2006/relationships/hyperlink" Target="https://www.nosdeputes.fr/sylvain-maillard" TargetMode="External"/><Relationship Id="rId331" Type="http://schemas.openxmlformats.org/officeDocument/2006/relationships/hyperlink" Target="http://www2.assemblee-nationale.fr/deputes/fiche/OMC_PA717379" TargetMode="External"/><Relationship Id="rId370" Type="http://schemas.openxmlformats.org/officeDocument/2006/relationships/hyperlink" Target="https://www.nosdeputes.fr/mathilde-panot" TargetMode="External"/><Relationship Id="rId369" Type="http://schemas.openxmlformats.org/officeDocument/2006/relationships/hyperlink" Target="http://www2.assemblee-nationale.fr/deputes/fiche/OMC_PA720892" TargetMode="External"/><Relationship Id="rId368" Type="http://schemas.openxmlformats.org/officeDocument/2006/relationships/hyperlink" Target="https://www.nosdeputes.fr/xavier-paluszkiewicz/csv" TargetMode="External"/><Relationship Id="rId363" Type="http://schemas.openxmlformats.org/officeDocument/2006/relationships/hyperlink" Target="http://www2.assemblee-nationale.fr/deputes/fiche/OMC_PA720492" TargetMode="External"/><Relationship Id="rId362" Type="http://schemas.openxmlformats.org/officeDocument/2006/relationships/hyperlink" Target="https://twitter.com/Ossoncatherine" TargetMode="External"/><Relationship Id="rId361" Type="http://schemas.openxmlformats.org/officeDocument/2006/relationships/hyperlink" Target="https://www.nosdeputes.fr/matthieu-orphelin/csv" TargetMode="External"/><Relationship Id="rId360" Type="http://schemas.openxmlformats.org/officeDocument/2006/relationships/hyperlink" Target="https://www.nosdeputes.fr/matthieu-orphelin" TargetMode="External"/><Relationship Id="rId367" Type="http://schemas.openxmlformats.org/officeDocument/2006/relationships/hyperlink" Target="https://www.nosdeputes.fr/xavier-paluszkiewicz" TargetMode="External"/><Relationship Id="rId366" Type="http://schemas.openxmlformats.org/officeDocument/2006/relationships/hyperlink" Target="http://www2.assemblee-nationale.fr/deputes/fiche/OMC_PA720402" TargetMode="External"/><Relationship Id="rId365" Type="http://schemas.openxmlformats.org/officeDocument/2006/relationships/hyperlink" Target="https://www.nosdeputes.fr/catherine-osson/csv" TargetMode="External"/><Relationship Id="rId364" Type="http://schemas.openxmlformats.org/officeDocument/2006/relationships/hyperlink" Target="https://www.nosdeputes.fr/catherine-osson" TargetMode="External"/><Relationship Id="rId95" Type="http://schemas.openxmlformats.org/officeDocument/2006/relationships/hyperlink" Target="https://www.nosdeputes.fr/sophie-beaudouin-hubiere" TargetMode="External"/><Relationship Id="rId94" Type="http://schemas.openxmlformats.org/officeDocument/2006/relationships/hyperlink" Target="http://www2.assemblee-nationale.fr/deputes/fiche/OMC_PA722170" TargetMode="External"/><Relationship Id="rId97" Type="http://schemas.openxmlformats.org/officeDocument/2006/relationships/hyperlink" Target="http://www2.assemblee-nationale.fr/deputes/fiche/OMC_PA332228" TargetMode="External"/><Relationship Id="rId96" Type="http://schemas.openxmlformats.org/officeDocument/2006/relationships/hyperlink" Target="https://www.nosdeputes.fr/sophie-beaudouin-hubiere/csv" TargetMode="External"/><Relationship Id="rId99" Type="http://schemas.openxmlformats.org/officeDocument/2006/relationships/hyperlink" Target="https://www.nosdeputes.fr/thierry-benoit/csv" TargetMode="External"/><Relationship Id="rId98" Type="http://schemas.openxmlformats.org/officeDocument/2006/relationships/hyperlink" Target="https://www.nosdeputes.fr/thierry-benoit" TargetMode="External"/><Relationship Id="rId91" Type="http://schemas.openxmlformats.org/officeDocument/2006/relationships/hyperlink" Target="http://www2.assemblee-nationale.fr/deputes/fiche/OMC_PA719558" TargetMode="External"/><Relationship Id="rId90" Type="http://schemas.openxmlformats.org/officeDocument/2006/relationships/hyperlink" Target="https://www.nosdeputes.fr/caroline-abadie/csv" TargetMode="External"/><Relationship Id="rId93" Type="http://schemas.openxmlformats.org/officeDocument/2006/relationships/hyperlink" Target="https://www.nosdeputes.fr/erwan-balanant/csv" TargetMode="External"/><Relationship Id="rId92" Type="http://schemas.openxmlformats.org/officeDocument/2006/relationships/hyperlink" Target="https://www.nosdeputes.fr/erwan-balanant" TargetMode="External"/><Relationship Id="rId359" Type="http://schemas.openxmlformats.org/officeDocument/2006/relationships/hyperlink" Target="http://www2.assemblee-nationale.fr/deputes/fiche/OMC_PA720278" TargetMode="External"/><Relationship Id="rId358" Type="http://schemas.openxmlformats.org/officeDocument/2006/relationships/hyperlink" Target="https://www.nosdeputes.fr/valerie-oppelt/csv" TargetMode="External"/><Relationship Id="rId357" Type="http://schemas.openxmlformats.org/officeDocument/2006/relationships/hyperlink" Target="https://www.nosdeputes.fr/valerie-oppelt" TargetMode="External"/><Relationship Id="rId352" Type="http://schemas.openxmlformats.org/officeDocument/2006/relationships/hyperlink" Target="https://www.nosdeputes.fr/thierry-michels/csv" TargetMode="External"/><Relationship Id="rId351" Type="http://schemas.openxmlformats.org/officeDocument/2006/relationships/hyperlink" Target="https://www.nosdeputes.fr/thierry-michels" TargetMode="External"/><Relationship Id="rId350" Type="http://schemas.openxmlformats.org/officeDocument/2006/relationships/hyperlink" Target="http://www2.assemblee-nationale.fr/deputes/fiche/OMC_PA720738" TargetMode="External"/><Relationship Id="rId356" Type="http://schemas.openxmlformats.org/officeDocument/2006/relationships/hyperlink" Target="http://www2.assemblee-nationale.fr/deputes/fiche/OMC_PA720108" TargetMode="External"/><Relationship Id="rId355" Type="http://schemas.openxmlformats.org/officeDocument/2006/relationships/hyperlink" Target="https://www.nosdeputes.fr/mickael-nogal/csv" TargetMode="External"/><Relationship Id="rId354" Type="http://schemas.openxmlformats.org/officeDocument/2006/relationships/hyperlink" Target="https://www.nosdeputes.fr/mickael-nogal" TargetMode="External"/><Relationship Id="rId353" Type="http://schemas.openxmlformats.org/officeDocument/2006/relationships/hyperlink" Target="http://www2.assemblee-nationale.fr/deputes/fiche/OMC_PA719520" TargetMode="External"/><Relationship Id="rId1378" Type="http://schemas.openxmlformats.org/officeDocument/2006/relationships/hyperlink" Target="https://www.nosdeputes.fr/jean-bernard-sempastous" TargetMode="External"/><Relationship Id="rId1379" Type="http://schemas.openxmlformats.org/officeDocument/2006/relationships/hyperlink" Target="https://www.nosdeputes.fr/jean-bernard-sempastous/csv" TargetMode="External"/><Relationship Id="rId305" Type="http://schemas.openxmlformats.org/officeDocument/2006/relationships/hyperlink" Target="https://www.nosdeputes.fr/didier-le-gac/csv" TargetMode="External"/><Relationship Id="rId789" Type="http://schemas.openxmlformats.org/officeDocument/2006/relationships/hyperlink" Target="https://www.nosdeputes.fr/ludovic-pajot" TargetMode="External"/><Relationship Id="rId304" Type="http://schemas.openxmlformats.org/officeDocument/2006/relationships/hyperlink" Target="https://www.nosdeputes.fr/didier-le-gac" TargetMode="External"/><Relationship Id="rId788" Type="http://schemas.openxmlformats.org/officeDocument/2006/relationships/hyperlink" Target="http://www2.assemblee-nationale.fr/deputes/fiche/OMC_PA720606" TargetMode="External"/><Relationship Id="rId303" Type="http://schemas.openxmlformats.org/officeDocument/2006/relationships/hyperlink" Target="http://www2.assemblee-nationale.fr/deputes/fiche/OMC_PA719404" TargetMode="External"/><Relationship Id="rId787" Type="http://schemas.openxmlformats.org/officeDocument/2006/relationships/hyperlink" Target="https://www.nosdeputes.fr/pierre-morel-a-l-huissier/csv" TargetMode="External"/><Relationship Id="rId302" Type="http://schemas.openxmlformats.org/officeDocument/2006/relationships/hyperlink" Target="https://www.nosdeputes.fr/fiona-lazaar/csv" TargetMode="External"/><Relationship Id="rId786" Type="http://schemas.openxmlformats.org/officeDocument/2006/relationships/hyperlink" Target="https://www.nosdeputes.fr/pierre-morel-a-l-huissier" TargetMode="External"/><Relationship Id="rId309" Type="http://schemas.openxmlformats.org/officeDocument/2006/relationships/hyperlink" Target="https://www.nosdeputes.fr/constance-le-grip/csv" TargetMode="External"/><Relationship Id="rId308" Type="http://schemas.openxmlformats.org/officeDocument/2006/relationships/hyperlink" Target="https://www.nosdeputes.fr/constance-le-grip" TargetMode="External"/><Relationship Id="rId307" Type="http://schemas.openxmlformats.org/officeDocument/2006/relationships/hyperlink" Target="http://www2.assemblee-nationale.fr/deputes/fiche/OMC_PA345722" TargetMode="External"/><Relationship Id="rId306" Type="http://schemas.openxmlformats.org/officeDocument/2006/relationships/hyperlink" Target="https://twitter.com/ConstanceLeGrip" TargetMode="External"/><Relationship Id="rId781" Type="http://schemas.openxmlformats.org/officeDocument/2006/relationships/hyperlink" Target="https://www.nosdeputes.fr/graziella-melchior/csv" TargetMode="External"/><Relationship Id="rId1370" Type="http://schemas.openxmlformats.org/officeDocument/2006/relationships/hyperlink" Target="https://www.nosdeputes.fr/pierre-alain-raphan/csv" TargetMode="External"/><Relationship Id="rId780" Type="http://schemas.openxmlformats.org/officeDocument/2006/relationships/hyperlink" Target="https://www.nosdeputes.fr/graziella-melchior" TargetMode="External"/><Relationship Id="rId1371" Type="http://schemas.openxmlformats.org/officeDocument/2006/relationships/hyperlink" Target="http://www2.assemblee-nationale.fr/deputes/fiche/OMC_PA720066" TargetMode="External"/><Relationship Id="rId1372" Type="http://schemas.openxmlformats.org/officeDocument/2006/relationships/hyperlink" Target="https://www.nosdeputes.fr/stephanie-rist" TargetMode="External"/><Relationship Id="rId1373" Type="http://schemas.openxmlformats.org/officeDocument/2006/relationships/hyperlink" Target="https://www.nosdeputes.fr/stephanie-rist/csv" TargetMode="External"/><Relationship Id="rId301" Type="http://schemas.openxmlformats.org/officeDocument/2006/relationships/hyperlink" Target="https://www.nosdeputes.fr/fiona-lazaar" TargetMode="External"/><Relationship Id="rId785" Type="http://schemas.openxmlformats.org/officeDocument/2006/relationships/hyperlink" Target="http://www2.assemblee-nationale.fr/deputes/fiche/OMC_PA266788" TargetMode="External"/><Relationship Id="rId1374" Type="http://schemas.openxmlformats.org/officeDocument/2006/relationships/hyperlink" Target="http://www2.assemblee-nationale.fr/deputes/fiche/OMC_PA722078" TargetMode="External"/><Relationship Id="rId300" Type="http://schemas.openxmlformats.org/officeDocument/2006/relationships/hyperlink" Target="http://www2.assemblee-nationale.fr/deputes/fiche/OMC_PA720916" TargetMode="External"/><Relationship Id="rId784" Type="http://schemas.openxmlformats.org/officeDocument/2006/relationships/hyperlink" Target="https://www.nosdeputes.fr/maxime-minot/csv" TargetMode="External"/><Relationship Id="rId1375" Type="http://schemas.openxmlformats.org/officeDocument/2006/relationships/hyperlink" Target="https://www.nosdeputes.fr/jacques-savatier" TargetMode="External"/><Relationship Id="rId783" Type="http://schemas.openxmlformats.org/officeDocument/2006/relationships/hyperlink" Target="https://www.nosdeputes.fr/maxime-minot" TargetMode="External"/><Relationship Id="rId1376" Type="http://schemas.openxmlformats.org/officeDocument/2006/relationships/hyperlink" Target="https://www.nosdeputes.fr/jacques-savatier/csv" TargetMode="External"/><Relationship Id="rId782" Type="http://schemas.openxmlformats.org/officeDocument/2006/relationships/hyperlink" Target="http://www2.assemblee-nationale.fr/deputes/fiche/OMC_PA720630" TargetMode="External"/><Relationship Id="rId1377" Type="http://schemas.openxmlformats.org/officeDocument/2006/relationships/hyperlink" Target="http://www2.assemblee-nationale.fr/deputes/fiche/OMC_PA720780" TargetMode="External"/><Relationship Id="rId1367" Type="http://schemas.openxmlformats.org/officeDocument/2006/relationships/hyperlink" Target="https://www.nosdeputes.fr/berengere-poletti/csv" TargetMode="External"/><Relationship Id="rId1368" Type="http://schemas.openxmlformats.org/officeDocument/2006/relationships/hyperlink" Target="http://www2.assemblee-nationale.fr/deputes/fiche/OMC_PA721888" TargetMode="External"/><Relationship Id="rId1369" Type="http://schemas.openxmlformats.org/officeDocument/2006/relationships/hyperlink" Target="https://www.nosdeputes.fr/pierre-alain-raphan" TargetMode="External"/><Relationship Id="rId778" Type="http://schemas.openxmlformats.org/officeDocument/2006/relationships/hyperlink" Target="https://www.nosdeputes.fr/jacques-marilossian/csv" TargetMode="External"/><Relationship Id="rId777" Type="http://schemas.openxmlformats.org/officeDocument/2006/relationships/hyperlink" Target="https://www.nosdeputes.fr/jacques-marilossian" TargetMode="External"/><Relationship Id="rId776" Type="http://schemas.openxmlformats.org/officeDocument/2006/relationships/hyperlink" Target="http://www2.assemblee-nationale.fr/deputes/fiche/OMC_PA721946" TargetMode="External"/><Relationship Id="rId775" Type="http://schemas.openxmlformats.org/officeDocument/2006/relationships/hyperlink" Target="https://www.nosdeputes.fr/laurence-maillart-mehaignerie/csv" TargetMode="External"/><Relationship Id="rId779" Type="http://schemas.openxmlformats.org/officeDocument/2006/relationships/hyperlink" Target="http://www2.assemblee-nationale.fr/deputes/fiche/OMC_PA719338" TargetMode="External"/><Relationship Id="rId770" Type="http://schemas.openxmlformats.org/officeDocument/2006/relationships/hyperlink" Target="http://www2.assemblee-nationale.fr/deputes/fiche/OMC_PA721530" TargetMode="External"/><Relationship Id="rId1360" Type="http://schemas.openxmlformats.org/officeDocument/2006/relationships/hyperlink" Target="https://www.nosdeputes.fr/frederic-petit" TargetMode="External"/><Relationship Id="rId1361" Type="http://schemas.openxmlformats.org/officeDocument/2006/relationships/hyperlink" Target="https://www.nosdeputes.fr/frederic-petit/csv" TargetMode="External"/><Relationship Id="rId1362" Type="http://schemas.openxmlformats.org/officeDocument/2006/relationships/hyperlink" Target="http://www2.assemblee-nationale.fr/deputes/fiche/OMC_PA721844" TargetMode="External"/><Relationship Id="rId774" Type="http://schemas.openxmlformats.org/officeDocument/2006/relationships/hyperlink" Target="https://www.nosdeputes.fr/laurence-maillart-mehaignerie" TargetMode="External"/><Relationship Id="rId1363" Type="http://schemas.openxmlformats.org/officeDocument/2006/relationships/hyperlink" Target="https://www.nosdeputes.fr/beatrice-piron" TargetMode="External"/><Relationship Id="rId773" Type="http://schemas.openxmlformats.org/officeDocument/2006/relationships/hyperlink" Target="http://www2.assemblee-nationale.fr/deputes/fiche/OMC_PA719718" TargetMode="External"/><Relationship Id="rId1364" Type="http://schemas.openxmlformats.org/officeDocument/2006/relationships/hyperlink" Target="https://www.nosdeputes.fr/beatrice-piron/csv" TargetMode="External"/><Relationship Id="rId772" Type="http://schemas.openxmlformats.org/officeDocument/2006/relationships/hyperlink" Target="https://www.nosdeputes.fr/aude-luquet/csv" TargetMode="External"/><Relationship Id="rId1365" Type="http://schemas.openxmlformats.org/officeDocument/2006/relationships/hyperlink" Target="http://www2.assemblee-nationale.fr/deputes/fiche/OMC_PA267260" TargetMode="External"/><Relationship Id="rId771" Type="http://schemas.openxmlformats.org/officeDocument/2006/relationships/hyperlink" Target="https://www.nosdeputes.fr/aude-luquet" TargetMode="External"/><Relationship Id="rId1366" Type="http://schemas.openxmlformats.org/officeDocument/2006/relationships/hyperlink" Target="https://www.nosdeputes.fr/berengere-poletti" TargetMode="External"/><Relationship Id="rId327" Type="http://schemas.openxmlformats.org/officeDocument/2006/relationships/hyperlink" Target="https://www.nosdeputes.fr/veronique-louwagie/csv" TargetMode="External"/><Relationship Id="rId326" Type="http://schemas.openxmlformats.org/officeDocument/2006/relationships/hyperlink" Target="https://www.nosdeputes.fr/veronique-louwagie" TargetMode="External"/><Relationship Id="rId325" Type="http://schemas.openxmlformats.org/officeDocument/2006/relationships/hyperlink" Target="http://www2.assemblee-nationale.fr/deputes/fiche/OMC_PA608016" TargetMode="External"/><Relationship Id="rId324" Type="http://schemas.openxmlformats.org/officeDocument/2006/relationships/hyperlink" Target="https://www.nosdeputes.fr/monique-limon/csv" TargetMode="External"/><Relationship Id="rId329" Type="http://schemas.openxmlformats.org/officeDocument/2006/relationships/hyperlink" Target="https://www.nosdeputes.fr/marie-ange-magne" TargetMode="External"/><Relationship Id="rId1390" Type="http://schemas.openxmlformats.org/officeDocument/2006/relationships/hyperlink" Target="https://www.nosdeputes.fr/didier-baichere" TargetMode="External"/><Relationship Id="rId328" Type="http://schemas.openxmlformats.org/officeDocument/2006/relationships/hyperlink" Target="http://www2.assemblee-nationale.fr/deputes/fiche/OMC_PA722244" TargetMode="External"/><Relationship Id="rId1391" Type="http://schemas.openxmlformats.org/officeDocument/2006/relationships/hyperlink" Target="https://www.nosdeputes.fr/didier-baichere/csv" TargetMode="External"/><Relationship Id="rId1392" Type="http://schemas.openxmlformats.org/officeDocument/2006/relationships/hyperlink" Target="http://www2.assemblee-nationale.fr/deputes/fiche/OMC_PA610681" TargetMode="External"/><Relationship Id="rId1393" Type="http://schemas.openxmlformats.org/officeDocument/2006/relationships/hyperlink" Target="https://www.nosdeputes.fr/ericka-bareigts" TargetMode="External"/><Relationship Id="rId1394" Type="http://schemas.openxmlformats.org/officeDocument/2006/relationships/hyperlink" Target="https://www.nosdeputes.fr/ericka-bareigts/csv" TargetMode="External"/><Relationship Id="rId1395" Type="http://schemas.openxmlformats.org/officeDocument/2006/relationships/hyperlink" Target="http://www2.assemblee-nationale.fr/deputes/fiche/OMC_PA689" TargetMode="External"/><Relationship Id="rId323" Type="http://schemas.openxmlformats.org/officeDocument/2006/relationships/hyperlink" Target="https://www.nosdeputes.fr/monique-limon" TargetMode="External"/><Relationship Id="rId1396" Type="http://schemas.openxmlformats.org/officeDocument/2006/relationships/hyperlink" Target="https://www.nosdeputes.fr/marie-george-buffet" TargetMode="External"/><Relationship Id="rId322" Type="http://schemas.openxmlformats.org/officeDocument/2006/relationships/hyperlink" Target="http://www2.assemblee-nationale.fr/deputes/fiche/OMC_PA719858" TargetMode="External"/><Relationship Id="rId1397" Type="http://schemas.openxmlformats.org/officeDocument/2006/relationships/hyperlink" Target="https://www.nosdeputes.fr/marie-george-buffet/csv" TargetMode="External"/><Relationship Id="rId321" Type="http://schemas.openxmlformats.org/officeDocument/2006/relationships/hyperlink" Target="https://www.nosdeputes.fr/roland-lescure/csv" TargetMode="External"/><Relationship Id="rId1398" Type="http://schemas.openxmlformats.org/officeDocument/2006/relationships/hyperlink" Target="http://www2.assemblee-nationale.fr/deputes/fiche/OMC_PA722134" TargetMode="External"/><Relationship Id="rId320" Type="http://schemas.openxmlformats.org/officeDocument/2006/relationships/hyperlink" Target="https://www.nosdeputes.fr/roland-lescure" TargetMode="External"/><Relationship Id="rId1399" Type="http://schemas.openxmlformats.org/officeDocument/2006/relationships/hyperlink" Target="https://www.nosdeputes.fr/jean-marie-fievet" TargetMode="External"/><Relationship Id="rId1389" Type="http://schemas.openxmlformats.org/officeDocument/2006/relationships/hyperlink" Target="http://www2.assemblee-nationale.fr/deputes/fiche/OMC_PA721776" TargetMode="External"/><Relationship Id="rId316" Type="http://schemas.openxmlformats.org/officeDocument/2006/relationships/hyperlink" Target="http://www2.assemblee-nationale.fr/deputes/fiche/OMC_PA335612" TargetMode="External"/><Relationship Id="rId315" Type="http://schemas.openxmlformats.org/officeDocument/2006/relationships/hyperlink" Target="https://www.nosdeputes.fr/jean-claude-leclabart/csv" TargetMode="External"/><Relationship Id="rId799" Type="http://schemas.openxmlformats.org/officeDocument/2006/relationships/hyperlink" Target="https://www.nosdeputes.fr/stephane-peu/csv" TargetMode="External"/><Relationship Id="rId314" Type="http://schemas.openxmlformats.org/officeDocument/2006/relationships/hyperlink" Target="https://www.nosdeputes.fr/jean-claude-leclabart" TargetMode="External"/><Relationship Id="rId798" Type="http://schemas.openxmlformats.org/officeDocument/2006/relationships/hyperlink" Target="https://www.nosdeputes.fr/stephane-peu" TargetMode="External"/><Relationship Id="rId313" Type="http://schemas.openxmlformats.org/officeDocument/2006/relationships/hyperlink" Target="http://www2.assemblee-nationale.fr/deputes/fiche/OMC_PA722228" TargetMode="External"/><Relationship Id="rId797" Type="http://schemas.openxmlformats.org/officeDocument/2006/relationships/hyperlink" Target="http://www2.assemblee-nationale.fr/deputes/fiche/OMC_PA721270" TargetMode="External"/><Relationship Id="rId319" Type="http://schemas.openxmlformats.org/officeDocument/2006/relationships/hyperlink" Target="http://www2.assemblee-nationale.fr/deputes/fiche/OMC_PA721134" TargetMode="External"/><Relationship Id="rId318" Type="http://schemas.openxmlformats.org/officeDocument/2006/relationships/hyperlink" Target="https://www.nosdeputes.fr/jean-paul-lecoq/csv" TargetMode="External"/><Relationship Id="rId317" Type="http://schemas.openxmlformats.org/officeDocument/2006/relationships/hyperlink" Target="https://www.nosdeputes.fr/jean-paul-lecoq" TargetMode="External"/><Relationship Id="rId1380" Type="http://schemas.openxmlformats.org/officeDocument/2006/relationships/hyperlink" Target="http://www2.assemblee-nationale.fr/deputes/fiche/OMC_PA722086" TargetMode="External"/><Relationship Id="rId792" Type="http://schemas.openxmlformats.org/officeDocument/2006/relationships/hyperlink" Target="https://www.nosdeputes.fr/zivka-park" TargetMode="External"/><Relationship Id="rId1381" Type="http://schemas.openxmlformats.org/officeDocument/2006/relationships/hyperlink" Target="https://www.nosdeputes.fr/adrien-taquet" TargetMode="External"/><Relationship Id="rId791" Type="http://schemas.openxmlformats.org/officeDocument/2006/relationships/hyperlink" Target="http://www2.assemblee-nationale.fr/deputes/fiche/OMC_PA720944" TargetMode="External"/><Relationship Id="rId1382" Type="http://schemas.openxmlformats.org/officeDocument/2006/relationships/hyperlink" Target="https://www.nosdeputes.fr/adrien-taquet/csv" TargetMode="External"/><Relationship Id="rId790" Type="http://schemas.openxmlformats.org/officeDocument/2006/relationships/hyperlink" Target="https://www.nosdeputes.fr/ludovic-pajot/csv" TargetMode="External"/><Relationship Id="rId1383" Type="http://schemas.openxmlformats.org/officeDocument/2006/relationships/hyperlink" Target="http://www2.assemblee-nationale.fr/deputes/fiche/OMC_PA722162" TargetMode="External"/><Relationship Id="rId1384" Type="http://schemas.openxmlformats.org/officeDocument/2006/relationships/hyperlink" Target="https://www.nosdeputes.fr/nicolas-turquois" TargetMode="External"/><Relationship Id="rId312" Type="http://schemas.openxmlformats.org/officeDocument/2006/relationships/hyperlink" Target="https://www.nosdeputes.fr/fabrice-le-vigoureux/csv" TargetMode="External"/><Relationship Id="rId796" Type="http://schemas.openxmlformats.org/officeDocument/2006/relationships/hyperlink" Target="https://www.nosdeputes.fr/pierre-person/csv" TargetMode="External"/><Relationship Id="rId1385" Type="http://schemas.openxmlformats.org/officeDocument/2006/relationships/hyperlink" Target="https://www.nosdeputes.fr/nicolas-turquois/csv" TargetMode="External"/><Relationship Id="rId311" Type="http://schemas.openxmlformats.org/officeDocument/2006/relationships/hyperlink" Target="https://www.nosdeputes.fr/fabrice-le-vigoureux" TargetMode="External"/><Relationship Id="rId795" Type="http://schemas.openxmlformats.org/officeDocument/2006/relationships/hyperlink" Target="https://www.nosdeputes.fr/pierre-person" TargetMode="External"/><Relationship Id="rId1386" Type="http://schemas.openxmlformats.org/officeDocument/2006/relationships/hyperlink" Target="http://www2.assemblee-nationale.fr/deputes/fiche/OMC_PA267585" TargetMode="External"/><Relationship Id="rId310" Type="http://schemas.openxmlformats.org/officeDocument/2006/relationships/hyperlink" Target="http://www2.assemblee-nationale.fr/deputes/fiche/OMC_PA719006" TargetMode="External"/><Relationship Id="rId794" Type="http://schemas.openxmlformats.org/officeDocument/2006/relationships/hyperlink" Target="http://www2.assemblee-nationale.fr/deputes/fiche/OMC_PA721568" TargetMode="External"/><Relationship Id="rId1387" Type="http://schemas.openxmlformats.org/officeDocument/2006/relationships/hyperlink" Target="https://www.nosdeputes.fr/francis-vercamer" TargetMode="External"/><Relationship Id="rId793" Type="http://schemas.openxmlformats.org/officeDocument/2006/relationships/hyperlink" Target="https://www.nosdeputes.fr/zivka-park/csv" TargetMode="External"/><Relationship Id="rId1388" Type="http://schemas.openxmlformats.org/officeDocument/2006/relationships/hyperlink" Target="https://www.nosdeputes.fr/francis-vercamer/csv" TargetMode="External"/><Relationship Id="rId297" Type="http://schemas.openxmlformats.org/officeDocument/2006/relationships/hyperlink" Target="http://www2.assemblee-nationale.fr/deputes/fiche/OMC_PA721514" TargetMode="External"/><Relationship Id="rId296" Type="http://schemas.openxmlformats.org/officeDocument/2006/relationships/hyperlink" Target="https://www.nosdeputes.fr/sebastien-jumel/csv" TargetMode="External"/><Relationship Id="rId295" Type="http://schemas.openxmlformats.org/officeDocument/2006/relationships/hyperlink" Target="https://www.nosdeputes.fr/sebastien-jumel" TargetMode="External"/><Relationship Id="rId294" Type="http://schemas.openxmlformats.org/officeDocument/2006/relationships/hyperlink" Target="http://www2.assemblee-nationale.fr/deputes/fiche/OMC_PA722202" TargetMode="External"/><Relationship Id="rId299" Type="http://schemas.openxmlformats.org/officeDocument/2006/relationships/hyperlink" Target="https://www.nosdeputes.fr/stephanie-kerbarh/csv" TargetMode="External"/><Relationship Id="rId298" Type="http://schemas.openxmlformats.org/officeDocument/2006/relationships/hyperlink" Target="https://www.nosdeputes.fr/stephanie-kerbarh" TargetMode="External"/><Relationship Id="rId271" Type="http://schemas.openxmlformats.org/officeDocument/2006/relationships/hyperlink" Target="https://www.nosdeputes.fr/joel-giraud" TargetMode="External"/><Relationship Id="rId270" Type="http://schemas.openxmlformats.org/officeDocument/2006/relationships/hyperlink" Target="http://www2.assemblee-nationale.fr/deputes/fiche/OMC_PA267336" TargetMode="External"/><Relationship Id="rId269" Type="http://schemas.openxmlformats.org/officeDocument/2006/relationships/hyperlink" Target="https://www.nosdeputes.fr/isabelle-florennes/csv" TargetMode="External"/><Relationship Id="rId264" Type="http://schemas.openxmlformats.org/officeDocument/2006/relationships/hyperlink" Target="http://www2.assemblee-nationale.fr/deputes/fiche/OMC_PA720286" TargetMode="External"/><Relationship Id="rId263" Type="http://schemas.openxmlformats.org/officeDocument/2006/relationships/hyperlink" Target="https://www.nosdeputes.fr/julien-dive/csv" TargetMode="External"/><Relationship Id="rId262" Type="http://schemas.openxmlformats.org/officeDocument/2006/relationships/hyperlink" Target="https://www.nosdeputes.fr/julien-dive" TargetMode="External"/><Relationship Id="rId261" Type="http://schemas.openxmlformats.org/officeDocument/2006/relationships/hyperlink" Target="http://www2.assemblee-nationale.fr/deputes/fiche/OMC_PA712015" TargetMode="External"/><Relationship Id="rId268" Type="http://schemas.openxmlformats.org/officeDocument/2006/relationships/hyperlink" Target="https://www.nosdeputes.fr/isabelle-florennes" TargetMode="External"/><Relationship Id="rId267" Type="http://schemas.openxmlformats.org/officeDocument/2006/relationships/hyperlink" Target="http://www2.assemblee-nationale.fr/deputes/fiche/OMC_PA721742" TargetMode="External"/><Relationship Id="rId266" Type="http://schemas.openxmlformats.org/officeDocument/2006/relationships/hyperlink" Target="https://www.nosdeputes.fr/caroline-fiat/csv" TargetMode="External"/><Relationship Id="rId265" Type="http://schemas.openxmlformats.org/officeDocument/2006/relationships/hyperlink" Target="https://www.nosdeputes.fr/caroline-fiat" TargetMode="External"/><Relationship Id="rId260" Type="http://schemas.openxmlformats.org/officeDocument/2006/relationships/hyperlink" Target="https://www.nosdeputes.fr/pierre-dharreville/csv" TargetMode="External"/><Relationship Id="rId259" Type="http://schemas.openxmlformats.org/officeDocument/2006/relationships/hyperlink" Target="https://www.nosdeputes.fr/pierre-dharreville" TargetMode="External"/><Relationship Id="rId258" Type="http://schemas.openxmlformats.org/officeDocument/2006/relationships/hyperlink" Target="http://www2.assemblee-nationale.fr/deputes/fiche/OMC_PA718926" TargetMode="External"/><Relationship Id="rId253" Type="http://schemas.openxmlformats.org/officeDocument/2006/relationships/hyperlink" Target="https://www.nosdeputes.fr/marc-delatte" TargetMode="External"/><Relationship Id="rId252" Type="http://schemas.openxmlformats.org/officeDocument/2006/relationships/hyperlink" Target="http://www2.assemblee-nationale.fr/deputes/fiche/OMC_PA718694" TargetMode="External"/><Relationship Id="rId251" Type="http://schemas.openxmlformats.org/officeDocument/2006/relationships/hyperlink" Target="https://www.nosdeputes.fr/typhanie-degois/csv" TargetMode="External"/><Relationship Id="rId250" Type="http://schemas.openxmlformats.org/officeDocument/2006/relationships/hyperlink" Target="https://www.nosdeputes.fr/typhanie-degois" TargetMode="External"/><Relationship Id="rId257" Type="http://schemas.openxmlformats.org/officeDocument/2006/relationships/hyperlink" Target="https://www.nosdeputes.fr/marguerite-deprez-audebert/csv" TargetMode="External"/><Relationship Id="rId256" Type="http://schemas.openxmlformats.org/officeDocument/2006/relationships/hyperlink" Target="https://www.nosdeputes.fr/marguerite-deprez-audebert" TargetMode="External"/><Relationship Id="rId255" Type="http://schemas.openxmlformats.org/officeDocument/2006/relationships/hyperlink" Target="http://www2.assemblee-nationale.fr/deputes/fiche/OMC_PA720598" TargetMode="External"/><Relationship Id="rId254" Type="http://schemas.openxmlformats.org/officeDocument/2006/relationships/hyperlink" Target="https://www.nosdeputes.fr/marc-delatte/csv" TargetMode="External"/><Relationship Id="rId293" Type="http://schemas.openxmlformats.org/officeDocument/2006/relationships/hyperlink" Target="https://www.nosdeputes.fr/elodie-jacquier-laforge/csv" TargetMode="External"/><Relationship Id="rId292" Type="http://schemas.openxmlformats.org/officeDocument/2006/relationships/hyperlink" Target="https://www.nosdeputes.fr/elodie-jacquier-laforge" TargetMode="External"/><Relationship Id="rId291" Type="http://schemas.openxmlformats.org/officeDocument/2006/relationships/hyperlink" Target="http://www2.assemblee-nationale.fr/deputes/fiche/OMC_PA719874" TargetMode="External"/><Relationship Id="rId290" Type="http://schemas.openxmlformats.org/officeDocument/2006/relationships/hyperlink" Target="https://www.nosdeputes.fr/christian-jacob/csv" TargetMode="External"/><Relationship Id="rId286" Type="http://schemas.openxmlformats.org/officeDocument/2006/relationships/hyperlink" Target="https://www.nosdeputes.fr/brahim-hammouche" TargetMode="External"/><Relationship Id="rId285" Type="http://schemas.openxmlformats.org/officeDocument/2006/relationships/hyperlink" Target="http://www2.assemblee-nationale.fr/deputes/fiche/OMC_PA720326" TargetMode="External"/><Relationship Id="rId284" Type="http://schemas.openxmlformats.org/officeDocument/2006/relationships/hyperlink" Target="https://www.nosdeputes.fr/nadia-hai/csv" TargetMode="External"/><Relationship Id="rId283" Type="http://schemas.openxmlformats.org/officeDocument/2006/relationships/hyperlink" Target="https://www.nosdeputes.fr/nadia-hai" TargetMode="External"/><Relationship Id="rId289" Type="http://schemas.openxmlformats.org/officeDocument/2006/relationships/hyperlink" Target="https://www.nosdeputes.fr/christian-jacob" TargetMode="External"/><Relationship Id="rId288" Type="http://schemas.openxmlformats.org/officeDocument/2006/relationships/hyperlink" Target="http://www2.assemblee-nationale.fr/deputes/fiche/OMC_PA1695" TargetMode="External"/><Relationship Id="rId287" Type="http://schemas.openxmlformats.org/officeDocument/2006/relationships/hyperlink" Target="https://www.nosdeputes.fr/brahim-hammouche/csv" TargetMode="External"/><Relationship Id="rId282" Type="http://schemas.openxmlformats.org/officeDocument/2006/relationships/hyperlink" Target="http://www2.assemblee-nationale.fr/deputes/fiche/OMC_PA722054" TargetMode="External"/><Relationship Id="rId281" Type="http://schemas.openxmlformats.org/officeDocument/2006/relationships/hyperlink" Target="https://www.nosdeputes.fr/florence-granjus/csv" TargetMode="External"/><Relationship Id="rId280" Type="http://schemas.openxmlformats.org/officeDocument/2006/relationships/hyperlink" Target="https://www.nosdeputes.fr/florence-granjus" TargetMode="External"/><Relationship Id="rId275" Type="http://schemas.openxmlformats.org/officeDocument/2006/relationships/hyperlink" Target="https://www.nosdeputes.fr/perrine-goulet/csv" TargetMode="External"/><Relationship Id="rId274" Type="http://schemas.openxmlformats.org/officeDocument/2006/relationships/hyperlink" Target="https://www.nosdeputes.fr/perrine-goulet" TargetMode="External"/><Relationship Id="rId273" Type="http://schemas.openxmlformats.org/officeDocument/2006/relationships/hyperlink" Target="http://www2.assemblee-nationale.fr/deputes/fiche/OMC_PA720560" TargetMode="External"/><Relationship Id="rId272" Type="http://schemas.openxmlformats.org/officeDocument/2006/relationships/hyperlink" Target="https://www.nosdeputes.fr/joel-giraud/csv" TargetMode="External"/><Relationship Id="rId279" Type="http://schemas.openxmlformats.org/officeDocument/2006/relationships/hyperlink" Target="http://www2.assemblee-nationale.fr/deputes/fiche/OMC_PA722062" TargetMode="External"/><Relationship Id="rId278" Type="http://schemas.openxmlformats.org/officeDocument/2006/relationships/hyperlink" Target="https://www.nosdeputes.fr/carole-grandjean/csv" TargetMode="External"/><Relationship Id="rId277" Type="http://schemas.openxmlformats.org/officeDocument/2006/relationships/hyperlink" Target="https://www.nosdeputes.fr/carole-grandjean" TargetMode="External"/><Relationship Id="rId276" Type="http://schemas.openxmlformats.org/officeDocument/2006/relationships/hyperlink" Target="http://www2.assemblee-nationale.fr/deputes/fiche/OMC_PA720170" TargetMode="External"/><Relationship Id="rId1455" Type="http://schemas.openxmlformats.org/officeDocument/2006/relationships/hyperlink" Target="http://www2.assemblee-nationale.fr/deputes/fiche/OMC_PA719350" TargetMode="External"/><Relationship Id="rId1456" Type="http://schemas.openxmlformats.org/officeDocument/2006/relationships/hyperlink" Target="https://www.nosdeputes.fr/marie-tamarelle-verhaeghe" TargetMode="External"/><Relationship Id="rId1457" Type="http://schemas.openxmlformats.org/officeDocument/2006/relationships/hyperlink" Target="https://www.nosdeputes.fr/marie-tamarelle-verhaeghe/csv" TargetMode="External"/><Relationship Id="rId1458" Type="http://schemas.openxmlformats.org/officeDocument/2006/relationships/hyperlink" Target="http://www2.assemblee-nationale.fr/deputes/fiche/OMC_PA721690" TargetMode="External"/><Relationship Id="rId1459" Type="http://schemas.openxmlformats.org/officeDocument/2006/relationships/hyperlink" Target="https://www.nosdeputes.fr/buon-tan" TargetMode="External"/><Relationship Id="rId629" Type="http://schemas.openxmlformats.org/officeDocument/2006/relationships/hyperlink" Target="https://www.nosdeputes.fr/laurence-vanceunebrock-mialon/csv" TargetMode="External"/><Relationship Id="rId624" Type="http://schemas.openxmlformats.org/officeDocument/2006/relationships/hyperlink" Target="https://www.nosdeputes.fr/huguette-tiegna" TargetMode="External"/><Relationship Id="rId623" Type="http://schemas.openxmlformats.org/officeDocument/2006/relationships/hyperlink" Target="http://www2.assemblee-nationale.fr/deputes/fiche/OMC_PA720014" TargetMode="External"/><Relationship Id="rId622" Type="http://schemas.openxmlformats.org/officeDocument/2006/relationships/hyperlink" Target="https://www.nosdeputes.fr/denis-sommer/csv" TargetMode="External"/><Relationship Id="rId621" Type="http://schemas.openxmlformats.org/officeDocument/2006/relationships/hyperlink" Target="https://www.nosdeputes.fr/denis-sommer" TargetMode="External"/><Relationship Id="rId628" Type="http://schemas.openxmlformats.org/officeDocument/2006/relationships/hyperlink" Target="https://www.nosdeputes.fr/laurence-vanceunebrock-mialon" TargetMode="External"/><Relationship Id="rId627" Type="http://schemas.openxmlformats.org/officeDocument/2006/relationships/hyperlink" Target="http://www2.assemblee-nationale.fr/deputes/fiche/OMC_PA718728" TargetMode="External"/><Relationship Id="rId626" Type="http://schemas.openxmlformats.org/officeDocument/2006/relationships/hyperlink" Target="https://fr-fr.facebook.com/LaurenceVanceunebrockMialon/" TargetMode="External"/><Relationship Id="rId625" Type="http://schemas.openxmlformats.org/officeDocument/2006/relationships/hyperlink" Target="https://www.nosdeputes.fr/huguette-tiegna/csv" TargetMode="External"/><Relationship Id="rId1450" Type="http://schemas.openxmlformats.org/officeDocument/2006/relationships/hyperlink" Target="https://www.nosdeputes.fr/joachim-son-forget" TargetMode="External"/><Relationship Id="rId620" Type="http://schemas.openxmlformats.org/officeDocument/2006/relationships/hyperlink" Target="http://www2.assemblee-nationale.fr/deputes/fiche/OMC_PA719420" TargetMode="External"/><Relationship Id="rId1451" Type="http://schemas.openxmlformats.org/officeDocument/2006/relationships/hyperlink" Target="https://www.nosdeputes.fr/joachim-son-forget/csv" TargetMode="External"/><Relationship Id="rId1452" Type="http://schemas.openxmlformats.org/officeDocument/2006/relationships/hyperlink" Target="http://www2.assemblee-nationale.fr/deputes/fiche/OMC_PA720190" TargetMode="External"/><Relationship Id="rId1453" Type="http://schemas.openxmlformats.org/officeDocument/2006/relationships/hyperlink" Target="https://www.nosdeputes.fr/bertrand-sorre" TargetMode="External"/><Relationship Id="rId1454" Type="http://schemas.openxmlformats.org/officeDocument/2006/relationships/hyperlink" Target="https://www.nosdeputes.fr/bertrand-sorre/csv" TargetMode="External"/><Relationship Id="rId1444" Type="http://schemas.openxmlformats.org/officeDocument/2006/relationships/hyperlink" Target="https://www.nosdeputes.fr/muriel-ressiguier" TargetMode="External"/><Relationship Id="rId1445" Type="http://schemas.openxmlformats.org/officeDocument/2006/relationships/hyperlink" Target="https://www.nosdeputes.fr/muriel-ressiguier/csv" TargetMode="External"/><Relationship Id="rId1446" Type="http://schemas.openxmlformats.org/officeDocument/2006/relationships/hyperlink" Target="http://www2.assemblee-nationale.fr/deputes/fiche/OMC_PA721600" TargetMode="External"/><Relationship Id="rId1447" Type="http://schemas.openxmlformats.org/officeDocument/2006/relationships/hyperlink" Target="https://www.nosdeputes.fr/laurianne-rossi" TargetMode="External"/><Relationship Id="rId1448" Type="http://schemas.openxmlformats.org/officeDocument/2006/relationships/hyperlink" Target="https://www.nosdeputes.fr/laurianne-rossi/csv" TargetMode="External"/><Relationship Id="rId1449" Type="http://schemas.openxmlformats.org/officeDocument/2006/relationships/hyperlink" Target="http://www2.assemblee-nationale.fr/deputes/fiche/OMC_PA721174" TargetMode="External"/><Relationship Id="rId619" Type="http://schemas.openxmlformats.org/officeDocument/2006/relationships/hyperlink" Target="https://www.nosdeputes.fr/raphael-schellenberger/csv" TargetMode="External"/><Relationship Id="rId618" Type="http://schemas.openxmlformats.org/officeDocument/2006/relationships/hyperlink" Target="https://www.nosdeputes.fr/raphael-schellenberger" TargetMode="External"/><Relationship Id="rId613" Type="http://schemas.openxmlformats.org/officeDocument/2006/relationships/hyperlink" Target="http://www2.assemblee-nationale.fr/deputes/fiche/OMC_PA717151" TargetMode="External"/><Relationship Id="rId612" Type="http://schemas.openxmlformats.org/officeDocument/2006/relationships/hyperlink" Target="https://www.nosdeputes.fr/nathalie-sarles/csv" TargetMode="External"/><Relationship Id="rId611" Type="http://schemas.openxmlformats.org/officeDocument/2006/relationships/hyperlink" Target="https://www.nosdeputes.fr/nathalie-sarles" TargetMode="External"/><Relationship Id="rId610" Type="http://schemas.openxmlformats.org/officeDocument/2006/relationships/hyperlink" Target="http://www2.assemblee-nationale.fr/deputes/fiche/OMC_PA719972" TargetMode="External"/><Relationship Id="rId617" Type="http://schemas.openxmlformats.org/officeDocument/2006/relationships/hyperlink" Target="http://www2.assemblee-nationale.fr/deputes/fiche/OMC_PA721314" TargetMode="External"/><Relationship Id="rId616" Type="http://schemas.openxmlformats.org/officeDocument/2006/relationships/hyperlink" Target="https://twitter.com/rscactu" TargetMode="External"/><Relationship Id="rId615" Type="http://schemas.openxmlformats.org/officeDocument/2006/relationships/hyperlink" Target="https://www.nosdeputes.fr/marielle-de-sarnez/csv" TargetMode="External"/><Relationship Id="rId614" Type="http://schemas.openxmlformats.org/officeDocument/2006/relationships/hyperlink" Target="https://www.nosdeputes.fr/marielle-de-sarnez" TargetMode="External"/><Relationship Id="rId1440" Type="http://schemas.openxmlformats.org/officeDocument/2006/relationships/hyperlink" Target="http://www2.assemblee-nationale.fr/deputes/fiche/OMC_PA266776" TargetMode="External"/><Relationship Id="rId1441" Type="http://schemas.openxmlformats.org/officeDocument/2006/relationships/hyperlink" Target="https://www.nosdeputes.fr/frederic-reiss" TargetMode="External"/><Relationship Id="rId1442" Type="http://schemas.openxmlformats.org/officeDocument/2006/relationships/hyperlink" Target="https://www.nosdeputes.fr/frederic-reiss/csv" TargetMode="External"/><Relationship Id="rId1443" Type="http://schemas.openxmlformats.org/officeDocument/2006/relationships/hyperlink" Target="http://www2.assemblee-nationale.fr/deputes/fiche/OMC_PA719676" TargetMode="External"/><Relationship Id="rId1477" Type="http://schemas.openxmlformats.org/officeDocument/2006/relationships/hyperlink" Target="https://www.nosdeputes.fr/jean-philippe-ardouin/csv" TargetMode="External"/><Relationship Id="rId1478" Type="http://schemas.openxmlformats.org/officeDocument/2006/relationships/hyperlink" Target="http://www2.assemblee-nationale.fr/deputes/fiche/OMC_PA642935" TargetMode="External"/><Relationship Id="rId1479" Type="http://schemas.openxmlformats.org/officeDocument/2006/relationships/hyperlink" Target="https://www.nosdeputes.fr/olivier-becht" TargetMode="External"/><Relationship Id="rId646" Type="http://schemas.openxmlformats.org/officeDocument/2006/relationships/hyperlink" Target="https://www.nosdeputes.fr/martine-wonner" TargetMode="External"/><Relationship Id="rId645" Type="http://schemas.openxmlformats.org/officeDocument/2006/relationships/hyperlink" Target="http://www2.assemblee-nationale.fr/deputes/fiche/OMC_PA722268" TargetMode="External"/><Relationship Id="rId644" Type="http://schemas.openxmlformats.org/officeDocument/2006/relationships/hyperlink" Target="https://www.nosdeputes.fr/eric-woerth/csv" TargetMode="External"/><Relationship Id="rId643" Type="http://schemas.openxmlformats.org/officeDocument/2006/relationships/hyperlink" Target="https://www.nosdeputes.fr/eric-woerth" TargetMode="External"/><Relationship Id="rId649" Type="http://schemas.openxmlformats.org/officeDocument/2006/relationships/hyperlink" Target="https://www.nosdeputes.fr/jean-marc-zulesi" TargetMode="External"/><Relationship Id="rId648" Type="http://schemas.openxmlformats.org/officeDocument/2006/relationships/hyperlink" Target="http://www2.assemblee-nationale.fr/deputes/fiche/OMC_PA718962" TargetMode="External"/><Relationship Id="rId647" Type="http://schemas.openxmlformats.org/officeDocument/2006/relationships/hyperlink" Target="https://www.nosdeputes.fr/martine-wonner/csv" TargetMode="External"/><Relationship Id="rId1470" Type="http://schemas.openxmlformats.org/officeDocument/2006/relationships/hyperlink" Target="https://www.nosdeputes.fr/pierre-vatin/csv" TargetMode="External"/><Relationship Id="rId1471" Type="http://schemas.openxmlformats.org/officeDocument/2006/relationships/hyperlink" Target="http://www2.assemblee-nationale.fr/deputes/fiche/OMC_PA718768" TargetMode="External"/><Relationship Id="rId1472" Type="http://schemas.openxmlformats.org/officeDocument/2006/relationships/hyperlink" Target="https://www.nosdeputes.fr/alexandra-valetta-ardisson" TargetMode="External"/><Relationship Id="rId642" Type="http://schemas.openxmlformats.org/officeDocument/2006/relationships/hyperlink" Target="http://www2.assemblee-nationale.fr/deputes/fiche/OMC_PA2960" TargetMode="External"/><Relationship Id="rId1473" Type="http://schemas.openxmlformats.org/officeDocument/2006/relationships/hyperlink" Target="https://www.nosdeputes.fr/alexandra-valetta-ardisson/csv" TargetMode="External"/><Relationship Id="rId641" Type="http://schemas.openxmlformats.org/officeDocument/2006/relationships/hyperlink" Target="https://www.nosdeputes.fr/corinne-vignon/csv" TargetMode="External"/><Relationship Id="rId1474" Type="http://schemas.openxmlformats.org/officeDocument/2006/relationships/hyperlink" Target="https://fr-fr.facebook.com/jpardouin/" TargetMode="External"/><Relationship Id="rId640" Type="http://schemas.openxmlformats.org/officeDocument/2006/relationships/hyperlink" Target="https://www.nosdeputes.fr/corinne-vignon" TargetMode="External"/><Relationship Id="rId1475" Type="http://schemas.openxmlformats.org/officeDocument/2006/relationships/hyperlink" Target="http://www2.assemblee-nationale.fr/deputes/fiche/OMC_PA719100" TargetMode="External"/><Relationship Id="rId1476" Type="http://schemas.openxmlformats.org/officeDocument/2006/relationships/hyperlink" Target="https://www.nosdeputes.fr/jean-philippe-ardouin" TargetMode="External"/><Relationship Id="rId1466" Type="http://schemas.openxmlformats.org/officeDocument/2006/relationships/hyperlink" Target="https://www.nosdeputes.fr/manuel-valls/csv" TargetMode="External"/><Relationship Id="rId1467" Type="http://schemas.openxmlformats.org/officeDocument/2006/relationships/hyperlink" Target="https://fr-fr.facebook.com/pierrevatin/" TargetMode="External"/><Relationship Id="rId1468" Type="http://schemas.openxmlformats.org/officeDocument/2006/relationships/hyperlink" Target="http://www2.assemblee-nationale.fr/deputes/fiche/OMC_PA720586" TargetMode="External"/><Relationship Id="rId1469" Type="http://schemas.openxmlformats.org/officeDocument/2006/relationships/hyperlink" Target="https://www.nosdeputes.fr/pierre-vatin" TargetMode="External"/><Relationship Id="rId635" Type="http://schemas.openxmlformats.org/officeDocument/2006/relationships/hyperlink" Target="https://www.nosdeputes.fr/patrice-verchere/csv" TargetMode="External"/><Relationship Id="rId634" Type="http://schemas.openxmlformats.org/officeDocument/2006/relationships/hyperlink" Target="https://www.nosdeputes.fr/patrice-verchere" TargetMode="External"/><Relationship Id="rId633" Type="http://schemas.openxmlformats.org/officeDocument/2006/relationships/hyperlink" Target="http://www2.assemblee-nationale.fr/deputes/fiche/OMC_PA334843" TargetMode="External"/><Relationship Id="rId632" Type="http://schemas.openxmlformats.org/officeDocument/2006/relationships/hyperlink" Target="https://www.nosdeputes.fr/olivier-veran/csv" TargetMode="External"/><Relationship Id="rId639" Type="http://schemas.openxmlformats.org/officeDocument/2006/relationships/hyperlink" Target="http://www2.assemblee-nationale.fr/deputes/fiche/OMC_PA719512" TargetMode="External"/><Relationship Id="rId638" Type="http://schemas.openxmlformats.org/officeDocument/2006/relationships/hyperlink" Target="https://www.nosdeputes.fr/annie-vidal/csv" TargetMode="External"/><Relationship Id="rId637" Type="http://schemas.openxmlformats.org/officeDocument/2006/relationships/hyperlink" Target="https://www.nosdeputes.fr/annie-vidal" TargetMode="External"/><Relationship Id="rId636" Type="http://schemas.openxmlformats.org/officeDocument/2006/relationships/hyperlink" Target="http://www2.assemblee-nationale.fr/deputes/fiche/OMC_PA722102" TargetMode="External"/><Relationship Id="rId1460" Type="http://schemas.openxmlformats.org/officeDocument/2006/relationships/hyperlink" Target="https://www.nosdeputes.fr/buon-tan/csv" TargetMode="External"/><Relationship Id="rId1461" Type="http://schemas.openxmlformats.org/officeDocument/2006/relationships/hyperlink" Target="http://www2.assemblee-nationale.fr/deputes/fiche/OMC_PA720854" TargetMode="External"/><Relationship Id="rId631" Type="http://schemas.openxmlformats.org/officeDocument/2006/relationships/hyperlink" Target="https://www.nosdeputes.fr/olivier-veran" TargetMode="External"/><Relationship Id="rId1462" Type="http://schemas.openxmlformats.org/officeDocument/2006/relationships/hyperlink" Target="https://www.nosdeputes.fr/stephane-teste" TargetMode="External"/><Relationship Id="rId630" Type="http://schemas.openxmlformats.org/officeDocument/2006/relationships/hyperlink" Target="http://www2.assemblee-nationale.fr/deputes/fiche/OMC_PA642788" TargetMode="External"/><Relationship Id="rId1463" Type="http://schemas.openxmlformats.org/officeDocument/2006/relationships/hyperlink" Target="https://www.nosdeputes.fr/stephane-teste/csv" TargetMode="External"/><Relationship Id="rId1464" Type="http://schemas.openxmlformats.org/officeDocument/2006/relationships/hyperlink" Target="http://www2.assemblee-nationale.fr/deputes/fiche/OMC_PA267622" TargetMode="External"/><Relationship Id="rId1465" Type="http://schemas.openxmlformats.org/officeDocument/2006/relationships/hyperlink" Target="https://www.nosdeputes.fr/manuel-valls" TargetMode="External"/><Relationship Id="rId1411" Type="http://schemas.openxmlformats.org/officeDocument/2006/relationships/hyperlink" Target="http://www2.assemblee-nationale.fr/deputes/fiche/OMC_PA1630" TargetMode="External"/><Relationship Id="rId1412" Type="http://schemas.openxmlformats.org/officeDocument/2006/relationships/hyperlink" Target="https://www.nosdeputes.fr/michel-herbillon" TargetMode="External"/><Relationship Id="rId1413" Type="http://schemas.openxmlformats.org/officeDocument/2006/relationships/hyperlink" Target="https://www.nosdeputes.fr/michel-herbillon/csv" TargetMode="External"/><Relationship Id="rId1414" Type="http://schemas.openxmlformats.org/officeDocument/2006/relationships/hyperlink" Target="http://www2.assemblee-nationale.fr/deputes/fiche/OMC_PA719700" TargetMode="External"/><Relationship Id="rId1415" Type="http://schemas.openxmlformats.org/officeDocument/2006/relationships/hyperlink" Target="https://www.nosdeputes.fr/philippe-huppe" TargetMode="External"/><Relationship Id="rId1416" Type="http://schemas.openxmlformats.org/officeDocument/2006/relationships/hyperlink" Target="https://www.nosdeputes.fr/philippe-huppe/csv" TargetMode="External"/><Relationship Id="rId1417" Type="http://schemas.openxmlformats.org/officeDocument/2006/relationships/hyperlink" Target="http://www2.assemblee-nationale.fr/deputes/fiche/OMC_PA722344" TargetMode="External"/><Relationship Id="rId1418" Type="http://schemas.openxmlformats.org/officeDocument/2006/relationships/hyperlink" Target="https://www.nosdeputes.fr/hubert-julien-laferriere" TargetMode="External"/><Relationship Id="rId1419" Type="http://schemas.openxmlformats.org/officeDocument/2006/relationships/hyperlink" Target="https://www.nosdeputes.fr/hubert-julien-laferriere/csv" TargetMode="External"/><Relationship Id="rId1410" Type="http://schemas.openxmlformats.org/officeDocument/2006/relationships/hyperlink" Target="https://fr-fr.facebook.com/michel.herbillon.94/" TargetMode="External"/><Relationship Id="rId1400" Type="http://schemas.openxmlformats.org/officeDocument/2006/relationships/hyperlink" Target="https://www.nosdeputes.fr/jean-marie-fievet/csv" TargetMode="External"/><Relationship Id="rId1401" Type="http://schemas.openxmlformats.org/officeDocument/2006/relationships/hyperlink" Target="http://www2.assemblee-nationale.fr/deputes/fiche/OMC_PA1327" TargetMode="External"/><Relationship Id="rId1402" Type="http://schemas.openxmlformats.org/officeDocument/2006/relationships/hyperlink" Target="https://www.nosdeputes.fr/nicolas-forissier" TargetMode="External"/><Relationship Id="rId1403" Type="http://schemas.openxmlformats.org/officeDocument/2006/relationships/hyperlink" Target="https://www.nosdeputes.fr/nicolas-forissier/csv" TargetMode="External"/><Relationship Id="rId1404" Type="http://schemas.openxmlformats.org/officeDocument/2006/relationships/hyperlink" Target="http://www2.assemblee-nationale.fr/deputes/fiche/OMC_PA721024" TargetMode="External"/><Relationship Id="rId1405" Type="http://schemas.openxmlformats.org/officeDocument/2006/relationships/hyperlink" Target="https://www.nosdeputes.fr/anne-genetet" TargetMode="External"/><Relationship Id="rId1406" Type="http://schemas.openxmlformats.org/officeDocument/2006/relationships/hyperlink" Target="https://www.nosdeputes.fr/anne-genetet/csv" TargetMode="External"/><Relationship Id="rId1407" Type="http://schemas.openxmlformats.org/officeDocument/2006/relationships/hyperlink" Target="http://www2.assemblee-nationale.fr/deputes/fiche/OMC_PA695100" TargetMode="External"/><Relationship Id="rId1408" Type="http://schemas.openxmlformats.org/officeDocument/2006/relationships/hyperlink" Target="https://www.nosdeputes.fr/meyer-habib" TargetMode="External"/><Relationship Id="rId1409" Type="http://schemas.openxmlformats.org/officeDocument/2006/relationships/hyperlink" Target="https://www.nosdeputes.fr/meyer-habib/csv" TargetMode="External"/><Relationship Id="rId1433" Type="http://schemas.openxmlformats.org/officeDocument/2006/relationships/hyperlink" Target="http://www2.assemblee-nationale.fr/deputes/fiche/OMC_PA721372" TargetMode="External"/><Relationship Id="rId1434" Type="http://schemas.openxmlformats.org/officeDocument/2006/relationships/hyperlink" Target="https://www.nosdeputes.fr/damien-pichereau" TargetMode="External"/><Relationship Id="rId1435" Type="http://schemas.openxmlformats.org/officeDocument/2006/relationships/hyperlink" Target="https://www.nosdeputes.fr/damien-pichereau/csv" TargetMode="External"/><Relationship Id="rId1436" Type="http://schemas.openxmlformats.org/officeDocument/2006/relationships/hyperlink" Target="http://www2.assemblee-nationale.fr/deputes/fiche/OMC_PA719528" TargetMode="External"/><Relationship Id="rId1437" Type="http://schemas.openxmlformats.org/officeDocument/2006/relationships/hyperlink" Target="https://www.nosdeputes.fr/jean-francois-portarrieu" TargetMode="External"/><Relationship Id="rId1438" Type="http://schemas.openxmlformats.org/officeDocument/2006/relationships/hyperlink" Target="https://www.nosdeputes.fr/jean-francois-portarrieu/csv" TargetMode="External"/><Relationship Id="rId1439" Type="http://schemas.openxmlformats.org/officeDocument/2006/relationships/hyperlink" Target="http://www.fredericreiss.net" TargetMode="External"/><Relationship Id="rId609" Type="http://schemas.openxmlformats.org/officeDocument/2006/relationships/hyperlink" Target="http://www.nathaliesarles.fr" TargetMode="External"/><Relationship Id="rId608" Type="http://schemas.openxmlformats.org/officeDocument/2006/relationships/hyperlink" Target="https://www.nosdeputes.fr/fabien-roussel/csv" TargetMode="External"/><Relationship Id="rId607" Type="http://schemas.openxmlformats.org/officeDocument/2006/relationships/hyperlink" Target="https://www.nosdeputes.fr/fabien-roussel" TargetMode="External"/><Relationship Id="rId602" Type="http://schemas.openxmlformats.org/officeDocument/2006/relationships/hyperlink" Target="https://www.nosdeputes.fr/didier-quentin/csv" TargetMode="External"/><Relationship Id="rId601" Type="http://schemas.openxmlformats.org/officeDocument/2006/relationships/hyperlink" Target="https://www.nosdeputes.fr/didier-quentin" TargetMode="External"/><Relationship Id="rId600" Type="http://schemas.openxmlformats.org/officeDocument/2006/relationships/hyperlink" Target="http://www2.assemblee-nationale.fr/deputes/fiche/OMC_PA2492" TargetMode="External"/><Relationship Id="rId606" Type="http://schemas.openxmlformats.org/officeDocument/2006/relationships/hyperlink" Target="http://www2.assemblee-nationale.fr/deputes/fiche/OMC_PA720692" TargetMode="External"/><Relationship Id="rId605" Type="http://schemas.openxmlformats.org/officeDocument/2006/relationships/hyperlink" Target="https://www.nosdeputes.fr/alain-ramadier/csv" TargetMode="External"/><Relationship Id="rId604" Type="http://schemas.openxmlformats.org/officeDocument/2006/relationships/hyperlink" Target="https://www.nosdeputes.fr/alain-ramadier" TargetMode="External"/><Relationship Id="rId603" Type="http://schemas.openxmlformats.org/officeDocument/2006/relationships/hyperlink" Target="http://www2.assemblee-nationale.fr/deputes/fiche/OMC_PA721286" TargetMode="External"/><Relationship Id="rId1430" Type="http://schemas.openxmlformats.org/officeDocument/2006/relationships/hyperlink" Target="http://www2.assemblee-nationale.fr/deputes/fiche/OMC_PA719882" TargetMode="External"/><Relationship Id="rId1431" Type="http://schemas.openxmlformats.org/officeDocument/2006/relationships/hyperlink" Target="https://www.nosdeputes.fr/marjolaine-meynier-millefert" TargetMode="External"/><Relationship Id="rId1432" Type="http://schemas.openxmlformats.org/officeDocument/2006/relationships/hyperlink" Target="https://www.nosdeputes.fr/marjolaine-meynier-millefert/csv" TargetMode="External"/><Relationship Id="rId1422" Type="http://schemas.openxmlformats.org/officeDocument/2006/relationships/hyperlink" Target="https://www.nosdeputes.fr/loic-kervran/csv" TargetMode="External"/><Relationship Id="rId1423" Type="http://schemas.openxmlformats.org/officeDocument/2006/relationships/hyperlink" Target="http://www2.assemblee-nationale.fr/deputes/fiche/OMC_PA267378" TargetMode="External"/><Relationship Id="rId1424" Type="http://schemas.openxmlformats.org/officeDocument/2006/relationships/hyperlink" Target="https://www.nosdeputes.fr/genevieve-levy" TargetMode="External"/><Relationship Id="rId1425" Type="http://schemas.openxmlformats.org/officeDocument/2006/relationships/hyperlink" Target="https://www.nosdeputes.fr/genevieve-levy/csv" TargetMode="External"/><Relationship Id="rId1426" Type="http://schemas.openxmlformats.org/officeDocument/2006/relationships/hyperlink" Target="https://twitter.com/SophieMette1" TargetMode="External"/><Relationship Id="rId1427" Type="http://schemas.openxmlformats.org/officeDocument/2006/relationships/hyperlink" Target="http://www2.assemblee-nationale.fr/deputes/fiche/OMC_PA719640" TargetMode="External"/><Relationship Id="rId1428" Type="http://schemas.openxmlformats.org/officeDocument/2006/relationships/hyperlink" Target="https://www.nosdeputes.fr/sophie-mette" TargetMode="External"/><Relationship Id="rId1429" Type="http://schemas.openxmlformats.org/officeDocument/2006/relationships/hyperlink" Target="https://www.nosdeputes.fr/sophie-mette/csv" TargetMode="External"/><Relationship Id="rId1420" Type="http://schemas.openxmlformats.org/officeDocument/2006/relationships/hyperlink" Target="http://www2.assemblee-nationale.fr/deputes/fiche/OMC_PA719052" TargetMode="External"/><Relationship Id="rId1421" Type="http://schemas.openxmlformats.org/officeDocument/2006/relationships/hyperlink" Target="https://www.nosdeputes.fr/loic-kervran" TargetMode="External"/><Relationship Id="rId1059" Type="http://schemas.openxmlformats.org/officeDocument/2006/relationships/hyperlink" Target="https://www.nosdeputes.fr/bruno-studer" TargetMode="External"/><Relationship Id="rId228" Type="http://schemas.openxmlformats.org/officeDocument/2006/relationships/hyperlink" Target="https://www.nosdeputes.fr/pierre-cordier" TargetMode="External"/><Relationship Id="rId227" Type="http://schemas.openxmlformats.org/officeDocument/2006/relationships/hyperlink" Target="http://www2.assemblee-nationale.fr/deputes/fiche/OMC_PA718850" TargetMode="External"/><Relationship Id="rId226" Type="http://schemas.openxmlformats.org/officeDocument/2006/relationships/hyperlink" Target="https://twitter.com/CORDIERPierre08" TargetMode="External"/><Relationship Id="rId225" Type="http://schemas.openxmlformats.org/officeDocument/2006/relationships/hyperlink" Target="https://www.nosdeputes.fr/jean-charles-colas-roy/csv" TargetMode="External"/><Relationship Id="rId229" Type="http://schemas.openxmlformats.org/officeDocument/2006/relationships/hyperlink" Target="https://www.nosdeputes.fr/pierre-cordier/csv" TargetMode="External"/><Relationship Id="rId1050" Type="http://schemas.openxmlformats.org/officeDocument/2006/relationships/hyperlink" Target="https://www.nosdeputes.fr/vincent-rolland" TargetMode="External"/><Relationship Id="rId220" Type="http://schemas.openxmlformats.org/officeDocument/2006/relationships/hyperlink" Target="http://www2.assemblee-nationale.fr/deputes/fiche/OMC_PA642868" TargetMode="External"/><Relationship Id="rId1051" Type="http://schemas.openxmlformats.org/officeDocument/2006/relationships/hyperlink" Target="https://www.nosdeputes.fr/vincent-rolland/csv" TargetMode="External"/><Relationship Id="rId1052" Type="http://schemas.openxmlformats.org/officeDocument/2006/relationships/hyperlink" Target="http://www2.assemblee-nationale.fr/deputes/fiche/OMC_PA267527" TargetMode="External"/><Relationship Id="rId1053" Type="http://schemas.openxmlformats.org/officeDocument/2006/relationships/hyperlink" Target="https://www.nosdeputes.fr/martial-saddier" TargetMode="External"/><Relationship Id="rId1054" Type="http://schemas.openxmlformats.org/officeDocument/2006/relationships/hyperlink" Target="https://www.nosdeputes.fr/martial-saddier/csv" TargetMode="External"/><Relationship Id="rId224" Type="http://schemas.openxmlformats.org/officeDocument/2006/relationships/hyperlink" Target="https://www.nosdeputes.fr/jean-charles-colas-roy" TargetMode="External"/><Relationship Id="rId1055" Type="http://schemas.openxmlformats.org/officeDocument/2006/relationships/hyperlink" Target="http://www2.assemblee-nationale.fr/deputes/fiche/OMC_PA340343" TargetMode="External"/><Relationship Id="rId223" Type="http://schemas.openxmlformats.org/officeDocument/2006/relationships/hyperlink" Target="http://www2.assemblee-nationale.fr/deputes/fiche/OMC_PA719740" TargetMode="External"/><Relationship Id="rId1056" Type="http://schemas.openxmlformats.org/officeDocument/2006/relationships/hyperlink" Target="https://www.nosdeputes.fr/herve-saulignac" TargetMode="External"/><Relationship Id="rId222" Type="http://schemas.openxmlformats.org/officeDocument/2006/relationships/hyperlink" Target="https://www.nosdeputes.fr/paul-christophe/csv" TargetMode="External"/><Relationship Id="rId1057" Type="http://schemas.openxmlformats.org/officeDocument/2006/relationships/hyperlink" Target="https://www.nosdeputes.fr/herve-saulignac/csv" TargetMode="External"/><Relationship Id="rId221" Type="http://schemas.openxmlformats.org/officeDocument/2006/relationships/hyperlink" Target="https://www.nosdeputes.fr/paul-christophe" TargetMode="External"/><Relationship Id="rId1058" Type="http://schemas.openxmlformats.org/officeDocument/2006/relationships/hyperlink" Target="http://www2.assemblee-nationale.fr/deputes/fiche/OMC_PA720754" TargetMode="External"/><Relationship Id="rId1048" Type="http://schemas.openxmlformats.org/officeDocument/2006/relationships/hyperlink" Target="https://twitter.com/VRolland73" TargetMode="External"/><Relationship Id="rId1049" Type="http://schemas.openxmlformats.org/officeDocument/2006/relationships/hyperlink" Target="http://www2.assemblee-nationale.fr/deputes/fiche/OMC_PA266808" TargetMode="External"/><Relationship Id="rId217" Type="http://schemas.openxmlformats.org/officeDocument/2006/relationships/hyperlink" Target="http://www2.assemblee-nationale.fr/deputes/fiche/OMC_PA720468" TargetMode="External"/><Relationship Id="rId216" Type="http://schemas.openxmlformats.org/officeDocument/2006/relationships/hyperlink" Target="https://www.nosdeputes.fr/jean-rene-cazeneuve/csv" TargetMode="External"/><Relationship Id="rId215" Type="http://schemas.openxmlformats.org/officeDocument/2006/relationships/hyperlink" Target="https://www.nosdeputes.fr/jean-rene-cazeneuve" TargetMode="External"/><Relationship Id="rId699" Type="http://schemas.openxmlformats.org/officeDocument/2006/relationships/hyperlink" Target="http://www2.assemblee-nationale.fr/deputes/fiche/OMC_PA719624" TargetMode="External"/><Relationship Id="rId214" Type="http://schemas.openxmlformats.org/officeDocument/2006/relationships/hyperlink" Target="http://www2.assemblee-nationale.fr/deputes/fiche/OMC_PA719472" TargetMode="External"/><Relationship Id="rId698" Type="http://schemas.openxmlformats.org/officeDocument/2006/relationships/hyperlink" Target="https://www.nosdeputes.fr/josiane-corneloup/csv" TargetMode="External"/><Relationship Id="rId219" Type="http://schemas.openxmlformats.org/officeDocument/2006/relationships/hyperlink" Target="https://www.nosdeputes.fr/sebastien-chenu/csv" TargetMode="External"/><Relationship Id="rId218" Type="http://schemas.openxmlformats.org/officeDocument/2006/relationships/hyperlink" Target="https://www.nosdeputes.fr/sebastien-chenu" TargetMode="External"/><Relationship Id="rId693" Type="http://schemas.openxmlformats.org/officeDocument/2006/relationships/hyperlink" Target="https://www.nosdeputes.fr/francois-cormier-bouligeon" TargetMode="External"/><Relationship Id="rId1040" Type="http://schemas.openxmlformats.org/officeDocument/2006/relationships/hyperlink" Target="https://twitter.com/EPoulliat" TargetMode="External"/><Relationship Id="rId692" Type="http://schemas.openxmlformats.org/officeDocument/2006/relationships/hyperlink" Target="http://www2.assemblee-nationale.fr/deputes/fiche/OMC_PA719118" TargetMode="External"/><Relationship Id="rId1041" Type="http://schemas.openxmlformats.org/officeDocument/2006/relationships/hyperlink" Target="http://www2.assemblee-nationale.fr/deputes/fiche/OMC_PA719600" TargetMode="External"/><Relationship Id="rId691" Type="http://schemas.openxmlformats.org/officeDocument/2006/relationships/hyperlink" Target="https://fr-fr.facebook.com/francoiscormierbouligeon2017/" TargetMode="External"/><Relationship Id="rId1042" Type="http://schemas.openxmlformats.org/officeDocument/2006/relationships/hyperlink" Target="https://www.nosdeputes.fr/eric-poulliat" TargetMode="External"/><Relationship Id="rId690" Type="http://schemas.openxmlformats.org/officeDocument/2006/relationships/hyperlink" Target="https://www.nosdeputes.fr/philippe-chassaing/csv" TargetMode="External"/><Relationship Id="rId1043" Type="http://schemas.openxmlformats.org/officeDocument/2006/relationships/hyperlink" Target="https://www.nosdeputes.fr/eric-poulliat/csv" TargetMode="External"/><Relationship Id="rId213" Type="http://schemas.openxmlformats.org/officeDocument/2006/relationships/hyperlink" Target="https://www.nosdeputes.fr/michel-castellani/csv" TargetMode="External"/><Relationship Id="rId697" Type="http://schemas.openxmlformats.org/officeDocument/2006/relationships/hyperlink" Target="https://www.nosdeputes.fr/josiane-corneloup" TargetMode="External"/><Relationship Id="rId1044" Type="http://schemas.openxmlformats.org/officeDocument/2006/relationships/hyperlink" Target="https://twitter.com/huguesrenson" TargetMode="External"/><Relationship Id="rId212" Type="http://schemas.openxmlformats.org/officeDocument/2006/relationships/hyperlink" Target="https://www.nosdeputes.fr/michel-castellani" TargetMode="External"/><Relationship Id="rId696" Type="http://schemas.openxmlformats.org/officeDocument/2006/relationships/hyperlink" Target="http://www2.assemblee-nationale.fr/deputes/fiche/OMC_PA722390" TargetMode="External"/><Relationship Id="rId1045" Type="http://schemas.openxmlformats.org/officeDocument/2006/relationships/hyperlink" Target="http://www2.assemblee-nationale.fr/deputes/fiche/OMC_PA721824" TargetMode="External"/><Relationship Id="rId211" Type="http://schemas.openxmlformats.org/officeDocument/2006/relationships/hyperlink" Target="http://www2.assemblee-nationale.fr/deputes/fiche/OMC_PA719138" TargetMode="External"/><Relationship Id="rId695" Type="http://schemas.openxmlformats.org/officeDocument/2006/relationships/hyperlink" Target="http://josianecorneloup.fr" TargetMode="External"/><Relationship Id="rId1046" Type="http://schemas.openxmlformats.org/officeDocument/2006/relationships/hyperlink" Target="https://www.nosdeputes.fr/hugues-renson" TargetMode="External"/><Relationship Id="rId210" Type="http://schemas.openxmlformats.org/officeDocument/2006/relationships/hyperlink" Target="https://twitter.com/Castellani_" TargetMode="External"/><Relationship Id="rId694" Type="http://schemas.openxmlformats.org/officeDocument/2006/relationships/hyperlink" Target="https://www.nosdeputes.fr/francois-cormier-bouligeon/csv" TargetMode="External"/><Relationship Id="rId1047" Type="http://schemas.openxmlformats.org/officeDocument/2006/relationships/hyperlink" Target="https://www.nosdeputes.fr/hugues-renson/csv" TargetMode="External"/><Relationship Id="rId249" Type="http://schemas.openxmlformats.org/officeDocument/2006/relationships/hyperlink" Target="http://www2.assemblee-nationale.fr/deputes/fiche/OMC_PA721398" TargetMode="External"/><Relationship Id="rId248" Type="http://schemas.openxmlformats.org/officeDocument/2006/relationships/hyperlink" Target="https://www.nosdeputes.fr/dominique-david/csv" TargetMode="External"/><Relationship Id="rId247" Type="http://schemas.openxmlformats.org/officeDocument/2006/relationships/hyperlink" Target="https://www.nosdeputes.fr/dominique-david" TargetMode="External"/><Relationship Id="rId1070" Type="http://schemas.openxmlformats.org/officeDocument/2006/relationships/hyperlink" Target="https://www.nosdeputes.fr/sylvain-waserman/csv" TargetMode="External"/><Relationship Id="rId1071" Type="http://schemas.openxmlformats.org/officeDocument/2006/relationships/hyperlink" Target="http://www2.assemblee-nationale.fr/deputes/fiche/OMC_PA720124" TargetMode="External"/><Relationship Id="rId1072" Type="http://schemas.openxmlformats.org/officeDocument/2006/relationships/hyperlink" Target="https://www.nosdeputes.fr/aude-amadou" TargetMode="External"/><Relationship Id="rId242" Type="http://schemas.openxmlformats.org/officeDocument/2006/relationships/hyperlink" Target="https://www.nosdeputes.fr/olivier-damaisin/csv" TargetMode="External"/><Relationship Id="rId1073" Type="http://schemas.openxmlformats.org/officeDocument/2006/relationships/hyperlink" Target="https://www.nosdeputes.fr/aude-amadou/csv" TargetMode="External"/><Relationship Id="rId241" Type="http://schemas.openxmlformats.org/officeDocument/2006/relationships/hyperlink" Target="https://www.nosdeputes.fr/olivier-damaisin" TargetMode="External"/><Relationship Id="rId1074" Type="http://schemas.openxmlformats.org/officeDocument/2006/relationships/hyperlink" Target="http://www2.assemblee-nationale.fr/deputes/fiche/OMC_PA719318" TargetMode="External"/><Relationship Id="rId240" Type="http://schemas.openxmlformats.org/officeDocument/2006/relationships/hyperlink" Target="http://www2.assemblee-nationale.fr/deputes/fiche/OMC_PA720268" TargetMode="External"/><Relationship Id="rId1075" Type="http://schemas.openxmlformats.org/officeDocument/2006/relationships/hyperlink" Target="https://www.nosdeputes.fr/emmanuelle-anthoine" TargetMode="External"/><Relationship Id="rId1076" Type="http://schemas.openxmlformats.org/officeDocument/2006/relationships/hyperlink" Target="https://www.nosdeputes.fr/emmanuelle-anthoine/csv" TargetMode="External"/><Relationship Id="rId246" Type="http://schemas.openxmlformats.org/officeDocument/2006/relationships/hyperlink" Target="http://www2.assemblee-nationale.fr/deputes/fiche/OMC_PA719710" TargetMode="External"/><Relationship Id="rId1077" Type="http://schemas.openxmlformats.org/officeDocument/2006/relationships/hyperlink" Target="http://www2.assemblee-nationale.fr/deputes/fiche/OMC_PA721624" TargetMode="External"/><Relationship Id="rId245" Type="http://schemas.openxmlformats.org/officeDocument/2006/relationships/hyperlink" Target="https://www.nosdeputes.fr/alain-david/csv" TargetMode="External"/><Relationship Id="rId1078" Type="http://schemas.openxmlformats.org/officeDocument/2006/relationships/hyperlink" Target="https://www.nosdeputes.fr/laetitia-avia" TargetMode="External"/><Relationship Id="rId244" Type="http://schemas.openxmlformats.org/officeDocument/2006/relationships/hyperlink" Target="https://www.nosdeputes.fr/alain-david" TargetMode="External"/><Relationship Id="rId1079" Type="http://schemas.openxmlformats.org/officeDocument/2006/relationships/hyperlink" Target="https://www.nosdeputes.fr/laetitia-avia/csv" TargetMode="External"/><Relationship Id="rId243" Type="http://schemas.openxmlformats.org/officeDocument/2006/relationships/hyperlink" Target="http://www2.assemblee-nationale.fr/deputes/fiche/OMC_PA1008" TargetMode="External"/><Relationship Id="rId239" Type="http://schemas.openxmlformats.org/officeDocument/2006/relationships/hyperlink" Target="https://www.nosdeputes.fr/marie-christine-dalloz/csv" TargetMode="External"/><Relationship Id="rId238" Type="http://schemas.openxmlformats.org/officeDocument/2006/relationships/hyperlink" Target="https://www.nosdeputes.fr/marie-christine-dalloz" TargetMode="External"/><Relationship Id="rId237" Type="http://schemas.openxmlformats.org/officeDocument/2006/relationships/hyperlink" Target="http://www2.assemblee-nationale.fr/deputes/fiche/OMC_PA332523" TargetMode="External"/><Relationship Id="rId236" Type="http://schemas.openxmlformats.org/officeDocument/2006/relationships/hyperlink" Target="https://www.nosdeputes.fr/dominique-da-silva/csv" TargetMode="External"/><Relationship Id="rId1060" Type="http://schemas.openxmlformats.org/officeDocument/2006/relationships/hyperlink" Target="https://www.nosdeputes.fr/bruno-studer/csv" TargetMode="External"/><Relationship Id="rId1061" Type="http://schemas.openxmlformats.org/officeDocument/2006/relationships/hyperlink" Target="http://www2.assemblee-nationale.fr/deputes/fiche/OMC_PA718860" TargetMode="External"/><Relationship Id="rId231" Type="http://schemas.openxmlformats.org/officeDocument/2006/relationships/hyperlink" Target="https://www.nosdeputes.fr/michele-crouzet" TargetMode="External"/><Relationship Id="rId1062" Type="http://schemas.openxmlformats.org/officeDocument/2006/relationships/hyperlink" Target="https://www.nosdeputes.fr/benedicte-taurine" TargetMode="External"/><Relationship Id="rId230" Type="http://schemas.openxmlformats.org/officeDocument/2006/relationships/hyperlink" Target="http://www2.assemblee-nationale.fr/deputes/fiche/OMC_PA721808" TargetMode="External"/><Relationship Id="rId1063" Type="http://schemas.openxmlformats.org/officeDocument/2006/relationships/hyperlink" Target="https://www.nosdeputes.fr/benedicte-taurine/csv" TargetMode="External"/><Relationship Id="rId1064" Type="http://schemas.openxmlformats.org/officeDocument/2006/relationships/hyperlink" Target="https://fr-fr.facebook.com/JenniferDeTemmermanXVNord/" TargetMode="External"/><Relationship Id="rId1065" Type="http://schemas.openxmlformats.org/officeDocument/2006/relationships/hyperlink" Target="http://www2.assemblee-nationale.fr/deputes/fiche/OMC_PA720538" TargetMode="External"/><Relationship Id="rId235" Type="http://schemas.openxmlformats.org/officeDocument/2006/relationships/hyperlink" Target="https://www.nosdeputes.fr/dominique-da-silva" TargetMode="External"/><Relationship Id="rId1066" Type="http://schemas.openxmlformats.org/officeDocument/2006/relationships/hyperlink" Target="https://www.nosdeputes.fr/jennifer-de-temmerman" TargetMode="External"/><Relationship Id="rId234" Type="http://schemas.openxmlformats.org/officeDocument/2006/relationships/hyperlink" Target="http://www2.assemblee-nationale.fr/deputes/fiche/OMC_PA720932" TargetMode="External"/><Relationship Id="rId1067" Type="http://schemas.openxmlformats.org/officeDocument/2006/relationships/hyperlink" Target="https://www.nosdeputes.fr/jennifer-de-temmerman/csv" TargetMode="External"/><Relationship Id="rId233" Type="http://schemas.openxmlformats.org/officeDocument/2006/relationships/hyperlink" Target="https://twitter.com/DDasilva_LREM" TargetMode="External"/><Relationship Id="rId1068" Type="http://schemas.openxmlformats.org/officeDocument/2006/relationships/hyperlink" Target="http://www2.assemblee-nationale.fr/deputes/fiche/OMC_PA720746" TargetMode="External"/><Relationship Id="rId232" Type="http://schemas.openxmlformats.org/officeDocument/2006/relationships/hyperlink" Target="https://www.nosdeputes.fr/michele-crouzet/csv" TargetMode="External"/><Relationship Id="rId1069" Type="http://schemas.openxmlformats.org/officeDocument/2006/relationships/hyperlink" Target="https://www.nosdeputes.fr/sylvain-waserman" TargetMode="External"/><Relationship Id="rId1015" Type="http://schemas.openxmlformats.org/officeDocument/2006/relationships/hyperlink" Target="https://www.nosdeputes.fr/ludovic-mendes/csv" TargetMode="External"/><Relationship Id="rId1499" Type="http://schemas.openxmlformats.org/officeDocument/2006/relationships/hyperlink" Target="https://www.nosdeputes.fr/paul-andre-colombani/csv" TargetMode="External"/><Relationship Id="rId1016" Type="http://schemas.openxmlformats.org/officeDocument/2006/relationships/hyperlink" Target="http://www2.assemblee-nationale.fr/deputes/fiche/OMC_PA721734" TargetMode="External"/><Relationship Id="rId1017" Type="http://schemas.openxmlformats.org/officeDocument/2006/relationships/hyperlink" Target="https://www.nosdeputes.fr/philippe-michel-kleisbauer" TargetMode="External"/><Relationship Id="rId1018" Type="http://schemas.openxmlformats.org/officeDocument/2006/relationships/hyperlink" Target="https://www.nosdeputes.fr/philippe-michel-kleisbauer/csv" TargetMode="External"/><Relationship Id="rId1019" Type="http://schemas.openxmlformats.org/officeDocument/2006/relationships/hyperlink" Target="http://www2.assemblee-nationale.fr/deputes/fiche/OMC_PA719456" TargetMode="External"/><Relationship Id="rId668" Type="http://schemas.openxmlformats.org/officeDocument/2006/relationships/hyperlink" Target="https://www.nosdeputes.fr/pierre-yves-bournazel/csv" TargetMode="External"/><Relationship Id="rId667" Type="http://schemas.openxmlformats.org/officeDocument/2006/relationships/hyperlink" Target="https://www.nosdeputes.fr/pierre-yves-bournazel" TargetMode="External"/><Relationship Id="rId666" Type="http://schemas.openxmlformats.org/officeDocument/2006/relationships/hyperlink" Target="http://www2.assemblee-nationale.fr/deputes/fiche/OMC_PA722030" TargetMode="External"/><Relationship Id="rId665" Type="http://schemas.openxmlformats.org/officeDocument/2006/relationships/hyperlink" Target="https://www.nosdeputes.fr/florent-boudie/csv" TargetMode="External"/><Relationship Id="rId669" Type="http://schemas.openxmlformats.org/officeDocument/2006/relationships/hyperlink" Target="http://www2.assemblee-nationale.fr/deputes/fiche/OMC_PA718838" TargetMode="External"/><Relationship Id="rId1490" Type="http://schemas.openxmlformats.org/officeDocument/2006/relationships/hyperlink" Target="http://www2.assemblee-nationale.fr/deputes/fiche/OMC_PA429893" TargetMode="External"/><Relationship Id="rId660" Type="http://schemas.openxmlformats.org/officeDocument/2006/relationships/hyperlink" Target="http://www2.assemblee-nationale.fr/deputes/fiche/OMC_PA719980" TargetMode="External"/><Relationship Id="rId1491" Type="http://schemas.openxmlformats.org/officeDocument/2006/relationships/hyperlink" Target="https://www.nosdeputes.fr/luc-carvounas" TargetMode="External"/><Relationship Id="rId1492" Type="http://schemas.openxmlformats.org/officeDocument/2006/relationships/hyperlink" Target="https://www.nosdeputes.fr/luc-carvounas/csv" TargetMode="External"/><Relationship Id="rId1493" Type="http://schemas.openxmlformats.org/officeDocument/2006/relationships/hyperlink" Target="http://www2.assemblee-nationale.fr/deputes/fiche/OMC_PA606212" TargetMode="External"/><Relationship Id="rId1010" Type="http://schemas.openxmlformats.org/officeDocument/2006/relationships/hyperlink" Target="http://www2.assemblee-nationale.fr/deputes/fiche/OMC_PA720146" TargetMode="External"/><Relationship Id="rId1494" Type="http://schemas.openxmlformats.org/officeDocument/2006/relationships/hyperlink" Target="https://www.nosdeputes.fr/gilbert-collard" TargetMode="External"/><Relationship Id="rId664" Type="http://schemas.openxmlformats.org/officeDocument/2006/relationships/hyperlink" Target="https://www.nosdeputes.fr/florent-boudie" TargetMode="External"/><Relationship Id="rId1011" Type="http://schemas.openxmlformats.org/officeDocument/2006/relationships/hyperlink" Target="https://www.nosdeputes.fr/denis-masseglia" TargetMode="External"/><Relationship Id="rId1495" Type="http://schemas.openxmlformats.org/officeDocument/2006/relationships/hyperlink" Target="https://www.nosdeputes.fr/gilbert-collard/csv" TargetMode="External"/><Relationship Id="rId663" Type="http://schemas.openxmlformats.org/officeDocument/2006/relationships/hyperlink" Target="http://www2.assemblee-nationale.fr/deputes/fiche/OMC_PA606507" TargetMode="External"/><Relationship Id="rId1012" Type="http://schemas.openxmlformats.org/officeDocument/2006/relationships/hyperlink" Target="https://www.nosdeputes.fr/denis-masseglia/csv" TargetMode="External"/><Relationship Id="rId1496" Type="http://schemas.openxmlformats.org/officeDocument/2006/relationships/hyperlink" Target="https://twitter.com/pacolombani" TargetMode="External"/><Relationship Id="rId662" Type="http://schemas.openxmlformats.org/officeDocument/2006/relationships/hyperlink" Target="https://www.nosdeputes.fr/julien-borowczyk/csv" TargetMode="External"/><Relationship Id="rId1013" Type="http://schemas.openxmlformats.org/officeDocument/2006/relationships/hyperlink" Target="http://www2.assemblee-nationale.fr/deputes/fiche/OMC_PA720370" TargetMode="External"/><Relationship Id="rId1497" Type="http://schemas.openxmlformats.org/officeDocument/2006/relationships/hyperlink" Target="http://www2.assemblee-nationale.fr/deputes/fiche/OMC_PA719286" TargetMode="External"/><Relationship Id="rId661" Type="http://schemas.openxmlformats.org/officeDocument/2006/relationships/hyperlink" Target="https://www.nosdeputes.fr/julien-borowczyk" TargetMode="External"/><Relationship Id="rId1014" Type="http://schemas.openxmlformats.org/officeDocument/2006/relationships/hyperlink" Target="https://www.nosdeputes.fr/ludovic-mendes" TargetMode="External"/><Relationship Id="rId1498" Type="http://schemas.openxmlformats.org/officeDocument/2006/relationships/hyperlink" Target="https://www.nosdeputes.fr/paul-andre-colombani" TargetMode="External"/><Relationship Id="rId1004" Type="http://schemas.openxmlformats.org/officeDocument/2006/relationships/hyperlink" Target="http://www2.assemblee-nationale.fr/deputes/fiche/OMC_PA722178" TargetMode="External"/><Relationship Id="rId1488" Type="http://schemas.openxmlformats.org/officeDocument/2006/relationships/hyperlink" Target="https://www.nosdeputes.fr/marine-brenier" TargetMode="External"/><Relationship Id="rId1005" Type="http://schemas.openxmlformats.org/officeDocument/2006/relationships/hyperlink" Target="https://www.nosdeputes.fr/jacques-maire" TargetMode="External"/><Relationship Id="rId1489" Type="http://schemas.openxmlformats.org/officeDocument/2006/relationships/hyperlink" Target="https://www.nosdeputes.fr/marine-brenier/csv" TargetMode="External"/><Relationship Id="rId1006" Type="http://schemas.openxmlformats.org/officeDocument/2006/relationships/hyperlink" Target="https://www.nosdeputes.fr/jacques-maire/csv" TargetMode="External"/><Relationship Id="rId1007" Type="http://schemas.openxmlformats.org/officeDocument/2006/relationships/hyperlink" Target="http://www2.assemblee-nationale.fr/deputes/fiche/OMC_PA346054" TargetMode="External"/><Relationship Id="rId1008" Type="http://schemas.openxmlformats.org/officeDocument/2006/relationships/hyperlink" Target="https://www.nosdeputes.fr/emmanuel-maquet" TargetMode="External"/><Relationship Id="rId1009" Type="http://schemas.openxmlformats.org/officeDocument/2006/relationships/hyperlink" Target="https://www.nosdeputes.fr/emmanuel-maquet/csv" TargetMode="External"/><Relationship Id="rId657" Type="http://schemas.openxmlformats.org/officeDocument/2006/relationships/hyperlink" Target="http://www2.assemblee-nationale.fr/deputes/fiche/OMC_PA335999" TargetMode="External"/><Relationship Id="rId656" Type="http://schemas.openxmlformats.org/officeDocument/2006/relationships/hyperlink" Target="https://www.nosdeputes.fr/pieyre-alexandre-anglade/csv" TargetMode="External"/><Relationship Id="rId655" Type="http://schemas.openxmlformats.org/officeDocument/2006/relationships/hyperlink" Target="https://www.nosdeputes.fr/pieyre-alexandre-anglade" TargetMode="External"/><Relationship Id="rId654" Type="http://schemas.openxmlformats.org/officeDocument/2006/relationships/hyperlink" Target="http://www2.assemblee-nationale.fr/deputes/fiche/OMC_PA721158" TargetMode="External"/><Relationship Id="rId659" Type="http://schemas.openxmlformats.org/officeDocument/2006/relationships/hyperlink" Target="https://www.nosdeputes.fr/delphine-batho/csv" TargetMode="External"/><Relationship Id="rId658" Type="http://schemas.openxmlformats.org/officeDocument/2006/relationships/hyperlink" Target="https://www.nosdeputes.fr/delphine-batho" TargetMode="External"/><Relationship Id="rId1480" Type="http://schemas.openxmlformats.org/officeDocument/2006/relationships/hyperlink" Target="https://www.nosdeputes.fr/olivier-becht/csv" TargetMode="External"/><Relationship Id="rId1481" Type="http://schemas.openxmlformats.org/officeDocument/2006/relationships/hyperlink" Target="http://www2.assemblee-nationale.fr/deputes/fiche/OMC_PA719218" TargetMode="External"/><Relationship Id="rId1482" Type="http://schemas.openxmlformats.org/officeDocument/2006/relationships/hyperlink" Target="https://www.nosdeputes.fr/herve-berville" TargetMode="External"/><Relationship Id="rId1483" Type="http://schemas.openxmlformats.org/officeDocument/2006/relationships/hyperlink" Target="https://www.nosdeputes.fr/herve-berville/csv" TargetMode="External"/><Relationship Id="rId653" Type="http://schemas.openxmlformats.org/officeDocument/2006/relationships/hyperlink" Target="https://www.nosdeputes.fr/patrice-anato/csv" TargetMode="External"/><Relationship Id="rId1000" Type="http://schemas.openxmlformats.org/officeDocument/2006/relationships/hyperlink" Target="https://www.nosdeputes.fr/martine-leguille-balloy/csv" TargetMode="External"/><Relationship Id="rId1484" Type="http://schemas.openxmlformats.org/officeDocument/2006/relationships/hyperlink" Target="http://www2.assemblee-nationale.fr/deputes/fiche/OMC_PA719024" TargetMode="External"/><Relationship Id="rId652" Type="http://schemas.openxmlformats.org/officeDocument/2006/relationships/hyperlink" Target="https://www.nosdeputes.fr/patrice-anato" TargetMode="External"/><Relationship Id="rId1001" Type="http://schemas.openxmlformats.org/officeDocument/2006/relationships/hyperlink" Target="http://www2.assemblee-nationale.fr/deputes/fiche/OMC_PA720378" TargetMode="External"/><Relationship Id="rId1485" Type="http://schemas.openxmlformats.org/officeDocument/2006/relationships/hyperlink" Target="https://www.nosdeputes.fr/christophe-blanchet" TargetMode="External"/><Relationship Id="rId651" Type="http://schemas.openxmlformats.org/officeDocument/2006/relationships/hyperlink" Target="http://www2.assemblee-nationale.fr/deputes/fiche/OMC_PA721278" TargetMode="External"/><Relationship Id="rId1002" Type="http://schemas.openxmlformats.org/officeDocument/2006/relationships/hyperlink" Target="https://www.nosdeputes.fr/richard-lioger" TargetMode="External"/><Relationship Id="rId1486" Type="http://schemas.openxmlformats.org/officeDocument/2006/relationships/hyperlink" Target="https://www.nosdeputes.fr/christophe-blanchet/csv" TargetMode="External"/><Relationship Id="rId650" Type="http://schemas.openxmlformats.org/officeDocument/2006/relationships/hyperlink" Target="https://www.nosdeputes.fr/jean-marc-zulesi/csv" TargetMode="External"/><Relationship Id="rId1003" Type="http://schemas.openxmlformats.org/officeDocument/2006/relationships/hyperlink" Target="https://www.nosdeputes.fr/richard-lioger/csv" TargetMode="External"/><Relationship Id="rId1487" Type="http://schemas.openxmlformats.org/officeDocument/2006/relationships/hyperlink" Target="http://www2.assemblee-nationale.fr/deputes/fiche/OMC_PA713448" TargetMode="External"/><Relationship Id="rId1037" Type="http://schemas.openxmlformats.org/officeDocument/2006/relationships/hyperlink" Target="http://www2.assemblee-nationale.fr/deputes/fiche/OMC_PA336175" TargetMode="External"/><Relationship Id="rId1038" Type="http://schemas.openxmlformats.org/officeDocument/2006/relationships/hyperlink" Target="https://www.nosdeputes.fr/sylvia-pinel" TargetMode="External"/><Relationship Id="rId1039" Type="http://schemas.openxmlformats.org/officeDocument/2006/relationships/hyperlink" Target="https://www.nosdeputes.fr/sylvia-pinel/csv" TargetMode="External"/><Relationship Id="rId206" Type="http://schemas.openxmlformats.org/officeDocument/2006/relationships/hyperlink" Target="https://www.nosdeputes.fr/emilie-cariou/csv" TargetMode="External"/><Relationship Id="rId205" Type="http://schemas.openxmlformats.org/officeDocument/2006/relationships/hyperlink" Target="https://www.nosdeputes.fr/emilie-cariou" TargetMode="External"/><Relationship Id="rId689" Type="http://schemas.openxmlformats.org/officeDocument/2006/relationships/hyperlink" Target="https://www.nosdeputes.fr/philippe-chassaing" TargetMode="External"/><Relationship Id="rId204" Type="http://schemas.openxmlformats.org/officeDocument/2006/relationships/hyperlink" Target="http://www2.assemblee-nationale.fr/deputes/fiche/OMC_PA720298" TargetMode="External"/><Relationship Id="rId688" Type="http://schemas.openxmlformats.org/officeDocument/2006/relationships/hyperlink" Target="http://www2.assemblee-nationale.fr/deputes/fiche/OMC_PA719250" TargetMode="External"/><Relationship Id="rId203" Type="http://schemas.openxmlformats.org/officeDocument/2006/relationships/hyperlink" Target="https://www.nosdeputes.fr/celine-calvez/csv" TargetMode="External"/><Relationship Id="rId687" Type="http://schemas.openxmlformats.org/officeDocument/2006/relationships/hyperlink" Target="https://www.nosdeputes.fr/andre-chassaigne/csv" TargetMode="External"/><Relationship Id="rId209" Type="http://schemas.openxmlformats.org/officeDocument/2006/relationships/hyperlink" Target="https://www.nosdeputes.fr/gilles-carrez/csv" TargetMode="External"/><Relationship Id="rId208" Type="http://schemas.openxmlformats.org/officeDocument/2006/relationships/hyperlink" Target="https://www.nosdeputes.fr/gilles-carrez" TargetMode="External"/><Relationship Id="rId207" Type="http://schemas.openxmlformats.org/officeDocument/2006/relationships/hyperlink" Target="http://www2.assemblee-nationale.fr/deputes/fiche/OMC_PA746" TargetMode="External"/><Relationship Id="rId682" Type="http://schemas.openxmlformats.org/officeDocument/2006/relationships/hyperlink" Target="http://www2.assemblee-nationale.fr/deputes/fiche/OMC_PA719790" TargetMode="External"/><Relationship Id="rId681" Type="http://schemas.openxmlformats.org/officeDocument/2006/relationships/hyperlink" Target="https://www.nosdeputes.fr/anthony-cellier/csv" TargetMode="External"/><Relationship Id="rId1030" Type="http://schemas.openxmlformats.org/officeDocument/2006/relationships/hyperlink" Target="https://www.nosdeputes.fr/eric-pauget/csv" TargetMode="External"/><Relationship Id="rId680" Type="http://schemas.openxmlformats.org/officeDocument/2006/relationships/hyperlink" Target="https://www.nosdeputes.fr/anthony-cellier" TargetMode="External"/><Relationship Id="rId1031" Type="http://schemas.openxmlformats.org/officeDocument/2006/relationships/hyperlink" Target="http://www2.assemblee-nationale.fr/deputes/fiche/OMC_PA718802" TargetMode="External"/><Relationship Id="rId1032" Type="http://schemas.openxmlformats.org/officeDocument/2006/relationships/hyperlink" Target="https://www.nosdeputes.fr/alain-perea" TargetMode="External"/><Relationship Id="rId202" Type="http://schemas.openxmlformats.org/officeDocument/2006/relationships/hyperlink" Target="https://www.nosdeputes.fr/celine-calvez" TargetMode="External"/><Relationship Id="rId686" Type="http://schemas.openxmlformats.org/officeDocument/2006/relationships/hyperlink" Target="https://www.nosdeputes.fr/andre-chassaigne" TargetMode="External"/><Relationship Id="rId1033" Type="http://schemas.openxmlformats.org/officeDocument/2006/relationships/hyperlink" Target="https://www.nosdeputes.fr/alain-perea/csv" TargetMode="External"/><Relationship Id="rId201" Type="http://schemas.openxmlformats.org/officeDocument/2006/relationships/hyperlink" Target="http://www2.assemblee-nationale.fr/deputes/fiche/OMC_PA721750" TargetMode="External"/><Relationship Id="rId685" Type="http://schemas.openxmlformats.org/officeDocument/2006/relationships/hyperlink" Target="http://www2.assemblee-nationale.fr/deputes/fiche/OMC_PA267306" TargetMode="External"/><Relationship Id="rId1034" Type="http://schemas.openxmlformats.org/officeDocument/2006/relationships/hyperlink" Target="http://www2.assemblee-nationale.fr/deputes/fiche/OMC_PA721234" TargetMode="External"/><Relationship Id="rId200" Type="http://schemas.openxmlformats.org/officeDocument/2006/relationships/hyperlink" Target="https://www.nosdeputes.fr/carole-bureau-bonnard/csv" TargetMode="External"/><Relationship Id="rId684" Type="http://schemas.openxmlformats.org/officeDocument/2006/relationships/hyperlink" Target="https://www.nosdeputes.fr/philippe-chalumeau/csv" TargetMode="External"/><Relationship Id="rId1035" Type="http://schemas.openxmlformats.org/officeDocument/2006/relationships/hyperlink" Target="https://www.nosdeputes.fr/maud-petit" TargetMode="External"/><Relationship Id="rId683" Type="http://schemas.openxmlformats.org/officeDocument/2006/relationships/hyperlink" Target="https://www.nosdeputes.fr/philippe-chalumeau" TargetMode="External"/><Relationship Id="rId1036" Type="http://schemas.openxmlformats.org/officeDocument/2006/relationships/hyperlink" Target="https://www.nosdeputes.fr/maud-petit/csv" TargetMode="External"/><Relationship Id="rId1026" Type="http://schemas.openxmlformats.org/officeDocument/2006/relationships/hyperlink" Target="https://www.nosdeputes.fr/jean-francois-parigi" TargetMode="External"/><Relationship Id="rId1027" Type="http://schemas.openxmlformats.org/officeDocument/2006/relationships/hyperlink" Target="https://www.nosdeputes.fr/jean-francois-parigi/csv" TargetMode="External"/><Relationship Id="rId1028" Type="http://schemas.openxmlformats.org/officeDocument/2006/relationships/hyperlink" Target="http://www2.assemblee-nationale.fr/deputes/fiche/OMC_PA718784" TargetMode="External"/><Relationship Id="rId1029" Type="http://schemas.openxmlformats.org/officeDocument/2006/relationships/hyperlink" Target="https://www.nosdeputes.fr/eric-pauget" TargetMode="External"/><Relationship Id="rId679" Type="http://schemas.openxmlformats.org/officeDocument/2006/relationships/hyperlink" Target="http://www2.assemblee-nationale.fr/deputes/fiche/OMC_PA719440" TargetMode="External"/><Relationship Id="rId678" Type="http://schemas.openxmlformats.org/officeDocument/2006/relationships/hyperlink" Target="https://www.nosdeputes.fr/pierre-cabare/csv" TargetMode="External"/><Relationship Id="rId677" Type="http://schemas.openxmlformats.org/officeDocument/2006/relationships/hyperlink" Target="https://www.nosdeputes.fr/pierre-cabare" TargetMode="External"/><Relationship Id="rId676" Type="http://schemas.openxmlformats.org/officeDocument/2006/relationships/hyperlink" Target="http://www2.assemblee-nationale.fr/deputes/fiche/OMC_PA719496" TargetMode="External"/><Relationship Id="rId671" Type="http://schemas.openxmlformats.org/officeDocument/2006/relationships/hyperlink" Target="https://www.nosdeputes.fr/fabrice-brun/csv" TargetMode="External"/><Relationship Id="rId670" Type="http://schemas.openxmlformats.org/officeDocument/2006/relationships/hyperlink" Target="https://www.nosdeputes.fr/fabrice-brun" TargetMode="External"/><Relationship Id="rId1020" Type="http://schemas.openxmlformats.org/officeDocument/2006/relationships/hyperlink" Target="https://www.nosdeputes.fr/sandrine-moerch" TargetMode="External"/><Relationship Id="rId1021" Type="http://schemas.openxmlformats.org/officeDocument/2006/relationships/hyperlink" Target="https://www.nosdeputes.fr/sandrine-moerch/csv" TargetMode="External"/><Relationship Id="rId675" Type="http://schemas.openxmlformats.org/officeDocument/2006/relationships/hyperlink" Target="https://www.nosdeputes.fr/alain-bruneel/csv" TargetMode="External"/><Relationship Id="rId1022" Type="http://schemas.openxmlformats.org/officeDocument/2006/relationships/hyperlink" Target="http://www2.assemblee-nationale.fr/deputes/fiche/OMC_PA719464" TargetMode="External"/><Relationship Id="rId674" Type="http://schemas.openxmlformats.org/officeDocument/2006/relationships/hyperlink" Target="https://www.nosdeputes.fr/alain-bruneel" TargetMode="External"/><Relationship Id="rId1023" Type="http://schemas.openxmlformats.org/officeDocument/2006/relationships/hyperlink" Target="https://www.nosdeputes.fr/sebastien-nadot" TargetMode="External"/><Relationship Id="rId673" Type="http://schemas.openxmlformats.org/officeDocument/2006/relationships/hyperlink" Target="http://www2.assemblee-nationale.fr/deputes/fiche/OMC_PA720546" TargetMode="External"/><Relationship Id="rId1024" Type="http://schemas.openxmlformats.org/officeDocument/2006/relationships/hyperlink" Target="https://www.nosdeputes.fr/sebastien-nadot/csv" TargetMode="External"/><Relationship Id="rId672" Type="http://schemas.openxmlformats.org/officeDocument/2006/relationships/hyperlink" Target="https://twitter.com/Alain_Bruneel" TargetMode="External"/><Relationship Id="rId1025" Type="http://schemas.openxmlformats.org/officeDocument/2006/relationships/hyperlink" Target="http://www2.assemblee-nationale.fr/deputes/fiche/OMC_PA721636" TargetMode="External"/><Relationship Id="rId190" Type="http://schemas.openxmlformats.org/officeDocument/2006/relationships/hyperlink" Target="https://www.nosdeputes.fr/delphine-bagarry" TargetMode="External"/><Relationship Id="rId194" Type="http://schemas.openxmlformats.org/officeDocument/2006/relationships/hyperlink" Target="https://www.nosdeputes.fr/belkhir-belhaddad/csv" TargetMode="External"/><Relationship Id="rId193" Type="http://schemas.openxmlformats.org/officeDocument/2006/relationships/hyperlink" Target="https://www.nosdeputes.fr/belkhir-belhaddad" TargetMode="External"/><Relationship Id="rId192" Type="http://schemas.openxmlformats.org/officeDocument/2006/relationships/hyperlink" Target="http://www2.assemblee-nationale.fr/deputes/fiche/OMC_PA720362" TargetMode="External"/><Relationship Id="rId191" Type="http://schemas.openxmlformats.org/officeDocument/2006/relationships/hyperlink" Target="https://www.nosdeputes.fr/delphine-bagarry/csv" TargetMode="External"/><Relationship Id="rId187" Type="http://schemas.openxmlformats.org/officeDocument/2006/relationships/hyperlink" Target="https://www.nosdeputes.fr/sophie-auconie" TargetMode="External"/><Relationship Id="rId186" Type="http://schemas.openxmlformats.org/officeDocument/2006/relationships/hyperlink" Target="http://www2.assemblee-nationale.fr/deputes/fiche/OMC_PA719806" TargetMode="External"/><Relationship Id="rId185" Type="http://schemas.openxmlformats.org/officeDocument/2006/relationships/hyperlink" Target="https://www.nosdeputes.fr/julien-aubert/csv" TargetMode="External"/><Relationship Id="rId184" Type="http://schemas.openxmlformats.org/officeDocument/2006/relationships/hyperlink" Target="https://www.nosdeputes.fr/julien-aubert" TargetMode="External"/><Relationship Id="rId189" Type="http://schemas.openxmlformats.org/officeDocument/2006/relationships/hyperlink" Target="http://www2.assemblee-nationale.fr/deputes/fiche/OMC_PA718744" TargetMode="External"/><Relationship Id="rId188" Type="http://schemas.openxmlformats.org/officeDocument/2006/relationships/hyperlink" Target="https://www.nosdeputes.fr/sophie-auconie/csv" TargetMode="External"/><Relationship Id="rId183" Type="http://schemas.openxmlformats.org/officeDocument/2006/relationships/hyperlink" Target="http://www2.assemblee-nationale.fr/deputes/fiche/OMC_PA609726" TargetMode="External"/><Relationship Id="rId182" Type="http://schemas.openxmlformats.org/officeDocument/2006/relationships/hyperlink" Target="https://www.nosdeputes.fr/jean-luc-warsmann/csv" TargetMode="External"/><Relationship Id="rId181" Type="http://schemas.openxmlformats.org/officeDocument/2006/relationships/hyperlink" Target="https://www.nosdeputes.fr/jean-luc-warsmann" TargetMode="External"/><Relationship Id="rId180" Type="http://schemas.openxmlformats.org/officeDocument/2006/relationships/hyperlink" Target="http://www2.assemblee-nationale.fr/deputes/fiche/OMC_PA2952" TargetMode="External"/><Relationship Id="rId176" Type="http://schemas.openxmlformats.org/officeDocument/2006/relationships/hyperlink" Target="https://www.nosdeputes.fr/arnaud-viala/csv" TargetMode="External"/><Relationship Id="rId175" Type="http://schemas.openxmlformats.org/officeDocument/2006/relationships/hyperlink" Target="https://www.nosdeputes.fr/arnaud-viala" TargetMode="External"/><Relationship Id="rId174" Type="http://schemas.openxmlformats.org/officeDocument/2006/relationships/hyperlink" Target="http://www2.assemblee-nationale.fr/deputes/fiche/OMC_PA709315" TargetMode="External"/><Relationship Id="rId173" Type="http://schemas.openxmlformats.org/officeDocument/2006/relationships/hyperlink" Target="https://www.nosdeputes.fr/marie-christine-verdier-jouclas/csv" TargetMode="External"/><Relationship Id="rId179" Type="http://schemas.openxmlformats.org/officeDocument/2006/relationships/hyperlink" Target="https://www.nosdeputes.fr/laurence-vichnievsky/csv" TargetMode="External"/><Relationship Id="rId178" Type="http://schemas.openxmlformats.org/officeDocument/2006/relationships/hyperlink" Target="https://www.nosdeputes.fr/laurence-vichnievsky" TargetMode="External"/><Relationship Id="rId177" Type="http://schemas.openxmlformats.org/officeDocument/2006/relationships/hyperlink" Target="http://www2.assemblee-nationale.fr/deputes/fiche/OMC_PA720704" TargetMode="External"/><Relationship Id="rId198" Type="http://schemas.openxmlformats.org/officeDocument/2006/relationships/hyperlink" Target="http://www2.assemblee-nationale.fr/deputes/fiche/OMC_PA720622" TargetMode="External"/><Relationship Id="rId197" Type="http://schemas.openxmlformats.org/officeDocument/2006/relationships/hyperlink" Target="https://www.nosdeputes.fr/christophe-bouillon/csv" TargetMode="External"/><Relationship Id="rId196" Type="http://schemas.openxmlformats.org/officeDocument/2006/relationships/hyperlink" Target="https://www.nosdeputes.fr/christophe-bouillon" TargetMode="External"/><Relationship Id="rId195" Type="http://schemas.openxmlformats.org/officeDocument/2006/relationships/hyperlink" Target="http://www2.assemblee-nationale.fr/deputes/fiche/OMC_PA267233" TargetMode="External"/><Relationship Id="rId199" Type="http://schemas.openxmlformats.org/officeDocument/2006/relationships/hyperlink" Target="https://www.nosdeputes.fr/carole-bureau-bonnard" TargetMode="External"/><Relationship Id="rId150" Type="http://schemas.openxmlformats.org/officeDocument/2006/relationships/hyperlink" Target="http://www2.assemblee-nationale.fr/deputes/fiche/OMC_PA719952" TargetMode="External"/><Relationship Id="rId149" Type="http://schemas.openxmlformats.org/officeDocument/2006/relationships/hyperlink" Target="https://www.nosdeputes.fr/bruno-millienne/csv" TargetMode="External"/><Relationship Id="rId148" Type="http://schemas.openxmlformats.org/officeDocument/2006/relationships/hyperlink" Target="https://www.nosdeputes.fr/bruno-millienne" TargetMode="External"/><Relationship Id="rId1090" Type="http://schemas.openxmlformats.org/officeDocument/2006/relationships/hyperlink" Target="https://www.nosdeputes.fr/pascal-bois" TargetMode="External"/><Relationship Id="rId1091" Type="http://schemas.openxmlformats.org/officeDocument/2006/relationships/hyperlink" Target="https://www.nosdeputes.fr/pascal-bois/csv" TargetMode="External"/><Relationship Id="rId1092" Type="http://schemas.openxmlformats.org/officeDocument/2006/relationships/hyperlink" Target="http://www2.assemblee-nationale.fr/deputes/fiche/OMC_PA721328" TargetMode="External"/><Relationship Id="rId1093" Type="http://schemas.openxmlformats.org/officeDocument/2006/relationships/hyperlink" Target="https://www.nosdeputes.fr/anne-brugnera" TargetMode="External"/><Relationship Id="rId1094" Type="http://schemas.openxmlformats.org/officeDocument/2006/relationships/hyperlink" Target="https://www.nosdeputes.fr/anne-brugnera/csv" TargetMode="External"/><Relationship Id="rId143" Type="http://schemas.openxmlformats.org/officeDocument/2006/relationships/hyperlink" Target="http://www2.assemblee-nationale.fr/deputes/fiche/OMC_PA720728" TargetMode="External"/><Relationship Id="rId1095" Type="http://schemas.openxmlformats.org/officeDocument/2006/relationships/hyperlink" Target="http://www2.assemblee-nationale.fr/deputes/fiche/OMC_PA719890" TargetMode="External"/><Relationship Id="rId142" Type="http://schemas.openxmlformats.org/officeDocument/2006/relationships/hyperlink" Target="https://www.nosdeputes.fr/gilles-lurton/csv" TargetMode="External"/><Relationship Id="rId1096" Type="http://schemas.openxmlformats.org/officeDocument/2006/relationships/hyperlink" Target="https://www.nosdeputes.fr/danielle-brulebois" TargetMode="External"/><Relationship Id="rId141" Type="http://schemas.openxmlformats.org/officeDocument/2006/relationships/hyperlink" Target="https://www.nosdeputes.fr/gilles-lurton" TargetMode="External"/><Relationship Id="rId1097" Type="http://schemas.openxmlformats.org/officeDocument/2006/relationships/hyperlink" Target="https://www.nosdeputes.fr/danielle-brulebois/csv" TargetMode="External"/><Relationship Id="rId140" Type="http://schemas.openxmlformats.org/officeDocument/2006/relationships/hyperlink" Target="http://www2.assemblee-nationale.fr/deputes/fiche/OMC_PA606712" TargetMode="External"/><Relationship Id="rId1098" Type="http://schemas.openxmlformats.org/officeDocument/2006/relationships/hyperlink" Target="http://www2.assemblee-nationale.fr/deputes/fiche/OMC_PA722000" TargetMode="External"/><Relationship Id="rId147" Type="http://schemas.openxmlformats.org/officeDocument/2006/relationships/hyperlink" Target="http://www2.assemblee-nationale.fr/deputes/fiche/OMC_PA721976" TargetMode="External"/><Relationship Id="rId1099" Type="http://schemas.openxmlformats.org/officeDocument/2006/relationships/hyperlink" Target="https://www.nosdeputes.fr/stephane-buchou" TargetMode="External"/><Relationship Id="rId146" Type="http://schemas.openxmlformats.org/officeDocument/2006/relationships/hyperlink" Target="https://twitter.com/BrunoMillienne" TargetMode="External"/><Relationship Id="rId145" Type="http://schemas.openxmlformats.org/officeDocument/2006/relationships/hyperlink" Target="https://www.nosdeputes.fr/jean-paul-mattei/csv" TargetMode="External"/><Relationship Id="rId144" Type="http://schemas.openxmlformats.org/officeDocument/2006/relationships/hyperlink" Target="https://www.nosdeputes.fr/jean-paul-mattei" TargetMode="External"/><Relationship Id="rId139" Type="http://schemas.openxmlformats.org/officeDocument/2006/relationships/hyperlink" Target="https://www.nosdeputes.fr/bastien-lachaud/csv" TargetMode="External"/><Relationship Id="rId138" Type="http://schemas.openxmlformats.org/officeDocument/2006/relationships/hyperlink" Target="https://www.nosdeputes.fr/bastien-lachaud" TargetMode="External"/><Relationship Id="rId137" Type="http://schemas.openxmlformats.org/officeDocument/2006/relationships/hyperlink" Target="http://www2.assemblee-nationale.fr/deputes/fiche/OMC_PA720846" TargetMode="External"/><Relationship Id="rId1080" Type="http://schemas.openxmlformats.org/officeDocument/2006/relationships/hyperlink" Target="http://www2.assemblee-nationale.fr/deputes/fiche/OMC_PA642724" TargetMode="External"/><Relationship Id="rId1081" Type="http://schemas.openxmlformats.org/officeDocument/2006/relationships/hyperlink" Target="https://www.nosdeputes.fr/frederic-barbier" TargetMode="External"/><Relationship Id="rId1082" Type="http://schemas.openxmlformats.org/officeDocument/2006/relationships/hyperlink" Target="https://www.nosdeputes.fr/frederic-barbier/csv" TargetMode="External"/><Relationship Id="rId1083" Type="http://schemas.openxmlformats.org/officeDocument/2006/relationships/hyperlink" Target="http://www2.assemblee-nationale.fr/deputes/fiche/OMC_PA720210" TargetMode="External"/><Relationship Id="rId132" Type="http://schemas.openxmlformats.org/officeDocument/2006/relationships/hyperlink" Target="https://www.nosdeputes.fr/regis-juanico" TargetMode="External"/><Relationship Id="rId1084" Type="http://schemas.openxmlformats.org/officeDocument/2006/relationships/hyperlink" Target="https://www.nosdeputes.fr/valerie-beauvais" TargetMode="External"/><Relationship Id="rId131" Type="http://schemas.openxmlformats.org/officeDocument/2006/relationships/hyperlink" Target="http://www2.assemblee-nationale.fr/deputes/fiche/OMC_PA332614" TargetMode="External"/><Relationship Id="rId1085" Type="http://schemas.openxmlformats.org/officeDocument/2006/relationships/hyperlink" Target="https://www.nosdeputes.fr/valerie-beauvais/csv" TargetMode="External"/><Relationship Id="rId130" Type="http://schemas.openxmlformats.org/officeDocument/2006/relationships/hyperlink" Target="https://www.nosdeputes.fr/christophe-jerretie/csv" TargetMode="External"/><Relationship Id="rId1086" Type="http://schemas.openxmlformats.org/officeDocument/2006/relationships/hyperlink" Target="http://www2.assemblee-nationale.fr/deputes/fiche/OMC_PA718990" TargetMode="External"/><Relationship Id="rId1087" Type="http://schemas.openxmlformats.org/officeDocument/2006/relationships/hyperlink" Target="https://www.nosdeputes.fr/anne-blanc" TargetMode="External"/><Relationship Id="rId136" Type="http://schemas.openxmlformats.org/officeDocument/2006/relationships/hyperlink" Target="https://www.nosdeputes.fr/daniel-labaronne/csv" TargetMode="External"/><Relationship Id="rId1088" Type="http://schemas.openxmlformats.org/officeDocument/2006/relationships/hyperlink" Target="https://www.nosdeputes.fr/anne-blanc/csv" TargetMode="External"/><Relationship Id="rId135" Type="http://schemas.openxmlformats.org/officeDocument/2006/relationships/hyperlink" Target="https://www.nosdeputes.fr/daniel-labaronne" TargetMode="External"/><Relationship Id="rId1089" Type="http://schemas.openxmlformats.org/officeDocument/2006/relationships/hyperlink" Target="http://www2.assemblee-nationale.fr/deputes/fiche/OMC_PA720576" TargetMode="External"/><Relationship Id="rId134" Type="http://schemas.openxmlformats.org/officeDocument/2006/relationships/hyperlink" Target="http://www2.assemblee-nationale.fr/deputes/fiche/OMC_PA719798" TargetMode="External"/><Relationship Id="rId133" Type="http://schemas.openxmlformats.org/officeDocument/2006/relationships/hyperlink" Target="https://www.nosdeputes.fr/regis-juanico/csv" TargetMode="External"/><Relationship Id="rId172" Type="http://schemas.openxmlformats.org/officeDocument/2006/relationships/hyperlink" Target="https://www.nosdeputes.fr/marie-christine-verdier-jouclas" TargetMode="External"/><Relationship Id="rId171" Type="http://schemas.openxmlformats.org/officeDocument/2006/relationships/hyperlink" Target="http://www2.assemblee-nationale.fr/deputes/fiche/OMC_PA721542" TargetMode="External"/><Relationship Id="rId170" Type="http://schemas.openxmlformats.org/officeDocument/2006/relationships/hyperlink" Target="https://www.nosdeputes.fr/boris-vallaud/csv" TargetMode="External"/><Relationship Id="rId165" Type="http://schemas.openxmlformats.org/officeDocument/2006/relationships/hyperlink" Target="http://www2.assemblee-nationale.fr/deputes/fiche/OMC_PA608695" TargetMode="External"/><Relationship Id="rId164" Type="http://schemas.openxmlformats.org/officeDocument/2006/relationships/hyperlink" Target="https://www.nosdeputes.fr/laurent-saint-martin/csv" TargetMode="External"/><Relationship Id="rId163" Type="http://schemas.openxmlformats.org/officeDocument/2006/relationships/hyperlink" Target="https://www.nosdeputes.fr/laurent-saint-martin" TargetMode="External"/><Relationship Id="rId162" Type="http://schemas.openxmlformats.org/officeDocument/2006/relationships/hyperlink" Target="http://www2.assemblee-nationale.fr/deputes/fiche/OMC_PA720878" TargetMode="External"/><Relationship Id="rId169" Type="http://schemas.openxmlformats.org/officeDocument/2006/relationships/hyperlink" Target="https://www.nosdeputes.fr/boris-vallaud" TargetMode="External"/><Relationship Id="rId168" Type="http://schemas.openxmlformats.org/officeDocument/2006/relationships/hyperlink" Target="http://www2.assemblee-nationale.fr/deputes/fiche/OMC_PA719930" TargetMode="External"/><Relationship Id="rId167" Type="http://schemas.openxmlformats.org/officeDocument/2006/relationships/hyperlink" Target="https://www.nosdeputes.fr/cecile-untermaier/csv" TargetMode="External"/><Relationship Id="rId166" Type="http://schemas.openxmlformats.org/officeDocument/2006/relationships/hyperlink" Target="https://www.nosdeputes.fr/cecile-untermaier" TargetMode="External"/><Relationship Id="rId161" Type="http://schemas.openxmlformats.org/officeDocument/2006/relationships/hyperlink" Target="https://www.nosdeputes.fr/valerie-rabault/csv" TargetMode="External"/><Relationship Id="rId160" Type="http://schemas.openxmlformats.org/officeDocument/2006/relationships/hyperlink" Target="https://www.nosdeputes.fr/valerie-rabault" TargetMode="External"/><Relationship Id="rId159" Type="http://schemas.openxmlformats.org/officeDocument/2006/relationships/hyperlink" Target="http://www2.assemblee-nationale.fr/deputes/fiche/OMC_PA609590" TargetMode="External"/><Relationship Id="rId154" Type="http://schemas.openxmlformats.org/officeDocument/2006/relationships/hyperlink" Target="https://www.nosdeputes.fr/amelie-de-montchalin" TargetMode="External"/><Relationship Id="rId153" Type="http://schemas.openxmlformats.org/officeDocument/2006/relationships/hyperlink" Target="http://www2.assemblee-nationale.fr/deputes/fiche/OMC_PA721670" TargetMode="External"/><Relationship Id="rId152" Type="http://schemas.openxmlformats.org/officeDocument/2006/relationships/hyperlink" Target="https://www.nosdeputes.fr/jean-michel-mis/csv" TargetMode="External"/><Relationship Id="rId151" Type="http://schemas.openxmlformats.org/officeDocument/2006/relationships/hyperlink" Target="https://www.nosdeputes.fr/jean-michel-mis" TargetMode="External"/><Relationship Id="rId158" Type="http://schemas.openxmlformats.org/officeDocument/2006/relationships/hyperlink" Target="https://www.nosdeputes.fr/michele-peyron/csv" TargetMode="External"/><Relationship Id="rId157" Type="http://schemas.openxmlformats.org/officeDocument/2006/relationships/hyperlink" Target="https://www.nosdeputes.fr/michele-peyron" TargetMode="External"/><Relationship Id="rId156" Type="http://schemas.openxmlformats.org/officeDocument/2006/relationships/hyperlink" Target="http://www2.assemblee-nationale.fr/deputes/fiche/OMC_PA721710" TargetMode="External"/><Relationship Id="rId155" Type="http://schemas.openxmlformats.org/officeDocument/2006/relationships/hyperlink" Target="https://www.nosdeputes.fr/amelie-de-montchalin/csv" TargetMode="External"/><Relationship Id="rId1510" Type="http://schemas.openxmlformats.org/officeDocument/2006/relationships/hyperlink" Target="https://www.nosdeputes.fr/richard-ferrand" TargetMode="External"/><Relationship Id="rId1511" Type="http://schemas.openxmlformats.org/officeDocument/2006/relationships/hyperlink" Target="https://www.nosdeputes.fr/richard-ferrand/csv" TargetMode="External"/><Relationship Id="rId1512" Type="http://schemas.openxmlformats.org/officeDocument/2006/relationships/hyperlink" Target="http://www2.assemblee-nationale.fr/deputes/fiche/OMC_PA721784" TargetMode="External"/><Relationship Id="rId1513" Type="http://schemas.openxmlformats.org/officeDocument/2006/relationships/hyperlink" Target="https://www.nosdeputes.fr/valerie-gomez-bassac" TargetMode="External"/><Relationship Id="rId1514" Type="http://schemas.openxmlformats.org/officeDocument/2006/relationships/hyperlink" Target="https://www.nosdeputes.fr/valerie-gomez-bassac/csv" TargetMode="External"/><Relationship Id="rId1515" Type="http://schemas.openxmlformats.org/officeDocument/2006/relationships/hyperlink" Target="http://www2.assemblee-nationale.fr/deputes/fiche/OMC_PA721792" TargetMode="External"/><Relationship Id="rId1516" Type="http://schemas.openxmlformats.org/officeDocument/2006/relationships/hyperlink" Target="https://www.nosdeputes.fr/emilie-guerel" TargetMode="External"/><Relationship Id="rId1517" Type="http://schemas.openxmlformats.org/officeDocument/2006/relationships/hyperlink" Target="https://www.nosdeputes.fr/emilie-guerel/csv" TargetMode="External"/><Relationship Id="rId1518" Type="http://schemas.openxmlformats.org/officeDocument/2006/relationships/hyperlink" Target="http://www2.assemblee-nationale.fr/deputes/fiche/OMC_PA721126" TargetMode="External"/><Relationship Id="rId1519" Type="http://schemas.openxmlformats.org/officeDocument/2006/relationships/hyperlink" Target="https://www.nosdeputes.fr/claire-guion-firmin" TargetMode="External"/><Relationship Id="rId1500" Type="http://schemas.openxmlformats.org/officeDocument/2006/relationships/hyperlink" Target="http://www2.assemblee-nationale.fr/deputes/fiche/OMC_PA1029" TargetMode="External"/><Relationship Id="rId1501" Type="http://schemas.openxmlformats.org/officeDocument/2006/relationships/hyperlink" Target="https://www.nosdeputes.fr/bernard-deflesselles" TargetMode="External"/><Relationship Id="rId1502" Type="http://schemas.openxmlformats.org/officeDocument/2006/relationships/hyperlink" Target="https://www.nosdeputes.fr/bernard-deflesselles/csv" TargetMode="External"/><Relationship Id="rId1503" Type="http://schemas.openxmlformats.org/officeDocument/2006/relationships/hyperlink" Target="http://www2.assemblee-nationale.fr/deputes/fiche/OMC_PA721718" TargetMode="External"/><Relationship Id="rId1504" Type="http://schemas.openxmlformats.org/officeDocument/2006/relationships/hyperlink" Target="https://www.nosdeputes.fr/stephanie-do" TargetMode="External"/><Relationship Id="rId1505" Type="http://schemas.openxmlformats.org/officeDocument/2006/relationships/hyperlink" Target="https://www.nosdeputes.fr/stephanie-do/csv" TargetMode="External"/><Relationship Id="rId1506" Type="http://schemas.openxmlformats.org/officeDocument/2006/relationships/hyperlink" Target="http://www2.assemblee-nationale.fr/deputes/fiche/OMC_PA720664" TargetMode="External"/><Relationship Id="rId1507" Type="http://schemas.openxmlformats.org/officeDocument/2006/relationships/hyperlink" Target="https://www.nosdeputes.fr/jose-evrard" TargetMode="External"/><Relationship Id="rId1508" Type="http://schemas.openxmlformats.org/officeDocument/2006/relationships/hyperlink" Target="https://www.nosdeputes.fr/jose-evrard/csv" TargetMode="External"/><Relationship Id="rId1509" Type="http://schemas.openxmlformats.org/officeDocument/2006/relationships/hyperlink" Target="http://www2.assemblee-nationale.fr/deputes/fiche/OMC_PA606171" TargetMode="External"/><Relationship Id="rId1576" Type="http://schemas.openxmlformats.org/officeDocument/2006/relationships/hyperlink" Target="http://www2.assemblee-nationale.fr/deputes/fiche/OMC_PA720038" TargetMode="External"/><Relationship Id="rId1577" Type="http://schemas.openxmlformats.org/officeDocument/2006/relationships/hyperlink" Target="https://www.nosdeputes.fr/sandrine-josso" TargetMode="External"/><Relationship Id="rId1578" Type="http://schemas.openxmlformats.org/officeDocument/2006/relationships/hyperlink" Target="https://www.nosdeputes.fr/sandrine-josso/csv" TargetMode="External"/><Relationship Id="rId1579" Type="http://schemas.openxmlformats.org/officeDocument/2006/relationships/hyperlink" Target="http://www2.assemblee-nationale.fr/deputes/fiche/OMC_PA605518" TargetMode="External"/><Relationship Id="rId509" Type="http://schemas.openxmlformats.org/officeDocument/2006/relationships/hyperlink" Target="http://www2.assemblee-nationale.fr/deputes/fiche/OMC_PA720790" TargetMode="External"/><Relationship Id="rId508" Type="http://schemas.openxmlformats.org/officeDocument/2006/relationships/hyperlink" Target="https://www.nosdeputes.fr/claude-goasguen/csv" TargetMode="External"/><Relationship Id="rId503" Type="http://schemas.openxmlformats.org/officeDocument/2006/relationships/hyperlink" Target="http://www2.assemblee-nationale.fr/deputes/fiche/OMC_PA719480" TargetMode="External"/><Relationship Id="rId987" Type="http://schemas.openxmlformats.org/officeDocument/2006/relationships/hyperlink" Target="https://www.nosdeputes.fr/jean-luc-lagleize" TargetMode="External"/><Relationship Id="rId502" Type="http://schemas.openxmlformats.org/officeDocument/2006/relationships/hyperlink" Target="https://twitter.com/Gaillard2017" TargetMode="External"/><Relationship Id="rId986" Type="http://schemas.openxmlformats.org/officeDocument/2006/relationships/hyperlink" Target="http://www2.assemblee-nationale.fr/deputes/fiche/OMC_PA719504" TargetMode="External"/><Relationship Id="rId501" Type="http://schemas.openxmlformats.org/officeDocument/2006/relationships/hyperlink" Target="https://www.nosdeputes.fr/marc-fesneau/csv" TargetMode="External"/><Relationship Id="rId985" Type="http://schemas.openxmlformats.org/officeDocument/2006/relationships/hyperlink" Target="https://www.nosdeputes.fr/valerie-lacroute/csv" TargetMode="External"/><Relationship Id="rId500" Type="http://schemas.openxmlformats.org/officeDocument/2006/relationships/hyperlink" Target="https://www.nosdeputes.fr/marc-fesneau" TargetMode="External"/><Relationship Id="rId984" Type="http://schemas.openxmlformats.org/officeDocument/2006/relationships/hyperlink" Target="https://www.nosdeputes.fr/valerie-lacroute" TargetMode="External"/><Relationship Id="rId507" Type="http://schemas.openxmlformats.org/officeDocument/2006/relationships/hyperlink" Target="https://www.nosdeputes.fr/claude-goasguen" TargetMode="External"/><Relationship Id="rId506" Type="http://schemas.openxmlformats.org/officeDocument/2006/relationships/hyperlink" Target="http://www2.assemblee-nationale.fr/deputes/fiche/OMC_PA1498" TargetMode="External"/><Relationship Id="rId505" Type="http://schemas.openxmlformats.org/officeDocument/2006/relationships/hyperlink" Target="https://www.nosdeputes.fr/olivier-gaillard/csv" TargetMode="External"/><Relationship Id="rId989" Type="http://schemas.openxmlformats.org/officeDocument/2006/relationships/hyperlink" Target="http://www2.assemblee-nationale.fr/deputes/fiche/OMC_PA721434" TargetMode="External"/><Relationship Id="rId504" Type="http://schemas.openxmlformats.org/officeDocument/2006/relationships/hyperlink" Target="https://www.nosdeputes.fr/olivier-gaillard" TargetMode="External"/><Relationship Id="rId988" Type="http://schemas.openxmlformats.org/officeDocument/2006/relationships/hyperlink" Target="https://www.nosdeputes.fr/jean-luc-lagleize/csv" TargetMode="External"/><Relationship Id="rId1570" Type="http://schemas.openxmlformats.org/officeDocument/2006/relationships/hyperlink" Target="http://www2.assemblee-nationale.fr/deputes/fiche/OMC_PA1206" TargetMode="External"/><Relationship Id="rId1571" Type="http://schemas.openxmlformats.org/officeDocument/2006/relationships/hyperlink" Target="https://www.nosdeputes.fr/nicolas-dupont-aignan" TargetMode="External"/><Relationship Id="rId983" Type="http://schemas.openxmlformats.org/officeDocument/2006/relationships/hyperlink" Target="http://www2.assemblee-nationale.fr/deputes/fiche/OMC_PA609245" TargetMode="External"/><Relationship Id="rId1572" Type="http://schemas.openxmlformats.org/officeDocument/2006/relationships/hyperlink" Target="https://www.nosdeputes.fr/nicolas-dupont-aignan/csv" TargetMode="External"/><Relationship Id="rId982" Type="http://schemas.openxmlformats.org/officeDocument/2006/relationships/hyperlink" Target="https://www.nosdeputes.fr/charles-de-la-verpilliere/csv" TargetMode="External"/><Relationship Id="rId1573" Type="http://schemas.openxmlformats.org/officeDocument/2006/relationships/hyperlink" Target="http://www2.assemblee-nationale.fr/deputes/fiche/OMC_PA720198" TargetMode="External"/><Relationship Id="rId981" Type="http://schemas.openxmlformats.org/officeDocument/2006/relationships/hyperlink" Target="https://www.nosdeputes.fr/charles-de-la-verpilliere" TargetMode="External"/><Relationship Id="rId1574" Type="http://schemas.openxmlformats.org/officeDocument/2006/relationships/hyperlink" Target="https://www.nosdeputes.fr/gregory-galbadon" TargetMode="External"/><Relationship Id="rId980" Type="http://schemas.openxmlformats.org/officeDocument/2006/relationships/hyperlink" Target="http://www2.assemblee-nationale.fr/deputes/fiche/OMC_PA1012" TargetMode="External"/><Relationship Id="rId1575" Type="http://schemas.openxmlformats.org/officeDocument/2006/relationships/hyperlink" Target="https://www.nosdeputes.fr/gregory-galbadon/csv" TargetMode="External"/><Relationship Id="rId1565" Type="http://schemas.openxmlformats.org/officeDocument/2006/relationships/hyperlink" Target="https://www.nosdeputes.fr/francoise-dumas" TargetMode="External"/><Relationship Id="rId1566" Type="http://schemas.openxmlformats.org/officeDocument/2006/relationships/hyperlink" Target="https://www.nosdeputes.fr/francoise-dumas/csv" TargetMode="External"/><Relationship Id="rId1567" Type="http://schemas.openxmlformats.org/officeDocument/2006/relationships/hyperlink" Target="http://www2.assemblee-nationale.fr/deputes/fiche/OMC_PA1198" TargetMode="External"/><Relationship Id="rId1568" Type="http://schemas.openxmlformats.org/officeDocument/2006/relationships/hyperlink" Target="https://www.nosdeputes.fr/laurence-dumont" TargetMode="External"/><Relationship Id="rId1569" Type="http://schemas.openxmlformats.org/officeDocument/2006/relationships/hyperlink" Target="https://www.nosdeputes.fr/laurence-dumont/csv" TargetMode="External"/><Relationship Id="rId976" Type="http://schemas.openxmlformats.org/officeDocument/2006/relationships/hyperlink" Target="https://www.nosdeputes.fr/yannick-kerlogot/csv" TargetMode="External"/><Relationship Id="rId975" Type="http://schemas.openxmlformats.org/officeDocument/2006/relationships/hyperlink" Target="https://www.nosdeputes.fr/yannick-kerlogot" TargetMode="External"/><Relationship Id="rId974" Type="http://schemas.openxmlformats.org/officeDocument/2006/relationships/hyperlink" Target="http://www2.assemblee-nationale.fr/deputes/fiche/OMC_PA719230" TargetMode="External"/><Relationship Id="rId973" Type="http://schemas.openxmlformats.org/officeDocument/2006/relationships/hyperlink" Target="https://www.nosdeputes.fr/cyrille-isaac-sibille/csv" TargetMode="External"/><Relationship Id="rId979" Type="http://schemas.openxmlformats.org/officeDocument/2006/relationships/hyperlink" Target="https://www.nosdeputes.fr/brigitte-kuster/csv" TargetMode="External"/><Relationship Id="rId978" Type="http://schemas.openxmlformats.org/officeDocument/2006/relationships/hyperlink" Target="https://www.nosdeputes.fr/brigitte-kuster" TargetMode="External"/><Relationship Id="rId977" Type="http://schemas.openxmlformats.org/officeDocument/2006/relationships/hyperlink" Target="http://www2.assemblee-nationale.fr/deputes/fiche/OMC_PA721506" TargetMode="External"/><Relationship Id="rId1560" Type="http://schemas.openxmlformats.org/officeDocument/2006/relationships/hyperlink" Target="https://www.nosdeputes.fr/stephane-demilly/csv" TargetMode="External"/><Relationship Id="rId972" Type="http://schemas.openxmlformats.org/officeDocument/2006/relationships/hyperlink" Target="https://www.nosdeputes.fr/cyrille-isaac-sibille" TargetMode="External"/><Relationship Id="rId1561" Type="http://schemas.openxmlformats.org/officeDocument/2006/relationships/hyperlink" Target="http://www2.assemblee-nationale.fr/deputes/fiche/OMC_PA342935" TargetMode="External"/><Relationship Id="rId971" Type="http://schemas.openxmlformats.org/officeDocument/2006/relationships/hyperlink" Target="http://www2.assemblee-nationale.fr/deputes/fiche/OMC_PA722374" TargetMode="External"/><Relationship Id="rId1562" Type="http://schemas.openxmlformats.org/officeDocument/2006/relationships/hyperlink" Target="https://www.nosdeputes.fr/marianne-dubois" TargetMode="External"/><Relationship Id="rId970" Type="http://schemas.openxmlformats.org/officeDocument/2006/relationships/hyperlink" Target="https://www.nosdeputes.fr/monique-iborra/csv" TargetMode="External"/><Relationship Id="rId1563" Type="http://schemas.openxmlformats.org/officeDocument/2006/relationships/hyperlink" Target="https://www.nosdeputes.fr/marianne-dubois/csv" TargetMode="External"/><Relationship Id="rId1564" Type="http://schemas.openxmlformats.org/officeDocument/2006/relationships/hyperlink" Target="http://www2.assemblee-nationale.fr/deputes/fiche/OMC_PA606202" TargetMode="External"/><Relationship Id="rId1114" Type="http://schemas.openxmlformats.org/officeDocument/2006/relationships/hyperlink" Target="https://www.nosdeputes.fr/gerard-cherpion" TargetMode="External"/><Relationship Id="rId1598" Type="http://schemas.openxmlformats.org/officeDocument/2006/relationships/hyperlink" Target="http://www2.assemblee-nationale.fr/deputes/fiche/OMC_PA2792" TargetMode="External"/><Relationship Id="rId1115" Type="http://schemas.openxmlformats.org/officeDocument/2006/relationships/hyperlink" Target="https://www.nosdeputes.fr/gerard-cherpion/csv" TargetMode="External"/><Relationship Id="rId1599" Type="http://schemas.openxmlformats.org/officeDocument/2006/relationships/hyperlink" Target="https://www.nosdeputes.fr/jean-charles-taugourdeau" TargetMode="External"/><Relationship Id="rId1116" Type="http://schemas.openxmlformats.org/officeDocument/2006/relationships/hyperlink" Target="http://www2.assemblee-nationale.fr/deputes/fiche/OMC_PA719294" TargetMode="External"/><Relationship Id="rId1117" Type="http://schemas.openxmlformats.org/officeDocument/2006/relationships/hyperlink" Target="https://www.nosdeputes.fr/mireille-clapot" TargetMode="External"/><Relationship Id="rId1118" Type="http://schemas.openxmlformats.org/officeDocument/2006/relationships/hyperlink" Target="https://www.nosdeputes.fr/mireille-clapot/csv" TargetMode="External"/><Relationship Id="rId1119" Type="http://schemas.openxmlformats.org/officeDocument/2006/relationships/hyperlink" Target="http://www2.assemblee-nationale.fr/deputes/fiche/OMC_PA720696" TargetMode="External"/><Relationship Id="rId525" Type="http://schemas.openxmlformats.org/officeDocument/2006/relationships/hyperlink" Target="http://www2.assemblee-nationale.fr/deputes/fiche/OMC_PA719372" TargetMode="External"/><Relationship Id="rId524" Type="http://schemas.openxmlformats.org/officeDocument/2006/relationships/hyperlink" Target="https://www.nosdeputes.fr/francois-jolivet/csv" TargetMode="External"/><Relationship Id="rId523" Type="http://schemas.openxmlformats.org/officeDocument/2006/relationships/hyperlink" Target="https://www.nosdeputes.fr/francois-jolivet" TargetMode="External"/><Relationship Id="rId522" Type="http://schemas.openxmlformats.org/officeDocument/2006/relationships/hyperlink" Target="http://www2.assemblee-nationale.fr/deputes/fiche/OMC_PA719778" TargetMode="External"/><Relationship Id="rId529" Type="http://schemas.openxmlformats.org/officeDocument/2006/relationships/hyperlink" Target="https://www.nosdeputes.fr/fadila-khattabi" TargetMode="External"/><Relationship Id="rId528" Type="http://schemas.openxmlformats.org/officeDocument/2006/relationships/hyperlink" Target="http://www2.assemblee-nationale.fr/deputes/fiche/OMC_PA719186" TargetMode="External"/><Relationship Id="rId527" Type="http://schemas.openxmlformats.org/officeDocument/2006/relationships/hyperlink" Target="https://www.nosdeputes.fr/guillaume-kasbarian/csv" TargetMode="External"/><Relationship Id="rId526" Type="http://schemas.openxmlformats.org/officeDocument/2006/relationships/hyperlink" Target="https://www.nosdeputes.fr/guillaume-kasbarian" TargetMode="External"/><Relationship Id="rId1590" Type="http://schemas.openxmlformats.org/officeDocument/2006/relationships/hyperlink" Target="https://www.nosdeputes.fr/josy-poueyto" TargetMode="External"/><Relationship Id="rId1591" Type="http://schemas.openxmlformats.org/officeDocument/2006/relationships/hyperlink" Target="https://www.nosdeputes.fr/josy-poueyto/csv" TargetMode="External"/><Relationship Id="rId1592" Type="http://schemas.openxmlformats.org/officeDocument/2006/relationships/hyperlink" Target="http://www2.assemblee-nationale.fr/deputes/fiche/OMC_PA335758" TargetMode="External"/><Relationship Id="rId1593" Type="http://schemas.openxmlformats.org/officeDocument/2006/relationships/hyperlink" Target="https://www.nosdeputes.fr/franck-riester" TargetMode="External"/><Relationship Id="rId521" Type="http://schemas.openxmlformats.org/officeDocument/2006/relationships/hyperlink" Target="https://www.nosdeputes.fr/jean-michel-jacques/csv" TargetMode="External"/><Relationship Id="rId1110" Type="http://schemas.openxmlformats.org/officeDocument/2006/relationships/hyperlink" Target="http://www2.assemblee-nationale.fr/deputes/fiche/OMC_PA719170" TargetMode="External"/><Relationship Id="rId1594" Type="http://schemas.openxmlformats.org/officeDocument/2006/relationships/hyperlink" Target="https://www.nosdeputes.fr/franck-riester/csv" TargetMode="External"/><Relationship Id="rId520" Type="http://schemas.openxmlformats.org/officeDocument/2006/relationships/hyperlink" Target="https://www.nosdeputes.fr/jean-michel-jacques" TargetMode="External"/><Relationship Id="rId1111" Type="http://schemas.openxmlformats.org/officeDocument/2006/relationships/hyperlink" Target="https://www.nosdeputes.fr/fannette-charvier" TargetMode="External"/><Relationship Id="rId1595" Type="http://schemas.openxmlformats.org/officeDocument/2006/relationships/hyperlink" Target="http://www2.assemblee-nationale.fr/deputes/fiche/OMC_PA343493" TargetMode="External"/><Relationship Id="rId1112" Type="http://schemas.openxmlformats.org/officeDocument/2006/relationships/hyperlink" Target="https://www.nosdeputes.fr/fannette-charvier/csv" TargetMode="External"/><Relationship Id="rId1596" Type="http://schemas.openxmlformats.org/officeDocument/2006/relationships/hyperlink" Target="https://www.nosdeputes.fr/gwendal-rouillard" TargetMode="External"/><Relationship Id="rId1113" Type="http://schemas.openxmlformats.org/officeDocument/2006/relationships/hyperlink" Target="http://www2.assemblee-nationale.fr/deputes/fiche/OMC_PA856" TargetMode="External"/><Relationship Id="rId1597" Type="http://schemas.openxmlformats.org/officeDocument/2006/relationships/hyperlink" Target="https://www.nosdeputes.fr/gwendal-rouillard/csv" TargetMode="External"/><Relationship Id="rId1103" Type="http://schemas.openxmlformats.org/officeDocument/2006/relationships/hyperlink" Target="https://www.nosdeputes.fr/lionel-causse/csv" TargetMode="External"/><Relationship Id="rId1587" Type="http://schemas.openxmlformats.org/officeDocument/2006/relationships/hyperlink" Target="https://www.nosdeputes.fr/patrick-mignola/csv" TargetMode="External"/><Relationship Id="rId1104" Type="http://schemas.openxmlformats.org/officeDocument/2006/relationships/hyperlink" Target="http://www2.assemblee-nationale.fr/deputes/fiche/OMC_PA721860" TargetMode="External"/><Relationship Id="rId1588" Type="http://schemas.openxmlformats.org/officeDocument/2006/relationships/hyperlink" Target="https://twitter.com/josypoueyto" TargetMode="External"/><Relationship Id="rId1105" Type="http://schemas.openxmlformats.org/officeDocument/2006/relationships/hyperlink" Target="https://www.nosdeputes.fr/jean-francois-cesarini" TargetMode="External"/><Relationship Id="rId1589" Type="http://schemas.openxmlformats.org/officeDocument/2006/relationships/hyperlink" Target="http://www2.assemblee-nationale.fr/deputes/fiche/OMC_PA720720" TargetMode="External"/><Relationship Id="rId1106" Type="http://schemas.openxmlformats.org/officeDocument/2006/relationships/hyperlink" Target="https://www.nosdeputes.fr/jean-francois-cesarini/csv" TargetMode="External"/><Relationship Id="rId1107" Type="http://schemas.openxmlformats.org/officeDocument/2006/relationships/hyperlink" Target="http://www2.assemblee-nationale.fr/deputes/fiche/OMC_PA721218" TargetMode="External"/><Relationship Id="rId1108" Type="http://schemas.openxmlformats.org/officeDocument/2006/relationships/hyperlink" Target="https://www.nosdeputes.fr/sylvie-charriere" TargetMode="External"/><Relationship Id="rId1109" Type="http://schemas.openxmlformats.org/officeDocument/2006/relationships/hyperlink" Target="https://www.nosdeputes.fr/sylvie-charriere/csv" TargetMode="External"/><Relationship Id="rId519" Type="http://schemas.openxmlformats.org/officeDocument/2006/relationships/hyperlink" Target="http://www2.assemblee-nationale.fr/deputes/fiche/OMC_PA720354" TargetMode="External"/><Relationship Id="rId514" Type="http://schemas.openxmlformats.org/officeDocument/2006/relationships/hyperlink" Target="https://www.nosdeputes.fr/yannick-haury/csv" TargetMode="External"/><Relationship Id="rId998" Type="http://schemas.openxmlformats.org/officeDocument/2006/relationships/hyperlink" Target="http://www2.assemblee-nationale.fr/deputes/fiche/OMC_PA722008" TargetMode="External"/><Relationship Id="rId513" Type="http://schemas.openxmlformats.org/officeDocument/2006/relationships/hyperlink" Target="https://www.nosdeputes.fr/yannick-haury" TargetMode="External"/><Relationship Id="rId997" Type="http://schemas.openxmlformats.org/officeDocument/2006/relationships/hyperlink" Target="https://www.nosdeputes.fr/stephane-le-foll/csv" TargetMode="External"/><Relationship Id="rId512" Type="http://schemas.openxmlformats.org/officeDocument/2006/relationships/hyperlink" Target="http://www2.assemblee-nationale.fr/deputes/fiche/OMC_PA720054" TargetMode="External"/><Relationship Id="rId996" Type="http://schemas.openxmlformats.org/officeDocument/2006/relationships/hyperlink" Target="https://www.nosdeputes.fr/stephane-le-foll" TargetMode="External"/><Relationship Id="rId511" Type="http://schemas.openxmlformats.org/officeDocument/2006/relationships/hyperlink" Target="https://www.nosdeputes.fr/romain-grau/csv" TargetMode="External"/><Relationship Id="rId995" Type="http://schemas.openxmlformats.org/officeDocument/2006/relationships/hyperlink" Target="http://www2.assemblee-nationale.fr/deputes/fiche/OMC_PA588886" TargetMode="External"/><Relationship Id="rId518" Type="http://schemas.openxmlformats.org/officeDocument/2006/relationships/hyperlink" Target="https://twitter.com/J_M_Jacques" TargetMode="External"/><Relationship Id="rId517" Type="http://schemas.openxmlformats.org/officeDocument/2006/relationships/hyperlink" Target="https://www.nosdeputes.fr/antoine-herth/csv" TargetMode="External"/><Relationship Id="rId516" Type="http://schemas.openxmlformats.org/officeDocument/2006/relationships/hyperlink" Target="https://www.nosdeputes.fr/antoine-herth" TargetMode="External"/><Relationship Id="rId515" Type="http://schemas.openxmlformats.org/officeDocument/2006/relationships/hyperlink" Target="http://www2.assemblee-nationale.fr/deputes/fiche/OMC_PA267355" TargetMode="External"/><Relationship Id="rId999" Type="http://schemas.openxmlformats.org/officeDocument/2006/relationships/hyperlink" Target="https://www.nosdeputes.fr/martine-leguille-balloy" TargetMode="External"/><Relationship Id="rId990" Type="http://schemas.openxmlformats.org/officeDocument/2006/relationships/hyperlink" Target="https://www.nosdeputes.fr/frederique-lardet" TargetMode="External"/><Relationship Id="rId1580" Type="http://schemas.openxmlformats.org/officeDocument/2006/relationships/hyperlink" Target="https://www.nosdeputes.fr/francois-michel-lambert" TargetMode="External"/><Relationship Id="rId1581" Type="http://schemas.openxmlformats.org/officeDocument/2006/relationships/hyperlink" Target="https://www.nosdeputes.fr/francois-michel-lambert/csv" TargetMode="External"/><Relationship Id="rId1582" Type="http://schemas.openxmlformats.org/officeDocument/2006/relationships/hyperlink" Target="http://www2.assemblee-nationale.fr/deputes/fiche/OMC_PA643205" TargetMode="External"/><Relationship Id="rId510" Type="http://schemas.openxmlformats.org/officeDocument/2006/relationships/hyperlink" Target="https://www.nosdeputes.fr/romain-grau" TargetMode="External"/><Relationship Id="rId994" Type="http://schemas.openxmlformats.org/officeDocument/2006/relationships/hyperlink" Target="https://www.nosdeputes.fr/michel-larive/csv" TargetMode="External"/><Relationship Id="rId1583" Type="http://schemas.openxmlformats.org/officeDocument/2006/relationships/hyperlink" Target="https://www.nosdeputes.fr/anne-christine-lang" TargetMode="External"/><Relationship Id="rId993" Type="http://schemas.openxmlformats.org/officeDocument/2006/relationships/hyperlink" Target="https://www.nosdeputes.fr/michel-larive" TargetMode="External"/><Relationship Id="rId1100" Type="http://schemas.openxmlformats.org/officeDocument/2006/relationships/hyperlink" Target="https://www.nosdeputes.fr/stephane-buchou/csv" TargetMode="External"/><Relationship Id="rId1584" Type="http://schemas.openxmlformats.org/officeDocument/2006/relationships/hyperlink" Target="https://www.nosdeputes.fr/anne-christine-lang/csv" TargetMode="External"/><Relationship Id="rId992" Type="http://schemas.openxmlformats.org/officeDocument/2006/relationships/hyperlink" Target="http://www2.assemblee-nationale.fr/deputes/fiche/OMC_PA718868" TargetMode="External"/><Relationship Id="rId1101" Type="http://schemas.openxmlformats.org/officeDocument/2006/relationships/hyperlink" Target="http://www2.assemblee-nationale.fr/deputes/fiche/OMC_PA719922" TargetMode="External"/><Relationship Id="rId1585" Type="http://schemas.openxmlformats.org/officeDocument/2006/relationships/hyperlink" Target="http://www2.assemblee-nationale.fr/deputes/fiche/OMC_PA721418" TargetMode="External"/><Relationship Id="rId991" Type="http://schemas.openxmlformats.org/officeDocument/2006/relationships/hyperlink" Target="https://www.nosdeputes.fr/frederique-lardet/csv" TargetMode="External"/><Relationship Id="rId1102" Type="http://schemas.openxmlformats.org/officeDocument/2006/relationships/hyperlink" Target="https://www.nosdeputes.fr/lionel-causse" TargetMode="External"/><Relationship Id="rId1586" Type="http://schemas.openxmlformats.org/officeDocument/2006/relationships/hyperlink" Target="https://www.nosdeputes.fr/patrick-mignola" TargetMode="External"/><Relationship Id="rId1532" Type="http://schemas.openxmlformats.org/officeDocument/2006/relationships/hyperlink" Target="https://www.nosdeputes.fr/maurice-leroy" TargetMode="External"/><Relationship Id="rId1533" Type="http://schemas.openxmlformats.org/officeDocument/2006/relationships/hyperlink" Target="https://www.nosdeputes.fr/maurice-leroy/csv" TargetMode="External"/><Relationship Id="rId1534" Type="http://schemas.openxmlformats.org/officeDocument/2006/relationships/hyperlink" Target="http://www2.assemblee-nationale.fr/deputes/fiche/OMC_PA334116" TargetMode="External"/><Relationship Id="rId1535" Type="http://schemas.openxmlformats.org/officeDocument/2006/relationships/hyperlink" Target="https://www.nosdeputes.fr/jacqueline-maquet" TargetMode="External"/><Relationship Id="rId1536" Type="http://schemas.openxmlformats.org/officeDocument/2006/relationships/hyperlink" Target="https://www.nosdeputes.fr/jacqueline-maquet/csv" TargetMode="External"/><Relationship Id="rId1537" Type="http://schemas.openxmlformats.org/officeDocument/2006/relationships/hyperlink" Target="http://www2.assemblee-nationale.fr/deputes/fiche/OMC_PA721656" TargetMode="External"/><Relationship Id="rId1538" Type="http://schemas.openxmlformats.org/officeDocument/2006/relationships/hyperlink" Target="https://www.nosdeputes.fr/cecile-muschotti" TargetMode="External"/><Relationship Id="rId1539" Type="http://schemas.openxmlformats.org/officeDocument/2006/relationships/hyperlink" Target="https://www.nosdeputes.fr/cecile-muschotti/csv" TargetMode="External"/><Relationship Id="rId949" Type="http://schemas.openxmlformats.org/officeDocument/2006/relationships/hyperlink" Target="http://www2.assemblee-nationale.fr/deputes/fiche/OMC_PA718674" TargetMode="External"/><Relationship Id="rId948" Type="http://schemas.openxmlformats.org/officeDocument/2006/relationships/hyperlink" Target="https://www.nosdeputes.fr/raphael-gerard/csv" TargetMode="External"/><Relationship Id="rId943" Type="http://schemas.openxmlformats.org/officeDocument/2006/relationships/hyperlink" Target="http://www2.assemblee-nationale.fr/deputes/fiche/OMC_PA721364" TargetMode="External"/><Relationship Id="rId942" Type="http://schemas.openxmlformats.org/officeDocument/2006/relationships/hyperlink" Target="https://www.nosdeputes.fr/patricia-gallerneau/csv" TargetMode="External"/><Relationship Id="rId941" Type="http://schemas.openxmlformats.org/officeDocument/2006/relationships/hyperlink" Target="https://www.nosdeputes.fr/patricia-gallerneau" TargetMode="External"/><Relationship Id="rId940" Type="http://schemas.openxmlformats.org/officeDocument/2006/relationships/hyperlink" Target="http://www2.assemblee-nationale.fr/deputes/fiche/OMC_PA721992" TargetMode="External"/><Relationship Id="rId947" Type="http://schemas.openxmlformats.org/officeDocument/2006/relationships/hyperlink" Target="https://www.nosdeputes.fr/raphael-gerard" TargetMode="External"/><Relationship Id="rId946" Type="http://schemas.openxmlformats.org/officeDocument/2006/relationships/hyperlink" Target="http://www2.assemblee-nationale.fr/deputes/fiche/OMC_PA719108" TargetMode="External"/><Relationship Id="rId945" Type="http://schemas.openxmlformats.org/officeDocument/2006/relationships/hyperlink" Target="https://www.nosdeputes.fr/raphael-gauvain/csv" TargetMode="External"/><Relationship Id="rId944" Type="http://schemas.openxmlformats.org/officeDocument/2006/relationships/hyperlink" Target="https://www.nosdeputes.fr/raphael-gauvain" TargetMode="External"/><Relationship Id="rId1530" Type="http://schemas.openxmlformats.org/officeDocument/2006/relationships/hyperlink" Target="https://www.nosdeputes.fr/jerome-lambert/csv" TargetMode="External"/><Relationship Id="rId1531" Type="http://schemas.openxmlformats.org/officeDocument/2006/relationships/hyperlink" Target="http://www2.assemblee-nationale.fr/deputes/fiche/OMC_PA1960" TargetMode="External"/><Relationship Id="rId1521" Type="http://schemas.openxmlformats.org/officeDocument/2006/relationships/hyperlink" Target="http://www2.assemblee-nationale.fr/deputes/fiche/OMC_PA722070" TargetMode="External"/><Relationship Id="rId1522" Type="http://schemas.openxmlformats.org/officeDocument/2006/relationships/hyperlink" Target="https://www.nosdeputes.fr/pierre-henriet" TargetMode="External"/><Relationship Id="rId1523" Type="http://schemas.openxmlformats.org/officeDocument/2006/relationships/hyperlink" Target="https://www.nosdeputes.fr/pierre-henriet/csv" TargetMode="External"/><Relationship Id="rId1524" Type="http://schemas.openxmlformats.org/officeDocument/2006/relationships/hyperlink" Target="http://www2.assemblee-nationale.fr/deputes/fiche/OMC_PA720202" TargetMode="External"/><Relationship Id="rId1525" Type="http://schemas.openxmlformats.org/officeDocument/2006/relationships/hyperlink" Target="https://www.nosdeputes.fr/sonia-krimi" TargetMode="External"/><Relationship Id="rId1526" Type="http://schemas.openxmlformats.org/officeDocument/2006/relationships/hyperlink" Target="https://www.nosdeputes.fr/sonia-krimi/csv" TargetMode="External"/><Relationship Id="rId1527" Type="http://schemas.openxmlformats.org/officeDocument/2006/relationships/hyperlink" Target="https://twitter.com/jeromelambert16" TargetMode="External"/><Relationship Id="rId1528" Type="http://schemas.openxmlformats.org/officeDocument/2006/relationships/hyperlink" Target="http://www2.assemblee-nationale.fr/deputes/fiche/OMC_PA1809" TargetMode="External"/><Relationship Id="rId1529" Type="http://schemas.openxmlformats.org/officeDocument/2006/relationships/hyperlink" Target="https://www.nosdeputes.fr/jerome-lambert" TargetMode="External"/><Relationship Id="rId939" Type="http://schemas.openxmlformats.org/officeDocument/2006/relationships/hyperlink" Target="https://www.nosdeputes.fr/bruno-fuchs/csv" TargetMode="External"/><Relationship Id="rId938" Type="http://schemas.openxmlformats.org/officeDocument/2006/relationships/hyperlink" Target="https://www.nosdeputes.fr/bruno-fuchs" TargetMode="External"/><Relationship Id="rId937" Type="http://schemas.openxmlformats.org/officeDocument/2006/relationships/hyperlink" Target="http://www2.assemblee-nationale.fr/deputes/fiche/OMC_PA722284" TargetMode="External"/><Relationship Id="rId932" Type="http://schemas.openxmlformats.org/officeDocument/2006/relationships/hyperlink" Target="https://www.nosdeputes.fr/olivier-falorni" TargetMode="External"/><Relationship Id="rId931" Type="http://schemas.openxmlformats.org/officeDocument/2006/relationships/hyperlink" Target="http://www2.assemblee-nationale.fr/deputes/fiche/OMC_PA605694" TargetMode="External"/><Relationship Id="rId930" Type="http://schemas.openxmlformats.org/officeDocument/2006/relationships/hyperlink" Target="https://www.nosdeputes.fr/nadia-essayan/csv" TargetMode="External"/><Relationship Id="rId936" Type="http://schemas.openxmlformats.org/officeDocument/2006/relationships/hyperlink" Target="https://www.nosdeputes.fr/paula-forteza/csv" TargetMode="External"/><Relationship Id="rId935" Type="http://schemas.openxmlformats.org/officeDocument/2006/relationships/hyperlink" Target="https://www.nosdeputes.fr/paula-forteza" TargetMode="External"/><Relationship Id="rId934" Type="http://schemas.openxmlformats.org/officeDocument/2006/relationships/hyperlink" Target="http://www2.assemblee-nationale.fr/deputes/fiche/OMC_PA721142" TargetMode="External"/><Relationship Id="rId933" Type="http://schemas.openxmlformats.org/officeDocument/2006/relationships/hyperlink" Target="https://www.nosdeputes.fr/olivier-falorni/csv" TargetMode="External"/><Relationship Id="rId1520" Type="http://schemas.openxmlformats.org/officeDocument/2006/relationships/hyperlink" Target="https://www.nosdeputes.fr/claire-guion-firmin/csv" TargetMode="External"/><Relationship Id="rId1554" Type="http://schemas.openxmlformats.org/officeDocument/2006/relationships/hyperlink" Target="https://www.nosdeputes.fr/cedric-villani/csv" TargetMode="External"/><Relationship Id="rId1555" Type="http://schemas.openxmlformats.org/officeDocument/2006/relationships/hyperlink" Target="http://www2.assemblee-nationale.fr/deputes/fiche/OMC_PA508" TargetMode="External"/><Relationship Id="rId1556" Type="http://schemas.openxmlformats.org/officeDocument/2006/relationships/hyperlink" Target="https://www.nosdeputes.fr/gisele-biemouret" TargetMode="External"/><Relationship Id="rId1557" Type="http://schemas.openxmlformats.org/officeDocument/2006/relationships/hyperlink" Target="https://www.nosdeputes.fr/gisele-biemouret/csv" TargetMode="External"/><Relationship Id="rId1558" Type="http://schemas.openxmlformats.org/officeDocument/2006/relationships/hyperlink" Target="http://www2.assemblee-nationale.fr/deputes/fiche/OMC_PA267241" TargetMode="External"/><Relationship Id="rId1559" Type="http://schemas.openxmlformats.org/officeDocument/2006/relationships/hyperlink" Target="https://www.nosdeputes.fr/stephane-demilly" TargetMode="External"/><Relationship Id="rId965" Type="http://schemas.openxmlformats.org/officeDocument/2006/relationships/hyperlink" Target="http://www2.assemblee-nationale.fr/deputes/fiche/OMC_PA267200" TargetMode="External"/><Relationship Id="rId964" Type="http://schemas.openxmlformats.org/officeDocument/2006/relationships/hyperlink" Target="https://www.nosdeputes.fr/christian-hutin/csv" TargetMode="External"/><Relationship Id="rId963" Type="http://schemas.openxmlformats.org/officeDocument/2006/relationships/hyperlink" Target="https://www.nosdeputes.fr/christian-hutin" TargetMode="External"/><Relationship Id="rId962" Type="http://schemas.openxmlformats.org/officeDocument/2006/relationships/hyperlink" Target="http://www2.assemblee-nationale.fr/deputes/fiche/OMC_PA333818" TargetMode="External"/><Relationship Id="rId969" Type="http://schemas.openxmlformats.org/officeDocument/2006/relationships/hyperlink" Target="https://www.nosdeputes.fr/monique-iborra" TargetMode="External"/><Relationship Id="rId968" Type="http://schemas.openxmlformats.org/officeDocument/2006/relationships/hyperlink" Target="http://www2.assemblee-nationale.fr/deputes/fiche/OMC_PA331835" TargetMode="External"/><Relationship Id="rId967" Type="http://schemas.openxmlformats.org/officeDocument/2006/relationships/hyperlink" Target="https://www.nosdeputes.fr/sebastien-huyghe/csv" TargetMode="External"/><Relationship Id="rId966" Type="http://schemas.openxmlformats.org/officeDocument/2006/relationships/hyperlink" Target="https://www.nosdeputes.fr/sebastien-huyghe" TargetMode="External"/><Relationship Id="rId961" Type="http://schemas.openxmlformats.org/officeDocument/2006/relationships/hyperlink" Target="https://twitter.com/ChristianHutin" TargetMode="External"/><Relationship Id="rId1550" Type="http://schemas.openxmlformats.org/officeDocument/2006/relationships/hyperlink" Target="https://www.nosdeputes.fr/michel-vialay" TargetMode="External"/><Relationship Id="rId960" Type="http://schemas.openxmlformats.org/officeDocument/2006/relationships/hyperlink" Target="https://www.nosdeputes.fr/daniele-herin/csv" TargetMode="External"/><Relationship Id="rId1551" Type="http://schemas.openxmlformats.org/officeDocument/2006/relationships/hyperlink" Target="https://www.nosdeputes.fr/michel-vialay/csv" TargetMode="External"/><Relationship Id="rId1552" Type="http://schemas.openxmlformats.org/officeDocument/2006/relationships/hyperlink" Target="http://www2.assemblee-nationale.fr/deputes/fiche/OMC_PA722260" TargetMode="External"/><Relationship Id="rId1553" Type="http://schemas.openxmlformats.org/officeDocument/2006/relationships/hyperlink" Target="https://www.nosdeputes.fr/cedric-villani" TargetMode="External"/><Relationship Id="rId1543" Type="http://schemas.openxmlformats.org/officeDocument/2006/relationships/hyperlink" Target="http://www2.assemblee-nationale.fr/deputes/fiche/OMC_PA720952" TargetMode="External"/><Relationship Id="rId1544" Type="http://schemas.openxmlformats.org/officeDocument/2006/relationships/hyperlink" Target="https://www.nosdeputes.fr/aurelien-tache" TargetMode="External"/><Relationship Id="rId1545" Type="http://schemas.openxmlformats.org/officeDocument/2006/relationships/hyperlink" Target="https://www.nosdeputes.fr/aurelien-tache/csv" TargetMode="External"/><Relationship Id="rId1546" Type="http://schemas.openxmlformats.org/officeDocument/2006/relationships/hyperlink" Target="http://www2.assemblee-nationale.fr/deputes/fiche/OMC_PA719302" TargetMode="External"/><Relationship Id="rId1547" Type="http://schemas.openxmlformats.org/officeDocument/2006/relationships/hyperlink" Target="https://www.nosdeputes.fr/alice-thourot" TargetMode="External"/><Relationship Id="rId1548" Type="http://schemas.openxmlformats.org/officeDocument/2006/relationships/hyperlink" Target="https://www.nosdeputes.fr/alice-thourot/csv" TargetMode="External"/><Relationship Id="rId1549" Type="http://schemas.openxmlformats.org/officeDocument/2006/relationships/hyperlink" Target="http://www2.assemblee-nationale.fr/deputes/fiche/OMC_PA721968" TargetMode="External"/><Relationship Id="rId959" Type="http://schemas.openxmlformats.org/officeDocument/2006/relationships/hyperlink" Target="https://www.nosdeputes.fr/daniele-herin" TargetMode="External"/><Relationship Id="rId954" Type="http://schemas.openxmlformats.org/officeDocument/2006/relationships/hyperlink" Target="https://www.nosdeputes.fr/david-habib/csv" TargetMode="External"/><Relationship Id="rId953" Type="http://schemas.openxmlformats.org/officeDocument/2006/relationships/hyperlink" Target="https://www.nosdeputes.fr/david-habib" TargetMode="External"/><Relationship Id="rId952" Type="http://schemas.openxmlformats.org/officeDocument/2006/relationships/hyperlink" Target="http://www2.assemblee-nationale.fr/deputes/fiche/OMC_PA1592" TargetMode="External"/><Relationship Id="rId951" Type="http://schemas.openxmlformats.org/officeDocument/2006/relationships/hyperlink" Target="https://www.nosdeputes.fr/olga-givernet/csv" TargetMode="External"/><Relationship Id="rId958" Type="http://schemas.openxmlformats.org/officeDocument/2006/relationships/hyperlink" Target="http://www2.assemblee-nationale.fr/deputes/fiche/OMC_PA718794" TargetMode="External"/><Relationship Id="rId957" Type="http://schemas.openxmlformats.org/officeDocument/2006/relationships/hyperlink" Target="https://www.nosdeputes.fr/veronique-hammerer/csv" TargetMode="External"/><Relationship Id="rId956" Type="http://schemas.openxmlformats.org/officeDocument/2006/relationships/hyperlink" Target="https://www.nosdeputes.fr/veronique-hammerer" TargetMode="External"/><Relationship Id="rId955" Type="http://schemas.openxmlformats.org/officeDocument/2006/relationships/hyperlink" Target="http://www2.assemblee-nationale.fr/deputes/fiche/OMC_PA719652" TargetMode="External"/><Relationship Id="rId950" Type="http://schemas.openxmlformats.org/officeDocument/2006/relationships/hyperlink" Target="https://www.nosdeputes.fr/olga-givernet" TargetMode="External"/><Relationship Id="rId1540" Type="http://schemas.openxmlformats.org/officeDocument/2006/relationships/hyperlink" Target="http://www2.assemblee-nationale.fr/deputes/fiche/OMC_PA721956" TargetMode="External"/><Relationship Id="rId1541" Type="http://schemas.openxmlformats.org/officeDocument/2006/relationships/hyperlink" Target="https://www.nosdeputes.fr/delphine-o" TargetMode="External"/><Relationship Id="rId1542" Type="http://schemas.openxmlformats.org/officeDocument/2006/relationships/hyperlink" Target="https://www.nosdeputes.fr/delphine-o/csv" TargetMode="External"/><Relationship Id="rId590" Type="http://schemas.openxmlformats.org/officeDocument/2006/relationships/hyperlink" Target="https://www.nosdeputes.fr/sophie-panonacle/csv" TargetMode="External"/><Relationship Id="rId107" Type="http://schemas.openxmlformats.org/officeDocument/2006/relationships/hyperlink" Target="http://www2.assemblee-nationale.fr/deputes/fiche/OMC_PA719756" TargetMode="External"/><Relationship Id="rId106" Type="http://schemas.openxmlformats.org/officeDocument/2006/relationships/hyperlink" Target="https://twitter.com/ChrisCloarec" TargetMode="External"/><Relationship Id="rId105" Type="http://schemas.openxmlformats.org/officeDocument/2006/relationships/hyperlink" Target="https://www.nosdeputes.fr/eric-ciotti/csv" TargetMode="External"/><Relationship Id="rId589" Type="http://schemas.openxmlformats.org/officeDocument/2006/relationships/hyperlink" Target="https://www.nosdeputes.fr/sophie-panonacle" TargetMode="External"/><Relationship Id="rId104" Type="http://schemas.openxmlformats.org/officeDocument/2006/relationships/hyperlink" Target="https://www.nosdeputes.fr/eric-ciotti" TargetMode="External"/><Relationship Id="rId588" Type="http://schemas.openxmlformats.org/officeDocument/2006/relationships/hyperlink" Target="http://www2.assemblee-nationale.fr/deputes/fiche/OMC_PA719632" TargetMode="External"/><Relationship Id="rId109" Type="http://schemas.openxmlformats.org/officeDocument/2006/relationships/hyperlink" Target="https://www.nosdeputes.fr/christine-cloarec/csv" TargetMode="External"/><Relationship Id="rId1170" Type="http://schemas.openxmlformats.org/officeDocument/2006/relationships/hyperlink" Target="https://www.nosdeputes.fr/laurence-gayte/csv" TargetMode="External"/><Relationship Id="rId108" Type="http://schemas.openxmlformats.org/officeDocument/2006/relationships/hyperlink" Target="https://www.nosdeputes.fr/christine-cloarec" TargetMode="External"/><Relationship Id="rId1171" Type="http://schemas.openxmlformats.org/officeDocument/2006/relationships/hyperlink" Target="https://twitter.com/GirardinEric" TargetMode="External"/><Relationship Id="rId583" Type="http://schemas.openxmlformats.org/officeDocument/2006/relationships/hyperlink" Target="https://www.nosdeputes.fr/christophe-naegelen/csv" TargetMode="External"/><Relationship Id="rId1172" Type="http://schemas.openxmlformats.org/officeDocument/2006/relationships/hyperlink" Target="http://www2.assemblee-nationale.fr/deputes/fiche/OMC_PA720222" TargetMode="External"/><Relationship Id="rId582" Type="http://schemas.openxmlformats.org/officeDocument/2006/relationships/hyperlink" Target="https://www.nosdeputes.fr/christophe-naegelen" TargetMode="External"/><Relationship Id="rId1173" Type="http://schemas.openxmlformats.org/officeDocument/2006/relationships/hyperlink" Target="https://www.nosdeputes.fr/eric-girardin" TargetMode="External"/><Relationship Id="rId581" Type="http://schemas.openxmlformats.org/officeDocument/2006/relationships/hyperlink" Target="http://www2.assemblee-nationale.fr/deputes/fiche/OMC_PA721486" TargetMode="External"/><Relationship Id="rId1174" Type="http://schemas.openxmlformats.org/officeDocument/2006/relationships/hyperlink" Target="https://www.nosdeputes.fr/eric-girardin/csv" TargetMode="External"/><Relationship Id="rId580" Type="http://schemas.openxmlformats.org/officeDocument/2006/relationships/hyperlink" Target="https://www.nosdeputes.fr/jean-baptiste-moreau/csv" TargetMode="External"/><Relationship Id="rId1175" Type="http://schemas.openxmlformats.org/officeDocument/2006/relationships/hyperlink" Target="http://www2.assemblee-nationale.fr/deputes/fiche/OMC_PA721296" TargetMode="External"/><Relationship Id="rId103" Type="http://schemas.openxmlformats.org/officeDocument/2006/relationships/hyperlink" Target="http://www2.assemblee-nationale.fr/deputes/fiche/OMC_PA330240" TargetMode="External"/><Relationship Id="rId587" Type="http://schemas.openxmlformats.org/officeDocument/2006/relationships/hyperlink" Target="https://twitter.com/SPanonacle" TargetMode="External"/><Relationship Id="rId1176" Type="http://schemas.openxmlformats.org/officeDocument/2006/relationships/hyperlink" Target="https://www.nosdeputes.fr/guillaume-gouffier-cha" TargetMode="External"/><Relationship Id="rId102" Type="http://schemas.openxmlformats.org/officeDocument/2006/relationships/hyperlink" Target="https://www.nosdeputes.fr/brigitte-bourguignon/csv" TargetMode="External"/><Relationship Id="rId586" Type="http://schemas.openxmlformats.org/officeDocument/2006/relationships/hyperlink" Target="https://www.nosdeputes.fr/jimmy-pahun/csv" TargetMode="External"/><Relationship Id="rId1177" Type="http://schemas.openxmlformats.org/officeDocument/2006/relationships/hyperlink" Target="https://www.nosdeputes.fr/guillaume-gouffier-cha/csv" TargetMode="External"/><Relationship Id="rId101" Type="http://schemas.openxmlformats.org/officeDocument/2006/relationships/hyperlink" Target="https://www.nosdeputes.fr/brigitte-bourguignon" TargetMode="External"/><Relationship Id="rId585" Type="http://schemas.openxmlformats.org/officeDocument/2006/relationships/hyperlink" Target="https://www.nosdeputes.fr/jimmy-pahun" TargetMode="External"/><Relationship Id="rId1178" Type="http://schemas.openxmlformats.org/officeDocument/2006/relationships/hyperlink" Target="http://www2.assemblee-nationale.fr/deputes/fiche/OMC_PA719330" TargetMode="External"/><Relationship Id="rId100" Type="http://schemas.openxmlformats.org/officeDocument/2006/relationships/hyperlink" Target="http://www2.assemblee-nationale.fr/deputes/fiche/OMC_PA608083" TargetMode="External"/><Relationship Id="rId584" Type="http://schemas.openxmlformats.org/officeDocument/2006/relationships/hyperlink" Target="http://www2.assemblee-nationale.fr/deputes/fiche/OMC_PA720334" TargetMode="External"/><Relationship Id="rId1179" Type="http://schemas.openxmlformats.org/officeDocument/2006/relationships/hyperlink" Target="https://www.nosdeputes.fr/fabien-gouttefarde" TargetMode="External"/><Relationship Id="rId1169" Type="http://schemas.openxmlformats.org/officeDocument/2006/relationships/hyperlink" Target="https://www.nosdeputes.fr/laurence-gayte" TargetMode="External"/><Relationship Id="rId579" Type="http://schemas.openxmlformats.org/officeDocument/2006/relationships/hyperlink" Target="https://www.nosdeputes.fr/jean-baptiste-moreau" TargetMode="External"/><Relationship Id="rId578" Type="http://schemas.openxmlformats.org/officeDocument/2006/relationships/hyperlink" Target="http://www2.assemblee-nationale.fr/deputes/fiche/OMC_PA719242" TargetMode="External"/><Relationship Id="rId577" Type="http://schemas.openxmlformats.org/officeDocument/2006/relationships/hyperlink" Target="https://www.nosdeputes.fr/paul-molac/csv" TargetMode="External"/><Relationship Id="rId1160" Type="http://schemas.openxmlformats.org/officeDocument/2006/relationships/hyperlink" Target="https://www.nosdeputes.fr/laurent-furst" TargetMode="External"/><Relationship Id="rId572" Type="http://schemas.openxmlformats.org/officeDocument/2006/relationships/hyperlink" Target="http://www2.assemblee-nationale.fr/deputes/fiche/OMC_PA2155" TargetMode="External"/><Relationship Id="rId1161" Type="http://schemas.openxmlformats.org/officeDocument/2006/relationships/hyperlink" Target="https://www.nosdeputes.fr/laurent-furst/csv" TargetMode="External"/><Relationship Id="rId571" Type="http://schemas.openxmlformats.org/officeDocument/2006/relationships/hyperlink" Target="https://www.nosdeputes.fr/stephane-mazars/csv" TargetMode="External"/><Relationship Id="rId1162" Type="http://schemas.openxmlformats.org/officeDocument/2006/relationships/hyperlink" Target="http://www2.assemblee-nationale.fr/deputes/fiche/OMC_PA267735" TargetMode="External"/><Relationship Id="rId570" Type="http://schemas.openxmlformats.org/officeDocument/2006/relationships/hyperlink" Target="https://www.nosdeputes.fr/stephane-mazars" TargetMode="External"/><Relationship Id="rId1163" Type="http://schemas.openxmlformats.org/officeDocument/2006/relationships/hyperlink" Target="https://www.nosdeputes.fr/claude-de-ganay" TargetMode="External"/><Relationship Id="rId1164" Type="http://schemas.openxmlformats.org/officeDocument/2006/relationships/hyperlink" Target="https://www.nosdeputes.fr/claude-de-ganay/csv" TargetMode="External"/><Relationship Id="rId576" Type="http://schemas.openxmlformats.org/officeDocument/2006/relationships/hyperlink" Target="https://www.nosdeputes.fr/paul-molac" TargetMode="External"/><Relationship Id="rId1165" Type="http://schemas.openxmlformats.org/officeDocument/2006/relationships/hyperlink" Target="http://www2.assemblee-nationale.fr/deputes/fiche/OMC_PA722358" TargetMode="External"/><Relationship Id="rId575" Type="http://schemas.openxmlformats.org/officeDocument/2006/relationships/hyperlink" Target="http://www2.assemblee-nationale.fr/deputes/fiche/OMC_PA607619" TargetMode="External"/><Relationship Id="rId1166" Type="http://schemas.openxmlformats.org/officeDocument/2006/relationships/hyperlink" Target="https://www.nosdeputes.fr/thomas-gassilloud" TargetMode="External"/><Relationship Id="rId574" Type="http://schemas.openxmlformats.org/officeDocument/2006/relationships/hyperlink" Target="https://www.nosdeputes.fr/gerard-menuel/csv" TargetMode="External"/><Relationship Id="rId1167" Type="http://schemas.openxmlformats.org/officeDocument/2006/relationships/hyperlink" Target="https://www.nosdeputes.fr/thomas-gassilloud/csv" TargetMode="External"/><Relationship Id="rId573" Type="http://schemas.openxmlformats.org/officeDocument/2006/relationships/hyperlink" Target="https://www.nosdeputes.fr/gerard-menuel" TargetMode="External"/><Relationship Id="rId1168" Type="http://schemas.openxmlformats.org/officeDocument/2006/relationships/hyperlink" Target="http://www2.assemblee-nationale.fr/deputes/fiche/OMC_PA720806" TargetMode="External"/><Relationship Id="rId129" Type="http://schemas.openxmlformats.org/officeDocument/2006/relationships/hyperlink" Target="https://www.nosdeputes.fr/christophe-jerretie" TargetMode="External"/><Relationship Id="rId128" Type="http://schemas.openxmlformats.org/officeDocument/2006/relationships/hyperlink" Target="http://www2.assemblee-nationale.fr/deputes/fiche/OMC_PA719060" TargetMode="External"/><Relationship Id="rId127" Type="http://schemas.openxmlformats.org/officeDocument/2006/relationships/hyperlink" Target="https://www.nosdeputes.fr/sacha-houlie/csv" TargetMode="External"/><Relationship Id="rId126" Type="http://schemas.openxmlformats.org/officeDocument/2006/relationships/hyperlink" Target="https://www.nosdeputes.fr/sacha-houlie" TargetMode="External"/><Relationship Id="rId1190" Type="http://schemas.openxmlformats.org/officeDocument/2006/relationships/hyperlink" Target="https://twitter.com/SandrineLeFeur" TargetMode="External"/><Relationship Id="rId1191" Type="http://schemas.openxmlformats.org/officeDocument/2006/relationships/hyperlink" Target="http://www2.assemblee-nationale.fr/deputes/fiche/OMC_PA719412" TargetMode="External"/><Relationship Id="rId1192" Type="http://schemas.openxmlformats.org/officeDocument/2006/relationships/hyperlink" Target="https://www.nosdeputes.fr/sandrine-le-feur" TargetMode="External"/><Relationship Id="rId1193" Type="http://schemas.openxmlformats.org/officeDocument/2006/relationships/hyperlink" Target="https://www.nosdeputes.fr/sandrine-le-feur/csv" TargetMode="External"/><Relationship Id="rId121" Type="http://schemas.openxmlformats.org/officeDocument/2006/relationships/hyperlink" Target="https://www.nosdeputes.fr/sarah-el-hairy/csv" TargetMode="External"/><Relationship Id="rId1194" Type="http://schemas.openxmlformats.org/officeDocument/2006/relationships/hyperlink" Target="http://www2.assemblee-nationale.fr/deputes/fiche/OMC_PA719388" TargetMode="External"/><Relationship Id="rId120" Type="http://schemas.openxmlformats.org/officeDocument/2006/relationships/hyperlink" Target="https://www.nosdeputes.fr/sarah-el-hairy" TargetMode="External"/><Relationship Id="rId1195" Type="http://schemas.openxmlformats.org/officeDocument/2006/relationships/hyperlink" Target="https://www.nosdeputes.fr/annaig-le-meur" TargetMode="External"/><Relationship Id="rId1196" Type="http://schemas.openxmlformats.org/officeDocument/2006/relationships/hyperlink" Target="https://www.nosdeputes.fr/annaig-le-meur/csv" TargetMode="External"/><Relationship Id="rId1197" Type="http://schemas.openxmlformats.org/officeDocument/2006/relationships/hyperlink" Target="http://www2.assemblee-nationale.fr/deputes/fiche/OMC_PA720614" TargetMode="External"/><Relationship Id="rId125" Type="http://schemas.openxmlformats.org/officeDocument/2006/relationships/hyperlink" Target="http://www2.assemblee-nationale.fr/deputes/fiche/OMC_PA722150" TargetMode="External"/><Relationship Id="rId1198" Type="http://schemas.openxmlformats.org/officeDocument/2006/relationships/hyperlink" Target="https://www.nosdeputes.fr/marine-le-pen" TargetMode="External"/><Relationship Id="rId124" Type="http://schemas.openxmlformats.org/officeDocument/2006/relationships/hyperlink" Target="https://www.nosdeputes.fr/jean-michel-fauvergue/csv" TargetMode="External"/><Relationship Id="rId1199" Type="http://schemas.openxmlformats.org/officeDocument/2006/relationships/hyperlink" Target="https://www.nosdeputes.fr/marine-le-pen/csv" TargetMode="External"/><Relationship Id="rId123" Type="http://schemas.openxmlformats.org/officeDocument/2006/relationships/hyperlink" Target="https://www.nosdeputes.fr/jean-michel-fauvergue" TargetMode="External"/><Relationship Id="rId122" Type="http://schemas.openxmlformats.org/officeDocument/2006/relationships/hyperlink" Target="http://www2.assemblee-nationale.fr/deputes/fiche/OMC_PA721702" TargetMode="External"/><Relationship Id="rId118" Type="http://schemas.openxmlformats.org/officeDocument/2006/relationships/hyperlink" Target="https://www.nosdeputes.fr/pierre-henri-dumont/csv" TargetMode="External"/><Relationship Id="rId117" Type="http://schemas.openxmlformats.org/officeDocument/2006/relationships/hyperlink" Target="https://www.nosdeputes.fr/pierre-henri-dumont" TargetMode="External"/><Relationship Id="rId116" Type="http://schemas.openxmlformats.org/officeDocument/2006/relationships/hyperlink" Target="http://www2.assemblee-nationale.fr/deputes/fiche/OMC_PA720684" TargetMode="External"/><Relationship Id="rId115" Type="http://schemas.openxmlformats.org/officeDocument/2006/relationships/hyperlink" Target="https://www.nosdeputes.fr/fabien-di-filippo/csv" TargetMode="External"/><Relationship Id="rId599" Type="http://schemas.openxmlformats.org/officeDocument/2006/relationships/hyperlink" Target="https://www.nosdeputes.fr/francois-pupponi/csv" TargetMode="External"/><Relationship Id="rId1180" Type="http://schemas.openxmlformats.org/officeDocument/2006/relationships/hyperlink" Target="https://www.nosdeputes.fr/fabien-gouttefarde/csv" TargetMode="External"/><Relationship Id="rId1181" Type="http://schemas.openxmlformats.org/officeDocument/2006/relationships/hyperlink" Target="http://www2.assemblee-nationale.fr/deputes/fiche/OMC_PA605084" TargetMode="External"/><Relationship Id="rId119" Type="http://schemas.openxmlformats.org/officeDocument/2006/relationships/hyperlink" Target="http://www2.assemblee-nationale.fr/deputes/fiche/OMC_PA720002" TargetMode="External"/><Relationship Id="rId1182" Type="http://schemas.openxmlformats.org/officeDocument/2006/relationships/hyperlink" Target="https://www.nosdeputes.fr/jacques-krabal" TargetMode="External"/><Relationship Id="rId110" Type="http://schemas.openxmlformats.org/officeDocument/2006/relationships/hyperlink" Target="http://www2.assemblee-nationale.fr/deputes/fiche/OMC_PA721210" TargetMode="External"/><Relationship Id="rId594" Type="http://schemas.openxmlformats.org/officeDocument/2006/relationships/hyperlink" Target="http://www2.assemblee-nationale.fr/deputes/fiche/OMC_PA608011" TargetMode="External"/><Relationship Id="rId1183" Type="http://schemas.openxmlformats.org/officeDocument/2006/relationships/hyperlink" Target="https://www.nosdeputes.fr/jacques-krabal/csv" TargetMode="External"/><Relationship Id="rId593" Type="http://schemas.openxmlformats.org/officeDocument/2006/relationships/hyperlink" Target="https://www.nosdeputes.fr/jean-pierre-pont/csv" TargetMode="External"/><Relationship Id="rId1184" Type="http://schemas.openxmlformats.org/officeDocument/2006/relationships/hyperlink" Target="http://www2.assemblee-nationale.fr/deputes/fiche/OMC_PA719842" TargetMode="External"/><Relationship Id="rId592" Type="http://schemas.openxmlformats.org/officeDocument/2006/relationships/hyperlink" Target="https://www.nosdeputes.fr/jean-pierre-pont" TargetMode="External"/><Relationship Id="rId1185" Type="http://schemas.openxmlformats.org/officeDocument/2006/relationships/hyperlink" Target="https://www.nosdeputes.fr/mustapha-laabid" TargetMode="External"/><Relationship Id="rId591" Type="http://schemas.openxmlformats.org/officeDocument/2006/relationships/hyperlink" Target="http://www2.assemblee-nationale.fr/deputes/fiche/OMC_PA2449" TargetMode="External"/><Relationship Id="rId1186" Type="http://schemas.openxmlformats.org/officeDocument/2006/relationships/hyperlink" Target="https://www.nosdeputes.fr/mustapha-laabid/csv" TargetMode="External"/><Relationship Id="rId114" Type="http://schemas.openxmlformats.org/officeDocument/2006/relationships/hyperlink" Target="https://www.nosdeputes.fr/fabien-di-filippo" TargetMode="External"/><Relationship Id="rId598" Type="http://schemas.openxmlformats.org/officeDocument/2006/relationships/hyperlink" Target="https://www.nosdeputes.fr/francois-pupponi" TargetMode="External"/><Relationship Id="rId1187" Type="http://schemas.openxmlformats.org/officeDocument/2006/relationships/hyperlink" Target="http://www2.assemblee-nationale.fr/deputes/fiche/OMC_PA719728" TargetMode="External"/><Relationship Id="rId113" Type="http://schemas.openxmlformats.org/officeDocument/2006/relationships/hyperlink" Target="http://www2.assemblee-nationale.fr/deputes/fiche/OMC_PA720386" TargetMode="External"/><Relationship Id="rId597" Type="http://schemas.openxmlformats.org/officeDocument/2006/relationships/hyperlink" Target="http://www2.assemblee-nationale.fr/deputes/fiche/OMC_PA405480" TargetMode="External"/><Relationship Id="rId1188" Type="http://schemas.openxmlformats.org/officeDocument/2006/relationships/hyperlink" Target="https://www.nosdeputes.fr/gael-le-bohec" TargetMode="External"/><Relationship Id="rId112" Type="http://schemas.openxmlformats.org/officeDocument/2006/relationships/hyperlink" Target="https://www.nosdeputes.fr/alexis-corbiere/csv" TargetMode="External"/><Relationship Id="rId596" Type="http://schemas.openxmlformats.org/officeDocument/2006/relationships/hyperlink" Target="https://www.nosdeputes.fr/joaquim-pueyo/csv" TargetMode="External"/><Relationship Id="rId1189" Type="http://schemas.openxmlformats.org/officeDocument/2006/relationships/hyperlink" Target="https://www.nosdeputes.fr/gael-le-bohec/csv" TargetMode="External"/><Relationship Id="rId111" Type="http://schemas.openxmlformats.org/officeDocument/2006/relationships/hyperlink" Target="https://www.nosdeputes.fr/alexis-corbiere" TargetMode="External"/><Relationship Id="rId595" Type="http://schemas.openxmlformats.org/officeDocument/2006/relationships/hyperlink" Target="https://www.nosdeputes.fr/joaquim-pueyo" TargetMode="External"/><Relationship Id="rId1136" Type="http://schemas.openxmlformats.org/officeDocument/2006/relationships/hyperlink" Target="https://www.nosdeputes.fr/coralie-dubost/csv" TargetMode="External"/><Relationship Id="rId1137" Type="http://schemas.openxmlformats.org/officeDocument/2006/relationships/hyperlink" Target="http://www2.assemblee-nationale.fr/deputes/fiche/OMC_PA721194" TargetMode="External"/><Relationship Id="rId1138" Type="http://schemas.openxmlformats.org/officeDocument/2006/relationships/hyperlink" Target="https://www.nosdeputes.fr/frederique-dumas" TargetMode="External"/><Relationship Id="rId1139" Type="http://schemas.openxmlformats.org/officeDocument/2006/relationships/hyperlink" Target="https://www.nosdeputes.fr/frederique-dumas/csv" TargetMode="External"/><Relationship Id="rId547" Type="http://schemas.openxmlformats.org/officeDocument/2006/relationships/hyperlink" Target="https://www.nosdeputes.fr/marc-le-fur/csv" TargetMode="External"/><Relationship Id="rId546" Type="http://schemas.openxmlformats.org/officeDocument/2006/relationships/hyperlink" Target="https://www.nosdeputes.fr/marc-le-fur" TargetMode="External"/><Relationship Id="rId545" Type="http://schemas.openxmlformats.org/officeDocument/2006/relationships/hyperlink" Target="http://www2.assemblee-nationale.fr/deputes/fiche/OMC_PA1874" TargetMode="External"/><Relationship Id="rId544" Type="http://schemas.openxmlformats.org/officeDocument/2006/relationships/hyperlink" Target="https://www.nosdeputes.fr/celia-de-lavergne/csv" TargetMode="External"/><Relationship Id="rId549" Type="http://schemas.openxmlformats.org/officeDocument/2006/relationships/hyperlink" Target="https://www.nosdeputes.fr/gilles-le-gendre" TargetMode="External"/><Relationship Id="rId548" Type="http://schemas.openxmlformats.org/officeDocument/2006/relationships/hyperlink" Target="http://www2.assemblee-nationale.fr/deputes/fiche/OMC_PA721466" TargetMode="External"/><Relationship Id="rId1130" Type="http://schemas.openxmlformats.org/officeDocument/2006/relationships/hyperlink" Target="https://www.nosdeputes.fr/loic-dombreval/csv" TargetMode="External"/><Relationship Id="rId1131" Type="http://schemas.openxmlformats.org/officeDocument/2006/relationships/hyperlink" Target="http://www2.assemblee-nationale.fr/deputes/fiche/OMC_PA719162" TargetMode="External"/><Relationship Id="rId543" Type="http://schemas.openxmlformats.org/officeDocument/2006/relationships/hyperlink" Target="https://www.nosdeputes.fr/celia-de-lavergne" TargetMode="External"/><Relationship Id="rId1132" Type="http://schemas.openxmlformats.org/officeDocument/2006/relationships/hyperlink" Target="https://www.nosdeputes.fr/jacqueline-dubois" TargetMode="External"/><Relationship Id="rId542" Type="http://schemas.openxmlformats.org/officeDocument/2006/relationships/hyperlink" Target="http://www2.assemblee-nationale.fr/deputes/fiche/OMC_PA719310" TargetMode="External"/><Relationship Id="rId1133" Type="http://schemas.openxmlformats.org/officeDocument/2006/relationships/hyperlink" Target="https://www.nosdeputes.fr/jacqueline-dubois/csv" TargetMode="External"/><Relationship Id="rId541" Type="http://schemas.openxmlformats.org/officeDocument/2006/relationships/hyperlink" Target="https://www.nosdeputes.fr/michel-lauzzana/csv" TargetMode="External"/><Relationship Id="rId1134" Type="http://schemas.openxmlformats.org/officeDocument/2006/relationships/hyperlink" Target="http://www2.assemblee-nationale.fr/deputes/fiche/OMC_PA719684" TargetMode="External"/><Relationship Id="rId540" Type="http://schemas.openxmlformats.org/officeDocument/2006/relationships/hyperlink" Target="https://www.nosdeputes.fr/michel-lauzzana" TargetMode="External"/><Relationship Id="rId1135" Type="http://schemas.openxmlformats.org/officeDocument/2006/relationships/hyperlink" Target="https://www.nosdeputes.fr/coralie-dubost" TargetMode="External"/><Relationship Id="rId1125" Type="http://schemas.openxmlformats.org/officeDocument/2006/relationships/hyperlink" Target="http://www2.assemblee-nationale.fr/deputes/fiche/OMC_PA722236" TargetMode="External"/><Relationship Id="rId1126" Type="http://schemas.openxmlformats.org/officeDocument/2006/relationships/hyperlink" Target="https://www.nosdeputes.fr/jean-baptiste-djebbari" TargetMode="External"/><Relationship Id="rId1127" Type="http://schemas.openxmlformats.org/officeDocument/2006/relationships/hyperlink" Target="https://www.nosdeputes.fr/jean-baptiste-djebbari/csv" TargetMode="External"/><Relationship Id="rId1128" Type="http://schemas.openxmlformats.org/officeDocument/2006/relationships/hyperlink" Target="http://www2.assemblee-nationale.fr/deputes/fiche/OMC_PA718894" TargetMode="External"/><Relationship Id="rId1129" Type="http://schemas.openxmlformats.org/officeDocument/2006/relationships/hyperlink" Target="https://www.nosdeputes.fr/loic-dombreval" TargetMode="External"/><Relationship Id="rId536" Type="http://schemas.openxmlformats.org/officeDocument/2006/relationships/hyperlink" Target="https://www.nosdeputes.fr/philippe-latombe" TargetMode="External"/><Relationship Id="rId535" Type="http://schemas.openxmlformats.org/officeDocument/2006/relationships/hyperlink" Target="http://www2.assemblee-nationale.fr/deputes/fiche/OMC_PA721984" TargetMode="External"/><Relationship Id="rId534" Type="http://schemas.openxmlformats.org/officeDocument/2006/relationships/hyperlink" Target="https://twitter.com/platombe" TargetMode="External"/><Relationship Id="rId533" Type="http://schemas.openxmlformats.org/officeDocument/2006/relationships/hyperlink" Target="https://www.nosdeputes.fr/guillaume-larrive/csv" TargetMode="External"/><Relationship Id="rId539" Type="http://schemas.openxmlformats.org/officeDocument/2006/relationships/hyperlink" Target="http://www2.assemblee-nationale.fr/deputes/fiche/OMC_PA720022" TargetMode="External"/><Relationship Id="rId538" Type="http://schemas.openxmlformats.org/officeDocument/2006/relationships/hyperlink" Target="https://twitter.com/lauzzanamichel" TargetMode="External"/><Relationship Id="rId537" Type="http://schemas.openxmlformats.org/officeDocument/2006/relationships/hyperlink" Target="https://www.nosdeputes.fr/philippe-latombe/csv" TargetMode="External"/><Relationship Id="rId1120" Type="http://schemas.openxmlformats.org/officeDocument/2006/relationships/hyperlink" Target="https://www.nosdeputes.fr/beatrice-descamps" TargetMode="External"/><Relationship Id="rId532" Type="http://schemas.openxmlformats.org/officeDocument/2006/relationships/hyperlink" Target="https://www.nosdeputes.fr/guillaume-larrive" TargetMode="External"/><Relationship Id="rId1121" Type="http://schemas.openxmlformats.org/officeDocument/2006/relationships/hyperlink" Target="https://www.nosdeputes.fr/beatrice-descamps/csv" TargetMode="External"/><Relationship Id="rId531" Type="http://schemas.openxmlformats.org/officeDocument/2006/relationships/hyperlink" Target="http://www2.assemblee-nationale.fr/deputes/fiche/OMC_PA267785" TargetMode="External"/><Relationship Id="rId1122" Type="http://schemas.openxmlformats.org/officeDocument/2006/relationships/hyperlink" Target="http://www2.assemblee-nationale.fr/deputes/fiche/OMC_PA267440" TargetMode="External"/><Relationship Id="rId530" Type="http://schemas.openxmlformats.org/officeDocument/2006/relationships/hyperlink" Target="https://www.nosdeputes.fr/fadila-khattabi/csv" TargetMode="External"/><Relationship Id="rId1123" Type="http://schemas.openxmlformats.org/officeDocument/2006/relationships/hyperlink" Target="https://www.nosdeputes.fr/eric-diard" TargetMode="External"/><Relationship Id="rId1124" Type="http://schemas.openxmlformats.org/officeDocument/2006/relationships/hyperlink" Target="https://www.nosdeputes.fr/eric-diard/csv" TargetMode="External"/><Relationship Id="rId1158" Type="http://schemas.openxmlformats.org/officeDocument/2006/relationships/hyperlink" Target="https://fr-fr.facebook.com/profile.php?id=100008830864450/%7Chttp://www.laurentfurst.fr" TargetMode="External"/><Relationship Id="rId1159" Type="http://schemas.openxmlformats.org/officeDocument/2006/relationships/hyperlink" Target="http://www2.assemblee-nationale.fr/deputes/fiche/OMC_PA266774" TargetMode="External"/><Relationship Id="rId569" Type="http://schemas.openxmlformats.org/officeDocument/2006/relationships/hyperlink" Target="http://www2.assemblee-nationale.fr/deputes/fiche/OMC_PA677483" TargetMode="External"/><Relationship Id="rId568" Type="http://schemas.openxmlformats.org/officeDocument/2006/relationships/hyperlink" Target="https://www.nosdeputes.fr/olivier-marleix/csv" TargetMode="External"/><Relationship Id="rId567" Type="http://schemas.openxmlformats.org/officeDocument/2006/relationships/hyperlink" Target="https://www.nosdeputes.fr/olivier-marleix" TargetMode="External"/><Relationship Id="rId566" Type="http://schemas.openxmlformats.org/officeDocument/2006/relationships/hyperlink" Target="http://www2.assemblee-nationale.fr/deputes/fiche/OMC_PA606098" TargetMode="External"/><Relationship Id="rId561" Type="http://schemas.openxmlformats.org/officeDocument/2006/relationships/hyperlink" Target="https://www.nosdeputes.fr/alexandra-louis" TargetMode="External"/><Relationship Id="rId1150" Type="http://schemas.openxmlformats.org/officeDocument/2006/relationships/hyperlink" Target="https://www.nosdeputes.fr/agnes-firmin-le-bodo/csv" TargetMode="External"/><Relationship Id="rId560" Type="http://schemas.openxmlformats.org/officeDocument/2006/relationships/hyperlink" Target="http://www2.assemblee-nationale.fr/deputes/fiche/OMC_PA718918" TargetMode="External"/><Relationship Id="rId1151" Type="http://schemas.openxmlformats.org/officeDocument/2006/relationships/hyperlink" Target="https://fr-fr.facebook.com/emmanuelle.fontaine.domeizel/" TargetMode="External"/><Relationship Id="rId1152" Type="http://schemas.openxmlformats.org/officeDocument/2006/relationships/hyperlink" Target="http://www2.assemblee-nationale.fr/deputes/fiche/OMC_PA718706" TargetMode="External"/><Relationship Id="rId1153" Type="http://schemas.openxmlformats.org/officeDocument/2006/relationships/hyperlink" Target="https://www.nosdeputes.fr/emmanuelle-fontaine-domeizel" TargetMode="External"/><Relationship Id="rId565" Type="http://schemas.openxmlformats.org/officeDocument/2006/relationships/hyperlink" Target="https://www.nosdeputes.fr/lise-magnier/csv" TargetMode="External"/><Relationship Id="rId1154" Type="http://schemas.openxmlformats.org/officeDocument/2006/relationships/hyperlink" Target="https://www.nosdeputes.fr/emmanuelle-fontaine-domeizel/csv" TargetMode="External"/><Relationship Id="rId564" Type="http://schemas.openxmlformats.org/officeDocument/2006/relationships/hyperlink" Target="https://www.nosdeputes.fr/lise-magnier" TargetMode="External"/><Relationship Id="rId1155" Type="http://schemas.openxmlformats.org/officeDocument/2006/relationships/hyperlink" Target="http://www2.assemblee-nationale.fr/deputes/fiche/OMC_PA721384" TargetMode="External"/><Relationship Id="rId563" Type="http://schemas.openxmlformats.org/officeDocument/2006/relationships/hyperlink" Target="http://www2.assemblee-nationale.fr/deputes/fiche/OMC_PA720230" TargetMode="External"/><Relationship Id="rId1156" Type="http://schemas.openxmlformats.org/officeDocument/2006/relationships/hyperlink" Target="https://www.nosdeputes.fr/pascale-fontenel-personne" TargetMode="External"/><Relationship Id="rId562" Type="http://schemas.openxmlformats.org/officeDocument/2006/relationships/hyperlink" Target="https://www.nosdeputes.fr/alexandra-louis/csv" TargetMode="External"/><Relationship Id="rId1157" Type="http://schemas.openxmlformats.org/officeDocument/2006/relationships/hyperlink" Target="https://www.nosdeputes.fr/pascale-fontenel-personne/csv" TargetMode="External"/><Relationship Id="rId1147" Type="http://schemas.openxmlformats.org/officeDocument/2006/relationships/hyperlink" Target="https://twitter.com/agnesfirmin" TargetMode="External"/><Relationship Id="rId1148" Type="http://schemas.openxmlformats.org/officeDocument/2006/relationships/hyperlink" Target="http://www2.assemblee-nationale.fr/deputes/fiche/OMC_PA267780" TargetMode="External"/><Relationship Id="rId1149" Type="http://schemas.openxmlformats.org/officeDocument/2006/relationships/hyperlink" Target="https://www.nosdeputes.fr/agnes-firmin-le-bodo" TargetMode="External"/><Relationship Id="rId558" Type="http://schemas.openxmlformats.org/officeDocument/2006/relationships/hyperlink" Target="https://www.nosdeputes.fr/vincent-ledoux" TargetMode="External"/><Relationship Id="rId557" Type="http://schemas.openxmlformats.org/officeDocument/2006/relationships/hyperlink" Target="http://www2.assemblee-nationale.fr/deputes/fiche/OMC_PA712014" TargetMode="External"/><Relationship Id="rId556" Type="http://schemas.openxmlformats.org/officeDocument/2006/relationships/hyperlink" Target="https://www.nosdeputes.fr/charlotte-lecocq/csv" TargetMode="External"/><Relationship Id="rId555" Type="http://schemas.openxmlformats.org/officeDocument/2006/relationships/hyperlink" Target="https://www.nosdeputes.fr/charlotte-lecocq" TargetMode="External"/><Relationship Id="rId559" Type="http://schemas.openxmlformats.org/officeDocument/2006/relationships/hyperlink" Target="https://www.nosdeputes.fr/vincent-ledoux/csv" TargetMode="External"/><Relationship Id="rId550" Type="http://schemas.openxmlformats.org/officeDocument/2006/relationships/hyperlink" Target="https://www.nosdeputes.fr/gilles-le-gendre/csv" TargetMode="External"/><Relationship Id="rId1140" Type="http://schemas.openxmlformats.org/officeDocument/2006/relationships/hyperlink" Target="http://www2.assemblee-nationale.fr/deputes/fiche/OMC_PA721564" TargetMode="External"/><Relationship Id="rId1141" Type="http://schemas.openxmlformats.org/officeDocument/2006/relationships/hyperlink" Target="https://www.nosdeputes.fr/elise-fajgeles" TargetMode="External"/><Relationship Id="rId1142" Type="http://schemas.openxmlformats.org/officeDocument/2006/relationships/hyperlink" Target="https://www.nosdeputes.fr/elise-fajgeles/csv" TargetMode="External"/><Relationship Id="rId554" Type="http://schemas.openxmlformats.org/officeDocument/2006/relationships/hyperlink" Target="http://www2.assemblee-nationale.fr/deputes/fiche/OMC_PA720480" TargetMode="External"/><Relationship Id="rId1143" Type="http://schemas.openxmlformats.org/officeDocument/2006/relationships/hyperlink" Target="https://twitter.com/michelfanget" TargetMode="External"/><Relationship Id="rId553" Type="http://schemas.openxmlformats.org/officeDocument/2006/relationships/hyperlink" Target="https://www.nosdeputes.fr/nicole-le-peih/csv" TargetMode="External"/><Relationship Id="rId1144" Type="http://schemas.openxmlformats.org/officeDocument/2006/relationships/hyperlink" Target="http://www2.assemblee-nationale.fr/deputes/fiche/OMC_PA1276" TargetMode="External"/><Relationship Id="rId552" Type="http://schemas.openxmlformats.org/officeDocument/2006/relationships/hyperlink" Target="https://www.nosdeputes.fr/nicole-le-peih" TargetMode="External"/><Relationship Id="rId1145" Type="http://schemas.openxmlformats.org/officeDocument/2006/relationships/hyperlink" Target="https://www.nosdeputes.fr/michel-fanget" TargetMode="External"/><Relationship Id="rId551" Type="http://schemas.openxmlformats.org/officeDocument/2006/relationships/hyperlink" Target="http://www2.assemblee-nationale.fr/deputes/fiche/OMC_PA720342" TargetMode="External"/><Relationship Id="rId1146" Type="http://schemas.openxmlformats.org/officeDocument/2006/relationships/hyperlink" Target="https://www.nosdeputes.fr/michel-fanget/csv" TargetMode="External"/><Relationship Id="rId495" Type="http://schemas.openxmlformats.org/officeDocument/2006/relationships/hyperlink" Target="https://www.nosdeputes.fr/daniel-fasquelle/csv" TargetMode="External"/><Relationship Id="rId494" Type="http://schemas.openxmlformats.org/officeDocument/2006/relationships/hyperlink" Target="https://www.nosdeputes.fr/daniel-fasquelle" TargetMode="External"/><Relationship Id="rId493" Type="http://schemas.openxmlformats.org/officeDocument/2006/relationships/hyperlink" Target="http://www2.assemblee-nationale.fr/deputes/fiche/OMC_PA334149" TargetMode="External"/><Relationship Id="rId492" Type="http://schemas.openxmlformats.org/officeDocument/2006/relationships/hyperlink" Target="https://www.nosdeputes.fr/catherine-fabre/csv" TargetMode="External"/><Relationship Id="rId499" Type="http://schemas.openxmlformats.org/officeDocument/2006/relationships/hyperlink" Target="http://www2.assemblee-nationale.fr/deputes/fiche/OMC_PA719938" TargetMode="External"/><Relationship Id="rId498" Type="http://schemas.openxmlformats.org/officeDocument/2006/relationships/hyperlink" Target="https://www.nosdeputes.fr/elsa-faucillon/csv" TargetMode="External"/><Relationship Id="rId497" Type="http://schemas.openxmlformats.org/officeDocument/2006/relationships/hyperlink" Target="https://www.nosdeputes.fr/elsa-faucillon" TargetMode="External"/><Relationship Id="rId496" Type="http://schemas.openxmlformats.org/officeDocument/2006/relationships/hyperlink" Target="http://www2.assemblee-nationale.fr/deputes/fiche/OMC_PA721896" TargetMode="External"/><Relationship Id="rId1610" Type="http://schemas.openxmlformats.org/officeDocument/2006/relationships/hyperlink" Target="http://www2.assemblee-nationale.fr/deputes/fiche/OMC_PA720030" TargetMode="External"/><Relationship Id="rId1611" Type="http://schemas.openxmlformats.org/officeDocument/2006/relationships/hyperlink" Target="https://www.nosdeputes.fr/alexandre-freschi" TargetMode="External"/><Relationship Id="rId1612" Type="http://schemas.openxmlformats.org/officeDocument/2006/relationships/hyperlink" Target="https://www.nosdeputes.fr/alexandre-freschi/csv" TargetMode="External"/><Relationship Id="rId1613" Type="http://schemas.openxmlformats.org/officeDocument/2006/relationships/hyperlink" Target="http://www2.assemblee-nationale.fr/deputes/fiche/OMC_PA610775" TargetMode="External"/><Relationship Id="rId1614" Type="http://schemas.openxmlformats.org/officeDocument/2006/relationships/hyperlink" Target="https://www.nosdeputes.fr/philippe-gomes" TargetMode="External"/><Relationship Id="rId1615" Type="http://schemas.openxmlformats.org/officeDocument/2006/relationships/hyperlink" Target="https://www.nosdeputes.fr/philippe-gomes/csv" TargetMode="External"/><Relationship Id="rId1616" Type="http://schemas.openxmlformats.org/officeDocument/2006/relationships/hyperlink" Target="http://www2.assemblee-nationale.fr/deputes/fiche/OMC_PA267801" TargetMode="External"/><Relationship Id="rId907" Type="http://schemas.openxmlformats.org/officeDocument/2006/relationships/hyperlink" Target="https://www.nosdeputes.fr/sebastien-cazenove" TargetMode="External"/><Relationship Id="rId1617" Type="http://schemas.openxmlformats.org/officeDocument/2006/relationships/hyperlink" Target="https://www.nosdeputes.fr/yves-jego" TargetMode="External"/><Relationship Id="rId906" Type="http://schemas.openxmlformats.org/officeDocument/2006/relationships/hyperlink" Target="http://www2.assemblee-nationale.fr/deputes/fiche/OMC_PA720814" TargetMode="External"/><Relationship Id="rId1618" Type="http://schemas.openxmlformats.org/officeDocument/2006/relationships/hyperlink" Target="https://www.nosdeputes.fr/yves-jego/csv" TargetMode="External"/><Relationship Id="rId905" Type="http://schemas.openxmlformats.org/officeDocument/2006/relationships/hyperlink" Target="https://www.nosdeputes.fr/guy-bricout/csv" TargetMode="External"/><Relationship Id="rId1619" Type="http://schemas.openxmlformats.org/officeDocument/2006/relationships/hyperlink" Target="http://www2.assemblee-nationale.fr/deputes/fiche/OMC_PA722300" TargetMode="External"/><Relationship Id="rId904" Type="http://schemas.openxmlformats.org/officeDocument/2006/relationships/hyperlink" Target="https://www.nosdeputes.fr/guy-bricout" TargetMode="External"/><Relationship Id="rId909" Type="http://schemas.openxmlformats.org/officeDocument/2006/relationships/hyperlink" Target="http://www2.assemblee-nationale.fr/deputes/fiche/OMC_PA719748" TargetMode="External"/><Relationship Id="rId908" Type="http://schemas.openxmlformats.org/officeDocument/2006/relationships/hyperlink" Target="https://www.nosdeputes.fr/sebastien-cazenove/csv" TargetMode="External"/><Relationship Id="rId903" Type="http://schemas.openxmlformats.org/officeDocument/2006/relationships/hyperlink" Target="http://www2.assemblee-nationale.fr/deputes/fiche/OMC_PA267766" TargetMode="External"/><Relationship Id="rId902" Type="http://schemas.openxmlformats.org/officeDocument/2006/relationships/hyperlink" Target="https://www.nosdeputes.fr/bertrand-bouyx/csv" TargetMode="External"/><Relationship Id="rId901" Type="http://schemas.openxmlformats.org/officeDocument/2006/relationships/hyperlink" Target="https://www.nosdeputes.fr/bertrand-bouyx" TargetMode="External"/><Relationship Id="rId900" Type="http://schemas.openxmlformats.org/officeDocument/2006/relationships/hyperlink" Target="http://www2.assemblee-nationale.fr/deputes/fiche/OMC_PA719032" TargetMode="External"/><Relationship Id="rId1600" Type="http://schemas.openxmlformats.org/officeDocument/2006/relationships/hyperlink" Target="https://www.nosdeputes.fr/jean-charles-taugourdeau/csv" TargetMode="External"/><Relationship Id="rId1601" Type="http://schemas.openxmlformats.org/officeDocument/2006/relationships/hyperlink" Target="http://www2.assemblee-nationale.fr/deputes/fiche/OMC_PA721522" TargetMode="External"/><Relationship Id="rId1602" Type="http://schemas.openxmlformats.org/officeDocument/2006/relationships/hyperlink" Target="https://www.nosdeputes.fr/xavier-batut" TargetMode="External"/><Relationship Id="rId1603" Type="http://schemas.openxmlformats.org/officeDocument/2006/relationships/hyperlink" Target="https://www.nosdeputes.fr/xavier-batut/csv" TargetMode="External"/><Relationship Id="rId1604" Type="http://schemas.openxmlformats.org/officeDocument/2006/relationships/hyperlink" Target="http://www2.assemblee-nationale.fr/deputes/fiche/OMC_PA720116" TargetMode="External"/><Relationship Id="rId1605" Type="http://schemas.openxmlformats.org/officeDocument/2006/relationships/hyperlink" Target="https://www.nosdeputes.fr/anne-france-brunet" TargetMode="External"/><Relationship Id="rId1606" Type="http://schemas.openxmlformats.org/officeDocument/2006/relationships/hyperlink" Target="https://www.nosdeputes.fr/anne-france-brunet/csv" TargetMode="External"/><Relationship Id="rId1607" Type="http://schemas.openxmlformats.org/officeDocument/2006/relationships/hyperlink" Target="http://www2.assemblee-nationale.fr/deputes/fiche/OMC_PA720996" TargetMode="External"/><Relationship Id="rId1608" Type="http://schemas.openxmlformats.org/officeDocument/2006/relationships/hyperlink" Target="https://www.nosdeputes.fr/m-jid-el-guerrab" TargetMode="External"/><Relationship Id="rId1609" Type="http://schemas.openxmlformats.org/officeDocument/2006/relationships/hyperlink" Target="https://www.nosdeputes.fr/m-jid-el-guerrab/csv" TargetMode="External"/><Relationship Id="rId1631" Type="http://schemas.openxmlformats.org/officeDocument/2006/relationships/hyperlink" Target="http://www2.assemblee-nationale.fr/deputes/fiche/OMC_PA720988" TargetMode="External"/><Relationship Id="rId1632" Type="http://schemas.openxmlformats.org/officeDocument/2006/relationships/hyperlink" Target="https://www.nosdeputes.fr/josette-manin" TargetMode="External"/><Relationship Id="rId1633" Type="http://schemas.openxmlformats.org/officeDocument/2006/relationships/hyperlink" Target="https://www.nosdeputes.fr/josette-manin/csv" TargetMode="External"/><Relationship Id="rId1634" Type="http://schemas.openxmlformats.org/officeDocument/2006/relationships/hyperlink" Target="http://www2.assemblee-nationale.fr/deputes/fiche/OMC_PA719668" TargetMode="External"/><Relationship Id="rId1635" Type="http://schemas.openxmlformats.org/officeDocument/2006/relationships/hyperlink" Target="https://www.nosdeputes.fr/patricia-miralles" TargetMode="External"/><Relationship Id="rId1636" Type="http://schemas.openxmlformats.org/officeDocument/2006/relationships/hyperlink" Target="https://www.nosdeputes.fr/patricia-miralles/csv" TargetMode="External"/><Relationship Id="rId1637" Type="http://schemas.openxmlformats.org/officeDocument/2006/relationships/hyperlink" Target="http://www2.assemblee-nationale.fr/deputes/fiche/OMC_PA330788" TargetMode="External"/><Relationship Id="rId1638" Type="http://schemas.openxmlformats.org/officeDocument/2006/relationships/hyperlink" Target="https://www.nosdeputes.fr/bernard-reynes" TargetMode="External"/><Relationship Id="rId929" Type="http://schemas.openxmlformats.org/officeDocument/2006/relationships/hyperlink" Target="https://www.nosdeputes.fr/nadia-essayan" TargetMode="External"/><Relationship Id="rId1639" Type="http://schemas.openxmlformats.org/officeDocument/2006/relationships/hyperlink" Target="https://www.nosdeputes.fr/bernard-reynes/csv" TargetMode="External"/><Relationship Id="rId928" Type="http://schemas.openxmlformats.org/officeDocument/2006/relationships/hyperlink" Target="http://www2.assemblee-nationale.fr/deputes/fiche/OMC_PA719044" TargetMode="External"/><Relationship Id="rId927" Type="http://schemas.openxmlformats.org/officeDocument/2006/relationships/hyperlink" Target="https://www.nosdeputes.fr/jean-francois-eliaou/csv" TargetMode="External"/><Relationship Id="rId926" Type="http://schemas.openxmlformats.org/officeDocument/2006/relationships/hyperlink" Target="https://www.nosdeputes.fr/jean-francois-eliaou" TargetMode="External"/><Relationship Id="rId921" Type="http://schemas.openxmlformats.org/officeDocument/2006/relationships/hyperlink" Target="https://www.nosdeputes.fr/yolaine-de-courson/csv" TargetMode="External"/><Relationship Id="rId920" Type="http://schemas.openxmlformats.org/officeDocument/2006/relationships/hyperlink" Target="https://www.nosdeputes.fr/yolaine-de-courson" TargetMode="External"/><Relationship Id="rId925" Type="http://schemas.openxmlformats.org/officeDocument/2006/relationships/hyperlink" Target="http://www2.assemblee-nationale.fr/deputes/fiche/OMC_PA719692" TargetMode="External"/><Relationship Id="rId924" Type="http://schemas.openxmlformats.org/officeDocument/2006/relationships/hyperlink" Target="https://www.nosdeputes.fr/frederic-descrozaille/csv" TargetMode="External"/><Relationship Id="rId923" Type="http://schemas.openxmlformats.org/officeDocument/2006/relationships/hyperlink" Target="https://www.nosdeputes.fr/frederic-descrozaille" TargetMode="External"/><Relationship Id="rId922" Type="http://schemas.openxmlformats.org/officeDocument/2006/relationships/hyperlink" Target="http://www2.assemblee-nationale.fr/deputes/fiche/OMC_PA720862" TargetMode="External"/><Relationship Id="rId1630" Type="http://schemas.openxmlformats.org/officeDocument/2006/relationships/hyperlink" Target="https://www.nosdeputes.fr/marie-france-lorho/csv" TargetMode="External"/><Relationship Id="rId1620" Type="http://schemas.openxmlformats.org/officeDocument/2006/relationships/hyperlink" Target="https://www.nosdeputes.fr/anissa-khedher" TargetMode="External"/><Relationship Id="rId1621" Type="http://schemas.openxmlformats.org/officeDocument/2006/relationships/hyperlink" Target="https://www.nosdeputes.fr/anissa-khedher/csv" TargetMode="External"/><Relationship Id="rId1622" Type="http://schemas.openxmlformats.org/officeDocument/2006/relationships/hyperlink" Target="http://www2.assemblee-nationale.fr/deputes/fiche/OMC_PA268019" TargetMode="External"/><Relationship Id="rId1623" Type="http://schemas.openxmlformats.org/officeDocument/2006/relationships/hyperlink" Target="https://www.nosdeputes.fr/jean-christophe-lagarde" TargetMode="External"/><Relationship Id="rId1624" Type="http://schemas.openxmlformats.org/officeDocument/2006/relationships/hyperlink" Target="https://www.nosdeputes.fr/jean-christophe-lagarde/csv" TargetMode="External"/><Relationship Id="rId1625" Type="http://schemas.openxmlformats.org/officeDocument/2006/relationships/hyperlink" Target="http://www2.assemblee-nationale.fr/deputes/fiche/OMC_PA719396" TargetMode="External"/><Relationship Id="rId1626" Type="http://schemas.openxmlformats.org/officeDocument/2006/relationships/hyperlink" Target="https://www.nosdeputes.fr/jean-charles-larsonneur" TargetMode="External"/><Relationship Id="rId1627" Type="http://schemas.openxmlformats.org/officeDocument/2006/relationships/hyperlink" Target="https://www.nosdeputes.fr/jean-charles-larsonneur/csv" TargetMode="External"/><Relationship Id="rId918" Type="http://schemas.openxmlformats.org/officeDocument/2006/relationships/hyperlink" Target="https://twitter.com/ydecourson" TargetMode="External"/><Relationship Id="rId1628" Type="http://schemas.openxmlformats.org/officeDocument/2006/relationships/hyperlink" Target="http://www2.assemblee-nationale.fr/deputes/fiche/OMC_PA721932" TargetMode="External"/><Relationship Id="rId917" Type="http://schemas.openxmlformats.org/officeDocument/2006/relationships/hyperlink" Target="https://www.nosdeputes.fr/francois-cornut-gentille/csv" TargetMode="External"/><Relationship Id="rId1629" Type="http://schemas.openxmlformats.org/officeDocument/2006/relationships/hyperlink" Target="https://www.nosdeputes.fr/marie-france-lorho" TargetMode="External"/><Relationship Id="rId916" Type="http://schemas.openxmlformats.org/officeDocument/2006/relationships/hyperlink" Target="https://www.nosdeputes.fr/francois-cornut-gentille" TargetMode="External"/><Relationship Id="rId915" Type="http://schemas.openxmlformats.org/officeDocument/2006/relationships/hyperlink" Target="http://www2.assemblee-nationale.fr/deputes/fiche/OMC_PA923" TargetMode="External"/><Relationship Id="rId919" Type="http://schemas.openxmlformats.org/officeDocument/2006/relationships/hyperlink" Target="http://www2.assemblee-nationale.fr/deputes/fiche/OMC_PA719194" TargetMode="External"/><Relationship Id="rId910" Type="http://schemas.openxmlformats.org/officeDocument/2006/relationships/hyperlink" Target="https://www.nosdeputes.fr/emilie-chalas" TargetMode="External"/><Relationship Id="rId914" Type="http://schemas.openxmlformats.org/officeDocument/2006/relationships/hyperlink" Target="https://www.nosdeputes.fr/annie-chapelier/csv" TargetMode="External"/><Relationship Id="rId913" Type="http://schemas.openxmlformats.org/officeDocument/2006/relationships/hyperlink" Target="https://www.nosdeputes.fr/annie-chapelier" TargetMode="External"/><Relationship Id="rId912" Type="http://schemas.openxmlformats.org/officeDocument/2006/relationships/hyperlink" Target="http://www2.assemblee-nationale.fr/deputes/fiche/OMC_PA719448" TargetMode="External"/><Relationship Id="rId911" Type="http://schemas.openxmlformats.org/officeDocument/2006/relationships/hyperlink" Target="https://www.nosdeputes.fr/emilie-chalas/csv" TargetMode="External"/><Relationship Id="rId1213" Type="http://schemas.openxmlformats.org/officeDocument/2006/relationships/hyperlink" Target="https://www.nosdeputes.fr/george-pau-langevin" TargetMode="External"/><Relationship Id="rId1697" Type="http://schemas.openxmlformats.org/officeDocument/2006/relationships/hyperlink" Target="https://www.nosdeputes.fr/guy-teissier" TargetMode="External"/><Relationship Id="rId1214" Type="http://schemas.openxmlformats.org/officeDocument/2006/relationships/hyperlink" Target="https://www.nosdeputes.fr/george-pau-langevin/csv" TargetMode="External"/><Relationship Id="rId1698" Type="http://schemas.openxmlformats.org/officeDocument/2006/relationships/hyperlink" Target="https://www.nosdeputes.fr/guy-teissier/csv" TargetMode="External"/><Relationship Id="rId1215" Type="http://schemas.openxmlformats.org/officeDocument/2006/relationships/hyperlink" Target="http://www2.assemblee-nationale.fr/deputes/fiche/OMC_PA718930" TargetMode="External"/><Relationship Id="rId1699" Type="http://schemas.openxmlformats.org/officeDocument/2006/relationships/hyperlink" Target="https://twitter.com/hvchristophe" TargetMode="External"/><Relationship Id="rId1216" Type="http://schemas.openxmlformats.org/officeDocument/2006/relationships/hyperlink" Target="https://www.nosdeputes.fr/anne-laurence-petel" TargetMode="External"/><Relationship Id="rId1217" Type="http://schemas.openxmlformats.org/officeDocument/2006/relationships/hyperlink" Target="https://www.nosdeputes.fr/anne-laurence-petel/csv" TargetMode="External"/><Relationship Id="rId1218" Type="http://schemas.openxmlformats.org/officeDocument/2006/relationships/hyperlink" Target="http://www2.assemblee-nationale.fr/deputes/fiche/OMC_PA718910" TargetMode="External"/><Relationship Id="rId1219" Type="http://schemas.openxmlformats.org/officeDocument/2006/relationships/hyperlink" Target="https://www.nosdeputes.fr/claire-pitollat" TargetMode="External"/><Relationship Id="rId866" Type="http://schemas.openxmlformats.org/officeDocument/2006/relationships/hyperlink" Target="https://www.nosdeputes.fr/louis-aliot/csv" TargetMode="External"/><Relationship Id="rId865" Type="http://schemas.openxmlformats.org/officeDocument/2006/relationships/hyperlink" Target="https://www.nosdeputes.fr/louis-aliot" TargetMode="External"/><Relationship Id="rId864" Type="http://schemas.openxmlformats.org/officeDocument/2006/relationships/hyperlink" Target="http://www2.assemblee-nationale.fr/deputes/fiche/OMC_PA720798" TargetMode="External"/><Relationship Id="rId863" Type="http://schemas.openxmlformats.org/officeDocument/2006/relationships/hyperlink" Target="https://www.nosdeputes.fr/damien-adam/csv" TargetMode="External"/><Relationship Id="rId869" Type="http://schemas.openxmlformats.org/officeDocument/2006/relationships/hyperlink" Target="https://www.nosdeputes.fr/christophe-arend/csv" TargetMode="External"/><Relationship Id="rId868" Type="http://schemas.openxmlformats.org/officeDocument/2006/relationships/hyperlink" Target="https://www.nosdeputes.fr/christophe-arend" TargetMode="External"/><Relationship Id="rId867" Type="http://schemas.openxmlformats.org/officeDocument/2006/relationships/hyperlink" Target="http://www2.assemblee-nationale.fr/deputes/fiche/OMC_PA720310" TargetMode="External"/><Relationship Id="rId1690" Type="http://schemas.openxmlformats.org/officeDocument/2006/relationships/hyperlink" Target="http://www2.assemblee-nationale.fr/deputes/fiche/OMC_PA267324" TargetMode="External"/><Relationship Id="rId1691" Type="http://schemas.openxmlformats.org/officeDocument/2006/relationships/hyperlink" Target="https://www.nosdeputes.fr/jean-jacques-gaultier" TargetMode="External"/><Relationship Id="rId1692" Type="http://schemas.openxmlformats.org/officeDocument/2006/relationships/hyperlink" Target="https://www.nosdeputes.fr/jean-jacques-gaultier/csv" TargetMode="External"/><Relationship Id="rId862" Type="http://schemas.openxmlformats.org/officeDocument/2006/relationships/hyperlink" Target="https://www.nosdeputes.fr/damien-adam" TargetMode="External"/><Relationship Id="rId1693" Type="http://schemas.openxmlformats.org/officeDocument/2006/relationships/hyperlink" Target="http://www2.assemblee-nationale.fr/deputes/fiche/OMC_PA337483" TargetMode="External"/><Relationship Id="rId861" Type="http://schemas.openxmlformats.org/officeDocument/2006/relationships/hyperlink" Target="http://www2.assemblee-nationale.fr/deputes/fiche/OMC_PA722038" TargetMode="External"/><Relationship Id="rId1210" Type="http://schemas.openxmlformats.org/officeDocument/2006/relationships/hyperlink" Target="https://www.nosdeputes.fr/jerome-nury" TargetMode="External"/><Relationship Id="rId1694" Type="http://schemas.openxmlformats.org/officeDocument/2006/relationships/hyperlink" Target="https://www.nosdeputes.fr/serge-letchimy" TargetMode="External"/><Relationship Id="rId860" Type="http://schemas.openxmlformats.org/officeDocument/2006/relationships/hyperlink" Target="https://www.nosdeputes.fr/guillaume-vuilletet/csv" TargetMode="External"/><Relationship Id="rId1211" Type="http://schemas.openxmlformats.org/officeDocument/2006/relationships/hyperlink" Target="https://www.nosdeputes.fr/jerome-nury/csv" TargetMode="External"/><Relationship Id="rId1695" Type="http://schemas.openxmlformats.org/officeDocument/2006/relationships/hyperlink" Target="https://www.nosdeputes.fr/serge-letchimy/csv" TargetMode="External"/><Relationship Id="rId1212" Type="http://schemas.openxmlformats.org/officeDocument/2006/relationships/hyperlink" Target="http://www2.assemblee-nationale.fr/deputes/fiche/OMC_PA335532" TargetMode="External"/><Relationship Id="rId1696" Type="http://schemas.openxmlformats.org/officeDocument/2006/relationships/hyperlink" Target="http://www2.assemblee-nationale.fr/deputes/fiche/OMC_PA2796" TargetMode="External"/><Relationship Id="rId1202" Type="http://schemas.openxmlformats.org/officeDocument/2006/relationships/hyperlink" Target="https://www.nosdeputes.fr/sebastien-leclerc/csv" TargetMode="External"/><Relationship Id="rId1686" Type="http://schemas.openxmlformats.org/officeDocument/2006/relationships/hyperlink" Target="https://www.nosdeputes.fr/jean-claude-bouchet/csv" TargetMode="External"/><Relationship Id="rId1203" Type="http://schemas.openxmlformats.org/officeDocument/2006/relationships/hyperlink" Target="http://www2.assemblee-nationale.fr/deputes/fiche/OMC_PA721726" TargetMode="External"/><Relationship Id="rId1687" Type="http://schemas.openxmlformats.org/officeDocument/2006/relationships/hyperlink" Target="http://www2.assemblee-nationale.fr/deputes/fiche/OMC_PA721352" TargetMode="External"/><Relationship Id="rId1204" Type="http://schemas.openxmlformats.org/officeDocument/2006/relationships/hyperlink" Target="https://www.nosdeputes.fr/sereine-mauborgne" TargetMode="External"/><Relationship Id="rId1688" Type="http://schemas.openxmlformats.org/officeDocument/2006/relationships/hyperlink" Target="https://www.nosdeputes.fr/daniele-cazarian" TargetMode="External"/><Relationship Id="rId1205" Type="http://schemas.openxmlformats.org/officeDocument/2006/relationships/hyperlink" Target="https://www.nosdeputes.fr/sereine-mauborgne/csv" TargetMode="External"/><Relationship Id="rId1689" Type="http://schemas.openxmlformats.org/officeDocument/2006/relationships/hyperlink" Target="https://www.nosdeputes.fr/daniele-cazarian/csv" TargetMode="External"/><Relationship Id="rId1206" Type="http://schemas.openxmlformats.org/officeDocument/2006/relationships/hyperlink" Target="http://www2.assemblee-nationale.fr/deputes/fiche/OMC_PA720870" TargetMode="External"/><Relationship Id="rId1207" Type="http://schemas.openxmlformats.org/officeDocument/2006/relationships/hyperlink" Target="https://www.nosdeputes.fr/jean-francois-mbaye" TargetMode="External"/><Relationship Id="rId1208" Type="http://schemas.openxmlformats.org/officeDocument/2006/relationships/hyperlink" Target="https://www.nosdeputes.fr/jean-francois-mbaye/csv" TargetMode="External"/><Relationship Id="rId1209" Type="http://schemas.openxmlformats.org/officeDocument/2006/relationships/hyperlink" Target="http://www2.assemblee-nationale.fr/deputes/fiche/OMC_PA720644" TargetMode="External"/><Relationship Id="rId855" Type="http://schemas.openxmlformats.org/officeDocument/2006/relationships/hyperlink" Target="http://www2.assemblee-nationale.fr/deputes/fiche/OMC_PA718780" TargetMode="External"/><Relationship Id="rId854" Type="http://schemas.openxmlformats.org/officeDocument/2006/relationships/hyperlink" Target="https://www.nosdeputes.fr/sabine-thillaye/csv" TargetMode="External"/><Relationship Id="rId853" Type="http://schemas.openxmlformats.org/officeDocument/2006/relationships/hyperlink" Target="https://www.nosdeputes.fr/sabine-thillaye" TargetMode="External"/><Relationship Id="rId852" Type="http://schemas.openxmlformats.org/officeDocument/2006/relationships/hyperlink" Target="http://www2.assemblee-nationale.fr/deputes/fiche/OMC_PA719822" TargetMode="External"/><Relationship Id="rId859" Type="http://schemas.openxmlformats.org/officeDocument/2006/relationships/hyperlink" Target="https://www.nosdeputes.fr/guillaume-vuilletet" TargetMode="External"/><Relationship Id="rId858" Type="http://schemas.openxmlformats.org/officeDocument/2006/relationships/hyperlink" Target="http://www2.assemblee-nationale.fr/deputes/fiche/OMC_PA721262" TargetMode="External"/><Relationship Id="rId857" Type="http://schemas.openxmlformats.org/officeDocument/2006/relationships/hyperlink" Target="https://www.nosdeputes.fr/laurence-trastour-isnart/csv" TargetMode="External"/><Relationship Id="rId856" Type="http://schemas.openxmlformats.org/officeDocument/2006/relationships/hyperlink" Target="https://www.nosdeputes.fr/laurence-trastour-isnart" TargetMode="External"/><Relationship Id="rId1680" Type="http://schemas.openxmlformats.org/officeDocument/2006/relationships/hyperlink" Target="https://www.nosdeputes.fr/gabriel-serville/csv" TargetMode="External"/><Relationship Id="rId1681" Type="http://schemas.openxmlformats.org/officeDocument/2006/relationships/hyperlink" Target="http://www2.assemblee-nationale.fr/deputes/fiche/OMC_PA721344" TargetMode="External"/><Relationship Id="rId851" Type="http://schemas.openxmlformats.org/officeDocument/2006/relationships/hyperlink" Target="https://www.nosdeputes.fr/agnes-thill/csv" TargetMode="External"/><Relationship Id="rId1682" Type="http://schemas.openxmlformats.org/officeDocument/2006/relationships/hyperlink" Target="https://www.nosdeputes.fr/bruno-bonnell" TargetMode="External"/><Relationship Id="rId850" Type="http://schemas.openxmlformats.org/officeDocument/2006/relationships/hyperlink" Target="https://www.nosdeputes.fr/agnes-thill" TargetMode="External"/><Relationship Id="rId1683" Type="http://schemas.openxmlformats.org/officeDocument/2006/relationships/hyperlink" Target="https://www.nosdeputes.fr/bruno-bonnell/csv" TargetMode="External"/><Relationship Id="rId1200" Type="http://schemas.openxmlformats.org/officeDocument/2006/relationships/hyperlink" Target="http://www2.assemblee-nationale.fr/deputes/fiche/OMC_PA340853" TargetMode="External"/><Relationship Id="rId1684" Type="http://schemas.openxmlformats.org/officeDocument/2006/relationships/hyperlink" Target="http://www2.assemblee-nationale.fr/deputes/fiche/OMC_PA336316" TargetMode="External"/><Relationship Id="rId1201" Type="http://schemas.openxmlformats.org/officeDocument/2006/relationships/hyperlink" Target="https://www.nosdeputes.fr/sebastien-leclerc" TargetMode="External"/><Relationship Id="rId1685" Type="http://schemas.openxmlformats.org/officeDocument/2006/relationships/hyperlink" Target="https://www.nosdeputes.fr/jean-claude-bouchet" TargetMode="External"/><Relationship Id="rId1235" Type="http://schemas.openxmlformats.org/officeDocument/2006/relationships/hyperlink" Target="http://www2.assemblee-nationale.fr/deputes/fiche/OMC_PA334768" TargetMode="External"/><Relationship Id="rId1236" Type="http://schemas.openxmlformats.org/officeDocument/2006/relationships/hyperlink" Target="https://www.nosdeputes.fr/jean-louis-touraine" TargetMode="External"/><Relationship Id="rId1237" Type="http://schemas.openxmlformats.org/officeDocument/2006/relationships/hyperlink" Target="https://www.nosdeputes.fr/jean-louis-touraine/csv" TargetMode="External"/><Relationship Id="rId1238" Type="http://schemas.openxmlformats.org/officeDocument/2006/relationships/hyperlink" Target="http://www2.assemblee-nationale.fr/deputes/fiche/OMC_PA2828" TargetMode="External"/><Relationship Id="rId1239" Type="http://schemas.openxmlformats.org/officeDocument/2006/relationships/hyperlink" Target="https://www.nosdeputes.fr/alain-tourret" TargetMode="External"/><Relationship Id="rId409" Type="http://schemas.openxmlformats.org/officeDocument/2006/relationships/hyperlink" Target="https://www.nosdeputes.fr/mireille-robert/csv" TargetMode="External"/><Relationship Id="rId404" Type="http://schemas.openxmlformats.org/officeDocument/2006/relationships/hyperlink" Target="http://www2.assemblee-nationale.fr/deputes/fiche/OMC_PA721426" TargetMode="External"/><Relationship Id="rId888" Type="http://schemas.openxmlformats.org/officeDocument/2006/relationships/hyperlink" Target="http://www2.assemblee-nationale.fr/deputes/fiche/OMC_PA720822" TargetMode="External"/><Relationship Id="rId403" Type="http://schemas.openxmlformats.org/officeDocument/2006/relationships/hyperlink" Target="https://www.nosdeputes.fr/adrien-quatennens/csv" TargetMode="External"/><Relationship Id="rId887" Type="http://schemas.openxmlformats.org/officeDocument/2006/relationships/hyperlink" Target="https://www.nosdeputes.fr/barbara-bessot-ballot/csv" TargetMode="External"/><Relationship Id="rId402" Type="http://schemas.openxmlformats.org/officeDocument/2006/relationships/hyperlink" Target="https://www.nosdeputes.fr/adrien-quatennens" TargetMode="External"/><Relationship Id="rId886" Type="http://schemas.openxmlformats.org/officeDocument/2006/relationships/hyperlink" Target="https://www.nosdeputes.fr/barbara-bessot-ballot" TargetMode="External"/><Relationship Id="rId401" Type="http://schemas.openxmlformats.org/officeDocument/2006/relationships/hyperlink" Target="http://www2.assemblee-nationale.fr/deputes/fiche/OMC_PA720422" TargetMode="External"/><Relationship Id="rId885" Type="http://schemas.openxmlformats.org/officeDocument/2006/relationships/hyperlink" Target="http://www2.assemblee-nationale.fr/deputes/fiche/OMC_PA722312" TargetMode="External"/><Relationship Id="rId408" Type="http://schemas.openxmlformats.org/officeDocument/2006/relationships/hyperlink" Target="https://www.nosdeputes.fr/mireille-robert" TargetMode="External"/><Relationship Id="rId407" Type="http://schemas.openxmlformats.org/officeDocument/2006/relationships/hyperlink" Target="http://www2.assemblee-nationale.fr/deputes/fiche/OMC_PA718810" TargetMode="External"/><Relationship Id="rId406" Type="http://schemas.openxmlformats.org/officeDocument/2006/relationships/hyperlink" Target="https://www.nosdeputes.fr/veronique-riotton/csv" TargetMode="External"/><Relationship Id="rId405" Type="http://schemas.openxmlformats.org/officeDocument/2006/relationships/hyperlink" Target="https://www.nosdeputes.fr/veronique-riotton" TargetMode="External"/><Relationship Id="rId889" Type="http://schemas.openxmlformats.org/officeDocument/2006/relationships/hyperlink" Target="https://www.nosdeputes.fr/bruno-bilde" TargetMode="External"/><Relationship Id="rId880" Type="http://schemas.openxmlformats.org/officeDocument/2006/relationships/hyperlink" Target="https://www.nosdeputes.fr/philippe-berta" TargetMode="External"/><Relationship Id="rId1230" Type="http://schemas.openxmlformats.org/officeDocument/2006/relationships/hyperlink" Target="https://www.nosdeputes.fr/laetitia-saint-paul" TargetMode="External"/><Relationship Id="rId400" Type="http://schemas.openxmlformats.org/officeDocument/2006/relationships/hyperlink" Target="https://www.nosdeputes.fr/loic-prud-homme/csv" TargetMode="External"/><Relationship Id="rId884" Type="http://schemas.openxmlformats.org/officeDocument/2006/relationships/hyperlink" Target="https://www.nosdeputes.fr/gregory-besson-moreau/csv" TargetMode="External"/><Relationship Id="rId1231" Type="http://schemas.openxmlformats.org/officeDocument/2006/relationships/hyperlink" Target="https://www.nosdeputes.fr/laetitia-saint-paul/csv" TargetMode="External"/><Relationship Id="rId883" Type="http://schemas.openxmlformats.org/officeDocument/2006/relationships/hyperlink" Target="https://www.nosdeputes.fr/gregory-besson-moreau" TargetMode="External"/><Relationship Id="rId1232" Type="http://schemas.openxmlformats.org/officeDocument/2006/relationships/hyperlink" Target="http://www2.assemblee-nationale.fr/deputes/fiche/OMC_PA720830" TargetMode="External"/><Relationship Id="rId882" Type="http://schemas.openxmlformats.org/officeDocument/2006/relationships/hyperlink" Target="http://www2.assemblee-nationale.fr/deputes/fiche/OMC_PA718876" TargetMode="External"/><Relationship Id="rId1233" Type="http://schemas.openxmlformats.org/officeDocument/2006/relationships/hyperlink" Target="https://www.nosdeputes.fr/valerie-thomas" TargetMode="External"/><Relationship Id="rId881" Type="http://schemas.openxmlformats.org/officeDocument/2006/relationships/hyperlink" Target="https://www.nosdeputes.fr/philippe-berta/csv" TargetMode="External"/><Relationship Id="rId1234" Type="http://schemas.openxmlformats.org/officeDocument/2006/relationships/hyperlink" Target="https://www.nosdeputes.fr/valerie-thomas/csv" TargetMode="External"/><Relationship Id="rId1224" Type="http://schemas.openxmlformats.org/officeDocument/2006/relationships/hyperlink" Target="https://twitter.com/isabelle_rauch" TargetMode="External"/><Relationship Id="rId1225" Type="http://schemas.openxmlformats.org/officeDocument/2006/relationships/hyperlink" Target="http://www2.assemblee-nationale.fr/deputes/fiche/OMC_PA720552" TargetMode="External"/><Relationship Id="rId1226" Type="http://schemas.openxmlformats.org/officeDocument/2006/relationships/hyperlink" Target="https://www.nosdeputes.fr/isabelle-rauch" TargetMode="External"/><Relationship Id="rId1227" Type="http://schemas.openxmlformats.org/officeDocument/2006/relationships/hyperlink" Target="https://www.nosdeputes.fr/isabelle-rauch/csv" TargetMode="External"/><Relationship Id="rId1228" Type="http://schemas.openxmlformats.org/officeDocument/2006/relationships/hyperlink" Target="http://laetitiasaintpaul.enmarche.fr" TargetMode="External"/><Relationship Id="rId1229" Type="http://schemas.openxmlformats.org/officeDocument/2006/relationships/hyperlink" Target="http://www2.assemblee-nationale.fr/deputes/fiche/OMC_PA720138" TargetMode="External"/><Relationship Id="rId877" Type="http://schemas.openxmlformats.org/officeDocument/2006/relationships/hyperlink" Target="https://www.nosdeputes.fr/aurore-berge" TargetMode="External"/><Relationship Id="rId876" Type="http://schemas.openxmlformats.org/officeDocument/2006/relationships/hyperlink" Target="http://www2.assemblee-nationale.fr/deputes/fiche/OMC_PA722046" TargetMode="External"/><Relationship Id="rId875" Type="http://schemas.openxmlformats.org/officeDocument/2006/relationships/hyperlink" Target="https://www.nosdeputes.fr/geraldine-bannier/csv" TargetMode="External"/><Relationship Id="rId874" Type="http://schemas.openxmlformats.org/officeDocument/2006/relationships/hyperlink" Target="https://www.nosdeputes.fr/geraldine-bannier" TargetMode="External"/><Relationship Id="rId879" Type="http://schemas.openxmlformats.org/officeDocument/2006/relationships/hyperlink" Target="http://www2.assemblee-nationale.fr/deputes/fiche/OMC_PA719488" TargetMode="External"/><Relationship Id="rId878" Type="http://schemas.openxmlformats.org/officeDocument/2006/relationships/hyperlink" Target="https://www.nosdeputes.fr/aurore-berge/csv" TargetMode="External"/><Relationship Id="rId873" Type="http://schemas.openxmlformats.org/officeDocument/2006/relationships/hyperlink" Target="http://www2.assemblee-nationale.fr/deputes/fiche/OMC_PA720256" TargetMode="External"/><Relationship Id="rId1220" Type="http://schemas.openxmlformats.org/officeDocument/2006/relationships/hyperlink" Target="https://www.nosdeputes.fr/claire-pitollat/csv" TargetMode="External"/><Relationship Id="rId872" Type="http://schemas.openxmlformats.org/officeDocument/2006/relationships/hyperlink" Target="https://www.nosdeputes.fr/gabriel-attal/csv" TargetMode="External"/><Relationship Id="rId1221" Type="http://schemas.openxmlformats.org/officeDocument/2006/relationships/hyperlink" Target="http://www2.assemblee-nationale.fr/deputes/fiche/OMC_PA718944" TargetMode="External"/><Relationship Id="rId871" Type="http://schemas.openxmlformats.org/officeDocument/2006/relationships/hyperlink" Target="https://www.nosdeputes.fr/gabriel-attal" TargetMode="External"/><Relationship Id="rId1222" Type="http://schemas.openxmlformats.org/officeDocument/2006/relationships/hyperlink" Target="https://www.nosdeputes.fr/cathy-racon-bouzon" TargetMode="External"/><Relationship Id="rId870" Type="http://schemas.openxmlformats.org/officeDocument/2006/relationships/hyperlink" Target="http://www2.assemblee-nationale.fr/deputes/fiche/OMC_PA722190" TargetMode="External"/><Relationship Id="rId1223" Type="http://schemas.openxmlformats.org/officeDocument/2006/relationships/hyperlink" Target="https://www.nosdeputes.fr/cathy-racon-bouzon/csv" TargetMode="External"/><Relationship Id="rId1653" Type="http://schemas.openxmlformats.org/officeDocument/2006/relationships/hyperlink" Target="http://www2.assemblee-nationale.fr/deputes/fiche/OMC_PA719770" TargetMode="External"/><Relationship Id="rId1654" Type="http://schemas.openxmlformats.org/officeDocument/2006/relationships/hyperlink" Target="https://www.nosdeputes.fr/florian-bachelier" TargetMode="External"/><Relationship Id="rId1655" Type="http://schemas.openxmlformats.org/officeDocument/2006/relationships/hyperlink" Target="https://www.nosdeputes.fr/florian-bachelier/csv" TargetMode="External"/><Relationship Id="rId1656" Type="http://schemas.openxmlformats.org/officeDocument/2006/relationships/hyperlink" Target="http://www2.assemblee-nationale.fr/deputes/fiche/OMC_PA267429" TargetMode="External"/><Relationship Id="rId1657" Type="http://schemas.openxmlformats.org/officeDocument/2006/relationships/hyperlink" Target="https://www.nosdeputes.fr/dino-cinieri" TargetMode="External"/><Relationship Id="rId1658" Type="http://schemas.openxmlformats.org/officeDocument/2006/relationships/hyperlink" Target="https://www.nosdeputes.fr/dino-cinieri/csv" TargetMode="External"/><Relationship Id="rId1659" Type="http://schemas.openxmlformats.org/officeDocument/2006/relationships/hyperlink" Target="http://www2.assemblee-nationale.fr/deputes/fiche/OMC_PA336439" TargetMode="External"/><Relationship Id="rId829" Type="http://schemas.openxmlformats.org/officeDocument/2006/relationships/hyperlink" Target="https://www.nosdeputes.fr/marie-pierre-rixain/csv" TargetMode="External"/><Relationship Id="rId828" Type="http://schemas.openxmlformats.org/officeDocument/2006/relationships/hyperlink" Target="https://www.nosdeputes.fr/marie-pierre-rixain" TargetMode="External"/><Relationship Id="rId827" Type="http://schemas.openxmlformats.org/officeDocument/2006/relationships/hyperlink" Target="http://www2.assemblee-nationale.fr/deputes/fiche/OMC_PA722252" TargetMode="External"/><Relationship Id="rId822" Type="http://schemas.openxmlformats.org/officeDocument/2006/relationships/hyperlink" Target="https://fr-fr.facebook.com/profile.php?id=100017133168739/%7Chttps://twitter.com/Cecile_Rilhac" TargetMode="External"/><Relationship Id="rId821" Type="http://schemas.openxmlformats.org/officeDocument/2006/relationships/hyperlink" Target="https://www.nosdeputes.fr/jean-luc-reitzer/csv" TargetMode="External"/><Relationship Id="rId820" Type="http://schemas.openxmlformats.org/officeDocument/2006/relationships/hyperlink" Target="https://www.nosdeputes.fr/jean-luc-reitzer" TargetMode="External"/><Relationship Id="rId826" Type="http://schemas.openxmlformats.org/officeDocument/2006/relationships/hyperlink" Target="https://twitter.com/RixainMP" TargetMode="External"/><Relationship Id="rId825" Type="http://schemas.openxmlformats.org/officeDocument/2006/relationships/hyperlink" Target="https://www.nosdeputes.fr/cecile-rilhac/csv" TargetMode="External"/><Relationship Id="rId824" Type="http://schemas.openxmlformats.org/officeDocument/2006/relationships/hyperlink" Target="https://www.nosdeputes.fr/cecile-rilhac" TargetMode="External"/><Relationship Id="rId823" Type="http://schemas.openxmlformats.org/officeDocument/2006/relationships/hyperlink" Target="http://www2.assemblee-nationale.fr/deputes/fiche/OMC_PA720900" TargetMode="External"/><Relationship Id="rId1650" Type="http://schemas.openxmlformats.org/officeDocument/2006/relationships/hyperlink" Target="http://www2.assemblee-nationale.fr/deputes/fiche/OMC_PA720242" TargetMode="External"/><Relationship Id="rId1651" Type="http://schemas.openxmlformats.org/officeDocument/2006/relationships/hyperlink" Target="https://www.nosdeputes.fr/berangere-abba" TargetMode="External"/><Relationship Id="rId1652" Type="http://schemas.openxmlformats.org/officeDocument/2006/relationships/hyperlink" Target="https://www.nosdeputes.fr/berangere-abba/csv" TargetMode="External"/><Relationship Id="rId1642" Type="http://schemas.openxmlformats.org/officeDocument/2006/relationships/hyperlink" Target="https://www.nosdeputes.fr/maina-sage/csv" TargetMode="External"/><Relationship Id="rId1643" Type="http://schemas.openxmlformats.org/officeDocument/2006/relationships/hyperlink" Target="https://fr-fr.facebook.com/profile.php?id=100011273400352/%7Chttps://twitter.com/S_Trompille%7Chttps://en-marche.fr%7Chttps://www.instagram.com/stephane.trompille/?hl=fr" TargetMode="External"/><Relationship Id="rId1644" Type="http://schemas.openxmlformats.org/officeDocument/2006/relationships/hyperlink" Target="http://www2.assemblee-nationale.fr/deputes/fiche/OMC_PA718682" TargetMode="External"/><Relationship Id="rId1645" Type="http://schemas.openxmlformats.org/officeDocument/2006/relationships/hyperlink" Target="https://www.nosdeputes.fr/stephane-trompille" TargetMode="External"/><Relationship Id="rId1646" Type="http://schemas.openxmlformats.org/officeDocument/2006/relationships/hyperlink" Target="https://www.nosdeputes.fr/stephane-trompille/csv" TargetMode="External"/><Relationship Id="rId1647" Type="http://schemas.openxmlformats.org/officeDocument/2006/relationships/hyperlink" Target="http://www2.assemblee-nationale.fr/deputes/fiche/OMC_PA606639" TargetMode="External"/><Relationship Id="rId1648" Type="http://schemas.openxmlformats.org/officeDocument/2006/relationships/hyperlink" Target="https://www.nosdeputes.fr/patrick-vignal" TargetMode="External"/><Relationship Id="rId1649" Type="http://schemas.openxmlformats.org/officeDocument/2006/relationships/hyperlink" Target="https://www.nosdeputes.fr/patrick-vignal/csv" TargetMode="External"/><Relationship Id="rId819" Type="http://schemas.openxmlformats.org/officeDocument/2006/relationships/hyperlink" Target="http://www2.assemblee-nationale.fr/deputes/fiche/OMC_PA2529" TargetMode="External"/><Relationship Id="rId818" Type="http://schemas.openxmlformats.org/officeDocument/2006/relationships/hyperlink" Target="https://www.nosdeputes.fr/robin-reda/csv" TargetMode="External"/><Relationship Id="rId817" Type="http://schemas.openxmlformats.org/officeDocument/2006/relationships/hyperlink" Target="https://www.nosdeputes.fr/robin-reda" TargetMode="External"/><Relationship Id="rId816" Type="http://schemas.openxmlformats.org/officeDocument/2006/relationships/hyperlink" Target="http://www2.assemblee-nationale.fr/deputes/fiche/OMC_PA721678" TargetMode="External"/><Relationship Id="rId811" Type="http://schemas.openxmlformats.org/officeDocument/2006/relationships/hyperlink" Target="https://www.nosdeputes.fr/richard-ramos/csv" TargetMode="External"/><Relationship Id="rId810" Type="http://schemas.openxmlformats.org/officeDocument/2006/relationships/hyperlink" Target="https://www.nosdeputes.fr/richard-ramos" TargetMode="External"/><Relationship Id="rId815" Type="http://schemas.openxmlformats.org/officeDocument/2006/relationships/hyperlink" Target="https://www.nosdeputes.fr/jean-hugues-ratenon/csv" TargetMode="External"/><Relationship Id="rId814" Type="http://schemas.openxmlformats.org/officeDocument/2006/relationships/hyperlink" Target="https://www.nosdeputes.fr/jean-hugues-ratenon" TargetMode="External"/><Relationship Id="rId813" Type="http://schemas.openxmlformats.org/officeDocument/2006/relationships/hyperlink" Target="http://www2.assemblee-nationale.fr/deputes/fiche/OMC_PA721062" TargetMode="External"/><Relationship Id="rId812" Type="http://schemas.openxmlformats.org/officeDocument/2006/relationships/hyperlink" Target="https://twitter.com/JhRatenon" TargetMode="External"/><Relationship Id="rId1640" Type="http://schemas.openxmlformats.org/officeDocument/2006/relationships/hyperlink" Target="http://www2.assemblee-nationale.fr/deputes/fiche/OMC_PA702052" TargetMode="External"/><Relationship Id="rId1641" Type="http://schemas.openxmlformats.org/officeDocument/2006/relationships/hyperlink" Target="https://www.nosdeputes.fr/maina-sage" TargetMode="External"/><Relationship Id="rId1675" Type="http://schemas.openxmlformats.org/officeDocument/2006/relationships/hyperlink" Target="http://www2.assemblee-nationale.fr/deputes/fiche/OMC_PA720960" TargetMode="External"/><Relationship Id="rId1676" Type="http://schemas.openxmlformats.org/officeDocument/2006/relationships/hyperlink" Target="https://www.nosdeputes.fr/olivier-serva" TargetMode="External"/><Relationship Id="rId1677" Type="http://schemas.openxmlformats.org/officeDocument/2006/relationships/hyperlink" Target="https://www.nosdeputes.fr/olivier-serva/csv" TargetMode="External"/><Relationship Id="rId1678" Type="http://schemas.openxmlformats.org/officeDocument/2006/relationships/hyperlink" Target="http://www2.assemblee-nationale.fr/deputes/fiche/OMC_PA610667" TargetMode="External"/><Relationship Id="rId1679" Type="http://schemas.openxmlformats.org/officeDocument/2006/relationships/hyperlink" Target="https://www.nosdeputes.fr/gabriel-serville" TargetMode="External"/><Relationship Id="rId849" Type="http://schemas.openxmlformats.org/officeDocument/2006/relationships/hyperlink" Target="http://www2.assemblee-nationale.fr/deputes/fiche/OMC_PA720568" TargetMode="External"/><Relationship Id="rId844" Type="http://schemas.openxmlformats.org/officeDocument/2006/relationships/hyperlink" Target="https://www.nosdeputes.fr/liliana-tanguy/csv" TargetMode="External"/><Relationship Id="rId843" Type="http://schemas.openxmlformats.org/officeDocument/2006/relationships/hyperlink" Target="https://www.nosdeputes.fr/liliana-tanguy" TargetMode="External"/><Relationship Id="rId842" Type="http://schemas.openxmlformats.org/officeDocument/2006/relationships/hyperlink" Target="http://www2.assemblee-nationale.fr/deputes/fiche/OMC_PA719550" TargetMode="External"/><Relationship Id="rId841" Type="http://schemas.openxmlformats.org/officeDocument/2006/relationships/hyperlink" Target="https://www.nosdeputes.fr/pacome-rupin/csv" TargetMode="External"/><Relationship Id="rId848" Type="http://schemas.openxmlformats.org/officeDocument/2006/relationships/hyperlink" Target="https://twitter.com/ThillAgnes" TargetMode="External"/><Relationship Id="rId847" Type="http://schemas.openxmlformats.org/officeDocument/2006/relationships/hyperlink" Target="https://www.nosdeputes.fr/jean-terlier/csv" TargetMode="External"/><Relationship Id="rId846" Type="http://schemas.openxmlformats.org/officeDocument/2006/relationships/hyperlink" Target="https://www.nosdeputes.fr/jean-terlier" TargetMode="External"/><Relationship Id="rId845" Type="http://schemas.openxmlformats.org/officeDocument/2006/relationships/hyperlink" Target="http://www2.assemblee-nationale.fr/deputes/fiche/OMC_PA721584" TargetMode="External"/><Relationship Id="rId1670" Type="http://schemas.openxmlformats.org/officeDocument/2006/relationships/hyperlink" Target="https://www.nosdeputes.fr/guillaume-peltier" TargetMode="External"/><Relationship Id="rId840" Type="http://schemas.openxmlformats.org/officeDocument/2006/relationships/hyperlink" Target="https://www.nosdeputes.fr/pacome-rupin" TargetMode="External"/><Relationship Id="rId1671" Type="http://schemas.openxmlformats.org/officeDocument/2006/relationships/hyperlink" Target="https://www.nosdeputes.fr/guillaume-peltier/csv" TargetMode="External"/><Relationship Id="rId1672" Type="http://schemas.openxmlformats.org/officeDocument/2006/relationships/hyperlink" Target="http://www2.assemblee-nationale.fr/deputes/fiche/OMC_PA721070" TargetMode="External"/><Relationship Id="rId1673" Type="http://schemas.openxmlformats.org/officeDocument/2006/relationships/hyperlink" Target="https://www.nosdeputes.fr/nadia-ramassamy" TargetMode="External"/><Relationship Id="rId1674" Type="http://schemas.openxmlformats.org/officeDocument/2006/relationships/hyperlink" Target="https://www.nosdeputes.fr/nadia-ramassamy/csv" TargetMode="External"/><Relationship Id="rId1664" Type="http://schemas.openxmlformats.org/officeDocument/2006/relationships/hyperlink" Target="https://www.nosdeputes.fr/fabien-laine/csv" TargetMode="External"/><Relationship Id="rId1665" Type="http://schemas.openxmlformats.org/officeDocument/2006/relationships/hyperlink" Target="https://twitter.com/fmeunier19" TargetMode="External"/><Relationship Id="rId1666" Type="http://schemas.openxmlformats.org/officeDocument/2006/relationships/hyperlink" Target="http://www2.assemblee-nationale.fr/deputes/fiche/OMC_PA719272" TargetMode="External"/><Relationship Id="rId1667" Type="http://schemas.openxmlformats.org/officeDocument/2006/relationships/hyperlink" Target="https://www.nosdeputes.fr/frederique-meunier" TargetMode="External"/><Relationship Id="rId1668" Type="http://schemas.openxmlformats.org/officeDocument/2006/relationships/hyperlink" Target="https://www.nosdeputes.fr/frederique-meunier/csv" TargetMode="External"/><Relationship Id="rId1669" Type="http://schemas.openxmlformats.org/officeDocument/2006/relationships/hyperlink" Target="http://www2.assemblee-nationale.fr/deputes/fiche/OMC_PA719946" TargetMode="External"/><Relationship Id="rId839" Type="http://schemas.openxmlformats.org/officeDocument/2006/relationships/hyperlink" Target="http://www2.assemblee-nationale.fr/deputes/fiche/OMC_PA721616" TargetMode="External"/><Relationship Id="rId838" Type="http://schemas.openxmlformats.org/officeDocument/2006/relationships/hyperlink" Target="https://www.nosdeputes.fr/francois-ruffin/csv" TargetMode="External"/><Relationship Id="rId833" Type="http://schemas.openxmlformats.org/officeDocument/2006/relationships/hyperlink" Target="http://www2.assemblee-nationale.fr/deputes/fiche/OMC_PA718902" TargetMode="External"/><Relationship Id="rId832" Type="http://schemas.openxmlformats.org/officeDocument/2006/relationships/hyperlink" Target="https://www.nosdeputes.fr/laetitia-romeiro-dias/csv" TargetMode="External"/><Relationship Id="rId831" Type="http://schemas.openxmlformats.org/officeDocument/2006/relationships/hyperlink" Target="https://www.nosdeputes.fr/laetitia-romeiro-dias" TargetMode="External"/><Relationship Id="rId830" Type="http://schemas.openxmlformats.org/officeDocument/2006/relationships/hyperlink" Target="http://www2.assemblee-nationale.fr/deputes/fiche/OMC_PA722022" TargetMode="External"/><Relationship Id="rId837" Type="http://schemas.openxmlformats.org/officeDocument/2006/relationships/hyperlink" Target="https://www.nosdeputes.fr/francois-ruffin" TargetMode="External"/><Relationship Id="rId836" Type="http://schemas.openxmlformats.org/officeDocument/2006/relationships/hyperlink" Target="http://www2.assemblee-nationale.fr/deputes/fiche/OMC_PA722142" TargetMode="External"/><Relationship Id="rId835" Type="http://schemas.openxmlformats.org/officeDocument/2006/relationships/hyperlink" Target="https://www.nosdeputes.fr/cedric-roussel/csv" TargetMode="External"/><Relationship Id="rId834" Type="http://schemas.openxmlformats.org/officeDocument/2006/relationships/hyperlink" Target="https://www.nosdeputes.fr/cedric-roussel" TargetMode="External"/><Relationship Id="rId1660" Type="http://schemas.openxmlformats.org/officeDocument/2006/relationships/hyperlink" Target="https://www.nosdeputes.fr/jean-michel-clement" TargetMode="External"/><Relationship Id="rId1661" Type="http://schemas.openxmlformats.org/officeDocument/2006/relationships/hyperlink" Target="https://www.nosdeputes.fr/jean-michel-clement/csv" TargetMode="External"/><Relationship Id="rId1662" Type="http://schemas.openxmlformats.org/officeDocument/2006/relationships/hyperlink" Target="http://www2.assemblee-nationale.fr/deputes/fiche/OMC_PA719918" TargetMode="External"/><Relationship Id="rId1663" Type="http://schemas.openxmlformats.org/officeDocument/2006/relationships/hyperlink" Target="https://www.nosdeputes.fr/fabien-laine" TargetMode="External"/><Relationship Id="rId469" Type="http://schemas.openxmlformats.org/officeDocument/2006/relationships/hyperlink" Target="http://www2.assemblee-nationale.fr/deputes/fiche/OMC_PA720520" TargetMode="External"/><Relationship Id="rId468" Type="http://schemas.openxmlformats.org/officeDocument/2006/relationships/hyperlink" Target="https://www.nosdeputes.fr/vincent-bru/csv" TargetMode="External"/><Relationship Id="rId467" Type="http://schemas.openxmlformats.org/officeDocument/2006/relationships/hyperlink" Target="https://www.nosdeputes.fr/vincent-bru" TargetMode="External"/><Relationship Id="rId1290" Type="http://schemas.openxmlformats.org/officeDocument/2006/relationships/hyperlink" Target="https://www.nosdeputes.fr/remi-delatte/csv" TargetMode="External"/><Relationship Id="rId1291" Type="http://schemas.openxmlformats.org/officeDocument/2006/relationships/hyperlink" Target="https://twitter.com/DipompeoChrist" TargetMode="External"/><Relationship Id="rId1292" Type="http://schemas.openxmlformats.org/officeDocument/2006/relationships/hyperlink" Target="http://www2.assemblee-nationale.fr/deputes/fiche/OMC_PA720438" TargetMode="External"/><Relationship Id="rId462" Type="http://schemas.openxmlformats.org/officeDocument/2006/relationships/hyperlink" Target="https://twitter.com/pascaleboyer05" TargetMode="External"/><Relationship Id="rId1293" Type="http://schemas.openxmlformats.org/officeDocument/2006/relationships/hyperlink" Target="https://www.nosdeputes.fr/christophe-di-pompeo" TargetMode="External"/><Relationship Id="rId461" Type="http://schemas.openxmlformats.org/officeDocument/2006/relationships/hyperlink" Target="https://www.nosdeputes.fr/jean-louis-bourlanges/csv" TargetMode="External"/><Relationship Id="rId1294" Type="http://schemas.openxmlformats.org/officeDocument/2006/relationships/hyperlink" Target="https://www.nosdeputes.fr/christophe-di-pompeo/csv" TargetMode="External"/><Relationship Id="rId460" Type="http://schemas.openxmlformats.org/officeDocument/2006/relationships/hyperlink" Target="https://www.nosdeputes.fr/jean-louis-bourlanges" TargetMode="External"/><Relationship Id="rId1295" Type="http://schemas.openxmlformats.org/officeDocument/2006/relationships/hyperlink" Target="http://www2.assemblee-nationale.fr/deputes/fiche/OMC_PA609332" TargetMode="External"/><Relationship Id="rId1296" Type="http://schemas.openxmlformats.org/officeDocument/2006/relationships/hyperlink" Target="https://www.nosdeputes.fr/olivier-faure" TargetMode="External"/><Relationship Id="rId466" Type="http://schemas.openxmlformats.org/officeDocument/2006/relationships/hyperlink" Target="http://www2.assemblee-nationale.fr/deputes/fiche/OMC_PA720772" TargetMode="External"/><Relationship Id="rId1297" Type="http://schemas.openxmlformats.org/officeDocument/2006/relationships/hyperlink" Target="https://www.nosdeputes.fr/olivier-faure/csv" TargetMode="External"/><Relationship Id="rId465" Type="http://schemas.openxmlformats.org/officeDocument/2006/relationships/hyperlink" Target="https://www.nosdeputes.fr/pascale-boyer/csv" TargetMode="External"/><Relationship Id="rId1298" Type="http://schemas.openxmlformats.org/officeDocument/2006/relationships/hyperlink" Target="http://www2.assemblee-nationale.fr/deputes/fiche/OMC_PA719960" TargetMode="External"/><Relationship Id="rId464" Type="http://schemas.openxmlformats.org/officeDocument/2006/relationships/hyperlink" Target="https://www.nosdeputes.fr/pascale-boyer" TargetMode="External"/><Relationship Id="rId1299" Type="http://schemas.openxmlformats.org/officeDocument/2006/relationships/hyperlink" Target="https://www.nosdeputes.fr/valeria-faure-muntian" TargetMode="External"/><Relationship Id="rId463" Type="http://schemas.openxmlformats.org/officeDocument/2006/relationships/hyperlink" Target="http://www2.assemblee-nationale.fr/deputes/fiche/OMC_PA718710" TargetMode="External"/><Relationship Id="rId459" Type="http://schemas.openxmlformats.org/officeDocument/2006/relationships/hyperlink" Target="http://www2.assemblee-nationale.fr/deputes/fiche/OMC_PA721608" TargetMode="External"/><Relationship Id="rId458" Type="http://schemas.openxmlformats.org/officeDocument/2006/relationships/hyperlink" Target="https://www.nosdeputes.fr/philippe-bolo/csv" TargetMode="External"/><Relationship Id="rId457" Type="http://schemas.openxmlformats.org/officeDocument/2006/relationships/hyperlink" Target="https://www.nosdeputes.fr/philippe-bolo" TargetMode="External"/><Relationship Id="rId456" Type="http://schemas.openxmlformats.org/officeDocument/2006/relationships/hyperlink" Target="http://www2.assemblee-nationale.fr/deputes/fiche/OMC_PA720162" TargetMode="External"/><Relationship Id="rId1280" Type="http://schemas.openxmlformats.org/officeDocument/2006/relationships/hyperlink" Target="https://www.nosdeputes.fr/guillaume-chiche/csv" TargetMode="External"/><Relationship Id="rId1281" Type="http://schemas.openxmlformats.org/officeDocument/2006/relationships/hyperlink" Target="http://www2.assemblee-nationale.fr/deputes/fiche/OMC_PA719814" TargetMode="External"/><Relationship Id="rId451" Type="http://schemas.openxmlformats.org/officeDocument/2006/relationships/hyperlink" Target="https://www.nosdeputes.fr/jean-noel-barrot" TargetMode="External"/><Relationship Id="rId1282" Type="http://schemas.openxmlformats.org/officeDocument/2006/relationships/hyperlink" Target="https://www.nosdeputes.fr/fabienne-colboc" TargetMode="External"/><Relationship Id="rId450" Type="http://schemas.openxmlformats.org/officeDocument/2006/relationships/hyperlink" Target="http://www2.assemblee-nationale.fr/deputes/fiche/OMC_PA721836" TargetMode="External"/><Relationship Id="rId1283" Type="http://schemas.openxmlformats.org/officeDocument/2006/relationships/hyperlink" Target="https://www.nosdeputes.fr/fabienne-colboc/csv" TargetMode="External"/><Relationship Id="rId1284" Type="http://schemas.openxmlformats.org/officeDocument/2006/relationships/hyperlink" Target="https://fr-fr.facebook.com/jeanpierre.cubertafon/" TargetMode="External"/><Relationship Id="rId1285" Type="http://schemas.openxmlformats.org/officeDocument/2006/relationships/hyperlink" Target="http://www2.assemblee-nationale.fr/deputes/fiche/OMC_PA719266" TargetMode="External"/><Relationship Id="rId455" Type="http://schemas.openxmlformats.org/officeDocument/2006/relationships/hyperlink" Target="https://www.nosdeputes.fr/marie-noelle-battistel/csv" TargetMode="External"/><Relationship Id="rId1286" Type="http://schemas.openxmlformats.org/officeDocument/2006/relationships/hyperlink" Target="https://www.nosdeputes.fr/jean-pierre-cubertafon" TargetMode="External"/><Relationship Id="rId454" Type="http://schemas.openxmlformats.org/officeDocument/2006/relationships/hyperlink" Target="https://www.nosdeputes.fr/marie-noelle-battistel" TargetMode="External"/><Relationship Id="rId1287" Type="http://schemas.openxmlformats.org/officeDocument/2006/relationships/hyperlink" Target="https://www.nosdeputes.fr/jean-pierre-cubertafon/csv" TargetMode="External"/><Relationship Id="rId453" Type="http://schemas.openxmlformats.org/officeDocument/2006/relationships/hyperlink" Target="http://www2.assemblee-nationale.fr/deputes/fiche/OMC_PA342415" TargetMode="External"/><Relationship Id="rId1288" Type="http://schemas.openxmlformats.org/officeDocument/2006/relationships/hyperlink" Target="http://www2.assemblee-nationale.fr/deputes/fiche/OMC_PA267450" TargetMode="External"/><Relationship Id="rId452" Type="http://schemas.openxmlformats.org/officeDocument/2006/relationships/hyperlink" Target="https://www.nosdeputes.fr/jean-noel-barrot/csv" TargetMode="External"/><Relationship Id="rId1289" Type="http://schemas.openxmlformats.org/officeDocument/2006/relationships/hyperlink" Target="https://www.nosdeputes.fr/remi-delatte" TargetMode="External"/><Relationship Id="rId491" Type="http://schemas.openxmlformats.org/officeDocument/2006/relationships/hyperlink" Target="https://www.nosdeputes.fr/catherine-fabre" TargetMode="External"/><Relationship Id="rId490" Type="http://schemas.openxmlformats.org/officeDocument/2006/relationships/hyperlink" Target="http://www2.assemblee-nationale.fr/deputes/fiche/OMC_PA719570" TargetMode="External"/><Relationship Id="rId489" Type="http://schemas.openxmlformats.org/officeDocument/2006/relationships/hyperlink" Target="https://www.nosdeputes.fr/sophie-errante/csv" TargetMode="External"/><Relationship Id="rId484" Type="http://schemas.openxmlformats.org/officeDocument/2006/relationships/hyperlink" Target="http://www2.assemblee-nationale.fr/deputes/fiche/OMC_PA720924" TargetMode="External"/><Relationship Id="rId483" Type="http://schemas.openxmlformats.org/officeDocument/2006/relationships/hyperlink" Target="https://www.nosdeputes.fr/audrey-dufeu-schubert/csv" TargetMode="External"/><Relationship Id="rId482" Type="http://schemas.openxmlformats.org/officeDocument/2006/relationships/hyperlink" Target="https://www.nosdeputes.fr/audrey-dufeu-schubert" TargetMode="External"/><Relationship Id="rId481" Type="http://schemas.openxmlformats.org/officeDocument/2006/relationships/hyperlink" Target="http://www2.assemblee-nationale.fr/deputes/fiche/OMC_PA720046" TargetMode="External"/><Relationship Id="rId488" Type="http://schemas.openxmlformats.org/officeDocument/2006/relationships/hyperlink" Target="https://www.nosdeputes.fr/sophie-errante" TargetMode="External"/><Relationship Id="rId487" Type="http://schemas.openxmlformats.org/officeDocument/2006/relationships/hyperlink" Target="http://www2.assemblee-nationale.fr/deputes/fiche/OMC_PA607193" TargetMode="External"/><Relationship Id="rId486" Type="http://schemas.openxmlformats.org/officeDocument/2006/relationships/hyperlink" Target="https://www.nosdeputes.fr/nathalie-elimas/csv" TargetMode="External"/><Relationship Id="rId485" Type="http://schemas.openxmlformats.org/officeDocument/2006/relationships/hyperlink" Target="https://www.nosdeputes.fr/nathalie-elimas" TargetMode="External"/><Relationship Id="rId480" Type="http://schemas.openxmlformats.org/officeDocument/2006/relationships/hyperlink" Target="https://www.nosdeputes.fr/christelle-dubos/csv" TargetMode="External"/><Relationship Id="rId479" Type="http://schemas.openxmlformats.org/officeDocument/2006/relationships/hyperlink" Target="https://www.nosdeputes.fr/christelle-dubos" TargetMode="External"/><Relationship Id="rId478" Type="http://schemas.openxmlformats.org/officeDocument/2006/relationships/hyperlink" Target="http://www2.assemblee-nationale.fr/deputes/fiche/OMC_PA719660" TargetMode="External"/><Relationship Id="rId473" Type="http://schemas.openxmlformats.org/officeDocument/2006/relationships/hyperlink" Target="https://www.nosdeputes.fr/yves-daniel" TargetMode="External"/><Relationship Id="rId472" Type="http://schemas.openxmlformats.org/officeDocument/2006/relationships/hyperlink" Target="http://www2.assemblee-nationale.fr/deputes/fiche/OMC_PA607155" TargetMode="External"/><Relationship Id="rId471" Type="http://schemas.openxmlformats.org/officeDocument/2006/relationships/hyperlink" Target="https://www.nosdeputes.fr/anne-laure-cattelot/csv" TargetMode="External"/><Relationship Id="rId470" Type="http://schemas.openxmlformats.org/officeDocument/2006/relationships/hyperlink" Target="https://www.nosdeputes.fr/anne-laure-cattelot" TargetMode="External"/><Relationship Id="rId477" Type="http://schemas.openxmlformats.org/officeDocument/2006/relationships/hyperlink" Target="https://www.nosdeputes.fr/vincent-descoeur/csv" TargetMode="External"/><Relationship Id="rId476" Type="http://schemas.openxmlformats.org/officeDocument/2006/relationships/hyperlink" Target="https://www.nosdeputes.fr/vincent-descoeur" TargetMode="External"/><Relationship Id="rId475" Type="http://schemas.openxmlformats.org/officeDocument/2006/relationships/hyperlink" Target="http://www2.assemblee-nationale.fr/deputes/fiche/OMC_PA330909" TargetMode="External"/><Relationship Id="rId474" Type="http://schemas.openxmlformats.org/officeDocument/2006/relationships/hyperlink" Target="https://www.nosdeputes.fr/yves-daniel/csv" TargetMode="External"/><Relationship Id="rId1257" Type="http://schemas.openxmlformats.org/officeDocument/2006/relationships/hyperlink" Target="https://www.nosdeputes.fr/francois-andre" TargetMode="External"/><Relationship Id="rId1258" Type="http://schemas.openxmlformats.org/officeDocument/2006/relationships/hyperlink" Target="https://www.nosdeputes.fr/francois-andre/csv" TargetMode="External"/><Relationship Id="rId1259" Type="http://schemas.openxmlformats.org/officeDocument/2006/relationships/hyperlink" Target="https://twitter.com/vbazinmalgras" TargetMode="External"/><Relationship Id="rId426" Type="http://schemas.openxmlformats.org/officeDocument/2006/relationships/hyperlink" Target="https://www.nosdeputes.fr/vincent-thiebaut" TargetMode="External"/><Relationship Id="rId425" Type="http://schemas.openxmlformats.org/officeDocument/2006/relationships/hyperlink" Target="http://www2.assemblee-nationale.fr/deputes/fiche/OMC_PA722336" TargetMode="External"/><Relationship Id="rId424" Type="http://schemas.openxmlformats.org/officeDocument/2006/relationships/hyperlink" Target="https://www.nosdeputes.fr/eric-straumann/csv" TargetMode="External"/><Relationship Id="rId423" Type="http://schemas.openxmlformats.org/officeDocument/2006/relationships/hyperlink" Target="https://www.nosdeputes.fr/eric-straumann" TargetMode="External"/><Relationship Id="rId429" Type="http://schemas.openxmlformats.org/officeDocument/2006/relationships/hyperlink" Target="http://www2.assemblee-nationale.fr/deputes/fiche/OMC_PA643134" TargetMode="External"/><Relationship Id="rId428" Type="http://schemas.openxmlformats.org/officeDocument/2006/relationships/hyperlink" Target="https://twitter.com/isavalentin43" TargetMode="External"/><Relationship Id="rId427" Type="http://schemas.openxmlformats.org/officeDocument/2006/relationships/hyperlink" Target="https://www.nosdeputes.fr/vincent-thiebaut/csv" TargetMode="External"/><Relationship Id="rId1250" Type="http://schemas.openxmlformats.org/officeDocument/2006/relationships/hyperlink" Target="http://www2.assemblee-nationale.fr/deputes/fiche/OMC_PA267330" TargetMode="External"/><Relationship Id="rId1251" Type="http://schemas.openxmlformats.org/officeDocument/2006/relationships/hyperlink" Target="https://www.nosdeputes.fr/michel-zumkeller" TargetMode="External"/><Relationship Id="rId1252" Type="http://schemas.openxmlformats.org/officeDocument/2006/relationships/hyperlink" Target="https://www.nosdeputes.fr/michel-zumkeller/csv" TargetMode="External"/><Relationship Id="rId422" Type="http://schemas.openxmlformats.org/officeDocument/2006/relationships/hyperlink" Target="http://www2.assemblee-nationale.fr/deputes/fiche/OMC_PA334654" TargetMode="External"/><Relationship Id="rId1253" Type="http://schemas.openxmlformats.org/officeDocument/2006/relationships/hyperlink" Target="http://www2.assemblee-nationale.fr/deputes/fiche/OMC_PA719146" TargetMode="External"/><Relationship Id="rId421" Type="http://schemas.openxmlformats.org/officeDocument/2006/relationships/hyperlink" Target="https://www.nosdeputes.fr/francois-de-rugy/csv" TargetMode="External"/><Relationship Id="rId1254" Type="http://schemas.openxmlformats.org/officeDocument/2006/relationships/hyperlink" Target="https://www.nosdeputes.fr/jean-felix-acquaviva" TargetMode="External"/><Relationship Id="rId420" Type="http://schemas.openxmlformats.org/officeDocument/2006/relationships/hyperlink" Target="https://www.nosdeputes.fr/francois-de-rugy" TargetMode="External"/><Relationship Id="rId1255" Type="http://schemas.openxmlformats.org/officeDocument/2006/relationships/hyperlink" Target="https://www.nosdeputes.fr/jean-felix-acquaviva/csv" TargetMode="External"/><Relationship Id="rId1256" Type="http://schemas.openxmlformats.org/officeDocument/2006/relationships/hyperlink" Target="http://www2.assemblee-nationale.fr/deputes/fiche/OMC_PA606675" TargetMode="External"/><Relationship Id="rId1246" Type="http://schemas.openxmlformats.org/officeDocument/2006/relationships/hyperlink" Target="https://www.nosdeputes.fr/frederique-tuffnell/csv" TargetMode="External"/><Relationship Id="rId1247" Type="http://schemas.openxmlformats.org/officeDocument/2006/relationships/hyperlink" Target="http://www2.assemblee-nationale.fr/deputes/fiche/OMC_PA421348" TargetMode="External"/><Relationship Id="rId1248" Type="http://schemas.openxmlformats.org/officeDocument/2006/relationships/hyperlink" Target="https://www.nosdeputes.fr/andre-villiers" TargetMode="External"/><Relationship Id="rId1249" Type="http://schemas.openxmlformats.org/officeDocument/2006/relationships/hyperlink" Target="https://www.nosdeputes.fr/andre-villiers/csv" TargetMode="External"/><Relationship Id="rId415" Type="http://schemas.openxmlformats.org/officeDocument/2006/relationships/hyperlink" Target="https://www.nosdeputes.fr/sabine-rubin/csv" TargetMode="External"/><Relationship Id="rId899" Type="http://schemas.openxmlformats.org/officeDocument/2006/relationships/hyperlink" Target="https://www.nosdeputes.fr/eric-bothorel/csv" TargetMode="External"/><Relationship Id="rId414" Type="http://schemas.openxmlformats.org/officeDocument/2006/relationships/hyperlink" Target="https://www.nosdeputes.fr/sabine-rubin" TargetMode="External"/><Relationship Id="rId898" Type="http://schemas.openxmlformats.org/officeDocument/2006/relationships/hyperlink" Target="https://www.nosdeputes.fr/eric-bothorel" TargetMode="External"/><Relationship Id="rId413" Type="http://schemas.openxmlformats.org/officeDocument/2006/relationships/hyperlink" Target="http://www2.assemblee-nationale.fr/deputes/fiche/OMC_PA721226" TargetMode="External"/><Relationship Id="rId897" Type="http://schemas.openxmlformats.org/officeDocument/2006/relationships/hyperlink" Target="http://www2.assemblee-nationale.fr/deputes/fiche/OMC_PA642695" TargetMode="External"/><Relationship Id="rId412" Type="http://schemas.openxmlformats.org/officeDocument/2006/relationships/hyperlink" Target="https://www.nosdeputes.fr/xavier-roseren/csv" TargetMode="External"/><Relationship Id="rId896" Type="http://schemas.openxmlformats.org/officeDocument/2006/relationships/hyperlink" Target="https://www.nosdeputes.fr/aude-bono-vandorme/csv" TargetMode="External"/><Relationship Id="rId419" Type="http://schemas.openxmlformats.org/officeDocument/2006/relationships/hyperlink" Target="http://www2.assemblee-nationale.fr/deputes/fiche/OMC_PA332747" TargetMode="External"/><Relationship Id="rId418" Type="http://schemas.openxmlformats.org/officeDocument/2006/relationships/hyperlink" Target="https://www.nosdeputes.fr/thomas-rudigoz/csv" TargetMode="External"/><Relationship Id="rId417" Type="http://schemas.openxmlformats.org/officeDocument/2006/relationships/hyperlink" Target="https://www.nosdeputes.fr/thomas-rudigoz" TargetMode="External"/><Relationship Id="rId416" Type="http://schemas.openxmlformats.org/officeDocument/2006/relationships/hyperlink" Target="http://www2.assemblee-nationale.fr/deputes/fiche/OMC_PA722292" TargetMode="External"/><Relationship Id="rId891" Type="http://schemas.openxmlformats.org/officeDocument/2006/relationships/hyperlink" Target="http://www2.assemblee-nationale.fr/deputes/fiche/OMC_PA608641" TargetMode="External"/><Relationship Id="rId890" Type="http://schemas.openxmlformats.org/officeDocument/2006/relationships/hyperlink" Target="https://www.nosdeputes.fr/bruno-bilde/csv" TargetMode="External"/><Relationship Id="rId1240" Type="http://schemas.openxmlformats.org/officeDocument/2006/relationships/hyperlink" Target="https://www.nosdeputes.fr/alain-tourret/csv" TargetMode="External"/><Relationship Id="rId1241" Type="http://schemas.openxmlformats.org/officeDocument/2006/relationships/hyperlink" Target="http://www2.assemblee-nationale.fr/deputes/fiche/OMC_PA720394" TargetMode="External"/><Relationship Id="rId411" Type="http://schemas.openxmlformats.org/officeDocument/2006/relationships/hyperlink" Target="https://www.nosdeputes.fr/xavier-roseren" TargetMode="External"/><Relationship Id="rId895" Type="http://schemas.openxmlformats.org/officeDocument/2006/relationships/hyperlink" Target="https://www.nosdeputes.fr/aude-bono-vandorme" TargetMode="External"/><Relationship Id="rId1242" Type="http://schemas.openxmlformats.org/officeDocument/2006/relationships/hyperlink" Target="https://www.nosdeputes.fr/nicole-trisse" TargetMode="External"/><Relationship Id="rId410" Type="http://schemas.openxmlformats.org/officeDocument/2006/relationships/hyperlink" Target="http://www2.assemblee-nationale.fr/deputes/fiche/OMC_PA721458" TargetMode="External"/><Relationship Id="rId894" Type="http://schemas.openxmlformats.org/officeDocument/2006/relationships/hyperlink" Target="http://www2.assemblee-nationale.fr/deputes/fiche/OMC_PA718756" TargetMode="External"/><Relationship Id="rId1243" Type="http://schemas.openxmlformats.org/officeDocument/2006/relationships/hyperlink" Target="https://www.nosdeputes.fr/nicole-trisse/csv" TargetMode="External"/><Relationship Id="rId893" Type="http://schemas.openxmlformats.org/officeDocument/2006/relationships/hyperlink" Target="https://www.nosdeputes.fr/yves-blein/csv" TargetMode="External"/><Relationship Id="rId1244" Type="http://schemas.openxmlformats.org/officeDocument/2006/relationships/hyperlink" Target="http://www2.assemblee-nationale.fr/deputes/fiche/OMC_PA719092" TargetMode="External"/><Relationship Id="rId892" Type="http://schemas.openxmlformats.org/officeDocument/2006/relationships/hyperlink" Target="https://www.nosdeputes.fr/yves-blein" TargetMode="External"/><Relationship Id="rId1245" Type="http://schemas.openxmlformats.org/officeDocument/2006/relationships/hyperlink" Target="https://www.nosdeputes.fr/frederique-tuffnell" TargetMode="External"/><Relationship Id="rId1279" Type="http://schemas.openxmlformats.org/officeDocument/2006/relationships/hyperlink" Target="https://www.nosdeputes.fr/guillaume-chiche" TargetMode="External"/><Relationship Id="rId448" Type="http://schemas.openxmlformats.org/officeDocument/2006/relationships/hyperlink" Target="https://www.nosdeputes.fr/clementine-autain" TargetMode="External"/><Relationship Id="rId447" Type="http://schemas.openxmlformats.org/officeDocument/2006/relationships/hyperlink" Target="http://www2.assemblee-nationale.fr/deputes/fiche/OMC_PA588884" TargetMode="External"/><Relationship Id="rId446" Type="http://schemas.openxmlformats.org/officeDocument/2006/relationships/hyperlink" Target="https://www.nosdeputes.fr/said-ahamada/csv" TargetMode="External"/><Relationship Id="rId445" Type="http://schemas.openxmlformats.org/officeDocument/2006/relationships/hyperlink" Target="https://www.nosdeputes.fr/said-ahamada" TargetMode="External"/><Relationship Id="rId449" Type="http://schemas.openxmlformats.org/officeDocument/2006/relationships/hyperlink" Target="https://www.nosdeputes.fr/clementine-autain/csv" TargetMode="External"/><Relationship Id="rId1270" Type="http://schemas.openxmlformats.org/officeDocument/2006/relationships/hyperlink" Target="https://www.nosdeputes.fr/jean-jacques-bridey" TargetMode="External"/><Relationship Id="rId440" Type="http://schemas.openxmlformats.org/officeDocument/2006/relationships/hyperlink" Target="https://www.nosdeputes.fr/helene-zannier/csv" TargetMode="External"/><Relationship Id="rId1271" Type="http://schemas.openxmlformats.org/officeDocument/2006/relationships/hyperlink" Target="https://www.nosdeputes.fr/jean-jacques-bridey/csv" TargetMode="External"/><Relationship Id="rId1272" Type="http://schemas.openxmlformats.org/officeDocument/2006/relationships/hyperlink" Target="http://www2.assemblee-nationale.fr/deputes/fiche/OMC_PA721336" TargetMode="External"/><Relationship Id="rId1273" Type="http://schemas.openxmlformats.org/officeDocument/2006/relationships/hyperlink" Target="https://www.nosdeputes.fr/blandine-brocard" TargetMode="External"/><Relationship Id="rId1274" Type="http://schemas.openxmlformats.org/officeDocument/2006/relationships/hyperlink" Target="https://www.nosdeputes.fr/blandine-brocard/csv" TargetMode="External"/><Relationship Id="rId444" Type="http://schemas.openxmlformats.org/officeDocument/2006/relationships/hyperlink" Target="http://www2.assemblee-nationale.fr/deputes/fiche/OMC_PA718954" TargetMode="External"/><Relationship Id="rId1275" Type="http://schemas.openxmlformats.org/officeDocument/2006/relationships/hyperlink" Target="http://www2.assemblee-nationale.fr/deputes/fiche/OMC_PA767" TargetMode="External"/><Relationship Id="rId443" Type="http://schemas.openxmlformats.org/officeDocument/2006/relationships/hyperlink" Target="https://www.nosdeputes.fr/damien-abad/csv" TargetMode="External"/><Relationship Id="rId1276" Type="http://schemas.openxmlformats.org/officeDocument/2006/relationships/hyperlink" Target="https://www.nosdeputes.fr/jacques-cattin" TargetMode="External"/><Relationship Id="rId442" Type="http://schemas.openxmlformats.org/officeDocument/2006/relationships/hyperlink" Target="https://www.nosdeputes.fr/damien-abad" TargetMode="External"/><Relationship Id="rId1277" Type="http://schemas.openxmlformats.org/officeDocument/2006/relationships/hyperlink" Target="https://www.nosdeputes.fr/jacques-cattin/csv" TargetMode="External"/><Relationship Id="rId441" Type="http://schemas.openxmlformats.org/officeDocument/2006/relationships/hyperlink" Target="http://www2.assemblee-nationale.fr/deputes/fiche/OMC_PA605036" TargetMode="External"/><Relationship Id="rId1278" Type="http://schemas.openxmlformats.org/officeDocument/2006/relationships/hyperlink" Target="http://www2.assemblee-nationale.fr/deputes/fiche/OMC_PA722126" TargetMode="External"/><Relationship Id="rId1268" Type="http://schemas.openxmlformats.org/officeDocument/2006/relationships/hyperlink" Target="https://www.nosdeputes.fr/valerie-boyer/csv" TargetMode="External"/><Relationship Id="rId1269" Type="http://schemas.openxmlformats.org/officeDocument/2006/relationships/hyperlink" Target="http://www2.assemblee-nationale.fr/deputes/fiche/OMC_PA672" TargetMode="External"/><Relationship Id="rId437" Type="http://schemas.openxmlformats.org/officeDocument/2006/relationships/hyperlink" Target="https://www.nosdeputes.fr/stephane-viry/csv" TargetMode="External"/><Relationship Id="rId436" Type="http://schemas.openxmlformats.org/officeDocument/2006/relationships/hyperlink" Target="https://www.nosdeputes.fr/stephane-viry" TargetMode="External"/><Relationship Id="rId435" Type="http://schemas.openxmlformats.org/officeDocument/2006/relationships/hyperlink" Target="http://www2.assemblee-nationale.fr/deputes/fiche/OMC_PA721474" TargetMode="External"/><Relationship Id="rId434" Type="http://schemas.openxmlformats.org/officeDocument/2006/relationships/hyperlink" Target="https://www.nosdeputes.fr/michele-de-vaucouleurs/csv" TargetMode="External"/><Relationship Id="rId439" Type="http://schemas.openxmlformats.org/officeDocument/2006/relationships/hyperlink" Target="https://www.nosdeputes.fr/helene-zannier" TargetMode="External"/><Relationship Id="rId438" Type="http://schemas.openxmlformats.org/officeDocument/2006/relationships/hyperlink" Target="http://www2.assemblee-nationale.fr/deputes/fiche/OMC_PA720318" TargetMode="External"/><Relationship Id="rId1260" Type="http://schemas.openxmlformats.org/officeDocument/2006/relationships/hyperlink" Target="http://www2.assemblee-nationale.fr/deputes/fiche/OMC_PA718884" TargetMode="External"/><Relationship Id="rId1261" Type="http://schemas.openxmlformats.org/officeDocument/2006/relationships/hyperlink" Target="https://www.nosdeputes.fr/valerie-bazin-malgras" TargetMode="External"/><Relationship Id="rId1262" Type="http://schemas.openxmlformats.org/officeDocument/2006/relationships/hyperlink" Target="https://www.nosdeputes.fr/valerie-bazin-malgras/csv" TargetMode="External"/><Relationship Id="rId1263" Type="http://schemas.openxmlformats.org/officeDocument/2006/relationships/hyperlink" Target="http://www2.assemblee-nationale.fr/deputes/fiche/OMC_PA266793" TargetMode="External"/><Relationship Id="rId433" Type="http://schemas.openxmlformats.org/officeDocument/2006/relationships/hyperlink" Target="https://www.nosdeputes.fr/michele-de-vaucouleurs" TargetMode="External"/><Relationship Id="rId1264" Type="http://schemas.openxmlformats.org/officeDocument/2006/relationships/hyperlink" Target="https://www.nosdeputes.fr/jean-yves-bony" TargetMode="External"/><Relationship Id="rId432" Type="http://schemas.openxmlformats.org/officeDocument/2006/relationships/hyperlink" Target="http://www2.assemblee-nationale.fr/deputes/fiche/OMC_PA721924" TargetMode="External"/><Relationship Id="rId1265" Type="http://schemas.openxmlformats.org/officeDocument/2006/relationships/hyperlink" Target="https://www.nosdeputes.fr/jean-yves-bony/csv" TargetMode="External"/><Relationship Id="rId431" Type="http://schemas.openxmlformats.org/officeDocument/2006/relationships/hyperlink" Target="https://www.nosdeputes.fr/isabelle-valentin/csv" TargetMode="External"/><Relationship Id="rId1266" Type="http://schemas.openxmlformats.org/officeDocument/2006/relationships/hyperlink" Target="http://www2.assemblee-nationale.fr/deputes/fiche/OMC_PA330684" TargetMode="External"/><Relationship Id="rId430" Type="http://schemas.openxmlformats.org/officeDocument/2006/relationships/hyperlink" Target="https://www.nosdeputes.fr/isabelle-valentin" TargetMode="External"/><Relationship Id="rId1267" Type="http://schemas.openxmlformats.org/officeDocument/2006/relationships/hyperlink" Target="https://www.nosdeputes.fr/valerie-boyer"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www2.assemblee-nationale.fr/deputes/fiche/OMC_PA607553" TargetMode="External"/><Relationship Id="rId391" Type="http://schemas.openxmlformats.org/officeDocument/2006/relationships/hyperlink" Target="https://www.nosdeputes.fr/laurent-pietraszewski/csv" TargetMode="External"/><Relationship Id="rId390" Type="http://schemas.openxmlformats.org/officeDocument/2006/relationships/hyperlink" Target="https://www.nosdeputes.fr/laurent-pietraszewski" TargetMode="External"/><Relationship Id="rId1" Type="http://schemas.openxmlformats.org/officeDocument/2006/relationships/hyperlink" Target="http://www2.assemblee-nationale.fr/deputes/fiche/OMC_PA331582" TargetMode="External"/><Relationship Id="rId2" Type="http://schemas.openxmlformats.org/officeDocument/2006/relationships/hyperlink" Target="https://www.nosdeputes.fr/philippe-vigier" TargetMode="External"/><Relationship Id="rId3" Type="http://schemas.openxmlformats.org/officeDocument/2006/relationships/hyperlink" Target="https://www.nosdeputes.fr/philippe-vigier/csv" TargetMode="External"/><Relationship Id="rId4" Type="http://schemas.openxmlformats.org/officeDocument/2006/relationships/hyperlink" Target="http://www2.assemblee-nationale.fr/deputes/fiche/OMC_PA721410" TargetMode="External"/><Relationship Id="rId9" Type="http://schemas.openxmlformats.org/officeDocument/2006/relationships/hyperlink" Target="https://www.nosdeputes.fr/yael-braun-pivet/csv" TargetMode="External"/><Relationship Id="rId385" Type="http://schemas.openxmlformats.org/officeDocument/2006/relationships/hyperlink" Target="https://www.nosdeputes.fr/valerie-petit/csv" TargetMode="External"/><Relationship Id="rId384" Type="http://schemas.openxmlformats.org/officeDocument/2006/relationships/hyperlink" Target="https://www.nosdeputes.fr/valerie-petit" TargetMode="External"/><Relationship Id="rId383" Type="http://schemas.openxmlformats.org/officeDocument/2006/relationships/hyperlink" Target="http://www2.assemblee-nationale.fr/deputes/fiche/OMC_PA720500" TargetMode="External"/><Relationship Id="rId382" Type="http://schemas.openxmlformats.org/officeDocument/2006/relationships/hyperlink" Target="https://twitter.com/ValeriePetit_EM" TargetMode="External"/><Relationship Id="rId5" Type="http://schemas.openxmlformats.org/officeDocument/2006/relationships/hyperlink" Target="https://www.nosdeputes.fr/emilie-bonnivard" TargetMode="External"/><Relationship Id="rId389" Type="http://schemas.openxmlformats.org/officeDocument/2006/relationships/hyperlink" Target="http://www2.assemblee-nationale.fr/deputes/fiche/OMC_PA720512" TargetMode="External"/><Relationship Id="rId6" Type="http://schemas.openxmlformats.org/officeDocument/2006/relationships/hyperlink" Target="https://www.nosdeputes.fr/emilie-bonnivard/csv" TargetMode="External"/><Relationship Id="rId388" Type="http://schemas.openxmlformats.org/officeDocument/2006/relationships/hyperlink" Target="https://www.nosdeputes.fr/benedicte-peyrol/csv" TargetMode="External"/><Relationship Id="rId7" Type="http://schemas.openxmlformats.org/officeDocument/2006/relationships/hyperlink" Target="http://www2.assemblee-nationale.fr/deputes/fiche/OMC_PA721908" TargetMode="External"/><Relationship Id="rId387" Type="http://schemas.openxmlformats.org/officeDocument/2006/relationships/hyperlink" Target="https://www.nosdeputes.fr/benedicte-peyrol" TargetMode="External"/><Relationship Id="rId8" Type="http://schemas.openxmlformats.org/officeDocument/2006/relationships/hyperlink" Target="https://www.nosdeputes.fr/yael-braun-pivet" TargetMode="External"/><Relationship Id="rId386" Type="http://schemas.openxmlformats.org/officeDocument/2006/relationships/hyperlink" Target="http://www2.assemblee-nationale.fr/deputes/fiche/OMC_PA718736" TargetMode="External"/><Relationship Id="rId381" Type="http://schemas.openxmlformats.org/officeDocument/2006/relationships/hyperlink" Target="https://www.nosdeputes.fr/bernard-perrut/csv" TargetMode="External"/><Relationship Id="rId380" Type="http://schemas.openxmlformats.org/officeDocument/2006/relationships/hyperlink" Target="https://www.nosdeputes.fr/bernard-perrut" TargetMode="External"/><Relationship Id="rId379" Type="http://schemas.openxmlformats.org/officeDocument/2006/relationships/hyperlink" Target="http://www2.assemblee-nationale.fr/deputes/fiche/OMC_PA2377" TargetMode="External"/><Relationship Id="rId374" Type="http://schemas.openxmlformats.org/officeDocument/2006/relationships/hyperlink" Target="https://www.nosdeputes.fr/herve-pellois/csv" TargetMode="External"/><Relationship Id="rId373" Type="http://schemas.openxmlformats.org/officeDocument/2006/relationships/hyperlink" Target="https://www.nosdeputes.fr/herve-pellois" TargetMode="External"/><Relationship Id="rId372" Type="http://schemas.openxmlformats.org/officeDocument/2006/relationships/hyperlink" Target="http://www2.assemblee-nationale.fr/deputes/fiche/OMC_PA607595" TargetMode="External"/><Relationship Id="rId371" Type="http://schemas.openxmlformats.org/officeDocument/2006/relationships/hyperlink" Target="https://www.nosdeputes.fr/mathilde-panot/csv" TargetMode="External"/><Relationship Id="rId378" Type="http://schemas.openxmlformats.org/officeDocument/2006/relationships/hyperlink" Target="https://www.nosdeputes.fr/patrice-perrot/csv" TargetMode="External"/><Relationship Id="rId377" Type="http://schemas.openxmlformats.org/officeDocument/2006/relationships/hyperlink" Target="https://www.nosdeputes.fr/patrice-perrot" TargetMode="External"/><Relationship Id="rId376" Type="http://schemas.openxmlformats.org/officeDocument/2006/relationships/hyperlink" Target="http://www2.assemblee-nationale.fr/deputes/fiche/OMC_PA720414" TargetMode="External"/><Relationship Id="rId375" Type="http://schemas.openxmlformats.org/officeDocument/2006/relationships/hyperlink" Target="https://fr-fr.facebook.com/patriceperrotenmarche58/" TargetMode="External"/><Relationship Id="rId396" Type="http://schemas.openxmlformats.org/officeDocument/2006/relationships/hyperlink" Target="https://www.nosdeputes.fr/natalia-pouzyreff" TargetMode="External"/><Relationship Id="rId395" Type="http://schemas.openxmlformats.org/officeDocument/2006/relationships/hyperlink" Target="http://www2.assemblee-nationale.fr/deputes/fiche/OMC_PA721916" TargetMode="External"/><Relationship Id="rId394" Type="http://schemas.openxmlformats.org/officeDocument/2006/relationships/hyperlink" Target="https://www.nosdeputes.fr/dominique-potier/csv" TargetMode="External"/><Relationship Id="rId393" Type="http://schemas.openxmlformats.org/officeDocument/2006/relationships/hyperlink" Target="https://www.nosdeputes.fr/dominique-potier" TargetMode="External"/><Relationship Id="rId399" Type="http://schemas.openxmlformats.org/officeDocument/2006/relationships/hyperlink" Target="https://www.nosdeputes.fr/loic-prud-homme" TargetMode="External"/><Relationship Id="rId398" Type="http://schemas.openxmlformats.org/officeDocument/2006/relationships/hyperlink" Target="http://www2.assemblee-nationale.fr/deputes/fiche/OMC_PA719578" TargetMode="External"/><Relationship Id="rId397" Type="http://schemas.openxmlformats.org/officeDocument/2006/relationships/hyperlink" Target="https://www.nosdeputes.fr/natalia-pouzyreff/csv" TargetMode="External"/><Relationship Id="rId1730" Type="http://schemas.openxmlformats.org/officeDocument/2006/relationships/hyperlink" Target="https://www.nosdeputes.fr/david-lorion" TargetMode="External"/><Relationship Id="rId1731" Type="http://schemas.openxmlformats.org/officeDocument/2006/relationships/hyperlink" Target="https://www.nosdeputes.fr/david-lorion/csv" TargetMode="External"/><Relationship Id="rId1732" Type="http://schemas.openxmlformats.org/officeDocument/2006/relationships/hyperlink" Target="http://www2.assemblee-nationale.fr/deputes/fiche/OMC_PA610733" TargetMode="External"/><Relationship Id="rId1733" Type="http://schemas.openxmlformats.org/officeDocument/2006/relationships/hyperlink" Target="https://www.nosdeputes.fr/thierry-robert" TargetMode="External"/><Relationship Id="rId1734" Type="http://schemas.openxmlformats.org/officeDocument/2006/relationships/hyperlink" Target="https://www.nosdeputes.fr/thierry-robert/csv" TargetMode="External"/><Relationship Id="rId1735" Type="http://schemas.openxmlformats.org/officeDocument/2006/relationships/hyperlink" Target="https://fr-fr.facebook.com/justinebenin2/" TargetMode="External"/><Relationship Id="rId1736" Type="http://schemas.openxmlformats.org/officeDocument/2006/relationships/hyperlink" Target="http://www2.assemblee-nationale.fr/deputes/fiche/OMC_PA720968" TargetMode="External"/><Relationship Id="rId1737" Type="http://schemas.openxmlformats.org/officeDocument/2006/relationships/hyperlink" Target="https://www.nosdeputes.fr/justine-benin" TargetMode="External"/><Relationship Id="rId1738" Type="http://schemas.openxmlformats.org/officeDocument/2006/relationships/hyperlink" Target="https://www.nosdeputes.fr/justine-benin/csv" TargetMode="External"/><Relationship Id="rId1739" Type="http://schemas.openxmlformats.org/officeDocument/2006/relationships/hyperlink" Target="http://www2.assemblee-nationale.fr/deputes/fiche/OMC_PA721094" TargetMode="External"/><Relationship Id="rId1720" Type="http://schemas.openxmlformats.org/officeDocument/2006/relationships/hyperlink" Target="http://www2.assemblee-nationale.fr/deputes/fiche/OMC_PA722118" TargetMode="External"/><Relationship Id="rId1721" Type="http://schemas.openxmlformats.org/officeDocument/2006/relationships/hyperlink" Target="https://www.nosdeputes.fr/sira-sylla" TargetMode="External"/><Relationship Id="rId1722" Type="http://schemas.openxmlformats.org/officeDocument/2006/relationships/hyperlink" Target="https://www.nosdeputes.fr/sira-sylla/csv" TargetMode="External"/><Relationship Id="rId1723" Type="http://schemas.openxmlformats.org/officeDocument/2006/relationships/hyperlink" Target="http://www2.assemblee-nationale.fr/deputes/fiche/OMC_PA267901" TargetMode="External"/><Relationship Id="rId1724" Type="http://schemas.openxmlformats.org/officeDocument/2006/relationships/hyperlink" Target="https://www.nosdeputes.fr/mansour-kamardine" TargetMode="External"/><Relationship Id="rId1725" Type="http://schemas.openxmlformats.org/officeDocument/2006/relationships/hyperlink" Target="https://www.nosdeputes.fr/mansour-kamardine/csv" TargetMode="External"/><Relationship Id="rId1726" Type="http://schemas.openxmlformats.org/officeDocument/2006/relationships/hyperlink" Target="http://www2.assemblee-nationale.fr/deputes/fiche/OMC_PA721004" TargetMode="External"/><Relationship Id="rId1727" Type="http://schemas.openxmlformats.org/officeDocument/2006/relationships/hyperlink" Target="https://www.nosdeputes.fr/amal-amelia-lakrafi" TargetMode="External"/><Relationship Id="rId1728" Type="http://schemas.openxmlformats.org/officeDocument/2006/relationships/hyperlink" Target="https://www.nosdeputes.fr/amal-amelia-lakrafi/csv" TargetMode="External"/><Relationship Id="rId1729" Type="http://schemas.openxmlformats.org/officeDocument/2006/relationships/hyperlink" Target="http://www2.assemblee-nationale.fr/deputes/fiche/OMC_PA721054" TargetMode="External"/><Relationship Id="rId1752" Type="http://schemas.openxmlformats.org/officeDocument/2006/relationships/hyperlink" Target="https://www.nosdeputes.fr/huguette-bello/csv" TargetMode="External"/><Relationship Id="rId1753" Type="http://schemas.openxmlformats.org/officeDocument/2006/relationships/hyperlink" Target="http://www2.assemblee-nationale.fr/deputes/fiche/OMC_PA998" TargetMode="External"/><Relationship Id="rId1754" Type="http://schemas.openxmlformats.org/officeDocument/2006/relationships/hyperlink" Target="https://www.nosdeputes.fr/olivier-dassault" TargetMode="External"/><Relationship Id="rId1755" Type="http://schemas.openxmlformats.org/officeDocument/2006/relationships/hyperlink" Target="https://www.nosdeputes.fr/olivier-dassault/csv" TargetMode="External"/><Relationship Id="rId1756" Type="http://schemas.openxmlformats.org/officeDocument/2006/relationships/hyperlink" Target="http://www2.assemblee-nationale.fr/deputes/fiche/OMC_PA610654" TargetMode="External"/><Relationship Id="rId1757" Type="http://schemas.openxmlformats.org/officeDocument/2006/relationships/hyperlink" Target="https://www.nosdeputes.fr/jean-philippe-nilor" TargetMode="External"/><Relationship Id="rId1758" Type="http://schemas.openxmlformats.org/officeDocument/2006/relationships/hyperlink" Target="https://www.nosdeputes.fr/jean-philippe-nilor/csv" TargetMode="External"/><Relationship Id="rId1759" Type="http://schemas.openxmlformats.org/officeDocument/2006/relationships/hyperlink" Target="http://www2.assemblee-nationale.fr/deputes/fiche/OMC_PA702054" TargetMode="External"/><Relationship Id="rId808" Type="http://schemas.openxmlformats.org/officeDocument/2006/relationships/hyperlink" Target="https://www.nosdeputes.fr/bruno-questel/csv" TargetMode="External"/><Relationship Id="rId807" Type="http://schemas.openxmlformats.org/officeDocument/2006/relationships/hyperlink" Target="https://www.nosdeputes.fr/bruno-questel" TargetMode="External"/><Relationship Id="rId806" Type="http://schemas.openxmlformats.org/officeDocument/2006/relationships/hyperlink" Target="http://www2.assemblee-nationale.fr/deputes/fiche/OMC_PA643127" TargetMode="External"/><Relationship Id="rId805" Type="http://schemas.openxmlformats.org/officeDocument/2006/relationships/hyperlink" Target="https://www.nosdeputes.fr/benoit-potterie/csv" TargetMode="External"/><Relationship Id="rId809" Type="http://schemas.openxmlformats.org/officeDocument/2006/relationships/hyperlink" Target="http://www2.assemblee-nationale.fr/deputes/fiche/OMC_PA720092" TargetMode="External"/><Relationship Id="rId800" Type="http://schemas.openxmlformats.org/officeDocument/2006/relationships/hyperlink" Target="http://www2.assemblee-nationale.fr/deputes/fiche/OMC_PA609520" TargetMode="External"/><Relationship Id="rId804" Type="http://schemas.openxmlformats.org/officeDocument/2006/relationships/hyperlink" Target="https://www.nosdeputes.fr/benoit-potterie" TargetMode="External"/><Relationship Id="rId803" Type="http://schemas.openxmlformats.org/officeDocument/2006/relationships/hyperlink" Target="http://www2.assemblee-nationale.fr/deputes/fiche/OMC_PA720590" TargetMode="External"/><Relationship Id="rId802" Type="http://schemas.openxmlformats.org/officeDocument/2006/relationships/hyperlink" Target="https://www.nosdeputes.fr/barbara-pompili/csv" TargetMode="External"/><Relationship Id="rId801" Type="http://schemas.openxmlformats.org/officeDocument/2006/relationships/hyperlink" Target="https://www.nosdeputes.fr/barbara-pompili" TargetMode="External"/><Relationship Id="rId1750" Type="http://schemas.openxmlformats.org/officeDocument/2006/relationships/hyperlink" Target="http://www2.assemblee-nationale.fr/deputes/fiche/OMC_PA441" TargetMode="External"/><Relationship Id="rId1751" Type="http://schemas.openxmlformats.org/officeDocument/2006/relationships/hyperlink" Target="https://www.nosdeputes.fr/huguette-bello" TargetMode="External"/><Relationship Id="rId1741" Type="http://schemas.openxmlformats.org/officeDocument/2006/relationships/hyperlink" Target="https://www.nosdeputes.fr/philippe-dunoyer/csv" TargetMode="External"/><Relationship Id="rId1742" Type="http://schemas.openxmlformats.org/officeDocument/2006/relationships/hyperlink" Target="https://twitter.com/MaxMathiasin" TargetMode="External"/><Relationship Id="rId1743" Type="http://schemas.openxmlformats.org/officeDocument/2006/relationships/hyperlink" Target="http://www2.assemblee-nationale.fr/deputes/fiche/OMC_PA720976" TargetMode="External"/><Relationship Id="rId1744" Type="http://schemas.openxmlformats.org/officeDocument/2006/relationships/hyperlink" Target="https://www.nosdeputes.fr/max-mathiasin" TargetMode="External"/><Relationship Id="rId1745" Type="http://schemas.openxmlformats.org/officeDocument/2006/relationships/hyperlink" Target="https://www.nosdeputes.fr/max-mathiasin/csv" TargetMode="External"/><Relationship Id="rId1746" Type="http://schemas.openxmlformats.org/officeDocument/2006/relationships/hyperlink" Target="https://fr-fr.facebook.com/nicolesanquerfareata/" TargetMode="External"/><Relationship Id="rId1747" Type="http://schemas.openxmlformats.org/officeDocument/2006/relationships/hyperlink" Target="http://www2.assemblee-nationale.fr/deputes/fiche/OMC_PA721110" TargetMode="External"/><Relationship Id="rId1748" Type="http://schemas.openxmlformats.org/officeDocument/2006/relationships/hyperlink" Target="https://www.nosdeputes.fr/nicole-sanquer" TargetMode="External"/><Relationship Id="rId1749" Type="http://schemas.openxmlformats.org/officeDocument/2006/relationships/hyperlink" Target="https://www.nosdeputes.fr/nicole-sanquer/csv" TargetMode="External"/><Relationship Id="rId1740" Type="http://schemas.openxmlformats.org/officeDocument/2006/relationships/hyperlink" Target="https://www.nosdeputes.fr/philippe-dunoyer" TargetMode="External"/><Relationship Id="rId1710" Type="http://schemas.openxmlformats.org/officeDocument/2006/relationships/hyperlink" Target="https://www.nosdeputes.fr/philippe-folliot" TargetMode="External"/><Relationship Id="rId1711" Type="http://schemas.openxmlformats.org/officeDocument/2006/relationships/hyperlink" Target="https://www.nosdeputes.fr/philippe-folliot/csv" TargetMode="External"/><Relationship Id="rId1712" Type="http://schemas.openxmlformats.org/officeDocument/2006/relationships/hyperlink" Target="http://www.claireopetit.fr" TargetMode="External"/><Relationship Id="rId1713" Type="http://schemas.openxmlformats.org/officeDocument/2006/relationships/hyperlink" Target="http://www2.assemblee-nationale.fr/deputes/fiche/OMC_PA719364" TargetMode="External"/><Relationship Id="rId1714" Type="http://schemas.openxmlformats.org/officeDocument/2006/relationships/hyperlink" Target="https://www.nosdeputes.fr/claire-o-petit" TargetMode="External"/><Relationship Id="rId1715" Type="http://schemas.openxmlformats.org/officeDocument/2006/relationships/hyperlink" Target="https://www.nosdeputes.fr/claire-o-petit/csv" TargetMode="External"/><Relationship Id="rId1716" Type="http://schemas.openxmlformats.org/officeDocument/2006/relationships/hyperlink" Target="http://www2.assemblee-nationale.fr/deputes/fiche/OMC_PA346876" TargetMode="External"/><Relationship Id="rId1717" Type="http://schemas.openxmlformats.org/officeDocument/2006/relationships/hyperlink" Target="https://www.nosdeputes.fr/thierry-solere" TargetMode="External"/><Relationship Id="rId1718" Type="http://schemas.openxmlformats.org/officeDocument/2006/relationships/hyperlink" Target="https://www.nosdeputes.fr/thierry-solere/csv" TargetMode="External"/><Relationship Id="rId1719" Type="http://schemas.openxmlformats.org/officeDocument/2006/relationships/hyperlink" Target="https://twitter.com/sirasylla76" TargetMode="External"/><Relationship Id="rId1700" Type="http://schemas.openxmlformats.org/officeDocument/2006/relationships/hyperlink" Target="http://www2.assemblee-nationale.fr/deputes/fiche/OMC_PA643145" TargetMode="External"/><Relationship Id="rId1701" Type="http://schemas.openxmlformats.org/officeDocument/2006/relationships/hyperlink" Target="https://www.nosdeputes.fr/helene-vainqueur-christophe" TargetMode="External"/><Relationship Id="rId1702" Type="http://schemas.openxmlformats.org/officeDocument/2006/relationships/hyperlink" Target="https://www.nosdeputes.fr/helene-vainqueur-christophe/csv" TargetMode="External"/><Relationship Id="rId1703" Type="http://schemas.openxmlformats.org/officeDocument/2006/relationships/hyperlink" Target="http://www2.assemblee-nationale.fr/deputes/fiche/OMC_PA721046" TargetMode="External"/><Relationship Id="rId1704" Type="http://schemas.openxmlformats.org/officeDocument/2006/relationships/hyperlink" Target="https://www.nosdeputes.fr/nathalie-bassire" TargetMode="External"/><Relationship Id="rId1705" Type="http://schemas.openxmlformats.org/officeDocument/2006/relationships/hyperlink" Target="https://www.nosdeputes.fr/nathalie-bassire/csv" TargetMode="External"/><Relationship Id="rId1706" Type="http://schemas.openxmlformats.org/officeDocument/2006/relationships/hyperlink" Target="http://www2.assemblee-nationale.fr/deputes/fiche/OMC_PA721118" TargetMode="External"/><Relationship Id="rId1707" Type="http://schemas.openxmlformats.org/officeDocument/2006/relationships/hyperlink" Target="https://www.nosdeputes.fr/moetai-brotherson" TargetMode="External"/><Relationship Id="rId1708" Type="http://schemas.openxmlformats.org/officeDocument/2006/relationships/hyperlink" Target="https://www.nosdeputes.fr/moetai-brotherson/csv" TargetMode="External"/><Relationship Id="rId1709" Type="http://schemas.openxmlformats.org/officeDocument/2006/relationships/hyperlink" Target="http://www2.assemblee-nationale.fr/deputes/fiche/OMC_PA267673" TargetMode="External"/><Relationship Id="rId40" Type="http://schemas.openxmlformats.org/officeDocument/2006/relationships/hyperlink" Target="https://twitter.com/C_deCourson" TargetMode="External"/><Relationship Id="rId1334" Type="http://schemas.openxmlformats.org/officeDocument/2006/relationships/hyperlink" Target="http://www2.assemblee-nationale.fr/deputes/fiche/OMC_PA721450" TargetMode="External"/><Relationship Id="rId1335" Type="http://schemas.openxmlformats.org/officeDocument/2006/relationships/hyperlink" Target="https://www.nosdeputes.fr/marion-lenne" TargetMode="External"/><Relationship Id="rId42" Type="http://schemas.openxmlformats.org/officeDocument/2006/relationships/hyperlink" Target="https://www.nosdeputes.fr/charles-de-courson" TargetMode="External"/><Relationship Id="rId1336" Type="http://schemas.openxmlformats.org/officeDocument/2006/relationships/hyperlink" Target="https://www.nosdeputes.fr/marion-lenne/csv" TargetMode="External"/><Relationship Id="rId41" Type="http://schemas.openxmlformats.org/officeDocument/2006/relationships/hyperlink" Target="http://www2.assemblee-nationale.fr/deputes/fiche/OMC_PA942" TargetMode="External"/><Relationship Id="rId1337" Type="http://schemas.openxmlformats.org/officeDocument/2006/relationships/hyperlink" Target="http://www2.assemblee-nationale.fr/deputes/fiche/OMC_PA720446" TargetMode="External"/><Relationship Id="rId44" Type="http://schemas.openxmlformats.org/officeDocument/2006/relationships/hyperlink" Target="http://www2.assemblee-nationale.fr/deputes/fiche/OMC_PA643175" TargetMode="External"/><Relationship Id="rId1338" Type="http://schemas.openxmlformats.org/officeDocument/2006/relationships/hyperlink" Target="https://www.nosdeputes.fr/brigitte-liso" TargetMode="External"/><Relationship Id="rId43" Type="http://schemas.openxmlformats.org/officeDocument/2006/relationships/hyperlink" Target="https://www.nosdeputes.fr/charles-de-courson/csv" TargetMode="External"/><Relationship Id="rId1339" Type="http://schemas.openxmlformats.org/officeDocument/2006/relationships/hyperlink" Target="https://www.nosdeputes.fr/brigitte-liso/csv" TargetMode="External"/><Relationship Id="rId46" Type="http://schemas.openxmlformats.org/officeDocument/2006/relationships/hyperlink" Target="https://www.nosdeputes.fr/stella-dupont/csv" TargetMode="External"/><Relationship Id="rId45" Type="http://schemas.openxmlformats.org/officeDocument/2006/relationships/hyperlink" Target="https://www.nosdeputes.fr/stella-dupont" TargetMode="External"/><Relationship Id="rId745" Type="http://schemas.openxmlformats.org/officeDocument/2006/relationships/hyperlink" Target="https://www.nosdeputes.fr/jean-carles-grelier/csv" TargetMode="External"/><Relationship Id="rId744" Type="http://schemas.openxmlformats.org/officeDocument/2006/relationships/hyperlink" Target="https://www.nosdeputes.fr/jean-carles-grelier" TargetMode="External"/><Relationship Id="rId743" Type="http://schemas.openxmlformats.org/officeDocument/2006/relationships/hyperlink" Target="http://www2.assemblee-nationale.fr/deputes/fiche/OMC_PA267318" TargetMode="External"/><Relationship Id="rId742" Type="http://schemas.openxmlformats.org/officeDocument/2006/relationships/hyperlink" Target="https://www.nosdeputes.fr/olivia-gregoire/csv" TargetMode="External"/><Relationship Id="rId749" Type="http://schemas.openxmlformats.org/officeDocument/2006/relationships/hyperlink" Target="http://www2.assemblee-nationale.fr/deputes/fiche/OMC_PA722094" TargetMode="External"/><Relationship Id="rId748" Type="http://schemas.openxmlformats.org/officeDocument/2006/relationships/hyperlink" Target="https://www.nosdeputes.fr/marie-guevenoux/csv" TargetMode="External"/><Relationship Id="rId747" Type="http://schemas.openxmlformats.org/officeDocument/2006/relationships/hyperlink" Target="https://www.nosdeputes.fr/marie-guevenoux" TargetMode="External"/><Relationship Id="rId746" Type="http://schemas.openxmlformats.org/officeDocument/2006/relationships/hyperlink" Target="http://www2.assemblee-nationale.fr/deputes/fiche/OMC_PA721880" TargetMode="External"/><Relationship Id="rId48" Type="http://schemas.openxmlformats.org/officeDocument/2006/relationships/hyperlink" Target="https://www.nosdeputes.fr/stanislas-guerini" TargetMode="External"/><Relationship Id="rId47" Type="http://schemas.openxmlformats.org/officeDocument/2006/relationships/hyperlink" Target="http://www2.assemblee-nationale.fr/deputes/fiche/OMC_PA721498" TargetMode="External"/><Relationship Id="rId49" Type="http://schemas.openxmlformats.org/officeDocument/2006/relationships/hyperlink" Target="https://www.nosdeputes.fr/stanislas-guerini/csv" TargetMode="External"/><Relationship Id="rId741" Type="http://schemas.openxmlformats.org/officeDocument/2006/relationships/hyperlink" Target="https://www.nosdeputes.fr/olivia-gregoire" TargetMode="External"/><Relationship Id="rId1330" Type="http://schemas.openxmlformats.org/officeDocument/2006/relationships/hyperlink" Target="http://www.christophe-lejeune-depute.fr" TargetMode="External"/><Relationship Id="rId740" Type="http://schemas.openxmlformats.org/officeDocument/2006/relationships/hyperlink" Target="http://www2.assemblee-nationale.fr/deputes/fiche/OMC_PA721764" TargetMode="External"/><Relationship Id="rId1331" Type="http://schemas.openxmlformats.org/officeDocument/2006/relationships/hyperlink" Target="http://www2.assemblee-nationale.fr/deputes/fiche/OMC_PA722320" TargetMode="External"/><Relationship Id="rId1332" Type="http://schemas.openxmlformats.org/officeDocument/2006/relationships/hyperlink" Target="https://www.nosdeputes.fr/christophe-lejeune" TargetMode="External"/><Relationship Id="rId1333" Type="http://schemas.openxmlformats.org/officeDocument/2006/relationships/hyperlink" Target="https://www.nosdeputes.fr/christophe-lejeune/csv" TargetMode="External"/><Relationship Id="rId1323" Type="http://schemas.openxmlformats.org/officeDocument/2006/relationships/hyperlink" Target="http://www2.assemblee-nationale.fr/deputes/fiche/OMC_PA1838" TargetMode="External"/><Relationship Id="rId1324" Type="http://schemas.openxmlformats.org/officeDocument/2006/relationships/hyperlink" Target="https://www.nosdeputes.fr/jean-lassalle" TargetMode="External"/><Relationship Id="rId31" Type="http://schemas.openxmlformats.org/officeDocument/2006/relationships/hyperlink" Target="http://www2.assemblee-nationale.fr/deputes/fiche/OMC_PA720430" TargetMode="External"/><Relationship Id="rId1325" Type="http://schemas.openxmlformats.org/officeDocument/2006/relationships/hyperlink" Target="https://www.nosdeputes.fr/jean-lassalle/csv" TargetMode="External"/><Relationship Id="rId30" Type="http://schemas.openxmlformats.org/officeDocument/2006/relationships/hyperlink" Target="https://www.nosdeputes.fr/thibault-bazin/csv" TargetMode="External"/><Relationship Id="rId1326" Type="http://schemas.openxmlformats.org/officeDocument/2006/relationships/hyperlink" Target="http://www.florence-lasserre-david.fr" TargetMode="External"/><Relationship Id="rId33" Type="http://schemas.openxmlformats.org/officeDocument/2006/relationships/hyperlink" Target="https://www.nosdeputes.fr/ugo-bernalicis/csv" TargetMode="External"/><Relationship Id="rId1327" Type="http://schemas.openxmlformats.org/officeDocument/2006/relationships/hyperlink" Target="http://www2.assemblee-nationale.fr/deputes/fiche/OMC_PA720764" TargetMode="External"/><Relationship Id="rId32" Type="http://schemas.openxmlformats.org/officeDocument/2006/relationships/hyperlink" Target="https://www.nosdeputes.fr/ugo-bernalicis" TargetMode="External"/><Relationship Id="rId1328" Type="http://schemas.openxmlformats.org/officeDocument/2006/relationships/hyperlink" Target="https://www.nosdeputes.fr/florence-lasserre-david" TargetMode="External"/><Relationship Id="rId35" Type="http://schemas.openxmlformats.org/officeDocument/2006/relationships/hyperlink" Target="https://www.nosdeputes.fr/jean-louis-bricout" TargetMode="External"/><Relationship Id="rId1329" Type="http://schemas.openxmlformats.org/officeDocument/2006/relationships/hyperlink" Target="https://www.nosdeputes.fr/florence-lasserre-david/csv" TargetMode="External"/><Relationship Id="rId34" Type="http://schemas.openxmlformats.org/officeDocument/2006/relationships/hyperlink" Target="http://www2.assemblee-nationale.fr/deputes/fiche/OMC_PA605069" TargetMode="External"/><Relationship Id="rId739" Type="http://schemas.openxmlformats.org/officeDocument/2006/relationships/hyperlink" Target="https://www.nosdeputes.fr/philippe-gosselin/csv" TargetMode="External"/><Relationship Id="rId734" Type="http://schemas.openxmlformats.org/officeDocument/2006/relationships/hyperlink" Target="http://www2.assemblee-nationale.fr/deputes/fiche/OMC_PA605991" TargetMode="External"/><Relationship Id="rId733" Type="http://schemas.openxmlformats.org/officeDocument/2006/relationships/hyperlink" Target="https://www.nosdeputes.fr/albane-gaillot/csv" TargetMode="External"/><Relationship Id="rId732" Type="http://schemas.openxmlformats.org/officeDocument/2006/relationships/hyperlink" Target="https://www.nosdeputes.fr/albane-gaillot" TargetMode="External"/><Relationship Id="rId731" Type="http://schemas.openxmlformats.org/officeDocument/2006/relationships/hyperlink" Target="http://www2.assemblee-nationale.fr/deputes/fiche/OMC_PA721246" TargetMode="External"/><Relationship Id="rId738" Type="http://schemas.openxmlformats.org/officeDocument/2006/relationships/hyperlink" Target="https://www.nosdeputes.fr/philippe-gosselin" TargetMode="External"/><Relationship Id="rId737" Type="http://schemas.openxmlformats.org/officeDocument/2006/relationships/hyperlink" Target="http://www2.assemblee-nationale.fr/deputes/fiche/OMC_PA266797" TargetMode="External"/><Relationship Id="rId736" Type="http://schemas.openxmlformats.org/officeDocument/2006/relationships/hyperlink" Target="https://www.nosdeputes.fr/annie-genevard/csv" TargetMode="External"/><Relationship Id="rId735" Type="http://schemas.openxmlformats.org/officeDocument/2006/relationships/hyperlink" Target="https://www.nosdeputes.fr/annie-genevard" TargetMode="External"/><Relationship Id="rId37" Type="http://schemas.openxmlformats.org/officeDocument/2006/relationships/hyperlink" Target="http://www2.assemblee-nationale.fr/deputes/fiche/OMC_PA721202" TargetMode="External"/><Relationship Id="rId36" Type="http://schemas.openxmlformats.org/officeDocument/2006/relationships/hyperlink" Target="https://www.nosdeputes.fr/jean-louis-bricout/csv" TargetMode="External"/><Relationship Id="rId39" Type="http://schemas.openxmlformats.org/officeDocument/2006/relationships/hyperlink" Target="https://www.nosdeputes.fr/eric-coquerel/csv" TargetMode="External"/><Relationship Id="rId38" Type="http://schemas.openxmlformats.org/officeDocument/2006/relationships/hyperlink" Target="https://www.nosdeputes.fr/eric-coquerel" TargetMode="External"/><Relationship Id="rId730" Type="http://schemas.openxmlformats.org/officeDocument/2006/relationships/hyperlink" Target="https://www.nosdeputes.fr/jean-luc-fugit/csv" TargetMode="External"/><Relationship Id="rId1320" Type="http://schemas.openxmlformats.org/officeDocument/2006/relationships/hyperlink" Target="http://www2.assemblee-nationale.fr/deputes/fiche/OMC_PA331567" TargetMode="External"/><Relationship Id="rId1321" Type="http://schemas.openxmlformats.org/officeDocument/2006/relationships/hyperlink" Target="https://www.nosdeputes.fr/laure-de-la-raudiere" TargetMode="External"/><Relationship Id="rId1322" Type="http://schemas.openxmlformats.org/officeDocument/2006/relationships/hyperlink" Target="https://www.nosdeputes.fr/laure-de-la-raudiere/csv" TargetMode="External"/><Relationship Id="rId1356" Type="http://schemas.openxmlformats.org/officeDocument/2006/relationships/hyperlink" Target="http://www2.assemblee-nationale.fr/deputes/fiche/OMC_PA719202" TargetMode="External"/><Relationship Id="rId1357" Type="http://schemas.openxmlformats.org/officeDocument/2006/relationships/hyperlink" Target="https://www.nosdeputes.fr/didier-paris" TargetMode="External"/><Relationship Id="rId20" Type="http://schemas.openxmlformats.org/officeDocument/2006/relationships/hyperlink" Target="https://www.nosdeputes.fr/jean-marie-sermier" TargetMode="External"/><Relationship Id="rId1358" Type="http://schemas.openxmlformats.org/officeDocument/2006/relationships/hyperlink" Target="https://www.nosdeputes.fr/didier-paris/csv" TargetMode="External"/><Relationship Id="rId1359" Type="http://schemas.openxmlformats.org/officeDocument/2006/relationships/hyperlink" Target="http://www2.assemblee-nationale.fr/deputes/fiche/OMC_PA721182" TargetMode="External"/><Relationship Id="rId22" Type="http://schemas.openxmlformats.org/officeDocument/2006/relationships/hyperlink" Target="http://www2.assemblee-nationale.fr/deputes/fiche/OMC_PA607090" TargetMode="External"/><Relationship Id="rId21" Type="http://schemas.openxmlformats.org/officeDocument/2006/relationships/hyperlink" Target="https://www.nosdeputes.fr/jean-marie-sermier/csv" TargetMode="External"/><Relationship Id="rId24" Type="http://schemas.openxmlformats.org/officeDocument/2006/relationships/hyperlink" Target="https://www.nosdeputes.fr/jean-pierre-vigier/csv" TargetMode="External"/><Relationship Id="rId23" Type="http://schemas.openxmlformats.org/officeDocument/2006/relationships/hyperlink" Target="https://www.nosdeputes.fr/jean-pierre-vigier" TargetMode="External"/><Relationship Id="rId767" Type="http://schemas.openxmlformats.org/officeDocument/2006/relationships/hyperlink" Target="http://www2.assemblee-nationale.fr/deputes/fiche/OMC_PA721852" TargetMode="External"/><Relationship Id="rId766" Type="http://schemas.openxmlformats.org/officeDocument/2006/relationships/hyperlink" Target="https://www.nosdeputes.fr/aina-kuric/csv" TargetMode="External"/><Relationship Id="rId765" Type="http://schemas.openxmlformats.org/officeDocument/2006/relationships/hyperlink" Target="https://www.nosdeputes.fr/aina-kuric" TargetMode="External"/><Relationship Id="rId764" Type="http://schemas.openxmlformats.org/officeDocument/2006/relationships/hyperlink" Target="http://www2.assemblee-nationale.fr/deputes/fiche/OMC_PA720214" TargetMode="External"/><Relationship Id="rId769" Type="http://schemas.openxmlformats.org/officeDocument/2006/relationships/hyperlink" Target="https://www.nosdeputes.fr/marie-lebec/csv" TargetMode="External"/><Relationship Id="rId768" Type="http://schemas.openxmlformats.org/officeDocument/2006/relationships/hyperlink" Target="https://www.nosdeputes.fr/marie-lebec" TargetMode="External"/><Relationship Id="rId26" Type="http://schemas.openxmlformats.org/officeDocument/2006/relationships/hyperlink" Target="https://www.nosdeputes.fr/eric-alauzet" TargetMode="External"/><Relationship Id="rId25" Type="http://schemas.openxmlformats.org/officeDocument/2006/relationships/hyperlink" Target="http://www2.assemblee-nationale.fr/deputes/fiche/OMC_PA605963" TargetMode="External"/><Relationship Id="rId28" Type="http://schemas.openxmlformats.org/officeDocument/2006/relationships/hyperlink" Target="http://www2.assemblee-nationale.fr/deputes/fiche/OMC_PA642847" TargetMode="External"/><Relationship Id="rId1350" Type="http://schemas.openxmlformats.org/officeDocument/2006/relationships/hyperlink" Target="https://www.nosdeputes.fr/adrien-morenas" TargetMode="External"/><Relationship Id="rId27" Type="http://schemas.openxmlformats.org/officeDocument/2006/relationships/hyperlink" Target="https://www.nosdeputes.fr/eric-alauzet/csv" TargetMode="External"/><Relationship Id="rId1351" Type="http://schemas.openxmlformats.org/officeDocument/2006/relationships/hyperlink" Target="https://www.nosdeputes.fr/adrien-morenas/csv" TargetMode="External"/><Relationship Id="rId763" Type="http://schemas.openxmlformats.org/officeDocument/2006/relationships/hyperlink" Target="https://www.nosdeputes.fr/rodrigue-kokouendo/csv" TargetMode="External"/><Relationship Id="rId1352" Type="http://schemas.openxmlformats.org/officeDocument/2006/relationships/hyperlink" Target="http://www2.assemblee-nationale.fr/deputes/fiche/OMC_PA333421" TargetMode="External"/><Relationship Id="rId29" Type="http://schemas.openxmlformats.org/officeDocument/2006/relationships/hyperlink" Target="https://www.nosdeputes.fr/thibault-bazin" TargetMode="External"/><Relationship Id="rId762" Type="http://schemas.openxmlformats.org/officeDocument/2006/relationships/hyperlink" Target="https://www.nosdeputes.fr/rodrigue-kokouendo" TargetMode="External"/><Relationship Id="rId1353" Type="http://schemas.openxmlformats.org/officeDocument/2006/relationships/hyperlink" Target="https://www.nosdeputes.fr/bertrand-pancher" TargetMode="External"/><Relationship Id="rId761" Type="http://schemas.openxmlformats.org/officeDocument/2006/relationships/hyperlink" Target="http://www2.assemblee-nationale.fr/deputes/fiche/OMC_PA721644" TargetMode="External"/><Relationship Id="rId1354" Type="http://schemas.openxmlformats.org/officeDocument/2006/relationships/hyperlink" Target="https://www.nosdeputes.fr/bertrand-pancher/csv" TargetMode="External"/><Relationship Id="rId760" Type="http://schemas.openxmlformats.org/officeDocument/2006/relationships/hyperlink" Target="https://www.nosdeputes.fr/marietta-karamanli/csv" TargetMode="External"/><Relationship Id="rId1355" Type="http://schemas.openxmlformats.org/officeDocument/2006/relationships/hyperlink" Target="https://fr-fr.facebook.com/didierparis2017/" TargetMode="External"/><Relationship Id="rId1345" Type="http://schemas.openxmlformats.org/officeDocument/2006/relationships/hyperlink" Target="https://www.nosdeputes.fr/fabien-matras/csv" TargetMode="External"/><Relationship Id="rId1346" Type="http://schemas.openxmlformats.org/officeDocument/2006/relationships/hyperlink" Target="http://www2.assemblee-nationale.fr/deputes/fiche/OMC_PA719130" TargetMode="External"/><Relationship Id="rId1347" Type="http://schemas.openxmlformats.org/officeDocument/2006/relationships/hyperlink" Target="https://www.nosdeputes.fr/monica-michel" TargetMode="External"/><Relationship Id="rId1348" Type="http://schemas.openxmlformats.org/officeDocument/2006/relationships/hyperlink" Target="https://www.nosdeputes.fr/monica-michel/csv" TargetMode="External"/><Relationship Id="rId11" Type="http://schemas.openxmlformats.org/officeDocument/2006/relationships/hyperlink" Target="https://www.nosdeputes.fr/xavier-breton" TargetMode="External"/><Relationship Id="rId1349" Type="http://schemas.openxmlformats.org/officeDocument/2006/relationships/hyperlink" Target="http://www2.assemblee-nationale.fr/deputes/fiche/OMC_PA721876" TargetMode="External"/><Relationship Id="rId10" Type="http://schemas.openxmlformats.org/officeDocument/2006/relationships/hyperlink" Target="http://www2.assemblee-nationale.fr/deputes/fiche/OMC_PA330008" TargetMode="External"/><Relationship Id="rId13" Type="http://schemas.openxmlformats.org/officeDocument/2006/relationships/hyperlink" Target="http://www2.assemblee-nationale.fr/deputes/fiche/OMC_PA718720" TargetMode="External"/><Relationship Id="rId12" Type="http://schemas.openxmlformats.org/officeDocument/2006/relationships/hyperlink" Target="https://www.nosdeputes.fr/xavier-breton/csv" TargetMode="External"/><Relationship Id="rId756" Type="http://schemas.openxmlformats.org/officeDocument/2006/relationships/hyperlink" Target="https://www.nosdeputes.fr/caroline-janvier" TargetMode="External"/><Relationship Id="rId755" Type="http://schemas.openxmlformats.org/officeDocument/2006/relationships/hyperlink" Target="http://www2.assemblee-nationale.fr/deputes/fiche/OMC_PA720074" TargetMode="External"/><Relationship Id="rId754" Type="http://schemas.openxmlformats.org/officeDocument/2006/relationships/hyperlink" Target="https://www.nosdeputes.fr/dimitri-houbron/csv" TargetMode="External"/><Relationship Id="rId753" Type="http://schemas.openxmlformats.org/officeDocument/2006/relationships/hyperlink" Target="https://www.nosdeputes.fr/dimitri-houbron" TargetMode="External"/><Relationship Id="rId759" Type="http://schemas.openxmlformats.org/officeDocument/2006/relationships/hyperlink" Target="https://www.nosdeputes.fr/marietta-karamanli" TargetMode="External"/><Relationship Id="rId758" Type="http://schemas.openxmlformats.org/officeDocument/2006/relationships/hyperlink" Target="http://www2.assemblee-nationale.fr/deputes/fiche/OMC_PA335054" TargetMode="External"/><Relationship Id="rId757" Type="http://schemas.openxmlformats.org/officeDocument/2006/relationships/hyperlink" Target="https://www.nosdeputes.fr/caroline-janvier/csv" TargetMode="External"/><Relationship Id="rId15" Type="http://schemas.openxmlformats.org/officeDocument/2006/relationships/hyperlink" Target="https://www.nosdeputes.fr/jean-paul-dufregne/csv" TargetMode="External"/><Relationship Id="rId14" Type="http://schemas.openxmlformats.org/officeDocument/2006/relationships/hyperlink" Target="https://www.nosdeputes.fr/jean-paul-dufregne" TargetMode="External"/><Relationship Id="rId17" Type="http://schemas.openxmlformats.org/officeDocument/2006/relationships/hyperlink" Target="https://www.nosdeputes.fr/christine-pires-beaune" TargetMode="External"/><Relationship Id="rId16" Type="http://schemas.openxmlformats.org/officeDocument/2006/relationships/hyperlink" Target="http://www2.assemblee-nationale.fr/deputes/fiche/OMC_PA608172" TargetMode="External"/><Relationship Id="rId1340" Type="http://schemas.openxmlformats.org/officeDocument/2006/relationships/hyperlink" Target="http://www2.assemblee-nationale.fr/deputes/fiche/OMC_PA719080" TargetMode="External"/><Relationship Id="rId19" Type="http://schemas.openxmlformats.org/officeDocument/2006/relationships/hyperlink" Target="http://www2.assemblee-nationale.fr/deputes/fiche/OMC_PA267204" TargetMode="External"/><Relationship Id="rId752" Type="http://schemas.openxmlformats.org/officeDocument/2006/relationships/hyperlink" Target="http://www2.assemblee-nationale.fr/deputes/fiche/OMC_PA720454" TargetMode="External"/><Relationship Id="rId1341" Type="http://schemas.openxmlformats.org/officeDocument/2006/relationships/hyperlink" Target="https://www.nosdeputes.fr/sandra-marsaud" TargetMode="External"/><Relationship Id="rId18" Type="http://schemas.openxmlformats.org/officeDocument/2006/relationships/hyperlink" Target="https://www.nosdeputes.fr/christine-pires-beaune/csv" TargetMode="External"/><Relationship Id="rId751" Type="http://schemas.openxmlformats.org/officeDocument/2006/relationships/hyperlink" Target="https://www.nosdeputes.fr/christine-hennion/csv" TargetMode="External"/><Relationship Id="rId1342" Type="http://schemas.openxmlformats.org/officeDocument/2006/relationships/hyperlink" Target="https://www.nosdeputes.fr/sandra-marsaud/csv" TargetMode="External"/><Relationship Id="rId750" Type="http://schemas.openxmlformats.org/officeDocument/2006/relationships/hyperlink" Target="https://www.nosdeputes.fr/christine-hennion" TargetMode="External"/><Relationship Id="rId1343" Type="http://schemas.openxmlformats.org/officeDocument/2006/relationships/hyperlink" Target="http://www2.assemblee-nationale.fr/deputes/fiche/OMC_PA721800" TargetMode="External"/><Relationship Id="rId1344" Type="http://schemas.openxmlformats.org/officeDocument/2006/relationships/hyperlink" Target="https://www.nosdeputes.fr/fabien-matras" TargetMode="External"/><Relationship Id="rId84" Type="http://schemas.openxmlformats.org/officeDocument/2006/relationships/hyperlink" Target="https://fr-fr.facebook.com/hwulfranc/" TargetMode="External"/><Relationship Id="rId1774" Type="http://schemas.openxmlformats.org/officeDocument/2006/relationships/hyperlink" Target="http://www2.assemblee-nationale.fr/deputes/fiche/OMC_PA340357" TargetMode="External"/><Relationship Id="rId83" Type="http://schemas.openxmlformats.org/officeDocument/2006/relationships/hyperlink" Target="https://www.nosdeputes.fr/elisabeth-toutut-picard/csv" TargetMode="External"/><Relationship Id="rId1775" Type="http://schemas.openxmlformats.org/officeDocument/2006/relationships/hyperlink" Target="https://www.nosdeputes.fr/michele-victory" TargetMode="External"/><Relationship Id="rId86" Type="http://schemas.openxmlformats.org/officeDocument/2006/relationships/hyperlink" Target="https://www.nosdeputes.fr/hubert-wulfranc" TargetMode="External"/><Relationship Id="rId1776" Type="http://schemas.openxmlformats.org/officeDocument/2006/relationships/hyperlink" Target="https://www.nosdeputes.fr/michele-victory/csv" TargetMode="External"/><Relationship Id="rId85" Type="http://schemas.openxmlformats.org/officeDocument/2006/relationships/hyperlink" Target="http://www2.assemblee-nationale.fr/deputes/fiche/OMC_PA722110" TargetMode="External"/><Relationship Id="rId1777" Type="http://schemas.openxmlformats.org/officeDocument/2006/relationships/hyperlink" Target="http://www2.assemblee-nationale.fr/deputes/fiche/OMC_PA721816" TargetMode="External"/><Relationship Id="rId88" Type="http://schemas.openxmlformats.org/officeDocument/2006/relationships/hyperlink" Target="http://www2.assemblee-nationale.fr/deputes/fiche/OMC_PA719866" TargetMode="External"/><Relationship Id="rId1778" Type="http://schemas.openxmlformats.org/officeDocument/2006/relationships/hyperlink" Target="https://www.nosdeputes.fr/ian-boucard" TargetMode="External"/><Relationship Id="rId87" Type="http://schemas.openxmlformats.org/officeDocument/2006/relationships/hyperlink" Target="https://www.nosdeputes.fr/hubert-wulfranc/csv" TargetMode="External"/><Relationship Id="rId1779" Type="http://schemas.openxmlformats.org/officeDocument/2006/relationships/hyperlink" Target="https://www.nosdeputes.fr/ian-boucard/csv" TargetMode="External"/><Relationship Id="rId89" Type="http://schemas.openxmlformats.org/officeDocument/2006/relationships/hyperlink" Target="https://www.nosdeputes.fr/caroline-abadie" TargetMode="External"/><Relationship Id="rId709" Type="http://schemas.openxmlformats.org/officeDocument/2006/relationships/hyperlink" Target="http://www2.assemblee-nationale.fr/deputes/fiche/OMC_PA722382" TargetMode="External"/><Relationship Id="rId708" Type="http://schemas.openxmlformats.org/officeDocument/2006/relationships/hyperlink" Target="https://twitter.com/BenjaminDirx" TargetMode="External"/><Relationship Id="rId707" Type="http://schemas.openxmlformats.org/officeDocument/2006/relationships/hyperlink" Target="https://www.nosdeputes.fr/nicolas-demoulin/csv" TargetMode="External"/><Relationship Id="rId706" Type="http://schemas.openxmlformats.org/officeDocument/2006/relationships/hyperlink" Target="https://www.nosdeputes.fr/nicolas-demoulin" TargetMode="External"/><Relationship Id="rId80" Type="http://schemas.openxmlformats.org/officeDocument/2006/relationships/hyperlink" Target="https://www.nosdeputes.fr/benoit-simian/csv" TargetMode="External"/><Relationship Id="rId82" Type="http://schemas.openxmlformats.org/officeDocument/2006/relationships/hyperlink" Target="https://www.nosdeputes.fr/elisabeth-toutut-picard" TargetMode="External"/><Relationship Id="rId81" Type="http://schemas.openxmlformats.org/officeDocument/2006/relationships/hyperlink" Target="http://www2.assemblee-nationale.fr/deputes/fiche/OMC_PA719540" TargetMode="External"/><Relationship Id="rId701" Type="http://schemas.openxmlformats.org/officeDocument/2006/relationships/hyperlink" Target="https://www.nosdeputes.fr/berangere-couillard/csv" TargetMode="External"/><Relationship Id="rId700" Type="http://schemas.openxmlformats.org/officeDocument/2006/relationships/hyperlink" Target="https://www.nosdeputes.fr/berangere-couillard" TargetMode="External"/><Relationship Id="rId705" Type="http://schemas.openxmlformats.org/officeDocument/2006/relationships/hyperlink" Target="http://www2.assemblee-nationale.fr/deputes/fiche/OMC_PA719830" TargetMode="External"/><Relationship Id="rId704" Type="http://schemas.openxmlformats.org/officeDocument/2006/relationships/hyperlink" Target="https://www.nosdeputes.fr/michel-delpon/csv" TargetMode="External"/><Relationship Id="rId703" Type="http://schemas.openxmlformats.org/officeDocument/2006/relationships/hyperlink" Target="https://www.nosdeputes.fr/michel-delpon" TargetMode="External"/><Relationship Id="rId702" Type="http://schemas.openxmlformats.org/officeDocument/2006/relationships/hyperlink" Target="http://www2.assemblee-nationale.fr/deputes/fiche/OMC_PA719258" TargetMode="External"/><Relationship Id="rId1770" Type="http://schemas.openxmlformats.org/officeDocument/2006/relationships/hyperlink" Target="https://www.nosdeputes.fr/franck-marlin/csv" TargetMode="External"/><Relationship Id="rId1771" Type="http://schemas.openxmlformats.org/officeDocument/2006/relationships/hyperlink" Target="http://www2.assemblee-nationale.fr/deputes/fiche/OMC_PA610634" TargetMode="External"/><Relationship Id="rId1772" Type="http://schemas.openxmlformats.org/officeDocument/2006/relationships/hyperlink" Target="https://www.nosdeputes.fr/bruno-nestor-azerot" TargetMode="External"/><Relationship Id="rId1773" Type="http://schemas.openxmlformats.org/officeDocument/2006/relationships/hyperlink" Target="https://www.nosdeputes.fr/bruno-nestor-azerot/csv" TargetMode="External"/><Relationship Id="rId73" Type="http://schemas.openxmlformats.org/officeDocument/2006/relationships/hyperlink" Target="https://www.nosdeputes.fr/aurelien-pradie" TargetMode="External"/><Relationship Id="rId1763" Type="http://schemas.openxmlformats.org/officeDocument/2006/relationships/hyperlink" Target="https://www.nosdeputes.fr/michele-tabarot" TargetMode="External"/><Relationship Id="rId72" Type="http://schemas.openxmlformats.org/officeDocument/2006/relationships/hyperlink" Target="http://www2.assemblee-nationale.fr/deputes/fiche/OMC_PA720100" TargetMode="External"/><Relationship Id="rId1764" Type="http://schemas.openxmlformats.org/officeDocument/2006/relationships/hyperlink" Target="https://www.nosdeputes.fr/michele-tabarot/csv" TargetMode="External"/><Relationship Id="rId75" Type="http://schemas.openxmlformats.org/officeDocument/2006/relationships/hyperlink" Target="http://www2.assemblee-nationale.fr/deputes/fiche/OMC_PA722398" TargetMode="External"/><Relationship Id="rId1765" Type="http://schemas.openxmlformats.org/officeDocument/2006/relationships/hyperlink" Target="http://www2.assemblee-nationale.fr/deputes/fiche/OMC_PA223837" TargetMode="External"/><Relationship Id="rId74" Type="http://schemas.openxmlformats.org/officeDocument/2006/relationships/hyperlink" Target="https://www.nosdeputes.fr/aurelien-pradie/csv" TargetMode="External"/><Relationship Id="rId1766" Type="http://schemas.openxmlformats.org/officeDocument/2006/relationships/hyperlink" Target="https://www.nosdeputes.fr/bernard-brochand" TargetMode="External"/><Relationship Id="rId77" Type="http://schemas.openxmlformats.org/officeDocument/2006/relationships/hyperlink" Target="https://www.nosdeputes.fr/remy-rebeyrotte/csv" TargetMode="External"/><Relationship Id="rId1767" Type="http://schemas.openxmlformats.org/officeDocument/2006/relationships/hyperlink" Target="https://www.nosdeputes.fr/bernard-brochand/csv" TargetMode="External"/><Relationship Id="rId76" Type="http://schemas.openxmlformats.org/officeDocument/2006/relationships/hyperlink" Target="https://www.nosdeputes.fr/remy-rebeyrotte" TargetMode="External"/><Relationship Id="rId1768" Type="http://schemas.openxmlformats.org/officeDocument/2006/relationships/hyperlink" Target="http://www2.assemblee-nationale.fr/deputes/fiche/OMC_PA2086" TargetMode="External"/><Relationship Id="rId79" Type="http://schemas.openxmlformats.org/officeDocument/2006/relationships/hyperlink" Target="https://www.nosdeputes.fr/benoit-simian" TargetMode="External"/><Relationship Id="rId1769" Type="http://schemas.openxmlformats.org/officeDocument/2006/relationships/hyperlink" Target="https://www.nosdeputes.fr/franck-marlin" TargetMode="External"/><Relationship Id="rId78" Type="http://schemas.openxmlformats.org/officeDocument/2006/relationships/hyperlink" Target="http://www2.assemblee-nationale.fr/deputes/fiche/OMC_PA719592" TargetMode="External"/><Relationship Id="rId71" Type="http://schemas.openxmlformats.org/officeDocument/2006/relationships/hyperlink" Target="https://www.nosdeputes.fr/daniele-obono/csv" TargetMode="External"/><Relationship Id="rId70" Type="http://schemas.openxmlformats.org/officeDocument/2006/relationships/hyperlink" Target="https://www.nosdeputes.fr/daniele-obono" TargetMode="External"/><Relationship Id="rId1760" Type="http://schemas.openxmlformats.org/officeDocument/2006/relationships/hyperlink" Target="https://www.nosdeputes.fr/stephane-claireaux" TargetMode="External"/><Relationship Id="rId1761" Type="http://schemas.openxmlformats.org/officeDocument/2006/relationships/hyperlink" Target="https://www.nosdeputes.fr/stephane-claireaux/csv" TargetMode="External"/><Relationship Id="rId1762" Type="http://schemas.openxmlformats.org/officeDocument/2006/relationships/hyperlink" Target="http://www2.assemblee-nationale.fr/deputes/fiche/OMC_PA267794" TargetMode="External"/><Relationship Id="rId62" Type="http://schemas.openxmlformats.org/officeDocument/2006/relationships/hyperlink" Target="http://www2.assemblee-nationale.fr/deputes/fiche/OMC_PA719850" TargetMode="External"/><Relationship Id="rId1312" Type="http://schemas.openxmlformats.org/officeDocument/2006/relationships/hyperlink" Target="https://www.nosdeputes.fr/guillaume-garot/csv" TargetMode="External"/><Relationship Id="rId61" Type="http://schemas.openxmlformats.org/officeDocument/2006/relationships/hyperlink" Target="https://www.nosdeputes.fr/mohamed-laqhila/csv" TargetMode="External"/><Relationship Id="rId1313" Type="http://schemas.openxmlformats.org/officeDocument/2006/relationships/hyperlink" Target="https://twitter.com/severine_gipson" TargetMode="External"/><Relationship Id="rId64" Type="http://schemas.openxmlformats.org/officeDocument/2006/relationships/hyperlink" Target="https://www.nosdeputes.fr/cendra-motin/csv" TargetMode="External"/><Relationship Id="rId1314" Type="http://schemas.openxmlformats.org/officeDocument/2006/relationships/hyperlink" Target="http://www2.assemblee-nationale.fr/deputes/fiche/OMC_PA719326" TargetMode="External"/><Relationship Id="rId63" Type="http://schemas.openxmlformats.org/officeDocument/2006/relationships/hyperlink" Target="https://www.nosdeputes.fr/cendra-motin" TargetMode="External"/><Relationship Id="rId1315" Type="http://schemas.openxmlformats.org/officeDocument/2006/relationships/hyperlink" Target="https://www.nosdeputes.fr/severine-gipson" TargetMode="External"/><Relationship Id="rId66" Type="http://schemas.openxmlformats.org/officeDocument/2006/relationships/hyperlink" Target="https://www.nosdeputes.fr/naima-moutchou" TargetMode="External"/><Relationship Id="rId1316" Type="http://schemas.openxmlformats.org/officeDocument/2006/relationships/hyperlink" Target="https://www.nosdeputes.fr/severine-gipson/csv" TargetMode="External"/><Relationship Id="rId65" Type="http://schemas.openxmlformats.org/officeDocument/2006/relationships/hyperlink" Target="http://www2.assemblee-nationale.fr/deputes/fiche/OMC_PA720908" TargetMode="External"/><Relationship Id="rId1317" Type="http://schemas.openxmlformats.org/officeDocument/2006/relationships/hyperlink" Target="http://www2.assemblee-nationale.fr/deputes/fiche/OMC_PA719210" TargetMode="External"/><Relationship Id="rId68" Type="http://schemas.openxmlformats.org/officeDocument/2006/relationships/hyperlink" Target="https://twitter.com/Deputee_Obono" TargetMode="External"/><Relationship Id="rId1318" Type="http://schemas.openxmlformats.org/officeDocument/2006/relationships/hyperlink" Target="https://www.nosdeputes.fr/bruno-joncour" TargetMode="External"/><Relationship Id="rId67" Type="http://schemas.openxmlformats.org/officeDocument/2006/relationships/hyperlink" Target="https://www.nosdeputes.fr/naima-moutchou/csv" TargetMode="External"/><Relationship Id="rId1319" Type="http://schemas.openxmlformats.org/officeDocument/2006/relationships/hyperlink" Target="https://www.nosdeputes.fr/bruno-joncour/csv" TargetMode="External"/><Relationship Id="rId729" Type="http://schemas.openxmlformats.org/officeDocument/2006/relationships/hyperlink" Target="https://www.nosdeputes.fr/jean-luc-fugit" TargetMode="External"/><Relationship Id="rId728" Type="http://schemas.openxmlformats.org/officeDocument/2006/relationships/hyperlink" Target="http://www2.assemblee-nationale.fr/deputes/fiche/OMC_PA722366" TargetMode="External"/><Relationship Id="rId60" Type="http://schemas.openxmlformats.org/officeDocument/2006/relationships/hyperlink" Target="https://www.nosdeputes.fr/mohamed-laqhila" TargetMode="External"/><Relationship Id="rId723" Type="http://schemas.openxmlformats.org/officeDocument/2006/relationships/hyperlink" Target="https://www.nosdeputes.fr/bruno-duverge/csv" TargetMode="External"/><Relationship Id="rId722" Type="http://schemas.openxmlformats.org/officeDocument/2006/relationships/hyperlink" Target="https://www.nosdeputes.fr/bruno-duverge" TargetMode="External"/><Relationship Id="rId721" Type="http://schemas.openxmlformats.org/officeDocument/2006/relationships/hyperlink" Target="http://www2.assemblee-nationale.fr/deputes/fiche/OMC_PA720652" TargetMode="External"/><Relationship Id="rId720" Type="http://schemas.openxmlformats.org/officeDocument/2006/relationships/hyperlink" Target="https://www.nosdeputes.fr/virginie-duby-muller/csv" TargetMode="External"/><Relationship Id="rId727" Type="http://schemas.openxmlformats.org/officeDocument/2006/relationships/hyperlink" Target="https://twitter.com/Jean_LucFUGIT" TargetMode="External"/><Relationship Id="rId726" Type="http://schemas.openxmlformats.org/officeDocument/2006/relationships/hyperlink" Target="https://www.nosdeputes.fr/christophe-euzet/csv" TargetMode="External"/><Relationship Id="rId725" Type="http://schemas.openxmlformats.org/officeDocument/2006/relationships/hyperlink" Target="https://www.nosdeputes.fr/christophe-euzet" TargetMode="External"/><Relationship Id="rId724" Type="http://schemas.openxmlformats.org/officeDocument/2006/relationships/hyperlink" Target="http://www2.assemblee-nationale.fr/deputes/fiche/OMC_PA719616" TargetMode="External"/><Relationship Id="rId69" Type="http://schemas.openxmlformats.org/officeDocument/2006/relationships/hyperlink" Target="http://www2.assemblee-nationale.fr/deputes/fiche/OMC_PA721960" TargetMode="External"/><Relationship Id="rId1310" Type="http://schemas.openxmlformats.org/officeDocument/2006/relationships/hyperlink" Target="http://www2.assemblee-nationale.fr/deputes/fiche/OMC_PA333285" TargetMode="External"/><Relationship Id="rId1311" Type="http://schemas.openxmlformats.org/officeDocument/2006/relationships/hyperlink" Target="https://www.nosdeputes.fr/guillaume-garot" TargetMode="External"/><Relationship Id="rId51" Type="http://schemas.openxmlformats.org/officeDocument/2006/relationships/hyperlink" Target="https://www.nosdeputes.fr/patrick-hetzel" TargetMode="External"/><Relationship Id="rId1301" Type="http://schemas.openxmlformats.org/officeDocument/2006/relationships/hyperlink" Target="http://www2.assemblee-nationale.fr/deputes/fiche/OMC_PA267042" TargetMode="External"/><Relationship Id="rId50" Type="http://schemas.openxmlformats.org/officeDocument/2006/relationships/hyperlink" Target="http://www2.assemblee-nationale.fr/deputes/fiche/OMC_PA608416" TargetMode="External"/><Relationship Id="rId1302" Type="http://schemas.openxmlformats.org/officeDocument/2006/relationships/hyperlink" Target="https://www.nosdeputes.fr/yannick-favennec-becot" TargetMode="External"/><Relationship Id="rId53" Type="http://schemas.openxmlformats.org/officeDocument/2006/relationships/hyperlink" Target="http://www2.assemblee-nationale.fr/deputes/fiche/OMC_PA721150" TargetMode="External"/><Relationship Id="rId1303" Type="http://schemas.openxmlformats.org/officeDocument/2006/relationships/hyperlink" Target="https://www.nosdeputes.fr/yannick-favennec-becot/csv" TargetMode="External"/><Relationship Id="rId52" Type="http://schemas.openxmlformats.org/officeDocument/2006/relationships/hyperlink" Target="https://www.nosdeputes.fr/patrick-hetzel/csv" TargetMode="External"/><Relationship Id="rId1304" Type="http://schemas.openxmlformats.org/officeDocument/2006/relationships/hyperlink" Target="http://www2.assemblee-nationale.fr/deputes/fiche/OMC_PA643103" TargetMode="External"/><Relationship Id="rId55" Type="http://schemas.openxmlformats.org/officeDocument/2006/relationships/hyperlink" Target="https://www.nosdeputes.fr/alexandre-holroyd/csv" TargetMode="External"/><Relationship Id="rId1305" Type="http://schemas.openxmlformats.org/officeDocument/2006/relationships/hyperlink" Target="https://www.nosdeputes.fr/jean-jacques-ferrara" TargetMode="External"/><Relationship Id="rId54" Type="http://schemas.openxmlformats.org/officeDocument/2006/relationships/hyperlink" Target="https://www.nosdeputes.fr/alexandre-holroyd" TargetMode="External"/><Relationship Id="rId1306" Type="http://schemas.openxmlformats.org/officeDocument/2006/relationships/hyperlink" Target="https://www.nosdeputes.fr/jean-jacques-ferrara/csv" TargetMode="External"/><Relationship Id="rId57" Type="http://schemas.openxmlformats.org/officeDocument/2006/relationships/hyperlink" Target="https://www.nosdeputes.fr/catherine-kamowski" TargetMode="External"/><Relationship Id="rId1307" Type="http://schemas.openxmlformats.org/officeDocument/2006/relationships/hyperlink" Target="http://www2.assemblee-nationale.fr/deputes/fiche/OMC_PA720178" TargetMode="External"/><Relationship Id="rId56" Type="http://schemas.openxmlformats.org/officeDocument/2006/relationships/hyperlink" Target="http://www2.assemblee-nationale.fr/deputes/fiche/OMC_PA719994" TargetMode="External"/><Relationship Id="rId1308" Type="http://schemas.openxmlformats.org/officeDocument/2006/relationships/hyperlink" Target="https://www.nosdeputes.fr/laurent-garcia" TargetMode="External"/><Relationship Id="rId1309" Type="http://schemas.openxmlformats.org/officeDocument/2006/relationships/hyperlink" Target="https://www.nosdeputes.fr/laurent-garcia/csv" TargetMode="External"/><Relationship Id="rId719" Type="http://schemas.openxmlformats.org/officeDocument/2006/relationships/hyperlink" Target="https://www.nosdeputes.fr/virginie-duby-muller" TargetMode="External"/><Relationship Id="rId718" Type="http://schemas.openxmlformats.org/officeDocument/2006/relationships/hyperlink" Target="http://www2.assemblee-nationale.fr/deputes/fiche/OMC_PA608826" TargetMode="External"/><Relationship Id="rId717" Type="http://schemas.openxmlformats.org/officeDocument/2006/relationships/hyperlink" Target="https://www.nosdeputes.fr/nicole-dubre-chirat/csv" TargetMode="External"/><Relationship Id="rId712" Type="http://schemas.openxmlformats.org/officeDocument/2006/relationships/hyperlink" Target="http://www2.assemblee-nationale.fr/deputes/fiche/OMC_PA608292" TargetMode="External"/><Relationship Id="rId711" Type="http://schemas.openxmlformats.org/officeDocument/2006/relationships/hyperlink" Target="https://www.nosdeputes.fr/benjamin-dirx/csv" TargetMode="External"/><Relationship Id="rId710" Type="http://schemas.openxmlformats.org/officeDocument/2006/relationships/hyperlink" Target="https://www.nosdeputes.fr/benjamin-dirx" TargetMode="External"/><Relationship Id="rId716" Type="http://schemas.openxmlformats.org/officeDocument/2006/relationships/hyperlink" Target="https://www.nosdeputes.fr/nicole-dubre-chirat" TargetMode="External"/><Relationship Id="rId715" Type="http://schemas.openxmlformats.org/officeDocument/2006/relationships/hyperlink" Target="http://www2.assemblee-nationale.fr/deputes/fiche/OMC_PA720154" TargetMode="External"/><Relationship Id="rId714" Type="http://schemas.openxmlformats.org/officeDocument/2006/relationships/hyperlink" Target="https://www.nosdeputes.fr/jeanine-dubie/csv" TargetMode="External"/><Relationship Id="rId713" Type="http://schemas.openxmlformats.org/officeDocument/2006/relationships/hyperlink" Target="https://www.nosdeputes.fr/jeanine-dubie" TargetMode="External"/><Relationship Id="rId59" Type="http://schemas.openxmlformats.org/officeDocument/2006/relationships/hyperlink" Target="http://www2.assemblee-nationale.fr/deputes/fiche/OMC_PA718978" TargetMode="External"/><Relationship Id="rId58" Type="http://schemas.openxmlformats.org/officeDocument/2006/relationships/hyperlink" Target="https://www.nosdeputes.fr/catherine-kamowski/csv" TargetMode="External"/><Relationship Id="rId1780" Type="http://schemas.openxmlformats.org/officeDocument/2006/relationships/hyperlink" Target="http://www2.assemblee-nationale.fr/deputes/fiche/OMC_PA748954" TargetMode="External"/><Relationship Id="rId1781" Type="http://schemas.openxmlformats.org/officeDocument/2006/relationships/hyperlink" Target="https://www.nosdeputes.fr/antoine-savignat" TargetMode="External"/><Relationship Id="rId1782" Type="http://schemas.openxmlformats.org/officeDocument/2006/relationships/hyperlink" Target="https://www.nosdeputes.fr/antoine-savignat/csv" TargetMode="External"/><Relationship Id="rId1783" Type="http://schemas.openxmlformats.org/officeDocument/2006/relationships/drawing" Target="../drawings/drawing2.xml"/><Relationship Id="rId1300" Type="http://schemas.openxmlformats.org/officeDocument/2006/relationships/hyperlink" Target="https://www.nosdeputes.fr/valeria-faure-muntian/csv" TargetMode="External"/><Relationship Id="rId349" Type="http://schemas.openxmlformats.org/officeDocument/2006/relationships/hyperlink" Target="https://www.nosdeputes.fr/thomas-mesnier/csv" TargetMode="External"/><Relationship Id="rId348" Type="http://schemas.openxmlformats.org/officeDocument/2006/relationships/hyperlink" Target="https://www.nosdeputes.fr/thomas-mesnier" TargetMode="External"/><Relationship Id="rId347" Type="http://schemas.openxmlformats.org/officeDocument/2006/relationships/hyperlink" Target="http://www2.assemblee-nationale.fr/deputes/fiche/OMC_PA719072" TargetMode="External"/><Relationship Id="rId346" Type="http://schemas.openxmlformats.org/officeDocument/2006/relationships/hyperlink" Target="https://www.nosdeputes.fr/emmanuelle-menard/csv" TargetMode="External"/><Relationship Id="rId341" Type="http://schemas.openxmlformats.org/officeDocument/2006/relationships/hyperlink" Target="http://www2.assemblee-nationale.fr/deputes/fiche/OMC_PA2150" TargetMode="External"/><Relationship Id="rId340" Type="http://schemas.openxmlformats.org/officeDocument/2006/relationships/hyperlink" Target="https://www.nosdeputes.fr/jean-louis-masson/csv" TargetMode="External"/><Relationship Id="rId345" Type="http://schemas.openxmlformats.org/officeDocument/2006/relationships/hyperlink" Target="https://www.nosdeputes.fr/emmanuelle-menard" TargetMode="External"/><Relationship Id="rId344" Type="http://schemas.openxmlformats.org/officeDocument/2006/relationships/hyperlink" Target="http://www2.assemblee-nationale.fr/deputes/fiche/OMC_PA719608" TargetMode="External"/><Relationship Id="rId343" Type="http://schemas.openxmlformats.org/officeDocument/2006/relationships/hyperlink" Target="https://www.nosdeputes.fr/jean-luc-melenchon/csv" TargetMode="External"/><Relationship Id="rId342" Type="http://schemas.openxmlformats.org/officeDocument/2006/relationships/hyperlink" Target="https://www.nosdeputes.fr/jean-luc-melenchon" TargetMode="External"/><Relationship Id="rId338" Type="http://schemas.openxmlformats.org/officeDocument/2006/relationships/hyperlink" Target="http://www2.assemblee-nationale.fr/deputes/fiche/OMC_PA346218" TargetMode="External"/><Relationship Id="rId337" Type="http://schemas.openxmlformats.org/officeDocument/2006/relationships/hyperlink" Target="http://jlmasson.fr" TargetMode="External"/><Relationship Id="rId336" Type="http://schemas.openxmlformats.org/officeDocument/2006/relationships/hyperlink" Target="https://www.nosdeputes.fr/didier-martin/csv" TargetMode="External"/><Relationship Id="rId335" Type="http://schemas.openxmlformats.org/officeDocument/2006/relationships/hyperlink" Target="https://www.nosdeputes.fr/didier-martin" TargetMode="External"/><Relationship Id="rId339" Type="http://schemas.openxmlformats.org/officeDocument/2006/relationships/hyperlink" Target="https://www.nosdeputes.fr/jean-louis-masson" TargetMode="External"/><Relationship Id="rId330" Type="http://schemas.openxmlformats.org/officeDocument/2006/relationships/hyperlink" Target="https://www.nosdeputes.fr/marie-ange-magne/csv" TargetMode="External"/><Relationship Id="rId334" Type="http://schemas.openxmlformats.org/officeDocument/2006/relationships/hyperlink" Target="http://www2.assemblee-nationale.fr/deputes/fiche/OMC_PA719154" TargetMode="External"/><Relationship Id="rId333" Type="http://schemas.openxmlformats.org/officeDocument/2006/relationships/hyperlink" Target="https://www.nosdeputes.fr/sylvain-maillard/csv" TargetMode="External"/><Relationship Id="rId332" Type="http://schemas.openxmlformats.org/officeDocument/2006/relationships/hyperlink" Target="https://www.nosdeputes.fr/sylvain-maillard" TargetMode="External"/><Relationship Id="rId331" Type="http://schemas.openxmlformats.org/officeDocument/2006/relationships/hyperlink" Target="http://www2.assemblee-nationale.fr/deputes/fiche/OMC_PA717379" TargetMode="External"/><Relationship Id="rId370" Type="http://schemas.openxmlformats.org/officeDocument/2006/relationships/hyperlink" Target="https://www.nosdeputes.fr/mathilde-panot" TargetMode="External"/><Relationship Id="rId369" Type="http://schemas.openxmlformats.org/officeDocument/2006/relationships/hyperlink" Target="http://www2.assemblee-nationale.fr/deputes/fiche/OMC_PA720892" TargetMode="External"/><Relationship Id="rId368" Type="http://schemas.openxmlformats.org/officeDocument/2006/relationships/hyperlink" Target="https://www.nosdeputes.fr/xavier-paluszkiewicz/csv" TargetMode="External"/><Relationship Id="rId363" Type="http://schemas.openxmlformats.org/officeDocument/2006/relationships/hyperlink" Target="http://www2.assemblee-nationale.fr/deputes/fiche/OMC_PA720492" TargetMode="External"/><Relationship Id="rId362" Type="http://schemas.openxmlformats.org/officeDocument/2006/relationships/hyperlink" Target="https://twitter.com/Ossoncatherine" TargetMode="External"/><Relationship Id="rId361" Type="http://schemas.openxmlformats.org/officeDocument/2006/relationships/hyperlink" Target="https://www.nosdeputes.fr/matthieu-orphelin/csv" TargetMode="External"/><Relationship Id="rId360" Type="http://schemas.openxmlformats.org/officeDocument/2006/relationships/hyperlink" Target="https://www.nosdeputes.fr/matthieu-orphelin" TargetMode="External"/><Relationship Id="rId367" Type="http://schemas.openxmlformats.org/officeDocument/2006/relationships/hyperlink" Target="https://www.nosdeputes.fr/xavier-paluszkiewicz" TargetMode="External"/><Relationship Id="rId366" Type="http://schemas.openxmlformats.org/officeDocument/2006/relationships/hyperlink" Target="http://www2.assemblee-nationale.fr/deputes/fiche/OMC_PA720402" TargetMode="External"/><Relationship Id="rId365" Type="http://schemas.openxmlformats.org/officeDocument/2006/relationships/hyperlink" Target="https://www.nosdeputes.fr/catherine-osson/csv" TargetMode="External"/><Relationship Id="rId364" Type="http://schemas.openxmlformats.org/officeDocument/2006/relationships/hyperlink" Target="https://www.nosdeputes.fr/catherine-osson" TargetMode="External"/><Relationship Id="rId95" Type="http://schemas.openxmlformats.org/officeDocument/2006/relationships/hyperlink" Target="https://www.nosdeputes.fr/sophie-beaudouin-hubiere" TargetMode="External"/><Relationship Id="rId94" Type="http://schemas.openxmlformats.org/officeDocument/2006/relationships/hyperlink" Target="http://www2.assemblee-nationale.fr/deputes/fiche/OMC_PA722170" TargetMode="External"/><Relationship Id="rId97" Type="http://schemas.openxmlformats.org/officeDocument/2006/relationships/hyperlink" Target="http://www2.assemblee-nationale.fr/deputes/fiche/OMC_PA332228" TargetMode="External"/><Relationship Id="rId96" Type="http://schemas.openxmlformats.org/officeDocument/2006/relationships/hyperlink" Target="https://www.nosdeputes.fr/sophie-beaudouin-hubiere/csv" TargetMode="External"/><Relationship Id="rId99" Type="http://schemas.openxmlformats.org/officeDocument/2006/relationships/hyperlink" Target="https://www.nosdeputes.fr/thierry-benoit/csv" TargetMode="External"/><Relationship Id="rId98" Type="http://schemas.openxmlformats.org/officeDocument/2006/relationships/hyperlink" Target="https://www.nosdeputes.fr/thierry-benoit" TargetMode="External"/><Relationship Id="rId91" Type="http://schemas.openxmlformats.org/officeDocument/2006/relationships/hyperlink" Target="http://www2.assemblee-nationale.fr/deputes/fiche/OMC_PA719558" TargetMode="External"/><Relationship Id="rId90" Type="http://schemas.openxmlformats.org/officeDocument/2006/relationships/hyperlink" Target="https://www.nosdeputes.fr/caroline-abadie/csv" TargetMode="External"/><Relationship Id="rId93" Type="http://schemas.openxmlformats.org/officeDocument/2006/relationships/hyperlink" Target="https://www.nosdeputes.fr/erwan-balanant/csv" TargetMode="External"/><Relationship Id="rId92" Type="http://schemas.openxmlformats.org/officeDocument/2006/relationships/hyperlink" Target="https://www.nosdeputes.fr/erwan-balanant" TargetMode="External"/><Relationship Id="rId359" Type="http://schemas.openxmlformats.org/officeDocument/2006/relationships/hyperlink" Target="http://www2.assemblee-nationale.fr/deputes/fiche/OMC_PA720278" TargetMode="External"/><Relationship Id="rId358" Type="http://schemas.openxmlformats.org/officeDocument/2006/relationships/hyperlink" Target="https://www.nosdeputes.fr/valerie-oppelt/csv" TargetMode="External"/><Relationship Id="rId357" Type="http://schemas.openxmlformats.org/officeDocument/2006/relationships/hyperlink" Target="https://www.nosdeputes.fr/valerie-oppelt" TargetMode="External"/><Relationship Id="rId352" Type="http://schemas.openxmlformats.org/officeDocument/2006/relationships/hyperlink" Target="https://www.nosdeputes.fr/thierry-michels/csv" TargetMode="External"/><Relationship Id="rId351" Type="http://schemas.openxmlformats.org/officeDocument/2006/relationships/hyperlink" Target="https://www.nosdeputes.fr/thierry-michels" TargetMode="External"/><Relationship Id="rId350" Type="http://schemas.openxmlformats.org/officeDocument/2006/relationships/hyperlink" Target="http://www2.assemblee-nationale.fr/deputes/fiche/OMC_PA720738" TargetMode="External"/><Relationship Id="rId356" Type="http://schemas.openxmlformats.org/officeDocument/2006/relationships/hyperlink" Target="http://www2.assemblee-nationale.fr/deputes/fiche/OMC_PA720108" TargetMode="External"/><Relationship Id="rId355" Type="http://schemas.openxmlformats.org/officeDocument/2006/relationships/hyperlink" Target="https://www.nosdeputes.fr/mickael-nogal/csv" TargetMode="External"/><Relationship Id="rId354" Type="http://schemas.openxmlformats.org/officeDocument/2006/relationships/hyperlink" Target="https://www.nosdeputes.fr/mickael-nogal" TargetMode="External"/><Relationship Id="rId353" Type="http://schemas.openxmlformats.org/officeDocument/2006/relationships/hyperlink" Target="http://www2.assemblee-nationale.fr/deputes/fiche/OMC_PA719520" TargetMode="External"/><Relationship Id="rId1378" Type="http://schemas.openxmlformats.org/officeDocument/2006/relationships/hyperlink" Target="https://www.nosdeputes.fr/jean-bernard-sempastous" TargetMode="External"/><Relationship Id="rId1379" Type="http://schemas.openxmlformats.org/officeDocument/2006/relationships/hyperlink" Target="https://www.nosdeputes.fr/jean-bernard-sempastous/csv" TargetMode="External"/><Relationship Id="rId305" Type="http://schemas.openxmlformats.org/officeDocument/2006/relationships/hyperlink" Target="https://www.nosdeputes.fr/didier-le-gac/csv" TargetMode="External"/><Relationship Id="rId789" Type="http://schemas.openxmlformats.org/officeDocument/2006/relationships/hyperlink" Target="https://www.nosdeputes.fr/ludovic-pajot" TargetMode="External"/><Relationship Id="rId304" Type="http://schemas.openxmlformats.org/officeDocument/2006/relationships/hyperlink" Target="https://www.nosdeputes.fr/didier-le-gac" TargetMode="External"/><Relationship Id="rId788" Type="http://schemas.openxmlformats.org/officeDocument/2006/relationships/hyperlink" Target="http://www2.assemblee-nationale.fr/deputes/fiche/OMC_PA720606" TargetMode="External"/><Relationship Id="rId303" Type="http://schemas.openxmlformats.org/officeDocument/2006/relationships/hyperlink" Target="http://www2.assemblee-nationale.fr/deputes/fiche/OMC_PA719404" TargetMode="External"/><Relationship Id="rId787" Type="http://schemas.openxmlformats.org/officeDocument/2006/relationships/hyperlink" Target="https://www.nosdeputes.fr/pierre-morel-a-l-huissier/csv" TargetMode="External"/><Relationship Id="rId302" Type="http://schemas.openxmlformats.org/officeDocument/2006/relationships/hyperlink" Target="https://www.nosdeputes.fr/fiona-lazaar/csv" TargetMode="External"/><Relationship Id="rId786" Type="http://schemas.openxmlformats.org/officeDocument/2006/relationships/hyperlink" Target="https://www.nosdeputes.fr/pierre-morel-a-l-huissier" TargetMode="External"/><Relationship Id="rId309" Type="http://schemas.openxmlformats.org/officeDocument/2006/relationships/hyperlink" Target="https://www.nosdeputes.fr/constance-le-grip/csv" TargetMode="External"/><Relationship Id="rId308" Type="http://schemas.openxmlformats.org/officeDocument/2006/relationships/hyperlink" Target="https://www.nosdeputes.fr/constance-le-grip" TargetMode="External"/><Relationship Id="rId307" Type="http://schemas.openxmlformats.org/officeDocument/2006/relationships/hyperlink" Target="http://www2.assemblee-nationale.fr/deputes/fiche/OMC_PA345722" TargetMode="External"/><Relationship Id="rId306" Type="http://schemas.openxmlformats.org/officeDocument/2006/relationships/hyperlink" Target="https://twitter.com/ConstanceLeGrip" TargetMode="External"/><Relationship Id="rId781" Type="http://schemas.openxmlformats.org/officeDocument/2006/relationships/hyperlink" Target="https://www.nosdeputes.fr/graziella-melchior/csv" TargetMode="External"/><Relationship Id="rId1370" Type="http://schemas.openxmlformats.org/officeDocument/2006/relationships/hyperlink" Target="https://www.nosdeputes.fr/pierre-alain-raphan/csv" TargetMode="External"/><Relationship Id="rId780" Type="http://schemas.openxmlformats.org/officeDocument/2006/relationships/hyperlink" Target="https://www.nosdeputes.fr/graziella-melchior" TargetMode="External"/><Relationship Id="rId1371" Type="http://schemas.openxmlformats.org/officeDocument/2006/relationships/hyperlink" Target="http://www2.assemblee-nationale.fr/deputes/fiche/OMC_PA720066" TargetMode="External"/><Relationship Id="rId1372" Type="http://schemas.openxmlformats.org/officeDocument/2006/relationships/hyperlink" Target="https://www.nosdeputes.fr/stephanie-rist" TargetMode="External"/><Relationship Id="rId1373" Type="http://schemas.openxmlformats.org/officeDocument/2006/relationships/hyperlink" Target="https://www.nosdeputes.fr/stephanie-rist/csv" TargetMode="External"/><Relationship Id="rId301" Type="http://schemas.openxmlformats.org/officeDocument/2006/relationships/hyperlink" Target="https://www.nosdeputes.fr/fiona-lazaar" TargetMode="External"/><Relationship Id="rId785" Type="http://schemas.openxmlformats.org/officeDocument/2006/relationships/hyperlink" Target="http://www2.assemblee-nationale.fr/deputes/fiche/OMC_PA266788" TargetMode="External"/><Relationship Id="rId1374" Type="http://schemas.openxmlformats.org/officeDocument/2006/relationships/hyperlink" Target="http://www2.assemblee-nationale.fr/deputes/fiche/OMC_PA722078" TargetMode="External"/><Relationship Id="rId300" Type="http://schemas.openxmlformats.org/officeDocument/2006/relationships/hyperlink" Target="http://www2.assemblee-nationale.fr/deputes/fiche/OMC_PA720916" TargetMode="External"/><Relationship Id="rId784" Type="http://schemas.openxmlformats.org/officeDocument/2006/relationships/hyperlink" Target="https://www.nosdeputes.fr/maxime-minot/csv" TargetMode="External"/><Relationship Id="rId1375" Type="http://schemas.openxmlformats.org/officeDocument/2006/relationships/hyperlink" Target="https://www.nosdeputes.fr/jacques-savatier" TargetMode="External"/><Relationship Id="rId783" Type="http://schemas.openxmlformats.org/officeDocument/2006/relationships/hyperlink" Target="https://www.nosdeputes.fr/maxime-minot" TargetMode="External"/><Relationship Id="rId1376" Type="http://schemas.openxmlformats.org/officeDocument/2006/relationships/hyperlink" Target="https://www.nosdeputes.fr/jacques-savatier/csv" TargetMode="External"/><Relationship Id="rId782" Type="http://schemas.openxmlformats.org/officeDocument/2006/relationships/hyperlink" Target="http://www2.assemblee-nationale.fr/deputes/fiche/OMC_PA720630" TargetMode="External"/><Relationship Id="rId1377" Type="http://schemas.openxmlformats.org/officeDocument/2006/relationships/hyperlink" Target="http://www2.assemblee-nationale.fr/deputes/fiche/OMC_PA720780" TargetMode="External"/><Relationship Id="rId1367" Type="http://schemas.openxmlformats.org/officeDocument/2006/relationships/hyperlink" Target="https://www.nosdeputes.fr/berengere-poletti/csv" TargetMode="External"/><Relationship Id="rId1368" Type="http://schemas.openxmlformats.org/officeDocument/2006/relationships/hyperlink" Target="http://www2.assemblee-nationale.fr/deputes/fiche/OMC_PA721888" TargetMode="External"/><Relationship Id="rId1369" Type="http://schemas.openxmlformats.org/officeDocument/2006/relationships/hyperlink" Target="https://www.nosdeputes.fr/pierre-alain-raphan" TargetMode="External"/><Relationship Id="rId778" Type="http://schemas.openxmlformats.org/officeDocument/2006/relationships/hyperlink" Target="https://www.nosdeputes.fr/jacques-marilossian/csv" TargetMode="External"/><Relationship Id="rId777" Type="http://schemas.openxmlformats.org/officeDocument/2006/relationships/hyperlink" Target="https://www.nosdeputes.fr/jacques-marilossian" TargetMode="External"/><Relationship Id="rId776" Type="http://schemas.openxmlformats.org/officeDocument/2006/relationships/hyperlink" Target="http://www2.assemblee-nationale.fr/deputes/fiche/OMC_PA721946" TargetMode="External"/><Relationship Id="rId775" Type="http://schemas.openxmlformats.org/officeDocument/2006/relationships/hyperlink" Target="https://www.nosdeputes.fr/laurence-maillart-mehaignerie/csv" TargetMode="External"/><Relationship Id="rId779" Type="http://schemas.openxmlformats.org/officeDocument/2006/relationships/hyperlink" Target="http://www2.assemblee-nationale.fr/deputes/fiche/OMC_PA719338" TargetMode="External"/><Relationship Id="rId770" Type="http://schemas.openxmlformats.org/officeDocument/2006/relationships/hyperlink" Target="http://www2.assemblee-nationale.fr/deputes/fiche/OMC_PA721530" TargetMode="External"/><Relationship Id="rId1360" Type="http://schemas.openxmlformats.org/officeDocument/2006/relationships/hyperlink" Target="https://www.nosdeputes.fr/frederic-petit" TargetMode="External"/><Relationship Id="rId1361" Type="http://schemas.openxmlformats.org/officeDocument/2006/relationships/hyperlink" Target="https://www.nosdeputes.fr/frederic-petit/csv" TargetMode="External"/><Relationship Id="rId1362" Type="http://schemas.openxmlformats.org/officeDocument/2006/relationships/hyperlink" Target="http://www2.assemblee-nationale.fr/deputes/fiche/OMC_PA721844" TargetMode="External"/><Relationship Id="rId774" Type="http://schemas.openxmlformats.org/officeDocument/2006/relationships/hyperlink" Target="https://www.nosdeputes.fr/laurence-maillart-mehaignerie" TargetMode="External"/><Relationship Id="rId1363" Type="http://schemas.openxmlformats.org/officeDocument/2006/relationships/hyperlink" Target="https://www.nosdeputes.fr/beatrice-piron" TargetMode="External"/><Relationship Id="rId773" Type="http://schemas.openxmlformats.org/officeDocument/2006/relationships/hyperlink" Target="http://www2.assemblee-nationale.fr/deputes/fiche/OMC_PA719718" TargetMode="External"/><Relationship Id="rId1364" Type="http://schemas.openxmlformats.org/officeDocument/2006/relationships/hyperlink" Target="https://www.nosdeputes.fr/beatrice-piron/csv" TargetMode="External"/><Relationship Id="rId772" Type="http://schemas.openxmlformats.org/officeDocument/2006/relationships/hyperlink" Target="https://www.nosdeputes.fr/aude-luquet/csv" TargetMode="External"/><Relationship Id="rId1365" Type="http://schemas.openxmlformats.org/officeDocument/2006/relationships/hyperlink" Target="http://www2.assemblee-nationale.fr/deputes/fiche/OMC_PA267260" TargetMode="External"/><Relationship Id="rId771" Type="http://schemas.openxmlformats.org/officeDocument/2006/relationships/hyperlink" Target="https://www.nosdeputes.fr/aude-luquet" TargetMode="External"/><Relationship Id="rId1366" Type="http://schemas.openxmlformats.org/officeDocument/2006/relationships/hyperlink" Target="https://www.nosdeputes.fr/berengere-poletti" TargetMode="External"/><Relationship Id="rId327" Type="http://schemas.openxmlformats.org/officeDocument/2006/relationships/hyperlink" Target="https://www.nosdeputes.fr/veronique-louwagie/csv" TargetMode="External"/><Relationship Id="rId326" Type="http://schemas.openxmlformats.org/officeDocument/2006/relationships/hyperlink" Target="https://www.nosdeputes.fr/veronique-louwagie" TargetMode="External"/><Relationship Id="rId325" Type="http://schemas.openxmlformats.org/officeDocument/2006/relationships/hyperlink" Target="http://www2.assemblee-nationale.fr/deputes/fiche/OMC_PA608016" TargetMode="External"/><Relationship Id="rId324" Type="http://schemas.openxmlformats.org/officeDocument/2006/relationships/hyperlink" Target="https://www.nosdeputes.fr/monique-limon/csv" TargetMode="External"/><Relationship Id="rId329" Type="http://schemas.openxmlformats.org/officeDocument/2006/relationships/hyperlink" Target="https://www.nosdeputes.fr/marie-ange-magne" TargetMode="External"/><Relationship Id="rId1390" Type="http://schemas.openxmlformats.org/officeDocument/2006/relationships/hyperlink" Target="https://www.nosdeputes.fr/didier-baichere" TargetMode="External"/><Relationship Id="rId328" Type="http://schemas.openxmlformats.org/officeDocument/2006/relationships/hyperlink" Target="http://www2.assemblee-nationale.fr/deputes/fiche/OMC_PA722244" TargetMode="External"/><Relationship Id="rId1391" Type="http://schemas.openxmlformats.org/officeDocument/2006/relationships/hyperlink" Target="https://www.nosdeputes.fr/didier-baichere/csv" TargetMode="External"/><Relationship Id="rId1392" Type="http://schemas.openxmlformats.org/officeDocument/2006/relationships/hyperlink" Target="http://www2.assemblee-nationale.fr/deputes/fiche/OMC_PA610681" TargetMode="External"/><Relationship Id="rId1393" Type="http://schemas.openxmlformats.org/officeDocument/2006/relationships/hyperlink" Target="https://www.nosdeputes.fr/ericka-bareigts" TargetMode="External"/><Relationship Id="rId1394" Type="http://schemas.openxmlformats.org/officeDocument/2006/relationships/hyperlink" Target="https://www.nosdeputes.fr/ericka-bareigts/csv" TargetMode="External"/><Relationship Id="rId1395" Type="http://schemas.openxmlformats.org/officeDocument/2006/relationships/hyperlink" Target="http://www2.assemblee-nationale.fr/deputes/fiche/OMC_PA689" TargetMode="External"/><Relationship Id="rId323" Type="http://schemas.openxmlformats.org/officeDocument/2006/relationships/hyperlink" Target="https://www.nosdeputes.fr/monique-limon" TargetMode="External"/><Relationship Id="rId1396" Type="http://schemas.openxmlformats.org/officeDocument/2006/relationships/hyperlink" Target="https://www.nosdeputes.fr/marie-george-buffet" TargetMode="External"/><Relationship Id="rId322" Type="http://schemas.openxmlformats.org/officeDocument/2006/relationships/hyperlink" Target="http://www2.assemblee-nationale.fr/deputes/fiche/OMC_PA719858" TargetMode="External"/><Relationship Id="rId1397" Type="http://schemas.openxmlformats.org/officeDocument/2006/relationships/hyperlink" Target="https://www.nosdeputes.fr/marie-george-buffet/csv" TargetMode="External"/><Relationship Id="rId321" Type="http://schemas.openxmlformats.org/officeDocument/2006/relationships/hyperlink" Target="https://www.nosdeputes.fr/roland-lescure/csv" TargetMode="External"/><Relationship Id="rId1398" Type="http://schemas.openxmlformats.org/officeDocument/2006/relationships/hyperlink" Target="http://www2.assemblee-nationale.fr/deputes/fiche/OMC_PA722134" TargetMode="External"/><Relationship Id="rId320" Type="http://schemas.openxmlformats.org/officeDocument/2006/relationships/hyperlink" Target="https://www.nosdeputes.fr/roland-lescure" TargetMode="External"/><Relationship Id="rId1399" Type="http://schemas.openxmlformats.org/officeDocument/2006/relationships/hyperlink" Target="https://www.nosdeputes.fr/jean-marie-fievet" TargetMode="External"/><Relationship Id="rId1389" Type="http://schemas.openxmlformats.org/officeDocument/2006/relationships/hyperlink" Target="http://www2.assemblee-nationale.fr/deputes/fiche/OMC_PA721776" TargetMode="External"/><Relationship Id="rId316" Type="http://schemas.openxmlformats.org/officeDocument/2006/relationships/hyperlink" Target="http://www2.assemblee-nationale.fr/deputes/fiche/OMC_PA335612" TargetMode="External"/><Relationship Id="rId315" Type="http://schemas.openxmlformats.org/officeDocument/2006/relationships/hyperlink" Target="https://www.nosdeputes.fr/jean-claude-leclabart/csv" TargetMode="External"/><Relationship Id="rId799" Type="http://schemas.openxmlformats.org/officeDocument/2006/relationships/hyperlink" Target="https://www.nosdeputes.fr/stephane-peu/csv" TargetMode="External"/><Relationship Id="rId314" Type="http://schemas.openxmlformats.org/officeDocument/2006/relationships/hyperlink" Target="https://www.nosdeputes.fr/jean-claude-leclabart" TargetMode="External"/><Relationship Id="rId798" Type="http://schemas.openxmlformats.org/officeDocument/2006/relationships/hyperlink" Target="https://www.nosdeputes.fr/stephane-peu" TargetMode="External"/><Relationship Id="rId313" Type="http://schemas.openxmlformats.org/officeDocument/2006/relationships/hyperlink" Target="http://www2.assemblee-nationale.fr/deputes/fiche/OMC_PA722228" TargetMode="External"/><Relationship Id="rId797" Type="http://schemas.openxmlformats.org/officeDocument/2006/relationships/hyperlink" Target="http://www2.assemblee-nationale.fr/deputes/fiche/OMC_PA721270" TargetMode="External"/><Relationship Id="rId319" Type="http://schemas.openxmlformats.org/officeDocument/2006/relationships/hyperlink" Target="http://www2.assemblee-nationale.fr/deputes/fiche/OMC_PA721134" TargetMode="External"/><Relationship Id="rId318" Type="http://schemas.openxmlformats.org/officeDocument/2006/relationships/hyperlink" Target="https://www.nosdeputes.fr/jean-paul-lecoq/csv" TargetMode="External"/><Relationship Id="rId317" Type="http://schemas.openxmlformats.org/officeDocument/2006/relationships/hyperlink" Target="https://www.nosdeputes.fr/jean-paul-lecoq" TargetMode="External"/><Relationship Id="rId1380" Type="http://schemas.openxmlformats.org/officeDocument/2006/relationships/hyperlink" Target="http://www2.assemblee-nationale.fr/deputes/fiche/OMC_PA722086" TargetMode="External"/><Relationship Id="rId792" Type="http://schemas.openxmlformats.org/officeDocument/2006/relationships/hyperlink" Target="https://www.nosdeputes.fr/zivka-park" TargetMode="External"/><Relationship Id="rId1381" Type="http://schemas.openxmlformats.org/officeDocument/2006/relationships/hyperlink" Target="https://www.nosdeputes.fr/adrien-taquet" TargetMode="External"/><Relationship Id="rId791" Type="http://schemas.openxmlformats.org/officeDocument/2006/relationships/hyperlink" Target="http://www2.assemblee-nationale.fr/deputes/fiche/OMC_PA720944" TargetMode="External"/><Relationship Id="rId1382" Type="http://schemas.openxmlformats.org/officeDocument/2006/relationships/hyperlink" Target="https://www.nosdeputes.fr/adrien-taquet/csv" TargetMode="External"/><Relationship Id="rId790" Type="http://schemas.openxmlformats.org/officeDocument/2006/relationships/hyperlink" Target="https://www.nosdeputes.fr/ludovic-pajot/csv" TargetMode="External"/><Relationship Id="rId1383" Type="http://schemas.openxmlformats.org/officeDocument/2006/relationships/hyperlink" Target="http://www2.assemblee-nationale.fr/deputes/fiche/OMC_PA722162" TargetMode="External"/><Relationship Id="rId1384" Type="http://schemas.openxmlformats.org/officeDocument/2006/relationships/hyperlink" Target="https://www.nosdeputes.fr/nicolas-turquois" TargetMode="External"/><Relationship Id="rId312" Type="http://schemas.openxmlformats.org/officeDocument/2006/relationships/hyperlink" Target="https://www.nosdeputes.fr/fabrice-le-vigoureux/csv" TargetMode="External"/><Relationship Id="rId796" Type="http://schemas.openxmlformats.org/officeDocument/2006/relationships/hyperlink" Target="https://www.nosdeputes.fr/pierre-person/csv" TargetMode="External"/><Relationship Id="rId1385" Type="http://schemas.openxmlformats.org/officeDocument/2006/relationships/hyperlink" Target="https://www.nosdeputes.fr/nicolas-turquois/csv" TargetMode="External"/><Relationship Id="rId311" Type="http://schemas.openxmlformats.org/officeDocument/2006/relationships/hyperlink" Target="https://www.nosdeputes.fr/fabrice-le-vigoureux" TargetMode="External"/><Relationship Id="rId795" Type="http://schemas.openxmlformats.org/officeDocument/2006/relationships/hyperlink" Target="https://www.nosdeputes.fr/pierre-person" TargetMode="External"/><Relationship Id="rId1386" Type="http://schemas.openxmlformats.org/officeDocument/2006/relationships/hyperlink" Target="http://www2.assemblee-nationale.fr/deputes/fiche/OMC_PA267585" TargetMode="External"/><Relationship Id="rId310" Type="http://schemas.openxmlformats.org/officeDocument/2006/relationships/hyperlink" Target="http://www2.assemblee-nationale.fr/deputes/fiche/OMC_PA719006" TargetMode="External"/><Relationship Id="rId794" Type="http://schemas.openxmlformats.org/officeDocument/2006/relationships/hyperlink" Target="http://www2.assemblee-nationale.fr/deputes/fiche/OMC_PA721568" TargetMode="External"/><Relationship Id="rId1387" Type="http://schemas.openxmlformats.org/officeDocument/2006/relationships/hyperlink" Target="https://www.nosdeputes.fr/francis-vercamer" TargetMode="External"/><Relationship Id="rId793" Type="http://schemas.openxmlformats.org/officeDocument/2006/relationships/hyperlink" Target="https://www.nosdeputes.fr/zivka-park/csv" TargetMode="External"/><Relationship Id="rId1388" Type="http://schemas.openxmlformats.org/officeDocument/2006/relationships/hyperlink" Target="https://www.nosdeputes.fr/francis-vercamer/csv" TargetMode="External"/><Relationship Id="rId297" Type="http://schemas.openxmlformats.org/officeDocument/2006/relationships/hyperlink" Target="http://www2.assemblee-nationale.fr/deputes/fiche/OMC_PA721514" TargetMode="External"/><Relationship Id="rId296" Type="http://schemas.openxmlformats.org/officeDocument/2006/relationships/hyperlink" Target="https://www.nosdeputes.fr/sebastien-jumel/csv" TargetMode="External"/><Relationship Id="rId295" Type="http://schemas.openxmlformats.org/officeDocument/2006/relationships/hyperlink" Target="https://www.nosdeputes.fr/sebastien-jumel" TargetMode="External"/><Relationship Id="rId294" Type="http://schemas.openxmlformats.org/officeDocument/2006/relationships/hyperlink" Target="http://www2.assemblee-nationale.fr/deputes/fiche/OMC_PA722202" TargetMode="External"/><Relationship Id="rId299" Type="http://schemas.openxmlformats.org/officeDocument/2006/relationships/hyperlink" Target="https://www.nosdeputes.fr/stephanie-kerbarh/csv" TargetMode="External"/><Relationship Id="rId298" Type="http://schemas.openxmlformats.org/officeDocument/2006/relationships/hyperlink" Target="https://www.nosdeputes.fr/stephanie-kerbarh" TargetMode="External"/><Relationship Id="rId271" Type="http://schemas.openxmlformats.org/officeDocument/2006/relationships/hyperlink" Target="https://www.nosdeputes.fr/joel-giraud" TargetMode="External"/><Relationship Id="rId270" Type="http://schemas.openxmlformats.org/officeDocument/2006/relationships/hyperlink" Target="http://www2.assemblee-nationale.fr/deputes/fiche/OMC_PA267336" TargetMode="External"/><Relationship Id="rId269" Type="http://schemas.openxmlformats.org/officeDocument/2006/relationships/hyperlink" Target="https://www.nosdeputes.fr/isabelle-florennes/csv" TargetMode="External"/><Relationship Id="rId264" Type="http://schemas.openxmlformats.org/officeDocument/2006/relationships/hyperlink" Target="http://www2.assemblee-nationale.fr/deputes/fiche/OMC_PA720286" TargetMode="External"/><Relationship Id="rId263" Type="http://schemas.openxmlformats.org/officeDocument/2006/relationships/hyperlink" Target="https://www.nosdeputes.fr/julien-dive/csv" TargetMode="External"/><Relationship Id="rId262" Type="http://schemas.openxmlformats.org/officeDocument/2006/relationships/hyperlink" Target="https://www.nosdeputes.fr/julien-dive" TargetMode="External"/><Relationship Id="rId261" Type="http://schemas.openxmlformats.org/officeDocument/2006/relationships/hyperlink" Target="http://www2.assemblee-nationale.fr/deputes/fiche/OMC_PA712015" TargetMode="External"/><Relationship Id="rId268" Type="http://schemas.openxmlformats.org/officeDocument/2006/relationships/hyperlink" Target="https://www.nosdeputes.fr/isabelle-florennes" TargetMode="External"/><Relationship Id="rId267" Type="http://schemas.openxmlformats.org/officeDocument/2006/relationships/hyperlink" Target="http://www2.assemblee-nationale.fr/deputes/fiche/OMC_PA721742" TargetMode="External"/><Relationship Id="rId266" Type="http://schemas.openxmlformats.org/officeDocument/2006/relationships/hyperlink" Target="https://www.nosdeputes.fr/caroline-fiat/csv" TargetMode="External"/><Relationship Id="rId265" Type="http://schemas.openxmlformats.org/officeDocument/2006/relationships/hyperlink" Target="https://www.nosdeputes.fr/caroline-fiat" TargetMode="External"/><Relationship Id="rId260" Type="http://schemas.openxmlformats.org/officeDocument/2006/relationships/hyperlink" Target="https://www.nosdeputes.fr/pierre-dharreville/csv" TargetMode="External"/><Relationship Id="rId259" Type="http://schemas.openxmlformats.org/officeDocument/2006/relationships/hyperlink" Target="https://www.nosdeputes.fr/pierre-dharreville" TargetMode="External"/><Relationship Id="rId258" Type="http://schemas.openxmlformats.org/officeDocument/2006/relationships/hyperlink" Target="http://www2.assemblee-nationale.fr/deputes/fiche/OMC_PA718926" TargetMode="External"/><Relationship Id="rId253" Type="http://schemas.openxmlformats.org/officeDocument/2006/relationships/hyperlink" Target="https://www.nosdeputes.fr/marc-delatte" TargetMode="External"/><Relationship Id="rId252" Type="http://schemas.openxmlformats.org/officeDocument/2006/relationships/hyperlink" Target="http://www2.assemblee-nationale.fr/deputes/fiche/OMC_PA718694" TargetMode="External"/><Relationship Id="rId251" Type="http://schemas.openxmlformats.org/officeDocument/2006/relationships/hyperlink" Target="https://www.nosdeputes.fr/typhanie-degois/csv" TargetMode="External"/><Relationship Id="rId250" Type="http://schemas.openxmlformats.org/officeDocument/2006/relationships/hyperlink" Target="https://www.nosdeputes.fr/typhanie-degois" TargetMode="External"/><Relationship Id="rId257" Type="http://schemas.openxmlformats.org/officeDocument/2006/relationships/hyperlink" Target="https://www.nosdeputes.fr/marguerite-deprez-audebert/csv" TargetMode="External"/><Relationship Id="rId256" Type="http://schemas.openxmlformats.org/officeDocument/2006/relationships/hyperlink" Target="https://www.nosdeputes.fr/marguerite-deprez-audebert" TargetMode="External"/><Relationship Id="rId255" Type="http://schemas.openxmlformats.org/officeDocument/2006/relationships/hyperlink" Target="http://www2.assemblee-nationale.fr/deputes/fiche/OMC_PA720598" TargetMode="External"/><Relationship Id="rId254" Type="http://schemas.openxmlformats.org/officeDocument/2006/relationships/hyperlink" Target="https://www.nosdeputes.fr/marc-delatte/csv" TargetMode="External"/><Relationship Id="rId293" Type="http://schemas.openxmlformats.org/officeDocument/2006/relationships/hyperlink" Target="https://www.nosdeputes.fr/elodie-jacquier-laforge/csv" TargetMode="External"/><Relationship Id="rId292" Type="http://schemas.openxmlformats.org/officeDocument/2006/relationships/hyperlink" Target="https://www.nosdeputes.fr/elodie-jacquier-laforge" TargetMode="External"/><Relationship Id="rId291" Type="http://schemas.openxmlformats.org/officeDocument/2006/relationships/hyperlink" Target="http://www2.assemblee-nationale.fr/deputes/fiche/OMC_PA719874" TargetMode="External"/><Relationship Id="rId290" Type="http://schemas.openxmlformats.org/officeDocument/2006/relationships/hyperlink" Target="https://www.nosdeputes.fr/christian-jacob/csv" TargetMode="External"/><Relationship Id="rId286" Type="http://schemas.openxmlformats.org/officeDocument/2006/relationships/hyperlink" Target="https://www.nosdeputes.fr/brahim-hammouche" TargetMode="External"/><Relationship Id="rId285" Type="http://schemas.openxmlformats.org/officeDocument/2006/relationships/hyperlink" Target="http://www2.assemblee-nationale.fr/deputes/fiche/OMC_PA720326" TargetMode="External"/><Relationship Id="rId284" Type="http://schemas.openxmlformats.org/officeDocument/2006/relationships/hyperlink" Target="https://www.nosdeputes.fr/nadia-hai/csv" TargetMode="External"/><Relationship Id="rId283" Type="http://schemas.openxmlformats.org/officeDocument/2006/relationships/hyperlink" Target="https://www.nosdeputes.fr/nadia-hai" TargetMode="External"/><Relationship Id="rId289" Type="http://schemas.openxmlformats.org/officeDocument/2006/relationships/hyperlink" Target="https://www.nosdeputes.fr/christian-jacob" TargetMode="External"/><Relationship Id="rId288" Type="http://schemas.openxmlformats.org/officeDocument/2006/relationships/hyperlink" Target="http://www2.assemblee-nationale.fr/deputes/fiche/OMC_PA1695" TargetMode="External"/><Relationship Id="rId287" Type="http://schemas.openxmlformats.org/officeDocument/2006/relationships/hyperlink" Target="https://www.nosdeputes.fr/brahim-hammouche/csv" TargetMode="External"/><Relationship Id="rId282" Type="http://schemas.openxmlformats.org/officeDocument/2006/relationships/hyperlink" Target="http://www2.assemblee-nationale.fr/deputes/fiche/OMC_PA722054" TargetMode="External"/><Relationship Id="rId281" Type="http://schemas.openxmlformats.org/officeDocument/2006/relationships/hyperlink" Target="https://www.nosdeputes.fr/florence-granjus/csv" TargetMode="External"/><Relationship Id="rId280" Type="http://schemas.openxmlformats.org/officeDocument/2006/relationships/hyperlink" Target="https://www.nosdeputes.fr/florence-granjus" TargetMode="External"/><Relationship Id="rId275" Type="http://schemas.openxmlformats.org/officeDocument/2006/relationships/hyperlink" Target="https://www.nosdeputes.fr/perrine-goulet/csv" TargetMode="External"/><Relationship Id="rId274" Type="http://schemas.openxmlformats.org/officeDocument/2006/relationships/hyperlink" Target="https://www.nosdeputes.fr/perrine-goulet" TargetMode="External"/><Relationship Id="rId273" Type="http://schemas.openxmlformats.org/officeDocument/2006/relationships/hyperlink" Target="http://www2.assemblee-nationale.fr/deputes/fiche/OMC_PA720560" TargetMode="External"/><Relationship Id="rId272" Type="http://schemas.openxmlformats.org/officeDocument/2006/relationships/hyperlink" Target="https://www.nosdeputes.fr/joel-giraud/csv" TargetMode="External"/><Relationship Id="rId279" Type="http://schemas.openxmlformats.org/officeDocument/2006/relationships/hyperlink" Target="http://www2.assemblee-nationale.fr/deputes/fiche/OMC_PA722062" TargetMode="External"/><Relationship Id="rId278" Type="http://schemas.openxmlformats.org/officeDocument/2006/relationships/hyperlink" Target="https://www.nosdeputes.fr/carole-grandjean/csv" TargetMode="External"/><Relationship Id="rId277" Type="http://schemas.openxmlformats.org/officeDocument/2006/relationships/hyperlink" Target="https://www.nosdeputes.fr/carole-grandjean" TargetMode="External"/><Relationship Id="rId276" Type="http://schemas.openxmlformats.org/officeDocument/2006/relationships/hyperlink" Target="http://www2.assemblee-nationale.fr/deputes/fiche/OMC_PA720170" TargetMode="External"/><Relationship Id="rId1455" Type="http://schemas.openxmlformats.org/officeDocument/2006/relationships/hyperlink" Target="http://www2.assemblee-nationale.fr/deputes/fiche/OMC_PA719350" TargetMode="External"/><Relationship Id="rId1456" Type="http://schemas.openxmlformats.org/officeDocument/2006/relationships/hyperlink" Target="https://www.nosdeputes.fr/marie-tamarelle-verhaeghe" TargetMode="External"/><Relationship Id="rId1457" Type="http://schemas.openxmlformats.org/officeDocument/2006/relationships/hyperlink" Target="https://www.nosdeputes.fr/marie-tamarelle-verhaeghe/csv" TargetMode="External"/><Relationship Id="rId1458" Type="http://schemas.openxmlformats.org/officeDocument/2006/relationships/hyperlink" Target="http://www2.assemblee-nationale.fr/deputes/fiche/OMC_PA721690" TargetMode="External"/><Relationship Id="rId1459" Type="http://schemas.openxmlformats.org/officeDocument/2006/relationships/hyperlink" Target="https://www.nosdeputes.fr/buon-tan" TargetMode="External"/><Relationship Id="rId629" Type="http://schemas.openxmlformats.org/officeDocument/2006/relationships/hyperlink" Target="https://www.nosdeputes.fr/laurence-vanceunebrock-mialon/csv" TargetMode="External"/><Relationship Id="rId624" Type="http://schemas.openxmlformats.org/officeDocument/2006/relationships/hyperlink" Target="https://www.nosdeputes.fr/huguette-tiegna" TargetMode="External"/><Relationship Id="rId623" Type="http://schemas.openxmlformats.org/officeDocument/2006/relationships/hyperlink" Target="http://www2.assemblee-nationale.fr/deputes/fiche/OMC_PA720014" TargetMode="External"/><Relationship Id="rId622" Type="http://schemas.openxmlformats.org/officeDocument/2006/relationships/hyperlink" Target="https://www.nosdeputes.fr/denis-sommer/csv" TargetMode="External"/><Relationship Id="rId621" Type="http://schemas.openxmlformats.org/officeDocument/2006/relationships/hyperlink" Target="https://www.nosdeputes.fr/denis-sommer" TargetMode="External"/><Relationship Id="rId628" Type="http://schemas.openxmlformats.org/officeDocument/2006/relationships/hyperlink" Target="https://www.nosdeputes.fr/laurence-vanceunebrock-mialon" TargetMode="External"/><Relationship Id="rId627" Type="http://schemas.openxmlformats.org/officeDocument/2006/relationships/hyperlink" Target="http://www2.assemblee-nationale.fr/deputes/fiche/OMC_PA718728" TargetMode="External"/><Relationship Id="rId626" Type="http://schemas.openxmlformats.org/officeDocument/2006/relationships/hyperlink" Target="https://fr-fr.facebook.com/LaurenceVanceunebrockMialon/" TargetMode="External"/><Relationship Id="rId625" Type="http://schemas.openxmlformats.org/officeDocument/2006/relationships/hyperlink" Target="https://www.nosdeputes.fr/huguette-tiegna/csv" TargetMode="External"/><Relationship Id="rId1450" Type="http://schemas.openxmlformats.org/officeDocument/2006/relationships/hyperlink" Target="https://www.nosdeputes.fr/joachim-son-forget" TargetMode="External"/><Relationship Id="rId620" Type="http://schemas.openxmlformats.org/officeDocument/2006/relationships/hyperlink" Target="http://www2.assemblee-nationale.fr/deputes/fiche/OMC_PA719420" TargetMode="External"/><Relationship Id="rId1451" Type="http://schemas.openxmlformats.org/officeDocument/2006/relationships/hyperlink" Target="https://www.nosdeputes.fr/joachim-son-forget/csv" TargetMode="External"/><Relationship Id="rId1452" Type="http://schemas.openxmlformats.org/officeDocument/2006/relationships/hyperlink" Target="http://www2.assemblee-nationale.fr/deputes/fiche/OMC_PA720190" TargetMode="External"/><Relationship Id="rId1453" Type="http://schemas.openxmlformats.org/officeDocument/2006/relationships/hyperlink" Target="https://www.nosdeputes.fr/bertrand-sorre" TargetMode="External"/><Relationship Id="rId1454" Type="http://schemas.openxmlformats.org/officeDocument/2006/relationships/hyperlink" Target="https://www.nosdeputes.fr/bertrand-sorre/csv" TargetMode="External"/><Relationship Id="rId1444" Type="http://schemas.openxmlformats.org/officeDocument/2006/relationships/hyperlink" Target="https://www.nosdeputes.fr/muriel-ressiguier" TargetMode="External"/><Relationship Id="rId1445" Type="http://schemas.openxmlformats.org/officeDocument/2006/relationships/hyperlink" Target="https://www.nosdeputes.fr/muriel-ressiguier/csv" TargetMode="External"/><Relationship Id="rId1446" Type="http://schemas.openxmlformats.org/officeDocument/2006/relationships/hyperlink" Target="http://www2.assemblee-nationale.fr/deputes/fiche/OMC_PA721600" TargetMode="External"/><Relationship Id="rId1447" Type="http://schemas.openxmlformats.org/officeDocument/2006/relationships/hyperlink" Target="https://www.nosdeputes.fr/laurianne-rossi" TargetMode="External"/><Relationship Id="rId1448" Type="http://schemas.openxmlformats.org/officeDocument/2006/relationships/hyperlink" Target="https://www.nosdeputes.fr/laurianne-rossi/csv" TargetMode="External"/><Relationship Id="rId1449" Type="http://schemas.openxmlformats.org/officeDocument/2006/relationships/hyperlink" Target="http://www2.assemblee-nationale.fr/deputes/fiche/OMC_PA721174" TargetMode="External"/><Relationship Id="rId619" Type="http://schemas.openxmlformats.org/officeDocument/2006/relationships/hyperlink" Target="https://www.nosdeputes.fr/raphael-schellenberger/csv" TargetMode="External"/><Relationship Id="rId618" Type="http://schemas.openxmlformats.org/officeDocument/2006/relationships/hyperlink" Target="https://www.nosdeputes.fr/raphael-schellenberger" TargetMode="External"/><Relationship Id="rId613" Type="http://schemas.openxmlformats.org/officeDocument/2006/relationships/hyperlink" Target="http://www2.assemblee-nationale.fr/deputes/fiche/OMC_PA717151" TargetMode="External"/><Relationship Id="rId612" Type="http://schemas.openxmlformats.org/officeDocument/2006/relationships/hyperlink" Target="https://www.nosdeputes.fr/nathalie-sarles/csv" TargetMode="External"/><Relationship Id="rId611" Type="http://schemas.openxmlformats.org/officeDocument/2006/relationships/hyperlink" Target="https://www.nosdeputes.fr/nathalie-sarles" TargetMode="External"/><Relationship Id="rId610" Type="http://schemas.openxmlformats.org/officeDocument/2006/relationships/hyperlink" Target="http://www2.assemblee-nationale.fr/deputes/fiche/OMC_PA719972" TargetMode="External"/><Relationship Id="rId617" Type="http://schemas.openxmlformats.org/officeDocument/2006/relationships/hyperlink" Target="http://www2.assemblee-nationale.fr/deputes/fiche/OMC_PA721314" TargetMode="External"/><Relationship Id="rId616" Type="http://schemas.openxmlformats.org/officeDocument/2006/relationships/hyperlink" Target="https://twitter.com/rscactu" TargetMode="External"/><Relationship Id="rId615" Type="http://schemas.openxmlformats.org/officeDocument/2006/relationships/hyperlink" Target="https://www.nosdeputes.fr/marielle-de-sarnez/csv" TargetMode="External"/><Relationship Id="rId614" Type="http://schemas.openxmlformats.org/officeDocument/2006/relationships/hyperlink" Target="https://www.nosdeputes.fr/marielle-de-sarnez" TargetMode="External"/><Relationship Id="rId1440" Type="http://schemas.openxmlformats.org/officeDocument/2006/relationships/hyperlink" Target="http://www2.assemblee-nationale.fr/deputes/fiche/OMC_PA266776" TargetMode="External"/><Relationship Id="rId1441" Type="http://schemas.openxmlformats.org/officeDocument/2006/relationships/hyperlink" Target="https://www.nosdeputes.fr/frederic-reiss" TargetMode="External"/><Relationship Id="rId1442" Type="http://schemas.openxmlformats.org/officeDocument/2006/relationships/hyperlink" Target="https://www.nosdeputes.fr/frederic-reiss/csv" TargetMode="External"/><Relationship Id="rId1443" Type="http://schemas.openxmlformats.org/officeDocument/2006/relationships/hyperlink" Target="http://www2.assemblee-nationale.fr/deputes/fiche/OMC_PA719676" TargetMode="External"/><Relationship Id="rId1477" Type="http://schemas.openxmlformats.org/officeDocument/2006/relationships/hyperlink" Target="https://www.nosdeputes.fr/jean-philippe-ardouin/csv" TargetMode="External"/><Relationship Id="rId1478" Type="http://schemas.openxmlformats.org/officeDocument/2006/relationships/hyperlink" Target="http://www2.assemblee-nationale.fr/deputes/fiche/OMC_PA642935" TargetMode="External"/><Relationship Id="rId1479" Type="http://schemas.openxmlformats.org/officeDocument/2006/relationships/hyperlink" Target="https://www.nosdeputes.fr/olivier-becht" TargetMode="External"/><Relationship Id="rId646" Type="http://schemas.openxmlformats.org/officeDocument/2006/relationships/hyperlink" Target="https://www.nosdeputes.fr/martine-wonner" TargetMode="External"/><Relationship Id="rId645" Type="http://schemas.openxmlformats.org/officeDocument/2006/relationships/hyperlink" Target="http://www2.assemblee-nationale.fr/deputes/fiche/OMC_PA722268" TargetMode="External"/><Relationship Id="rId644" Type="http://schemas.openxmlformats.org/officeDocument/2006/relationships/hyperlink" Target="https://www.nosdeputes.fr/eric-woerth/csv" TargetMode="External"/><Relationship Id="rId643" Type="http://schemas.openxmlformats.org/officeDocument/2006/relationships/hyperlink" Target="https://www.nosdeputes.fr/eric-woerth" TargetMode="External"/><Relationship Id="rId649" Type="http://schemas.openxmlformats.org/officeDocument/2006/relationships/hyperlink" Target="https://www.nosdeputes.fr/jean-marc-zulesi" TargetMode="External"/><Relationship Id="rId648" Type="http://schemas.openxmlformats.org/officeDocument/2006/relationships/hyperlink" Target="http://www2.assemblee-nationale.fr/deputes/fiche/OMC_PA718962" TargetMode="External"/><Relationship Id="rId647" Type="http://schemas.openxmlformats.org/officeDocument/2006/relationships/hyperlink" Target="https://www.nosdeputes.fr/martine-wonner/csv" TargetMode="External"/><Relationship Id="rId1470" Type="http://schemas.openxmlformats.org/officeDocument/2006/relationships/hyperlink" Target="https://www.nosdeputes.fr/pierre-vatin/csv" TargetMode="External"/><Relationship Id="rId1471" Type="http://schemas.openxmlformats.org/officeDocument/2006/relationships/hyperlink" Target="http://www2.assemblee-nationale.fr/deputes/fiche/OMC_PA718768" TargetMode="External"/><Relationship Id="rId1472" Type="http://schemas.openxmlformats.org/officeDocument/2006/relationships/hyperlink" Target="https://www.nosdeputes.fr/alexandra-valetta-ardisson" TargetMode="External"/><Relationship Id="rId642" Type="http://schemas.openxmlformats.org/officeDocument/2006/relationships/hyperlink" Target="http://www2.assemblee-nationale.fr/deputes/fiche/OMC_PA2960" TargetMode="External"/><Relationship Id="rId1473" Type="http://schemas.openxmlformats.org/officeDocument/2006/relationships/hyperlink" Target="https://www.nosdeputes.fr/alexandra-valetta-ardisson/csv" TargetMode="External"/><Relationship Id="rId641" Type="http://schemas.openxmlformats.org/officeDocument/2006/relationships/hyperlink" Target="https://www.nosdeputes.fr/corinne-vignon/csv" TargetMode="External"/><Relationship Id="rId1474" Type="http://schemas.openxmlformats.org/officeDocument/2006/relationships/hyperlink" Target="https://fr-fr.facebook.com/jpardouin/" TargetMode="External"/><Relationship Id="rId640" Type="http://schemas.openxmlformats.org/officeDocument/2006/relationships/hyperlink" Target="https://www.nosdeputes.fr/corinne-vignon" TargetMode="External"/><Relationship Id="rId1475" Type="http://schemas.openxmlformats.org/officeDocument/2006/relationships/hyperlink" Target="http://www2.assemblee-nationale.fr/deputes/fiche/OMC_PA719100" TargetMode="External"/><Relationship Id="rId1476" Type="http://schemas.openxmlformats.org/officeDocument/2006/relationships/hyperlink" Target="https://www.nosdeputes.fr/jean-philippe-ardouin" TargetMode="External"/><Relationship Id="rId1466" Type="http://schemas.openxmlformats.org/officeDocument/2006/relationships/hyperlink" Target="https://www.nosdeputes.fr/manuel-valls/csv" TargetMode="External"/><Relationship Id="rId1467" Type="http://schemas.openxmlformats.org/officeDocument/2006/relationships/hyperlink" Target="https://fr-fr.facebook.com/pierrevatin/" TargetMode="External"/><Relationship Id="rId1468" Type="http://schemas.openxmlformats.org/officeDocument/2006/relationships/hyperlink" Target="http://www2.assemblee-nationale.fr/deputes/fiche/OMC_PA720586" TargetMode="External"/><Relationship Id="rId1469" Type="http://schemas.openxmlformats.org/officeDocument/2006/relationships/hyperlink" Target="https://www.nosdeputes.fr/pierre-vatin" TargetMode="External"/><Relationship Id="rId635" Type="http://schemas.openxmlformats.org/officeDocument/2006/relationships/hyperlink" Target="https://www.nosdeputes.fr/patrice-verchere/csv" TargetMode="External"/><Relationship Id="rId634" Type="http://schemas.openxmlformats.org/officeDocument/2006/relationships/hyperlink" Target="https://www.nosdeputes.fr/patrice-verchere" TargetMode="External"/><Relationship Id="rId633" Type="http://schemas.openxmlformats.org/officeDocument/2006/relationships/hyperlink" Target="http://www2.assemblee-nationale.fr/deputes/fiche/OMC_PA334843" TargetMode="External"/><Relationship Id="rId632" Type="http://schemas.openxmlformats.org/officeDocument/2006/relationships/hyperlink" Target="https://www.nosdeputes.fr/olivier-veran/csv" TargetMode="External"/><Relationship Id="rId639" Type="http://schemas.openxmlformats.org/officeDocument/2006/relationships/hyperlink" Target="http://www2.assemblee-nationale.fr/deputes/fiche/OMC_PA719512" TargetMode="External"/><Relationship Id="rId638" Type="http://schemas.openxmlformats.org/officeDocument/2006/relationships/hyperlink" Target="https://www.nosdeputes.fr/annie-vidal/csv" TargetMode="External"/><Relationship Id="rId637" Type="http://schemas.openxmlformats.org/officeDocument/2006/relationships/hyperlink" Target="https://www.nosdeputes.fr/annie-vidal" TargetMode="External"/><Relationship Id="rId636" Type="http://schemas.openxmlformats.org/officeDocument/2006/relationships/hyperlink" Target="http://www2.assemblee-nationale.fr/deputes/fiche/OMC_PA722102" TargetMode="External"/><Relationship Id="rId1460" Type="http://schemas.openxmlformats.org/officeDocument/2006/relationships/hyperlink" Target="https://www.nosdeputes.fr/buon-tan/csv" TargetMode="External"/><Relationship Id="rId1461" Type="http://schemas.openxmlformats.org/officeDocument/2006/relationships/hyperlink" Target="http://www2.assemblee-nationale.fr/deputes/fiche/OMC_PA720854" TargetMode="External"/><Relationship Id="rId631" Type="http://schemas.openxmlformats.org/officeDocument/2006/relationships/hyperlink" Target="https://www.nosdeputes.fr/olivier-veran" TargetMode="External"/><Relationship Id="rId1462" Type="http://schemas.openxmlformats.org/officeDocument/2006/relationships/hyperlink" Target="https://www.nosdeputes.fr/stephane-teste" TargetMode="External"/><Relationship Id="rId630" Type="http://schemas.openxmlformats.org/officeDocument/2006/relationships/hyperlink" Target="http://www2.assemblee-nationale.fr/deputes/fiche/OMC_PA642788" TargetMode="External"/><Relationship Id="rId1463" Type="http://schemas.openxmlformats.org/officeDocument/2006/relationships/hyperlink" Target="https://www.nosdeputes.fr/stephane-teste/csv" TargetMode="External"/><Relationship Id="rId1464" Type="http://schemas.openxmlformats.org/officeDocument/2006/relationships/hyperlink" Target="http://www2.assemblee-nationale.fr/deputes/fiche/OMC_PA267622" TargetMode="External"/><Relationship Id="rId1465" Type="http://schemas.openxmlformats.org/officeDocument/2006/relationships/hyperlink" Target="https://www.nosdeputes.fr/manuel-valls" TargetMode="External"/><Relationship Id="rId1411" Type="http://schemas.openxmlformats.org/officeDocument/2006/relationships/hyperlink" Target="http://www2.assemblee-nationale.fr/deputes/fiche/OMC_PA1630" TargetMode="External"/><Relationship Id="rId1412" Type="http://schemas.openxmlformats.org/officeDocument/2006/relationships/hyperlink" Target="https://www.nosdeputes.fr/michel-herbillon" TargetMode="External"/><Relationship Id="rId1413" Type="http://schemas.openxmlformats.org/officeDocument/2006/relationships/hyperlink" Target="https://www.nosdeputes.fr/michel-herbillon/csv" TargetMode="External"/><Relationship Id="rId1414" Type="http://schemas.openxmlformats.org/officeDocument/2006/relationships/hyperlink" Target="http://www2.assemblee-nationale.fr/deputes/fiche/OMC_PA719700" TargetMode="External"/><Relationship Id="rId1415" Type="http://schemas.openxmlformats.org/officeDocument/2006/relationships/hyperlink" Target="https://www.nosdeputes.fr/philippe-huppe" TargetMode="External"/><Relationship Id="rId1416" Type="http://schemas.openxmlformats.org/officeDocument/2006/relationships/hyperlink" Target="https://www.nosdeputes.fr/philippe-huppe/csv" TargetMode="External"/><Relationship Id="rId1417" Type="http://schemas.openxmlformats.org/officeDocument/2006/relationships/hyperlink" Target="http://www2.assemblee-nationale.fr/deputes/fiche/OMC_PA722344" TargetMode="External"/><Relationship Id="rId1418" Type="http://schemas.openxmlformats.org/officeDocument/2006/relationships/hyperlink" Target="https://www.nosdeputes.fr/hubert-julien-laferriere" TargetMode="External"/><Relationship Id="rId1419" Type="http://schemas.openxmlformats.org/officeDocument/2006/relationships/hyperlink" Target="https://www.nosdeputes.fr/hubert-julien-laferriere/csv" TargetMode="External"/><Relationship Id="rId1410" Type="http://schemas.openxmlformats.org/officeDocument/2006/relationships/hyperlink" Target="https://fr-fr.facebook.com/michel.herbillon.94/" TargetMode="External"/><Relationship Id="rId1400" Type="http://schemas.openxmlformats.org/officeDocument/2006/relationships/hyperlink" Target="https://www.nosdeputes.fr/jean-marie-fievet/csv" TargetMode="External"/><Relationship Id="rId1401" Type="http://schemas.openxmlformats.org/officeDocument/2006/relationships/hyperlink" Target="http://www2.assemblee-nationale.fr/deputes/fiche/OMC_PA1327" TargetMode="External"/><Relationship Id="rId1402" Type="http://schemas.openxmlformats.org/officeDocument/2006/relationships/hyperlink" Target="https://www.nosdeputes.fr/nicolas-forissier" TargetMode="External"/><Relationship Id="rId1403" Type="http://schemas.openxmlformats.org/officeDocument/2006/relationships/hyperlink" Target="https://www.nosdeputes.fr/nicolas-forissier/csv" TargetMode="External"/><Relationship Id="rId1404" Type="http://schemas.openxmlformats.org/officeDocument/2006/relationships/hyperlink" Target="http://www2.assemblee-nationale.fr/deputes/fiche/OMC_PA721024" TargetMode="External"/><Relationship Id="rId1405" Type="http://schemas.openxmlformats.org/officeDocument/2006/relationships/hyperlink" Target="https://www.nosdeputes.fr/anne-genetet" TargetMode="External"/><Relationship Id="rId1406" Type="http://schemas.openxmlformats.org/officeDocument/2006/relationships/hyperlink" Target="https://www.nosdeputes.fr/anne-genetet/csv" TargetMode="External"/><Relationship Id="rId1407" Type="http://schemas.openxmlformats.org/officeDocument/2006/relationships/hyperlink" Target="http://www2.assemblee-nationale.fr/deputes/fiche/OMC_PA695100" TargetMode="External"/><Relationship Id="rId1408" Type="http://schemas.openxmlformats.org/officeDocument/2006/relationships/hyperlink" Target="https://www.nosdeputes.fr/meyer-habib" TargetMode="External"/><Relationship Id="rId1409" Type="http://schemas.openxmlformats.org/officeDocument/2006/relationships/hyperlink" Target="https://www.nosdeputes.fr/meyer-habib/csv" TargetMode="External"/><Relationship Id="rId1433" Type="http://schemas.openxmlformats.org/officeDocument/2006/relationships/hyperlink" Target="http://www2.assemblee-nationale.fr/deputes/fiche/OMC_PA721372" TargetMode="External"/><Relationship Id="rId1434" Type="http://schemas.openxmlformats.org/officeDocument/2006/relationships/hyperlink" Target="https://www.nosdeputes.fr/damien-pichereau" TargetMode="External"/><Relationship Id="rId1435" Type="http://schemas.openxmlformats.org/officeDocument/2006/relationships/hyperlink" Target="https://www.nosdeputes.fr/damien-pichereau/csv" TargetMode="External"/><Relationship Id="rId1436" Type="http://schemas.openxmlformats.org/officeDocument/2006/relationships/hyperlink" Target="http://www2.assemblee-nationale.fr/deputes/fiche/OMC_PA719528" TargetMode="External"/><Relationship Id="rId1437" Type="http://schemas.openxmlformats.org/officeDocument/2006/relationships/hyperlink" Target="https://www.nosdeputes.fr/jean-francois-portarrieu" TargetMode="External"/><Relationship Id="rId1438" Type="http://schemas.openxmlformats.org/officeDocument/2006/relationships/hyperlink" Target="https://www.nosdeputes.fr/jean-francois-portarrieu/csv" TargetMode="External"/><Relationship Id="rId1439" Type="http://schemas.openxmlformats.org/officeDocument/2006/relationships/hyperlink" Target="http://www.fredericreiss.net" TargetMode="External"/><Relationship Id="rId609" Type="http://schemas.openxmlformats.org/officeDocument/2006/relationships/hyperlink" Target="http://www.nathaliesarles.fr" TargetMode="External"/><Relationship Id="rId608" Type="http://schemas.openxmlformats.org/officeDocument/2006/relationships/hyperlink" Target="https://www.nosdeputes.fr/fabien-roussel/csv" TargetMode="External"/><Relationship Id="rId607" Type="http://schemas.openxmlformats.org/officeDocument/2006/relationships/hyperlink" Target="https://www.nosdeputes.fr/fabien-roussel" TargetMode="External"/><Relationship Id="rId602" Type="http://schemas.openxmlformats.org/officeDocument/2006/relationships/hyperlink" Target="https://www.nosdeputes.fr/didier-quentin/csv" TargetMode="External"/><Relationship Id="rId601" Type="http://schemas.openxmlformats.org/officeDocument/2006/relationships/hyperlink" Target="https://www.nosdeputes.fr/didier-quentin" TargetMode="External"/><Relationship Id="rId600" Type="http://schemas.openxmlformats.org/officeDocument/2006/relationships/hyperlink" Target="http://www2.assemblee-nationale.fr/deputes/fiche/OMC_PA2492" TargetMode="External"/><Relationship Id="rId606" Type="http://schemas.openxmlformats.org/officeDocument/2006/relationships/hyperlink" Target="http://www2.assemblee-nationale.fr/deputes/fiche/OMC_PA720692" TargetMode="External"/><Relationship Id="rId605" Type="http://schemas.openxmlformats.org/officeDocument/2006/relationships/hyperlink" Target="https://www.nosdeputes.fr/alain-ramadier/csv" TargetMode="External"/><Relationship Id="rId604" Type="http://schemas.openxmlformats.org/officeDocument/2006/relationships/hyperlink" Target="https://www.nosdeputes.fr/alain-ramadier" TargetMode="External"/><Relationship Id="rId603" Type="http://schemas.openxmlformats.org/officeDocument/2006/relationships/hyperlink" Target="http://www2.assemblee-nationale.fr/deputes/fiche/OMC_PA721286" TargetMode="External"/><Relationship Id="rId1430" Type="http://schemas.openxmlformats.org/officeDocument/2006/relationships/hyperlink" Target="http://www2.assemblee-nationale.fr/deputes/fiche/OMC_PA719882" TargetMode="External"/><Relationship Id="rId1431" Type="http://schemas.openxmlformats.org/officeDocument/2006/relationships/hyperlink" Target="https://www.nosdeputes.fr/marjolaine-meynier-millefert" TargetMode="External"/><Relationship Id="rId1432" Type="http://schemas.openxmlformats.org/officeDocument/2006/relationships/hyperlink" Target="https://www.nosdeputes.fr/marjolaine-meynier-millefert/csv" TargetMode="External"/><Relationship Id="rId1422" Type="http://schemas.openxmlformats.org/officeDocument/2006/relationships/hyperlink" Target="https://www.nosdeputes.fr/loic-kervran/csv" TargetMode="External"/><Relationship Id="rId1423" Type="http://schemas.openxmlformats.org/officeDocument/2006/relationships/hyperlink" Target="http://www2.assemblee-nationale.fr/deputes/fiche/OMC_PA267378" TargetMode="External"/><Relationship Id="rId1424" Type="http://schemas.openxmlformats.org/officeDocument/2006/relationships/hyperlink" Target="https://www.nosdeputes.fr/genevieve-levy" TargetMode="External"/><Relationship Id="rId1425" Type="http://schemas.openxmlformats.org/officeDocument/2006/relationships/hyperlink" Target="https://www.nosdeputes.fr/genevieve-levy/csv" TargetMode="External"/><Relationship Id="rId1426" Type="http://schemas.openxmlformats.org/officeDocument/2006/relationships/hyperlink" Target="https://twitter.com/SophieMette1" TargetMode="External"/><Relationship Id="rId1427" Type="http://schemas.openxmlformats.org/officeDocument/2006/relationships/hyperlink" Target="http://www2.assemblee-nationale.fr/deputes/fiche/OMC_PA719640" TargetMode="External"/><Relationship Id="rId1428" Type="http://schemas.openxmlformats.org/officeDocument/2006/relationships/hyperlink" Target="https://www.nosdeputes.fr/sophie-mette" TargetMode="External"/><Relationship Id="rId1429" Type="http://schemas.openxmlformats.org/officeDocument/2006/relationships/hyperlink" Target="https://www.nosdeputes.fr/sophie-mette/csv" TargetMode="External"/><Relationship Id="rId1420" Type="http://schemas.openxmlformats.org/officeDocument/2006/relationships/hyperlink" Target="http://www2.assemblee-nationale.fr/deputes/fiche/OMC_PA719052" TargetMode="External"/><Relationship Id="rId1421" Type="http://schemas.openxmlformats.org/officeDocument/2006/relationships/hyperlink" Target="https://www.nosdeputes.fr/loic-kervran" TargetMode="External"/><Relationship Id="rId1059" Type="http://schemas.openxmlformats.org/officeDocument/2006/relationships/hyperlink" Target="https://www.nosdeputes.fr/bruno-studer" TargetMode="External"/><Relationship Id="rId228" Type="http://schemas.openxmlformats.org/officeDocument/2006/relationships/hyperlink" Target="https://www.nosdeputes.fr/pierre-cordier" TargetMode="External"/><Relationship Id="rId227" Type="http://schemas.openxmlformats.org/officeDocument/2006/relationships/hyperlink" Target="http://www2.assemblee-nationale.fr/deputes/fiche/OMC_PA718850" TargetMode="External"/><Relationship Id="rId226" Type="http://schemas.openxmlformats.org/officeDocument/2006/relationships/hyperlink" Target="https://twitter.com/CORDIERPierre08" TargetMode="External"/><Relationship Id="rId225" Type="http://schemas.openxmlformats.org/officeDocument/2006/relationships/hyperlink" Target="https://www.nosdeputes.fr/jean-charles-colas-roy/csv" TargetMode="External"/><Relationship Id="rId229" Type="http://schemas.openxmlformats.org/officeDocument/2006/relationships/hyperlink" Target="https://www.nosdeputes.fr/pierre-cordier/csv" TargetMode="External"/><Relationship Id="rId1050" Type="http://schemas.openxmlformats.org/officeDocument/2006/relationships/hyperlink" Target="https://www.nosdeputes.fr/vincent-rolland" TargetMode="External"/><Relationship Id="rId220" Type="http://schemas.openxmlformats.org/officeDocument/2006/relationships/hyperlink" Target="http://www2.assemblee-nationale.fr/deputes/fiche/OMC_PA642868" TargetMode="External"/><Relationship Id="rId1051" Type="http://schemas.openxmlformats.org/officeDocument/2006/relationships/hyperlink" Target="https://www.nosdeputes.fr/vincent-rolland/csv" TargetMode="External"/><Relationship Id="rId1052" Type="http://schemas.openxmlformats.org/officeDocument/2006/relationships/hyperlink" Target="http://www2.assemblee-nationale.fr/deputes/fiche/OMC_PA267527" TargetMode="External"/><Relationship Id="rId1053" Type="http://schemas.openxmlformats.org/officeDocument/2006/relationships/hyperlink" Target="https://www.nosdeputes.fr/martial-saddier" TargetMode="External"/><Relationship Id="rId1054" Type="http://schemas.openxmlformats.org/officeDocument/2006/relationships/hyperlink" Target="https://www.nosdeputes.fr/martial-saddier/csv" TargetMode="External"/><Relationship Id="rId224" Type="http://schemas.openxmlformats.org/officeDocument/2006/relationships/hyperlink" Target="https://www.nosdeputes.fr/jean-charles-colas-roy" TargetMode="External"/><Relationship Id="rId1055" Type="http://schemas.openxmlformats.org/officeDocument/2006/relationships/hyperlink" Target="http://www2.assemblee-nationale.fr/deputes/fiche/OMC_PA340343" TargetMode="External"/><Relationship Id="rId223" Type="http://schemas.openxmlformats.org/officeDocument/2006/relationships/hyperlink" Target="http://www2.assemblee-nationale.fr/deputes/fiche/OMC_PA719740" TargetMode="External"/><Relationship Id="rId1056" Type="http://schemas.openxmlformats.org/officeDocument/2006/relationships/hyperlink" Target="https://www.nosdeputes.fr/herve-saulignac" TargetMode="External"/><Relationship Id="rId222" Type="http://schemas.openxmlformats.org/officeDocument/2006/relationships/hyperlink" Target="https://www.nosdeputes.fr/paul-christophe/csv" TargetMode="External"/><Relationship Id="rId1057" Type="http://schemas.openxmlformats.org/officeDocument/2006/relationships/hyperlink" Target="https://www.nosdeputes.fr/herve-saulignac/csv" TargetMode="External"/><Relationship Id="rId221" Type="http://schemas.openxmlformats.org/officeDocument/2006/relationships/hyperlink" Target="https://www.nosdeputes.fr/paul-christophe" TargetMode="External"/><Relationship Id="rId1058" Type="http://schemas.openxmlformats.org/officeDocument/2006/relationships/hyperlink" Target="http://www2.assemblee-nationale.fr/deputes/fiche/OMC_PA720754" TargetMode="External"/><Relationship Id="rId1048" Type="http://schemas.openxmlformats.org/officeDocument/2006/relationships/hyperlink" Target="https://twitter.com/VRolland73" TargetMode="External"/><Relationship Id="rId1049" Type="http://schemas.openxmlformats.org/officeDocument/2006/relationships/hyperlink" Target="http://www2.assemblee-nationale.fr/deputes/fiche/OMC_PA266808" TargetMode="External"/><Relationship Id="rId217" Type="http://schemas.openxmlformats.org/officeDocument/2006/relationships/hyperlink" Target="http://www2.assemblee-nationale.fr/deputes/fiche/OMC_PA720468" TargetMode="External"/><Relationship Id="rId216" Type="http://schemas.openxmlformats.org/officeDocument/2006/relationships/hyperlink" Target="https://www.nosdeputes.fr/jean-rene-cazeneuve/csv" TargetMode="External"/><Relationship Id="rId215" Type="http://schemas.openxmlformats.org/officeDocument/2006/relationships/hyperlink" Target="https://www.nosdeputes.fr/jean-rene-cazeneuve" TargetMode="External"/><Relationship Id="rId699" Type="http://schemas.openxmlformats.org/officeDocument/2006/relationships/hyperlink" Target="http://www2.assemblee-nationale.fr/deputes/fiche/OMC_PA719624" TargetMode="External"/><Relationship Id="rId214" Type="http://schemas.openxmlformats.org/officeDocument/2006/relationships/hyperlink" Target="http://www2.assemblee-nationale.fr/deputes/fiche/OMC_PA719472" TargetMode="External"/><Relationship Id="rId698" Type="http://schemas.openxmlformats.org/officeDocument/2006/relationships/hyperlink" Target="https://www.nosdeputes.fr/josiane-corneloup/csv" TargetMode="External"/><Relationship Id="rId219" Type="http://schemas.openxmlformats.org/officeDocument/2006/relationships/hyperlink" Target="https://www.nosdeputes.fr/sebastien-chenu/csv" TargetMode="External"/><Relationship Id="rId218" Type="http://schemas.openxmlformats.org/officeDocument/2006/relationships/hyperlink" Target="https://www.nosdeputes.fr/sebastien-chenu" TargetMode="External"/><Relationship Id="rId693" Type="http://schemas.openxmlformats.org/officeDocument/2006/relationships/hyperlink" Target="https://www.nosdeputes.fr/francois-cormier-bouligeon" TargetMode="External"/><Relationship Id="rId1040" Type="http://schemas.openxmlformats.org/officeDocument/2006/relationships/hyperlink" Target="https://twitter.com/EPoulliat" TargetMode="External"/><Relationship Id="rId692" Type="http://schemas.openxmlformats.org/officeDocument/2006/relationships/hyperlink" Target="http://www2.assemblee-nationale.fr/deputes/fiche/OMC_PA719118" TargetMode="External"/><Relationship Id="rId1041" Type="http://schemas.openxmlformats.org/officeDocument/2006/relationships/hyperlink" Target="http://www2.assemblee-nationale.fr/deputes/fiche/OMC_PA719600" TargetMode="External"/><Relationship Id="rId691" Type="http://schemas.openxmlformats.org/officeDocument/2006/relationships/hyperlink" Target="https://fr-fr.facebook.com/francoiscormierbouligeon2017/" TargetMode="External"/><Relationship Id="rId1042" Type="http://schemas.openxmlformats.org/officeDocument/2006/relationships/hyperlink" Target="https://www.nosdeputes.fr/eric-poulliat" TargetMode="External"/><Relationship Id="rId690" Type="http://schemas.openxmlformats.org/officeDocument/2006/relationships/hyperlink" Target="https://www.nosdeputes.fr/philippe-chassaing/csv" TargetMode="External"/><Relationship Id="rId1043" Type="http://schemas.openxmlformats.org/officeDocument/2006/relationships/hyperlink" Target="https://www.nosdeputes.fr/eric-poulliat/csv" TargetMode="External"/><Relationship Id="rId213" Type="http://schemas.openxmlformats.org/officeDocument/2006/relationships/hyperlink" Target="https://www.nosdeputes.fr/michel-castellani/csv" TargetMode="External"/><Relationship Id="rId697" Type="http://schemas.openxmlformats.org/officeDocument/2006/relationships/hyperlink" Target="https://www.nosdeputes.fr/josiane-corneloup" TargetMode="External"/><Relationship Id="rId1044" Type="http://schemas.openxmlformats.org/officeDocument/2006/relationships/hyperlink" Target="https://twitter.com/huguesrenson" TargetMode="External"/><Relationship Id="rId212" Type="http://schemas.openxmlformats.org/officeDocument/2006/relationships/hyperlink" Target="https://www.nosdeputes.fr/michel-castellani" TargetMode="External"/><Relationship Id="rId696" Type="http://schemas.openxmlformats.org/officeDocument/2006/relationships/hyperlink" Target="http://www2.assemblee-nationale.fr/deputes/fiche/OMC_PA722390" TargetMode="External"/><Relationship Id="rId1045" Type="http://schemas.openxmlformats.org/officeDocument/2006/relationships/hyperlink" Target="http://www2.assemblee-nationale.fr/deputes/fiche/OMC_PA721824" TargetMode="External"/><Relationship Id="rId211" Type="http://schemas.openxmlformats.org/officeDocument/2006/relationships/hyperlink" Target="http://www2.assemblee-nationale.fr/deputes/fiche/OMC_PA719138" TargetMode="External"/><Relationship Id="rId695" Type="http://schemas.openxmlformats.org/officeDocument/2006/relationships/hyperlink" Target="http://josianecorneloup.fr" TargetMode="External"/><Relationship Id="rId1046" Type="http://schemas.openxmlformats.org/officeDocument/2006/relationships/hyperlink" Target="https://www.nosdeputes.fr/hugues-renson" TargetMode="External"/><Relationship Id="rId210" Type="http://schemas.openxmlformats.org/officeDocument/2006/relationships/hyperlink" Target="https://twitter.com/Castellani_" TargetMode="External"/><Relationship Id="rId694" Type="http://schemas.openxmlformats.org/officeDocument/2006/relationships/hyperlink" Target="https://www.nosdeputes.fr/francois-cormier-bouligeon/csv" TargetMode="External"/><Relationship Id="rId1047" Type="http://schemas.openxmlformats.org/officeDocument/2006/relationships/hyperlink" Target="https://www.nosdeputes.fr/hugues-renson/csv" TargetMode="External"/><Relationship Id="rId249" Type="http://schemas.openxmlformats.org/officeDocument/2006/relationships/hyperlink" Target="http://www2.assemblee-nationale.fr/deputes/fiche/OMC_PA721398" TargetMode="External"/><Relationship Id="rId248" Type="http://schemas.openxmlformats.org/officeDocument/2006/relationships/hyperlink" Target="https://www.nosdeputes.fr/dominique-david/csv" TargetMode="External"/><Relationship Id="rId247" Type="http://schemas.openxmlformats.org/officeDocument/2006/relationships/hyperlink" Target="https://www.nosdeputes.fr/dominique-david" TargetMode="External"/><Relationship Id="rId1070" Type="http://schemas.openxmlformats.org/officeDocument/2006/relationships/hyperlink" Target="https://www.nosdeputes.fr/sylvain-waserman/csv" TargetMode="External"/><Relationship Id="rId1071" Type="http://schemas.openxmlformats.org/officeDocument/2006/relationships/hyperlink" Target="http://www2.assemblee-nationale.fr/deputes/fiche/OMC_PA720124" TargetMode="External"/><Relationship Id="rId1072" Type="http://schemas.openxmlformats.org/officeDocument/2006/relationships/hyperlink" Target="https://www.nosdeputes.fr/aude-amadou" TargetMode="External"/><Relationship Id="rId242" Type="http://schemas.openxmlformats.org/officeDocument/2006/relationships/hyperlink" Target="https://www.nosdeputes.fr/olivier-damaisin/csv" TargetMode="External"/><Relationship Id="rId1073" Type="http://schemas.openxmlformats.org/officeDocument/2006/relationships/hyperlink" Target="https://www.nosdeputes.fr/aude-amadou/csv" TargetMode="External"/><Relationship Id="rId241" Type="http://schemas.openxmlformats.org/officeDocument/2006/relationships/hyperlink" Target="https://www.nosdeputes.fr/olivier-damaisin" TargetMode="External"/><Relationship Id="rId1074" Type="http://schemas.openxmlformats.org/officeDocument/2006/relationships/hyperlink" Target="http://www2.assemblee-nationale.fr/deputes/fiche/OMC_PA719318" TargetMode="External"/><Relationship Id="rId240" Type="http://schemas.openxmlformats.org/officeDocument/2006/relationships/hyperlink" Target="http://www2.assemblee-nationale.fr/deputes/fiche/OMC_PA720268" TargetMode="External"/><Relationship Id="rId1075" Type="http://schemas.openxmlformats.org/officeDocument/2006/relationships/hyperlink" Target="https://www.nosdeputes.fr/emmanuelle-anthoine" TargetMode="External"/><Relationship Id="rId1076" Type="http://schemas.openxmlformats.org/officeDocument/2006/relationships/hyperlink" Target="https://www.nosdeputes.fr/emmanuelle-anthoine/csv" TargetMode="External"/><Relationship Id="rId246" Type="http://schemas.openxmlformats.org/officeDocument/2006/relationships/hyperlink" Target="http://www2.assemblee-nationale.fr/deputes/fiche/OMC_PA719710" TargetMode="External"/><Relationship Id="rId1077" Type="http://schemas.openxmlformats.org/officeDocument/2006/relationships/hyperlink" Target="http://www2.assemblee-nationale.fr/deputes/fiche/OMC_PA721624" TargetMode="External"/><Relationship Id="rId245" Type="http://schemas.openxmlformats.org/officeDocument/2006/relationships/hyperlink" Target="https://www.nosdeputes.fr/alain-david/csv" TargetMode="External"/><Relationship Id="rId1078" Type="http://schemas.openxmlformats.org/officeDocument/2006/relationships/hyperlink" Target="https://www.nosdeputes.fr/laetitia-avia" TargetMode="External"/><Relationship Id="rId244" Type="http://schemas.openxmlformats.org/officeDocument/2006/relationships/hyperlink" Target="https://www.nosdeputes.fr/alain-david" TargetMode="External"/><Relationship Id="rId1079" Type="http://schemas.openxmlformats.org/officeDocument/2006/relationships/hyperlink" Target="https://www.nosdeputes.fr/laetitia-avia/csv" TargetMode="External"/><Relationship Id="rId243" Type="http://schemas.openxmlformats.org/officeDocument/2006/relationships/hyperlink" Target="http://www2.assemblee-nationale.fr/deputes/fiche/OMC_PA1008" TargetMode="External"/><Relationship Id="rId239" Type="http://schemas.openxmlformats.org/officeDocument/2006/relationships/hyperlink" Target="https://www.nosdeputes.fr/marie-christine-dalloz/csv" TargetMode="External"/><Relationship Id="rId238" Type="http://schemas.openxmlformats.org/officeDocument/2006/relationships/hyperlink" Target="https://www.nosdeputes.fr/marie-christine-dalloz" TargetMode="External"/><Relationship Id="rId237" Type="http://schemas.openxmlformats.org/officeDocument/2006/relationships/hyperlink" Target="http://www2.assemblee-nationale.fr/deputes/fiche/OMC_PA332523" TargetMode="External"/><Relationship Id="rId236" Type="http://schemas.openxmlformats.org/officeDocument/2006/relationships/hyperlink" Target="https://www.nosdeputes.fr/dominique-da-silva/csv" TargetMode="External"/><Relationship Id="rId1060" Type="http://schemas.openxmlformats.org/officeDocument/2006/relationships/hyperlink" Target="https://www.nosdeputes.fr/bruno-studer/csv" TargetMode="External"/><Relationship Id="rId1061" Type="http://schemas.openxmlformats.org/officeDocument/2006/relationships/hyperlink" Target="http://www2.assemblee-nationale.fr/deputes/fiche/OMC_PA718860" TargetMode="External"/><Relationship Id="rId231" Type="http://schemas.openxmlformats.org/officeDocument/2006/relationships/hyperlink" Target="https://www.nosdeputes.fr/michele-crouzet" TargetMode="External"/><Relationship Id="rId1062" Type="http://schemas.openxmlformats.org/officeDocument/2006/relationships/hyperlink" Target="https://www.nosdeputes.fr/benedicte-taurine" TargetMode="External"/><Relationship Id="rId230" Type="http://schemas.openxmlformats.org/officeDocument/2006/relationships/hyperlink" Target="http://www2.assemblee-nationale.fr/deputes/fiche/OMC_PA721808" TargetMode="External"/><Relationship Id="rId1063" Type="http://schemas.openxmlformats.org/officeDocument/2006/relationships/hyperlink" Target="https://www.nosdeputes.fr/benedicte-taurine/csv" TargetMode="External"/><Relationship Id="rId1064" Type="http://schemas.openxmlformats.org/officeDocument/2006/relationships/hyperlink" Target="https://fr-fr.facebook.com/JenniferDeTemmermanXVNord/" TargetMode="External"/><Relationship Id="rId1065" Type="http://schemas.openxmlformats.org/officeDocument/2006/relationships/hyperlink" Target="http://www2.assemblee-nationale.fr/deputes/fiche/OMC_PA720538" TargetMode="External"/><Relationship Id="rId235" Type="http://schemas.openxmlformats.org/officeDocument/2006/relationships/hyperlink" Target="https://www.nosdeputes.fr/dominique-da-silva" TargetMode="External"/><Relationship Id="rId1066" Type="http://schemas.openxmlformats.org/officeDocument/2006/relationships/hyperlink" Target="https://www.nosdeputes.fr/jennifer-de-temmerman" TargetMode="External"/><Relationship Id="rId234" Type="http://schemas.openxmlformats.org/officeDocument/2006/relationships/hyperlink" Target="http://www2.assemblee-nationale.fr/deputes/fiche/OMC_PA720932" TargetMode="External"/><Relationship Id="rId1067" Type="http://schemas.openxmlformats.org/officeDocument/2006/relationships/hyperlink" Target="https://www.nosdeputes.fr/jennifer-de-temmerman/csv" TargetMode="External"/><Relationship Id="rId233" Type="http://schemas.openxmlformats.org/officeDocument/2006/relationships/hyperlink" Target="https://twitter.com/DDasilva_LREM" TargetMode="External"/><Relationship Id="rId1068" Type="http://schemas.openxmlformats.org/officeDocument/2006/relationships/hyperlink" Target="http://www2.assemblee-nationale.fr/deputes/fiche/OMC_PA720746" TargetMode="External"/><Relationship Id="rId232" Type="http://schemas.openxmlformats.org/officeDocument/2006/relationships/hyperlink" Target="https://www.nosdeputes.fr/michele-crouzet/csv" TargetMode="External"/><Relationship Id="rId1069" Type="http://schemas.openxmlformats.org/officeDocument/2006/relationships/hyperlink" Target="https://www.nosdeputes.fr/sylvain-waserman" TargetMode="External"/><Relationship Id="rId1015" Type="http://schemas.openxmlformats.org/officeDocument/2006/relationships/hyperlink" Target="https://www.nosdeputes.fr/ludovic-mendes/csv" TargetMode="External"/><Relationship Id="rId1499" Type="http://schemas.openxmlformats.org/officeDocument/2006/relationships/hyperlink" Target="https://www.nosdeputes.fr/paul-andre-colombani/csv" TargetMode="External"/><Relationship Id="rId1016" Type="http://schemas.openxmlformats.org/officeDocument/2006/relationships/hyperlink" Target="http://www2.assemblee-nationale.fr/deputes/fiche/OMC_PA721734" TargetMode="External"/><Relationship Id="rId1017" Type="http://schemas.openxmlformats.org/officeDocument/2006/relationships/hyperlink" Target="https://www.nosdeputes.fr/philippe-michel-kleisbauer" TargetMode="External"/><Relationship Id="rId1018" Type="http://schemas.openxmlformats.org/officeDocument/2006/relationships/hyperlink" Target="https://www.nosdeputes.fr/philippe-michel-kleisbauer/csv" TargetMode="External"/><Relationship Id="rId1019" Type="http://schemas.openxmlformats.org/officeDocument/2006/relationships/hyperlink" Target="http://www2.assemblee-nationale.fr/deputes/fiche/OMC_PA719456" TargetMode="External"/><Relationship Id="rId668" Type="http://schemas.openxmlformats.org/officeDocument/2006/relationships/hyperlink" Target="https://www.nosdeputes.fr/pierre-yves-bournazel/csv" TargetMode="External"/><Relationship Id="rId667" Type="http://schemas.openxmlformats.org/officeDocument/2006/relationships/hyperlink" Target="https://www.nosdeputes.fr/pierre-yves-bournazel" TargetMode="External"/><Relationship Id="rId666" Type="http://schemas.openxmlformats.org/officeDocument/2006/relationships/hyperlink" Target="http://www2.assemblee-nationale.fr/deputes/fiche/OMC_PA722030" TargetMode="External"/><Relationship Id="rId665" Type="http://schemas.openxmlformats.org/officeDocument/2006/relationships/hyperlink" Target="https://www.nosdeputes.fr/florent-boudie/csv" TargetMode="External"/><Relationship Id="rId669" Type="http://schemas.openxmlformats.org/officeDocument/2006/relationships/hyperlink" Target="http://www2.assemblee-nationale.fr/deputes/fiche/OMC_PA718838" TargetMode="External"/><Relationship Id="rId1490" Type="http://schemas.openxmlformats.org/officeDocument/2006/relationships/hyperlink" Target="http://www2.assemblee-nationale.fr/deputes/fiche/OMC_PA429893" TargetMode="External"/><Relationship Id="rId660" Type="http://schemas.openxmlformats.org/officeDocument/2006/relationships/hyperlink" Target="http://www2.assemblee-nationale.fr/deputes/fiche/OMC_PA719980" TargetMode="External"/><Relationship Id="rId1491" Type="http://schemas.openxmlformats.org/officeDocument/2006/relationships/hyperlink" Target="https://www.nosdeputes.fr/luc-carvounas" TargetMode="External"/><Relationship Id="rId1492" Type="http://schemas.openxmlformats.org/officeDocument/2006/relationships/hyperlink" Target="https://www.nosdeputes.fr/luc-carvounas/csv" TargetMode="External"/><Relationship Id="rId1493" Type="http://schemas.openxmlformats.org/officeDocument/2006/relationships/hyperlink" Target="http://www2.assemblee-nationale.fr/deputes/fiche/OMC_PA606212" TargetMode="External"/><Relationship Id="rId1010" Type="http://schemas.openxmlformats.org/officeDocument/2006/relationships/hyperlink" Target="http://www2.assemblee-nationale.fr/deputes/fiche/OMC_PA720146" TargetMode="External"/><Relationship Id="rId1494" Type="http://schemas.openxmlformats.org/officeDocument/2006/relationships/hyperlink" Target="https://www.nosdeputes.fr/gilbert-collard" TargetMode="External"/><Relationship Id="rId664" Type="http://schemas.openxmlformats.org/officeDocument/2006/relationships/hyperlink" Target="https://www.nosdeputes.fr/florent-boudie" TargetMode="External"/><Relationship Id="rId1011" Type="http://schemas.openxmlformats.org/officeDocument/2006/relationships/hyperlink" Target="https://www.nosdeputes.fr/denis-masseglia" TargetMode="External"/><Relationship Id="rId1495" Type="http://schemas.openxmlformats.org/officeDocument/2006/relationships/hyperlink" Target="https://www.nosdeputes.fr/gilbert-collard/csv" TargetMode="External"/><Relationship Id="rId663" Type="http://schemas.openxmlformats.org/officeDocument/2006/relationships/hyperlink" Target="http://www2.assemblee-nationale.fr/deputes/fiche/OMC_PA606507" TargetMode="External"/><Relationship Id="rId1012" Type="http://schemas.openxmlformats.org/officeDocument/2006/relationships/hyperlink" Target="https://www.nosdeputes.fr/denis-masseglia/csv" TargetMode="External"/><Relationship Id="rId1496" Type="http://schemas.openxmlformats.org/officeDocument/2006/relationships/hyperlink" Target="https://twitter.com/pacolombani" TargetMode="External"/><Relationship Id="rId662" Type="http://schemas.openxmlformats.org/officeDocument/2006/relationships/hyperlink" Target="https://www.nosdeputes.fr/julien-borowczyk/csv" TargetMode="External"/><Relationship Id="rId1013" Type="http://schemas.openxmlformats.org/officeDocument/2006/relationships/hyperlink" Target="http://www2.assemblee-nationale.fr/deputes/fiche/OMC_PA720370" TargetMode="External"/><Relationship Id="rId1497" Type="http://schemas.openxmlformats.org/officeDocument/2006/relationships/hyperlink" Target="http://www2.assemblee-nationale.fr/deputes/fiche/OMC_PA719286" TargetMode="External"/><Relationship Id="rId661" Type="http://schemas.openxmlformats.org/officeDocument/2006/relationships/hyperlink" Target="https://www.nosdeputes.fr/julien-borowczyk" TargetMode="External"/><Relationship Id="rId1014" Type="http://schemas.openxmlformats.org/officeDocument/2006/relationships/hyperlink" Target="https://www.nosdeputes.fr/ludovic-mendes" TargetMode="External"/><Relationship Id="rId1498" Type="http://schemas.openxmlformats.org/officeDocument/2006/relationships/hyperlink" Target="https://www.nosdeputes.fr/paul-andre-colombani" TargetMode="External"/><Relationship Id="rId1004" Type="http://schemas.openxmlformats.org/officeDocument/2006/relationships/hyperlink" Target="http://www2.assemblee-nationale.fr/deputes/fiche/OMC_PA722178" TargetMode="External"/><Relationship Id="rId1488" Type="http://schemas.openxmlformats.org/officeDocument/2006/relationships/hyperlink" Target="https://www.nosdeputes.fr/marine-brenier" TargetMode="External"/><Relationship Id="rId1005" Type="http://schemas.openxmlformats.org/officeDocument/2006/relationships/hyperlink" Target="https://www.nosdeputes.fr/jacques-maire" TargetMode="External"/><Relationship Id="rId1489" Type="http://schemas.openxmlformats.org/officeDocument/2006/relationships/hyperlink" Target="https://www.nosdeputes.fr/marine-brenier/csv" TargetMode="External"/><Relationship Id="rId1006" Type="http://schemas.openxmlformats.org/officeDocument/2006/relationships/hyperlink" Target="https://www.nosdeputes.fr/jacques-maire/csv" TargetMode="External"/><Relationship Id="rId1007" Type="http://schemas.openxmlformats.org/officeDocument/2006/relationships/hyperlink" Target="http://www2.assemblee-nationale.fr/deputes/fiche/OMC_PA346054" TargetMode="External"/><Relationship Id="rId1008" Type="http://schemas.openxmlformats.org/officeDocument/2006/relationships/hyperlink" Target="https://www.nosdeputes.fr/emmanuel-maquet" TargetMode="External"/><Relationship Id="rId1009" Type="http://schemas.openxmlformats.org/officeDocument/2006/relationships/hyperlink" Target="https://www.nosdeputes.fr/emmanuel-maquet/csv" TargetMode="External"/><Relationship Id="rId657" Type="http://schemas.openxmlformats.org/officeDocument/2006/relationships/hyperlink" Target="http://www2.assemblee-nationale.fr/deputes/fiche/OMC_PA335999" TargetMode="External"/><Relationship Id="rId656" Type="http://schemas.openxmlformats.org/officeDocument/2006/relationships/hyperlink" Target="https://www.nosdeputes.fr/pieyre-alexandre-anglade/csv" TargetMode="External"/><Relationship Id="rId655" Type="http://schemas.openxmlformats.org/officeDocument/2006/relationships/hyperlink" Target="https://www.nosdeputes.fr/pieyre-alexandre-anglade" TargetMode="External"/><Relationship Id="rId654" Type="http://schemas.openxmlformats.org/officeDocument/2006/relationships/hyperlink" Target="http://www2.assemblee-nationale.fr/deputes/fiche/OMC_PA721158" TargetMode="External"/><Relationship Id="rId659" Type="http://schemas.openxmlformats.org/officeDocument/2006/relationships/hyperlink" Target="https://www.nosdeputes.fr/delphine-batho/csv" TargetMode="External"/><Relationship Id="rId658" Type="http://schemas.openxmlformats.org/officeDocument/2006/relationships/hyperlink" Target="https://www.nosdeputes.fr/delphine-batho" TargetMode="External"/><Relationship Id="rId1480" Type="http://schemas.openxmlformats.org/officeDocument/2006/relationships/hyperlink" Target="https://www.nosdeputes.fr/olivier-becht/csv" TargetMode="External"/><Relationship Id="rId1481" Type="http://schemas.openxmlformats.org/officeDocument/2006/relationships/hyperlink" Target="http://www2.assemblee-nationale.fr/deputes/fiche/OMC_PA719218" TargetMode="External"/><Relationship Id="rId1482" Type="http://schemas.openxmlformats.org/officeDocument/2006/relationships/hyperlink" Target="https://www.nosdeputes.fr/herve-berville" TargetMode="External"/><Relationship Id="rId1483" Type="http://schemas.openxmlformats.org/officeDocument/2006/relationships/hyperlink" Target="https://www.nosdeputes.fr/herve-berville/csv" TargetMode="External"/><Relationship Id="rId653" Type="http://schemas.openxmlformats.org/officeDocument/2006/relationships/hyperlink" Target="https://www.nosdeputes.fr/patrice-anato/csv" TargetMode="External"/><Relationship Id="rId1000" Type="http://schemas.openxmlformats.org/officeDocument/2006/relationships/hyperlink" Target="https://www.nosdeputes.fr/martine-leguille-balloy/csv" TargetMode="External"/><Relationship Id="rId1484" Type="http://schemas.openxmlformats.org/officeDocument/2006/relationships/hyperlink" Target="http://www2.assemblee-nationale.fr/deputes/fiche/OMC_PA719024" TargetMode="External"/><Relationship Id="rId652" Type="http://schemas.openxmlformats.org/officeDocument/2006/relationships/hyperlink" Target="https://www.nosdeputes.fr/patrice-anato" TargetMode="External"/><Relationship Id="rId1001" Type="http://schemas.openxmlformats.org/officeDocument/2006/relationships/hyperlink" Target="http://www2.assemblee-nationale.fr/deputes/fiche/OMC_PA720378" TargetMode="External"/><Relationship Id="rId1485" Type="http://schemas.openxmlformats.org/officeDocument/2006/relationships/hyperlink" Target="https://www.nosdeputes.fr/christophe-blanchet" TargetMode="External"/><Relationship Id="rId651" Type="http://schemas.openxmlformats.org/officeDocument/2006/relationships/hyperlink" Target="http://www2.assemblee-nationale.fr/deputes/fiche/OMC_PA721278" TargetMode="External"/><Relationship Id="rId1002" Type="http://schemas.openxmlformats.org/officeDocument/2006/relationships/hyperlink" Target="https://www.nosdeputes.fr/richard-lioger" TargetMode="External"/><Relationship Id="rId1486" Type="http://schemas.openxmlformats.org/officeDocument/2006/relationships/hyperlink" Target="https://www.nosdeputes.fr/christophe-blanchet/csv" TargetMode="External"/><Relationship Id="rId650" Type="http://schemas.openxmlformats.org/officeDocument/2006/relationships/hyperlink" Target="https://www.nosdeputes.fr/jean-marc-zulesi/csv" TargetMode="External"/><Relationship Id="rId1003" Type="http://schemas.openxmlformats.org/officeDocument/2006/relationships/hyperlink" Target="https://www.nosdeputes.fr/richard-lioger/csv" TargetMode="External"/><Relationship Id="rId1487" Type="http://schemas.openxmlformats.org/officeDocument/2006/relationships/hyperlink" Target="http://www2.assemblee-nationale.fr/deputes/fiche/OMC_PA713448" TargetMode="External"/><Relationship Id="rId1037" Type="http://schemas.openxmlformats.org/officeDocument/2006/relationships/hyperlink" Target="http://www2.assemblee-nationale.fr/deputes/fiche/OMC_PA336175" TargetMode="External"/><Relationship Id="rId1038" Type="http://schemas.openxmlformats.org/officeDocument/2006/relationships/hyperlink" Target="https://www.nosdeputes.fr/sylvia-pinel" TargetMode="External"/><Relationship Id="rId1039" Type="http://schemas.openxmlformats.org/officeDocument/2006/relationships/hyperlink" Target="https://www.nosdeputes.fr/sylvia-pinel/csv" TargetMode="External"/><Relationship Id="rId206" Type="http://schemas.openxmlformats.org/officeDocument/2006/relationships/hyperlink" Target="https://www.nosdeputes.fr/emilie-cariou/csv" TargetMode="External"/><Relationship Id="rId205" Type="http://schemas.openxmlformats.org/officeDocument/2006/relationships/hyperlink" Target="https://www.nosdeputes.fr/emilie-cariou" TargetMode="External"/><Relationship Id="rId689" Type="http://schemas.openxmlformats.org/officeDocument/2006/relationships/hyperlink" Target="https://www.nosdeputes.fr/philippe-chassaing" TargetMode="External"/><Relationship Id="rId204" Type="http://schemas.openxmlformats.org/officeDocument/2006/relationships/hyperlink" Target="http://www2.assemblee-nationale.fr/deputes/fiche/OMC_PA720298" TargetMode="External"/><Relationship Id="rId688" Type="http://schemas.openxmlformats.org/officeDocument/2006/relationships/hyperlink" Target="http://www2.assemblee-nationale.fr/deputes/fiche/OMC_PA719250" TargetMode="External"/><Relationship Id="rId203" Type="http://schemas.openxmlformats.org/officeDocument/2006/relationships/hyperlink" Target="https://www.nosdeputes.fr/celine-calvez/csv" TargetMode="External"/><Relationship Id="rId687" Type="http://schemas.openxmlformats.org/officeDocument/2006/relationships/hyperlink" Target="https://www.nosdeputes.fr/andre-chassaigne/csv" TargetMode="External"/><Relationship Id="rId209" Type="http://schemas.openxmlformats.org/officeDocument/2006/relationships/hyperlink" Target="https://www.nosdeputes.fr/gilles-carrez/csv" TargetMode="External"/><Relationship Id="rId208" Type="http://schemas.openxmlformats.org/officeDocument/2006/relationships/hyperlink" Target="https://www.nosdeputes.fr/gilles-carrez" TargetMode="External"/><Relationship Id="rId207" Type="http://schemas.openxmlformats.org/officeDocument/2006/relationships/hyperlink" Target="http://www2.assemblee-nationale.fr/deputes/fiche/OMC_PA746" TargetMode="External"/><Relationship Id="rId682" Type="http://schemas.openxmlformats.org/officeDocument/2006/relationships/hyperlink" Target="http://www2.assemblee-nationale.fr/deputes/fiche/OMC_PA719790" TargetMode="External"/><Relationship Id="rId681" Type="http://schemas.openxmlformats.org/officeDocument/2006/relationships/hyperlink" Target="https://www.nosdeputes.fr/anthony-cellier/csv" TargetMode="External"/><Relationship Id="rId1030" Type="http://schemas.openxmlformats.org/officeDocument/2006/relationships/hyperlink" Target="https://www.nosdeputes.fr/eric-pauget/csv" TargetMode="External"/><Relationship Id="rId680" Type="http://schemas.openxmlformats.org/officeDocument/2006/relationships/hyperlink" Target="https://www.nosdeputes.fr/anthony-cellier" TargetMode="External"/><Relationship Id="rId1031" Type="http://schemas.openxmlformats.org/officeDocument/2006/relationships/hyperlink" Target="http://www2.assemblee-nationale.fr/deputes/fiche/OMC_PA718802" TargetMode="External"/><Relationship Id="rId1032" Type="http://schemas.openxmlformats.org/officeDocument/2006/relationships/hyperlink" Target="https://www.nosdeputes.fr/alain-perea" TargetMode="External"/><Relationship Id="rId202" Type="http://schemas.openxmlformats.org/officeDocument/2006/relationships/hyperlink" Target="https://www.nosdeputes.fr/celine-calvez" TargetMode="External"/><Relationship Id="rId686" Type="http://schemas.openxmlformats.org/officeDocument/2006/relationships/hyperlink" Target="https://www.nosdeputes.fr/andre-chassaigne" TargetMode="External"/><Relationship Id="rId1033" Type="http://schemas.openxmlformats.org/officeDocument/2006/relationships/hyperlink" Target="https://www.nosdeputes.fr/alain-perea/csv" TargetMode="External"/><Relationship Id="rId201" Type="http://schemas.openxmlformats.org/officeDocument/2006/relationships/hyperlink" Target="http://www2.assemblee-nationale.fr/deputes/fiche/OMC_PA721750" TargetMode="External"/><Relationship Id="rId685" Type="http://schemas.openxmlformats.org/officeDocument/2006/relationships/hyperlink" Target="http://www2.assemblee-nationale.fr/deputes/fiche/OMC_PA267306" TargetMode="External"/><Relationship Id="rId1034" Type="http://schemas.openxmlformats.org/officeDocument/2006/relationships/hyperlink" Target="http://www2.assemblee-nationale.fr/deputes/fiche/OMC_PA721234" TargetMode="External"/><Relationship Id="rId200" Type="http://schemas.openxmlformats.org/officeDocument/2006/relationships/hyperlink" Target="https://www.nosdeputes.fr/carole-bureau-bonnard/csv" TargetMode="External"/><Relationship Id="rId684" Type="http://schemas.openxmlformats.org/officeDocument/2006/relationships/hyperlink" Target="https://www.nosdeputes.fr/philippe-chalumeau/csv" TargetMode="External"/><Relationship Id="rId1035" Type="http://schemas.openxmlformats.org/officeDocument/2006/relationships/hyperlink" Target="https://www.nosdeputes.fr/maud-petit" TargetMode="External"/><Relationship Id="rId683" Type="http://schemas.openxmlformats.org/officeDocument/2006/relationships/hyperlink" Target="https://www.nosdeputes.fr/philippe-chalumeau" TargetMode="External"/><Relationship Id="rId1036" Type="http://schemas.openxmlformats.org/officeDocument/2006/relationships/hyperlink" Target="https://www.nosdeputes.fr/maud-petit/csv" TargetMode="External"/><Relationship Id="rId1026" Type="http://schemas.openxmlformats.org/officeDocument/2006/relationships/hyperlink" Target="https://www.nosdeputes.fr/jean-francois-parigi" TargetMode="External"/><Relationship Id="rId1027" Type="http://schemas.openxmlformats.org/officeDocument/2006/relationships/hyperlink" Target="https://www.nosdeputes.fr/jean-francois-parigi/csv" TargetMode="External"/><Relationship Id="rId1028" Type="http://schemas.openxmlformats.org/officeDocument/2006/relationships/hyperlink" Target="http://www2.assemblee-nationale.fr/deputes/fiche/OMC_PA718784" TargetMode="External"/><Relationship Id="rId1029" Type="http://schemas.openxmlformats.org/officeDocument/2006/relationships/hyperlink" Target="https://www.nosdeputes.fr/eric-pauget" TargetMode="External"/><Relationship Id="rId679" Type="http://schemas.openxmlformats.org/officeDocument/2006/relationships/hyperlink" Target="http://www2.assemblee-nationale.fr/deputes/fiche/OMC_PA719440" TargetMode="External"/><Relationship Id="rId678" Type="http://schemas.openxmlformats.org/officeDocument/2006/relationships/hyperlink" Target="https://www.nosdeputes.fr/pierre-cabare/csv" TargetMode="External"/><Relationship Id="rId677" Type="http://schemas.openxmlformats.org/officeDocument/2006/relationships/hyperlink" Target="https://www.nosdeputes.fr/pierre-cabare" TargetMode="External"/><Relationship Id="rId676" Type="http://schemas.openxmlformats.org/officeDocument/2006/relationships/hyperlink" Target="http://www2.assemblee-nationale.fr/deputes/fiche/OMC_PA719496" TargetMode="External"/><Relationship Id="rId671" Type="http://schemas.openxmlformats.org/officeDocument/2006/relationships/hyperlink" Target="https://www.nosdeputes.fr/fabrice-brun/csv" TargetMode="External"/><Relationship Id="rId670" Type="http://schemas.openxmlformats.org/officeDocument/2006/relationships/hyperlink" Target="https://www.nosdeputes.fr/fabrice-brun" TargetMode="External"/><Relationship Id="rId1020" Type="http://schemas.openxmlformats.org/officeDocument/2006/relationships/hyperlink" Target="https://www.nosdeputes.fr/sandrine-moerch" TargetMode="External"/><Relationship Id="rId1021" Type="http://schemas.openxmlformats.org/officeDocument/2006/relationships/hyperlink" Target="https://www.nosdeputes.fr/sandrine-moerch/csv" TargetMode="External"/><Relationship Id="rId675" Type="http://schemas.openxmlformats.org/officeDocument/2006/relationships/hyperlink" Target="https://www.nosdeputes.fr/alain-bruneel/csv" TargetMode="External"/><Relationship Id="rId1022" Type="http://schemas.openxmlformats.org/officeDocument/2006/relationships/hyperlink" Target="http://www2.assemblee-nationale.fr/deputes/fiche/OMC_PA719464" TargetMode="External"/><Relationship Id="rId674" Type="http://schemas.openxmlformats.org/officeDocument/2006/relationships/hyperlink" Target="https://www.nosdeputes.fr/alain-bruneel" TargetMode="External"/><Relationship Id="rId1023" Type="http://schemas.openxmlformats.org/officeDocument/2006/relationships/hyperlink" Target="https://www.nosdeputes.fr/sebastien-nadot" TargetMode="External"/><Relationship Id="rId673" Type="http://schemas.openxmlformats.org/officeDocument/2006/relationships/hyperlink" Target="http://www2.assemblee-nationale.fr/deputes/fiche/OMC_PA720546" TargetMode="External"/><Relationship Id="rId1024" Type="http://schemas.openxmlformats.org/officeDocument/2006/relationships/hyperlink" Target="https://www.nosdeputes.fr/sebastien-nadot/csv" TargetMode="External"/><Relationship Id="rId672" Type="http://schemas.openxmlformats.org/officeDocument/2006/relationships/hyperlink" Target="https://twitter.com/Alain_Bruneel" TargetMode="External"/><Relationship Id="rId1025" Type="http://schemas.openxmlformats.org/officeDocument/2006/relationships/hyperlink" Target="http://www2.assemblee-nationale.fr/deputes/fiche/OMC_PA721636" TargetMode="External"/><Relationship Id="rId190" Type="http://schemas.openxmlformats.org/officeDocument/2006/relationships/hyperlink" Target="https://www.nosdeputes.fr/delphine-bagarry" TargetMode="External"/><Relationship Id="rId194" Type="http://schemas.openxmlformats.org/officeDocument/2006/relationships/hyperlink" Target="https://www.nosdeputes.fr/belkhir-belhaddad/csv" TargetMode="External"/><Relationship Id="rId193" Type="http://schemas.openxmlformats.org/officeDocument/2006/relationships/hyperlink" Target="https://www.nosdeputes.fr/belkhir-belhaddad" TargetMode="External"/><Relationship Id="rId192" Type="http://schemas.openxmlformats.org/officeDocument/2006/relationships/hyperlink" Target="http://www2.assemblee-nationale.fr/deputes/fiche/OMC_PA720362" TargetMode="External"/><Relationship Id="rId191" Type="http://schemas.openxmlformats.org/officeDocument/2006/relationships/hyperlink" Target="https://www.nosdeputes.fr/delphine-bagarry/csv" TargetMode="External"/><Relationship Id="rId187" Type="http://schemas.openxmlformats.org/officeDocument/2006/relationships/hyperlink" Target="https://www.nosdeputes.fr/sophie-auconie" TargetMode="External"/><Relationship Id="rId186" Type="http://schemas.openxmlformats.org/officeDocument/2006/relationships/hyperlink" Target="http://www2.assemblee-nationale.fr/deputes/fiche/OMC_PA719806" TargetMode="External"/><Relationship Id="rId185" Type="http://schemas.openxmlformats.org/officeDocument/2006/relationships/hyperlink" Target="https://www.nosdeputes.fr/julien-aubert/csv" TargetMode="External"/><Relationship Id="rId184" Type="http://schemas.openxmlformats.org/officeDocument/2006/relationships/hyperlink" Target="https://www.nosdeputes.fr/julien-aubert" TargetMode="External"/><Relationship Id="rId189" Type="http://schemas.openxmlformats.org/officeDocument/2006/relationships/hyperlink" Target="http://www2.assemblee-nationale.fr/deputes/fiche/OMC_PA718744" TargetMode="External"/><Relationship Id="rId188" Type="http://schemas.openxmlformats.org/officeDocument/2006/relationships/hyperlink" Target="https://www.nosdeputes.fr/sophie-auconie/csv" TargetMode="External"/><Relationship Id="rId183" Type="http://schemas.openxmlformats.org/officeDocument/2006/relationships/hyperlink" Target="http://www2.assemblee-nationale.fr/deputes/fiche/OMC_PA609726" TargetMode="External"/><Relationship Id="rId182" Type="http://schemas.openxmlformats.org/officeDocument/2006/relationships/hyperlink" Target="https://www.nosdeputes.fr/jean-luc-warsmann/csv" TargetMode="External"/><Relationship Id="rId181" Type="http://schemas.openxmlformats.org/officeDocument/2006/relationships/hyperlink" Target="https://www.nosdeputes.fr/jean-luc-warsmann" TargetMode="External"/><Relationship Id="rId180" Type="http://schemas.openxmlformats.org/officeDocument/2006/relationships/hyperlink" Target="http://www2.assemblee-nationale.fr/deputes/fiche/OMC_PA2952" TargetMode="External"/><Relationship Id="rId176" Type="http://schemas.openxmlformats.org/officeDocument/2006/relationships/hyperlink" Target="https://www.nosdeputes.fr/arnaud-viala/csv" TargetMode="External"/><Relationship Id="rId175" Type="http://schemas.openxmlformats.org/officeDocument/2006/relationships/hyperlink" Target="https://www.nosdeputes.fr/arnaud-viala" TargetMode="External"/><Relationship Id="rId174" Type="http://schemas.openxmlformats.org/officeDocument/2006/relationships/hyperlink" Target="http://www2.assemblee-nationale.fr/deputes/fiche/OMC_PA709315" TargetMode="External"/><Relationship Id="rId173" Type="http://schemas.openxmlformats.org/officeDocument/2006/relationships/hyperlink" Target="https://www.nosdeputes.fr/marie-christine-verdier-jouclas/csv" TargetMode="External"/><Relationship Id="rId179" Type="http://schemas.openxmlformats.org/officeDocument/2006/relationships/hyperlink" Target="https://www.nosdeputes.fr/laurence-vichnievsky/csv" TargetMode="External"/><Relationship Id="rId178" Type="http://schemas.openxmlformats.org/officeDocument/2006/relationships/hyperlink" Target="https://www.nosdeputes.fr/laurence-vichnievsky" TargetMode="External"/><Relationship Id="rId177" Type="http://schemas.openxmlformats.org/officeDocument/2006/relationships/hyperlink" Target="http://www2.assemblee-nationale.fr/deputes/fiche/OMC_PA720704" TargetMode="External"/><Relationship Id="rId198" Type="http://schemas.openxmlformats.org/officeDocument/2006/relationships/hyperlink" Target="http://www2.assemblee-nationale.fr/deputes/fiche/OMC_PA720622" TargetMode="External"/><Relationship Id="rId197" Type="http://schemas.openxmlformats.org/officeDocument/2006/relationships/hyperlink" Target="https://www.nosdeputes.fr/christophe-bouillon/csv" TargetMode="External"/><Relationship Id="rId196" Type="http://schemas.openxmlformats.org/officeDocument/2006/relationships/hyperlink" Target="https://www.nosdeputes.fr/christophe-bouillon" TargetMode="External"/><Relationship Id="rId195" Type="http://schemas.openxmlformats.org/officeDocument/2006/relationships/hyperlink" Target="http://www2.assemblee-nationale.fr/deputes/fiche/OMC_PA267233" TargetMode="External"/><Relationship Id="rId199" Type="http://schemas.openxmlformats.org/officeDocument/2006/relationships/hyperlink" Target="https://www.nosdeputes.fr/carole-bureau-bonnard" TargetMode="External"/><Relationship Id="rId150" Type="http://schemas.openxmlformats.org/officeDocument/2006/relationships/hyperlink" Target="http://www2.assemblee-nationale.fr/deputes/fiche/OMC_PA719952" TargetMode="External"/><Relationship Id="rId149" Type="http://schemas.openxmlformats.org/officeDocument/2006/relationships/hyperlink" Target="https://www.nosdeputes.fr/bruno-millienne/csv" TargetMode="External"/><Relationship Id="rId148" Type="http://schemas.openxmlformats.org/officeDocument/2006/relationships/hyperlink" Target="https://www.nosdeputes.fr/bruno-millienne" TargetMode="External"/><Relationship Id="rId1090" Type="http://schemas.openxmlformats.org/officeDocument/2006/relationships/hyperlink" Target="https://www.nosdeputes.fr/pascal-bois" TargetMode="External"/><Relationship Id="rId1091" Type="http://schemas.openxmlformats.org/officeDocument/2006/relationships/hyperlink" Target="https://www.nosdeputes.fr/pascal-bois/csv" TargetMode="External"/><Relationship Id="rId1092" Type="http://schemas.openxmlformats.org/officeDocument/2006/relationships/hyperlink" Target="http://www2.assemblee-nationale.fr/deputes/fiche/OMC_PA721328" TargetMode="External"/><Relationship Id="rId1093" Type="http://schemas.openxmlformats.org/officeDocument/2006/relationships/hyperlink" Target="https://www.nosdeputes.fr/anne-brugnera" TargetMode="External"/><Relationship Id="rId1094" Type="http://schemas.openxmlformats.org/officeDocument/2006/relationships/hyperlink" Target="https://www.nosdeputes.fr/anne-brugnera/csv" TargetMode="External"/><Relationship Id="rId143" Type="http://schemas.openxmlformats.org/officeDocument/2006/relationships/hyperlink" Target="http://www2.assemblee-nationale.fr/deputes/fiche/OMC_PA720728" TargetMode="External"/><Relationship Id="rId1095" Type="http://schemas.openxmlformats.org/officeDocument/2006/relationships/hyperlink" Target="http://www2.assemblee-nationale.fr/deputes/fiche/OMC_PA719890" TargetMode="External"/><Relationship Id="rId142" Type="http://schemas.openxmlformats.org/officeDocument/2006/relationships/hyperlink" Target="https://www.nosdeputes.fr/gilles-lurton/csv" TargetMode="External"/><Relationship Id="rId1096" Type="http://schemas.openxmlformats.org/officeDocument/2006/relationships/hyperlink" Target="https://www.nosdeputes.fr/danielle-brulebois" TargetMode="External"/><Relationship Id="rId141" Type="http://schemas.openxmlformats.org/officeDocument/2006/relationships/hyperlink" Target="https://www.nosdeputes.fr/gilles-lurton" TargetMode="External"/><Relationship Id="rId1097" Type="http://schemas.openxmlformats.org/officeDocument/2006/relationships/hyperlink" Target="https://www.nosdeputes.fr/danielle-brulebois/csv" TargetMode="External"/><Relationship Id="rId140" Type="http://schemas.openxmlformats.org/officeDocument/2006/relationships/hyperlink" Target="http://www2.assemblee-nationale.fr/deputes/fiche/OMC_PA606712" TargetMode="External"/><Relationship Id="rId1098" Type="http://schemas.openxmlformats.org/officeDocument/2006/relationships/hyperlink" Target="http://www2.assemblee-nationale.fr/deputes/fiche/OMC_PA722000" TargetMode="External"/><Relationship Id="rId147" Type="http://schemas.openxmlformats.org/officeDocument/2006/relationships/hyperlink" Target="http://www2.assemblee-nationale.fr/deputes/fiche/OMC_PA721976" TargetMode="External"/><Relationship Id="rId1099" Type="http://schemas.openxmlformats.org/officeDocument/2006/relationships/hyperlink" Target="https://www.nosdeputes.fr/stephane-buchou" TargetMode="External"/><Relationship Id="rId146" Type="http://schemas.openxmlformats.org/officeDocument/2006/relationships/hyperlink" Target="https://twitter.com/BrunoMillienne" TargetMode="External"/><Relationship Id="rId145" Type="http://schemas.openxmlformats.org/officeDocument/2006/relationships/hyperlink" Target="https://www.nosdeputes.fr/jean-paul-mattei/csv" TargetMode="External"/><Relationship Id="rId144" Type="http://schemas.openxmlformats.org/officeDocument/2006/relationships/hyperlink" Target="https://www.nosdeputes.fr/jean-paul-mattei" TargetMode="External"/><Relationship Id="rId139" Type="http://schemas.openxmlformats.org/officeDocument/2006/relationships/hyperlink" Target="https://www.nosdeputes.fr/bastien-lachaud/csv" TargetMode="External"/><Relationship Id="rId138" Type="http://schemas.openxmlformats.org/officeDocument/2006/relationships/hyperlink" Target="https://www.nosdeputes.fr/bastien-lachaud" TargetMode="External"/><Relationship Id="rId137" Type="http://schemas.openxmlformats.org/officeDocument/2006/relationships/hyperlink" Target="http://www2.assemblee-nationale.fr/deputes/fiche/OMC_PA720846" TargetMode="External"/><Relationship Id="rId1080" Type="http://schemas.openxmlformats.org/officeDocument/2006/relationships/hyperlink" Target="http://www2.assemblee-nationale.fr/deputes/fiche/OMC_PA642724" TargetMode="External"/><Relationship Id="rId1081" Type="http://schemas.openxmlformats.org/officeDocument/2006/relationships/hyperlink" Target="https://www.nosdeputes.fr/frederic-barbier" TargetMode="External"/><Relationship Id="rId1082" Type="http://schemas.openxmlformats.org/officeDocument/2006/relationships/hyperlink" Target="https://www.nosdeputes.fr/frederic-barbier/csv" TargetMode="External"/><Relationship Id="rId1083" Type="http://schemas.openxmlformats.org/officeDocument/2006/relationships/hyperlink" Target="http://www2.assemblee-nationale.fr/deputes/fiche/OMC_PA720210" TargetMode="External"/><Relationship Id="rId132" Type="http://schemas.openxmlformats.org/officeDocument/2006/relationships/hyperlink" Target="https://www.nosdeputes.fr/regis-juanico" TargetMode="External"/><Relationship Id="rId1084" Type="http://schemas.openxmlformats.org/officeDocument/2006/relationships/hyperlink" Target="https://www.nosdeputes.fr/valerie-beauvais" TargetMode="External"/><Relationship Id="rId131" Type="http://schemas.openxmlformats.org/officeDocument/2006/relationships/hyperlink" Target="http://www2.assemblee-nationale.fr/deputes/fiche/OMC_PA332614" TargetMode="External"/><Relationship Id="rId1085" Type="http://schemas.openxmlformats.org/officeDocument/2006/relationships/hyperlink" Target="https://www.nosdeputes.fr/valerie-beauvais/csv" TargetMode="External"/><Relationship Id="rId130" Type="http://schemas.openxmlformats.org/officeDocument/2006/relationships/hyperlink" Target="https://www.nosdeputes.fr/christophe-jerretie/csv" TargetMode="External"/><Relationship Id="rId1086" Type="http://schemas.openxmlformats.org/officeDocument/2006/relationships/hyperlink" Target="http://www2.assemblee-nationale.fr/deputes/fiche/OMC_PA718990" TargetMode="External"/><Relationship Id="rId1087" Type="http://schemas.openxmlformats.org/officeDocument/2006/relationships/hyperlink" Target="https://www.nosdeputes.fr/anne-blanc" TargetMode="External"/><Relationship Id="rId136" Type="http://schemas.openxmlformats.org/officeDocument/2006/relationships/hyperlink" Target="https://www.nosdeputes.fr/daniel-labaronne/csv" TargetMode="External"/><Relationship Id="rId1088" Type="http://schemas.openxmlformats.org/officeDocument/2006/relationships/hyperlink" Target="https://www.nosdeputes.fr/anne-blanc/csv" TargetMode="External"/><Relationship Id="rId135" Type="http://schemas.openxmlformats.org/officeDocument/2006/relationships/hyperlink" Target="https://www.nosdeputes.fr/daniel-labaronne" TargetMode="External"/><Relationship Id="rId1089" Type="http://schemas.openxmlformats.org/officeDocument/2006/relationships/hyperlink" Target="http://www2.assemblee-nationale.fr/deputes/fiche/OMC_PA720576" TargetMode="External"/><Relationship Id="rId134" Type="http://schemas.openxmlformats.org/officeDocument/2006/relationships/hyperlink" Target="http://www2.assemblee-nationale.fr/deputes/fiche/OMC_PA719798" TargetMode="External"/><Relationship Id="rId133" Type="http://schemas.openxmlformats.org/officeDocument/2006/relationships/hyperlink" Target="https://www.nosdeputes.fr/regis-juanico/csv" TargetMode="External"/><Relationship Id="rId172" Type="http://schemas.openxmlformats.org/officeDocument/2006/relationships/hyperlink" Target="https://www.nosdeputes.fr/marie-christine-verdier-jouclas" TargetMode="External"/><Relationship Id="rId171" Type="http://schemas.openxmlformats.org/officeDocument/2006/relationships/hyperlink" Target="http://www2.assemblee-nationale.fr/deputes/fiche/OMC_PA721542" TargetMode="External"/><Relationship Id="rId170" Type="http://schemas.openxmlformats.org/officeDocument/2006/relationships/hyperlink" Target="https://www.nosdeputes.fr/boris-vallaud/csv" TargetMode="External"/><Relationship Id="rId165" Type="http://schemas.openxmlformats.org/officeDocument/2006/relationships/hyperlink" Target="http://www2.assemblee-nationale.fr/deputes/fiche/OMC_PA608695" TargetMode="External"/><Relationship Id="rId164" Type="http://schemas.openxmlformats.org/officeDocument/2006/relationships/hyperlink" Target="https://www.nosdeputes.fr/laurent-saint-martin/csv" TargetMode="External"/><Relationship Id="rId163" Type="http://schemas.openxmlformats.org/officeDocument/2006/relationships/hyperlink" Target="https://www.nosdeputes.fr/laurent-saint-martin" TargetMode="External"/><Relationship Id="rId162" Type="http://schemas.openxmlformats.org/officeDocument/2006/relationships/hyperlink" Target="http://www2.assemblee-nationale.fr/deputes/fiche/OMC_PA720878" TargetMode="External"/><Relationship Id="rId169" Type="http://schemas.openxmlformats.org/officeDocument/2006/relationships/hyperlink" Target="https://www.nosdeputes.fr/boris-vallaud" TargetMode="External"/><Relationship Id="rId168" Type="http://schemas.openxmlformats.org/officeDocument/2006/relationships/hyperlink" Target="http://www2.assemblee-nationale.fr/deputes/fiche/OMC_PA719930" TargetMode="External"/><Relationship Id="rId167" Type="http://schemas.openxmlformats.org/officeDocument/2006/relationships/hyperlink" Target="https://www.nosdeputes.fr/cecile-untermaier/csv" TargetMode="External"/><Relationship Id="rId166" Type="http://schemas.openxmlformats.org/officeDocument/2006/relationships/hyperlink" Target="https://www.nosdeputes.fr/cecile-untermaier" TargetMode="External"/><Relationship Id="rId161" Type="http://schemas.openxmlformats.org/officeDocument/2006/relationships/hyperlink" Target="https://www.nosdeputes.fr/valerie-rabault/csv" TargetMode="External"/><Relationship Id="rId160" Type="http://schemas.openxmlformats.org/officeDocument/2006/relationships/hyperlink" Target="https://www.nosdeputes.fr/valerie-rabault" TargetMode="External"/><Relationship Id="rId159" Type="http://schemas.openxmlformats.org/officeDocument/2006/relationships/hyperlink" Target="http://www2.assemblee-nationale.fr/deputes/fiche/OMC_PA609590" TargetMode="External"/><Relationship Id="rId154" Type="http://schemas.openxmlformats.org/officeDocument/2006/relationships/hyperlink" Target="https://www.nosdeputes.fr/amelie-de-montchalin" TargetMode="External"/><Relationship Id="rId153" Type="http://schemas.openxmlformats.org/officeDocument/2006/relationships/hyperlink" Target="http://www2.assemblee-nationale.fr/deputes/fiche/OMC_PA721670" TargetMode="External"/><Relationship Id="rId152" Type="http://schemas.openxmlformats.org/officeDocument/2006/relationships/hyperlink" Target="https://www.nosdeputes.fr/jean-michel-mis/csv" TargetMode="External"/><Relationship Id="rId151" Type="http://schemas.openxmlformats.org/officeDocument/2006/relationships/hyperlink" Target="https://www.nosdeputes.fr/jean-michel-mis" TargetMode="External"/><Relationship Id="rId158" Type="http://schemas.openxmlformats.org/officeDocument/2006/relationships/hyperlink" Target="https://www.nosdeputes.fr/michele-peyron/csv" TargetMode="External"/><Relationship Id="rId157" Type="http://schemas.openxmlformats.org/officeDocument/2006/relationships/hyperlink" Target="https://www.nosdeputes.fr/michele-peyron" TargetMode="External"/><Relationship Id="rId156" Type="http://schemas.openxmlformats.org/officeDocument/2006/relationships/hyperlink" Target="http://www2.assemblee-nationale.fr/deputes/fiche/OMC_PA721710" TargetMode="External"/><Relationship Id="rId155" Type="http://schemas.openxmlformats.org/officeDocument/2006/relationships/hyperlink" Target="https://www.nosdeputes.fr/amelie-de-montchalin/csv" TargetMode="External"/><Relationship Id="rId1510" Type="http://schemas.openxmlformats.org/officeDocument/2006/relationships/hyperlink" Target="https://www.nosdeputes.fr/richard-ferrand" TargetMode="External"/><Relationship Id="rId1511" Type="http://schemas.openxmlformats.org/officeDocument/2006/relationships/hyperlink" Target="https://www.nosdeputes.fr/richard-ferrand/csv" TargetMode="External"/><Relationship Id="rId1512" Type="http://schemas.openxmlformats.org/officeDocument/2006/relationships/hyperlink" Target="http://www2.assemblee-nationale.fr/deputes/fiche/OMC_PA721784" TargetMode="External"/><Relationship Id="rId1513" Type="http://schemas.openxmlformats.org/officeDocument/2006/relationships/hyperlink" Target="https://www.nosdeputes.fr/valerie-gomez-bassac" TargetMode="External"/><Relationship Id="rId1514" Type="http://schemas.openxmlformats.org/officeDocument/2006/relationships/hyperlink" Target="https://www.nosdeputes.fr/valerie-gomez-bassac/csv" TargetMode="External"/><Relationship Id="rId1515" Type="http://schemas.openxmlformats.org/officeDocument/2006/relationships/hyperlink" Target="http://www2.assemblee-nationale.fr/deputes/fiche/OMC_PA721792" TargetMode="External"/><Relationship Id="rId1516" Type="http://schemas.openxmlformats.org/officeDocument/2006/relationships/hyperlink" Target="https://www.nosdeputes.fr/emilie-guerel" TargetMode="External"/><Relationship Id="rId1517" Type="http://schemas.openxmlformats.org/officeDocument/2006/relationships/hyperlink" Target="https://www.nosdeputes.fr/emilie-guerel/csv" TargetMode="External"/><Relationship Id="rId1518" Type="http://schemas.openxmlformats.org/officeDocument/2006/relationships/hyperlink" Target="http://www2.assemblee-nationale.fr/deputes/fiche/OMC_PA721126" TargetMode="External"/><Relationship Id="rId1519" Type="http://schemas.openxmlformats.org/officeDocument/2006/relationships/hyperlink" Target="https://www.nosdeputes.fr/claire-guion-firmin" TargetMode="External"/><Relationship Id="rId1500" Type="http://schemas.openxmlformats.org/officeDocument/2006/relationships/hyperlink" Target="http://www2.assemblee-nationale.fr/deputes/fiche/OMC_PA1029" TargetMode="External"/><Relationship Id="rId1501" Type="http://schemas.openxmlformats.org/officeDocument/2006/relationships/hyperlink" Target="https://www.nosdeputes.fr/bernard-deflesselles" TargetMode="External"/><Relationship Id="rId1502" Type="http://schemas.openxmlformats.org/officeDocument/2006/relationships/hyperlink" Target="https://www.nosdeputes.fr/bernard-deflesselles/csv" TargetMode="External"/><Relationship Id="rId1503" Type="http://schemas.openxmlformats.org/officeDocument/2006/relationships/hyperlink" Target="http://www2.assemblee-nationale.fr/deputes/fiche/OMC_PA721718" TargetMode="External"/><Relationship Id="rId1504" Type="http://schemas.openxmlformats.org/officeDocument/2006/relationships/hyperlink" Target="https://www.nosdeputes.fr/stephanie-do" TargetMode="External"/><Relationship Id="rId1505" Type="http://schemas.openxmlformats.org/officeDocument/2006/relationships/hyperlink" Target="https://www.nosdeputes.fr/stephanie-do/csv" TargetMode="External"/><Relationship Id="rId1506" Type="http://schemas.openxmlformats.org/officeDocument/2006/relationships/hyperlink" Target="http://www2.assemblee-nationale.fr/deputes/fiche/OMC_PA720664" TargetMode="External"/><Relationship Id="rId1507" Type="http://schemas.openxmlformats.org/officeDocument/2006/relationships/hyperlink" Target="https://www.nosdeputes.fr/jose-evrard" TargetMode="External"/><Relationship Id="rId1508" Type="http://schemas.openxmlformats.org/officeDocument/2006/relationships/hyperlink" Target="https://www.nosdeputes.fr/jose-evrard/csv" TargetMode="External"/><Relationship Id="rId1509" Type="http://schemas.openxmlformats.org/officeDocument/2006/relationships/hyperlink" Target="http://www2.assemblee-nationale.fr/deputes/fiche/OMC_PA606171" TargetMode="External"/><Relationship Id="rId1576" Type="http://schemas.openxmlformats.org/officeDocument/2006/relationships/hyperlink" Target="http://www2.assemblee-nationale.fr/deputes/fiche/OMC_PA720038" TargetMode="External"/><Relationship Id="rId1577" Type="http://schemas.openxmlformats.org/officeDocument/2006/relationships/hyperlink" Target="https://www.nosdeputes.fr/sandrine-josso" TargetMode="External"/><Relationship Id="rId1578" Type="http://schemas.openxmlformats.org/officeDocument/2006/relationships/hyperlink" Target="https://www.nosdeputes.fr/sandrine-josso/csv" TargetMode="External"/><Relationship Id="rId1579" Type="http://schemas.openxmlformats.org/officeDocument/2006/relationships/hyperlink" Target="http://www2.assemblee-nationale.fr/deputes/fiche/OMC_PA605518" TargetMode="External"/><Relationship Id="rId509" Type="http://schemas.openxmlformats.org/officeDocument/2006/relationships/hyperlink" Target="http://www2.assemblee-nationale.fr/deputes/fiche/OMC_PA720790" TargetMode="External"/><Relationship Id="rId508" Type="http://schemas.openxmlformats.org/officeDocument/2006/relationships/hyperlink" Target="https://www.nosdeputes.fr/claude-goasguen/csv" TargetMode="External"/><Relationship Id="rId503" Type="http://schemas.openxmlformats.org/officeDocument/2006/relationships/hyperlink" Target="http://www2.assemblee-nationale.fr/deputes/fiche/OMC_PA719480" TargetMode="External"/><Relationship Id="rId987" Type="http://schemas.openxmlformats.org/officeDocument/2006/relationships/hyperlink" Target="https://www.nosdeputes.fr/jean-luc-lagleize" TargetMode="External"/><Relationship Id="rId502" Type="http://schemas.openxmlformats.org/officeDocument/2006/relationships/hyperlink" Target="https://twitter.com/Gaillard2017" TargetMode="External"/><Relationship Id="rId986" Type="http://schemas.openxmlformats.org/officeDocument/2006/relationships/hyperlink" Target="http://www2.assemblee-nationale.fr/deputes/fiche/OMC_PA719504" TargetMode="External"/><Relationship Id="rId501" Type="http://schemas.openxmlformats.org/officeDocument/2006/relationships/hyperlink" Target="https://www.nosdeputes.fr/marc-fesneau/csv" TargetMode="External"/><Relationship Id="rId985" Type="http://schemas.openxmlformats.org/officeDocument/2006/relationships/hyperlink" Target="https://www.nosdeputes.fr/valerie-lacroute/csv" TargetMode="External"/><Relationship Id="rId500" Type="http://schemas.openxmlformats.org/officeDocument/2006/relationships/hyperlink" Target="https://www.nosdeputes.fr/marc-fesneau" TargetMode="External"/><Relationship Id="rId984" Type="http://schemas.openxmlformats.org/officeDocument/2006/relationships/hyperlink" Target="https://www.nosdeputes.fr/valerie-lacroute" TargetMode="External"/><Relationship Id="rId507" Type="http://schemas.openxmlformats.org/officeDocument/2006/relationships/hyperlink" Target="https://www.nosdeputes.fr/claude-goasguen" TargetMode="External"/><Relationship Id="rId506" Type="http://schemas.openxmlformats.org/officeDocument/2006/relationships/hyperlink" Target="http://www2.assemblee-nationale.fr/deputes/fiche/OMC_PA1498" TargetMode="External"/><Relationship Id="rId505" Type="http://schemas.openxmlformats.org/officeDocument/2006/relationships/hyperlink" Target="https://www.nosdeputes.fr/olivier-gaillard/csv" TargetMode="External"/><Relationship Id="rId989" Type="http://schemas.openxmlformats.org/officeDocument/2006/relationships/hyperlink" Target="http://www2.assemblee-nationale.fr/deputes/fiche/OMC_PA721434" TargetMode="External"/><Relationship Id="rId504" Type="http://schemas.openxmlformats.org/officeDocument/2006/relationships/hyperlink" Target="https://www.nosdeputes.fr/olivier-gaillard" TargetMode="External"/><Relationship Id="rId988" Type="http://schemas.openxmlformats.org/officeDocument/2006/relationships/hyperlink" Target="https://www.nosdeputes.fr/jean-luc-lagleize/csv" TargetMode="External"/><Relationship Id="rId1570" Type="http://schemas.openxmlformats.org/officeDocument/2006/relationships/hyperlink" Target="http://www2.assemblee-nationale.fr/deputes/fiche/OMC_PA1206" TargetMode="External"/><Relationship Id="rId1571" Type="http://schemas.openxmlformats.org/officeDocument/2006/relationships/hyperlink" Target="https://www.nosdeputes.fr/nicolas-dupont-aignan" TargetMode="External"/><Relationship Id="rId983" Type="http://schemas.openxmlformats.org/officeDocument/2006/relationships/hyperlink" Target="http://www2.assemblee-nationale.fr/deputes/fiche/OMC_PA609245" TargetMode="External"/><Relationship Id="rId1572" Type="http://schemas.openxmlformats.org/officeDocument/2006/relationships/hyperlink" Target="https://www.nosdeputes.fr/nicolas-dupont-aignan/csv" TargetMode="External"/><Relationship Id="rId982" Type="http://schemas.openxmlformats.org/officeDocument/2006/relationships/hyperlink" Target="https://www.nosdeputes.fr/charles-de-la-verpilliere/csv" TargetMode="External"/><Relationship Id="rId1573" Type="http://schemas.openxmlformats.org/officeDocument/2006/relationships/hyperlink" Target="http://www2.assemblee-nationale.fr/deputes/fiche/OMC_PA720198" TargetMode="External"/><Relationship Id="rId981" Type="http://schemas.openxmlformats.org/officeDocument/2006/relationships/hyperlink" Target="https://www.nosdeputes.fr/charles-de-la-verpilliere" TargetMode="External"/><Relationship Id="rId1574" Type="http://schemas.openxmlformats.org/officeDocument/2006/relationships/hyperlink" Target="https://www.nosdeputes.fr/gregory-galbadon" TargetMode="External"/><Relationship Id="rId980" Type="http://schemas.openxmlformats.org/officeDocument/2006/relationships/hyperlink" Target="http://www2.assemblee-nationale.fr/deputes/fiche/OMC_PA1012" TargetMode="External"/><Relationship Id="rId1575" Type="http://schemas.openxmlformats.org/officeDocument/2006/relationships/hyperlink" Target="https://www.nosdeputes.fr/gregory-galbadon/csv" TargetMode="External"/><Relationship Id="rId1565" Type="http://schemas.openxmlformats.org/officeDocument/2006/relationships/hyperlink" Target="https://www.nosdeputes.fr/francoise-dumas" TargetMode="External"/><Relationship Id="rId1566" Type="http://schemas.openxmlformats.org/officeDocument/2006/relationships/hyperlink" Target="https://www.nosdeputes.fr/francoise-dumas/csv" TargetMode="External"/><Relationship Id="rId1567" Type="http://schemas.openxmlformats.org/officeDocument/2006/relationships/hyperlink" Target="http://www2.assemblee-nationale.fr/deputes/fiche/OMC_PA1198" TargetMode="External"/><Relationship Id="rId1568" Type="http://schemas.openxmlformats.org/officeDocument/2006/relationships/hyperlink" Target="https://www.nosdeputes.fr/laurence-dumont" TargetMode="External"/><Relationship Id="rId1569" Type="http://schemas.openxmlformats.org/officeDocument/2006/relationships/hyperlink" Target="https://www.nosdeputes.fr/laurence-dumont/csv" TargetMode="External"/><Relationship Id="rId976" Type="http://schemas.openxmlformats.org/officeDocument/2006/relationships/hyperlink" Target="https://www.nosdeputes.fr/yannick-kerlogot/csv" TargetMode="External"/><Relationship Id="rId975" Type="http://schemas.openxmlformats.org/officeDocument/2006/relationships/hyperlink" Target="https://www.nosdeputes.fr/yannick-kerlogot" TargetMode="External"/><Relationship Id="rId974" Type="http://schemas.openxmlformats.org/officeDocument/2006/relationships/hyperlink" Target="http://www2.assemblee-nationale.fr/deputes/fiche/OMC_PA719230" TargetMode="External"/><Relationship Id="rId973" Type="http://schemas.openxmlformats.org/officeDocument/2006/relationships/hyperlink" Target="https://www.nosdeputes.fr/cyrille-isaac-sibille/csv" TargetMode="External"/><Relationship Id="rId979" Type="http://schemas.openxmlformats.org/officeDocument/2006/relationships/hyperlink" Target="https://www.nosdeputes.fr/brigitte-kuster/csv" TargetMode="External"/><Relationship Id="rId978" Type="http://schemas.openxmlformats.org/officeDocument/2006/relationships/hyperlink" Target="https://www.nosdeputes.fr/brigitte-kuster" TargetMode="External"/><Relationship Id="rId977" Type="http://schemas.openxmlformats.org/officeDocument/2006/relationships/hyperlink" Target="http://www2.assemblee-nationale.fr/deputes/fiche/OMC_PA721506" TargetMode="External"/><Relationship Id="rId1560" Type="http://schemas.openxmlformats.org/officeDocument/2006/relationships/hyperlink" Target="https://www.nosdeputes.fr/stephane-demilly/csv" TargetMode="External"/><Relationship Id="rId972" Type="http://schemas.openxmlformats.org/officeDocument/2006/relationships/hyperlink" Target="https://www.nosdeputes.fr/cyrille-isaac-sibille" TargetMode="External"/><Relationship Id="rId1561" Type="http://schemas.openxmlformats.org/officeDocument/2006/relationships/hyperlink" Target="http://www2.assemblee-nationale.fr/deputes/fiche/OMC_PA342935" TargetMode="External"/><Relationship Id="rId971" Type="http://schemas.openxmlformats.org/officeDocument/2006/relationships/hyperlink" Target="http://www2.assemblee-nationale.fr/deputes/fiche/OMC_PA722374" TargetMode="External"/><Relationship Id="rId1562" Type="http://schemas.openxmlformats.org/officeDocument/2006/relationships/hyperlink" Target="https://www.nosdeputes.fr/marianne-dubois" TargetMode="External"/><Relationship Id="rId970" Type="http://schemas.openxmlformats.org/officeDocument/2006/relationships/hyperlink" Target="https://www.nosdeputes.fr/monique-iborra/csv" TargetMode="External"/><Relationship Id="rId1563" Type="http://schemas.openxmlformats.org/officeDocument/2006/relationships/hyperlink" Target="https://www.nosdeputes.fr/marianne-dubois/csv" TargetMode="External"/><Relationship Id="rId1564" Type="http://schemas.openxmlformats.org/officeDocument/2006/relationships/hyperlink" Target="http://www2.assemblee-nationale.fr/deputes/fiche/OMC_PA606202" TargetMode="External"/><Relationship Id="rId1114" Type="http://schemas.openxmlformats.org/officeDocument/2006/relationships/hyperlink" Target="https://www.nosdeputes.fr/gerard-cherpion" TargetMode="External"/><Relationship Id="rId1598" Type="http://schemas.openxmlformats.org/officeDocument/2006/relationships/hyperlink" Target="http://www2.assemblee-nationale.fr/deputes/fiche/OMC_PA2792" TargetMode="External"/><Relationship Id="rId1115" Type="http://schemas.openxmlformats.org/officeDocument/2006/relationships/hyperlink" Target="https://www.nosdeputes.fr/gerard-cherpion/csv" TargetMode="External"/><Relationship Id="rId1599" Type="http://schemas.openxmlformats.org/officeDocument/2006/relationships/hyperlink" Target="https://www.nosdeputes.fr/jean-charles-taugourdeau" TargetMode="External"/><Relationship Id="rId1116" Type="http://schemas.openxmlformats.org/officeDocument/2006/relationships/hyperlink" Target="http://www2.assemblee-nationale.fr/deputes/fiche/OMC_PA719294" TargetMode="External"/><Relationship Id="rId1117" Type="http://schemas.openxmlformats.org/officeDocument/2006/relationships/hyperlink" Target="https://www.nosdeputes.fr/mireille-clapot" TargetMode="External"/><Relationship Id="rId1118" Type="http://schemas.openxmlformats.org/officeDocument/2006/relationships/hyperlink" Target="https://www.nosdeputes.fr/mireille-clapot/csv" TargetMode="External"/><Relationship Id="rId1119" Type="http://schemas.openxmlformats.org/officeDocument/2006/relationships/hyperlink" Target="http://www2.assemblee-nationale.fr/deputes/fiche/OMC_PA720696" TargetMode="External"/><Relationship Id="rId525" Type="http://schemas.openxmlformats.org/officeDocument/2006/relationships/hyperlink" Target="http://www2.assemblee-nationale.fr/deputes/fiche/OMC_PA719372" TargetMode="External"/><Relationship Id="rId524" Type="http://schemas.openxmlformats.org/officeDocument/2006/relationships/hyperlink" Target="https://www.nosdeputes.fr/francois-jolivet/csv" TargetMode="External"/><Relationship Id="rId523" Type="http://schemas.openxmlformats.org/officeDocument/2006/relationships/hyperlink" Target="https://www.nosdeputes.fr/francois-jolivet" TargetMode="External"/><Relationship Id="rId522" Type="http://schemas.openxmlformats.org/officeDocument/2006/relationships/hyperlink" Target="http://www2.assemblee-nationale.fr/deputes/fiche/OMC_PA719778" TargetMode="External"/><Relationship Id="rId529" Type="http://schemas.openxmlformats.org/officeDocument/2006/relationships/hyperlink" Target="https://www.nosdeputes.fr/fadila-khattabi" TargetMode="External"/><Relationship Id="rId528" Type="http://schemas.openxmlformats.org/officeDocument/2006/relationships/hyperlink" Target="http://www2.assemblee-nationale.fr/deputes/fiche/OMC_PA719186" TargetMode="External"/><Relationship Id="rId527" Type="http://schemas.openxmlformats.org/officeDocument/2006/relationships/hyperlink" Target="https://www.nosdeputes.fr/guillaume-kasbarian/csv" TargetMode="External"/><Relationship Id="rId526" Type="http://schemas.openxmlformats.org/officeDocument/2006/relationships/hyperlink" Target="https://www.nosdeputes.fr/guillaume-kasbarian" TargetMode="External"/><Relationship Id="rId1590" Type="http://schemas.openxmlformats.org/officeDocument/2006/relationships/hyperlink" Target="https://www.nosdeputes.fr/josy-poueyto" TargetMode="External"/><Relationship Id="rId1591" Type="http://schemas.openxmlformats.org/officeDocument/2006/relationships/hyperlink" Target="https://www.nosdeputes.fr/josy-poueyto/csv" TargetMode="External"/><Relationship Id="rId1592" Type="http://schemas.openxmlformats.org/officeDocument/2006/relationships/hyperlink" Target="http://www2.assemblee-nationale.fr/deputes/fiche/OMC_PA335758" TargetMode="External"/><Relationship Id="rId1593" Type="http://schemas.openxmlformats.org/officeDocument/2006/relationships/hyperlink" Target="https://www.nosdeputes.fr/franck-riester" TargetMode="External"/><Relationship Id="rId521" Type="http://schemas.openxmlformats.org/officeDocument/2006/relationships/hyperlink" Target="https://www.nosdeputes.fr/jean-michel-jacques/csv" TargetMode="External"/><Relationship Id="rId1110" Type="http://schemas.openxmlformats.org/officeDocument/2006/relationships/hyperlink" Target="http://www2.assemblee-nationale.fr/deputes/fiche/OMC_PA719170" TargetMode="External"/><Relationship Id="rId1594" Type="http://schemas.openxmlformats.org/officeDocument/2006/relationships/hyperlink" Target="https://www.nosdeputes.fr/franck-riester/csv" TargetMode="External"/><Relationship Id="rId520" Type="http://schemas.openxmlformats.org/officeDocument/2006/relationships/hyperlink" Target="https://www.nosdeputes.fr/jean-michel-jacques" TargetMode="External"/><Relationship Id="rId1111" Type="http://schemas.openxmlformats.org/officeDocument/2006/relationships/hyperlink" Target="https://www.nosdeputes.fr/fannette-charvier" TargetMode="External"/><Relationship Id="rId1595" Type="http://schemas.openxmlformats.org/officeDocument/2006/relationships/hyperlink" Target="http://www2.assemblee-nationale.fr/deputes/fiche/OMC_PA343493" TargetMode="External"/><Relationship Id="rId1112" Type="http://schemas.openxmlformats.org/officeDocument/2006/relationships/hyperlink" Target="https://www.nosdeputes.fr/fannette-charvier/csv" TargetMode="External"/><Relationship Id="rId1596" Type="http://schemas.openxmlformats.org/officeDocument/2006/relationships/hyperlink" Target="https://www.nosdeputes.fr/gwendal-rouillard" TargetMode="External"/><Relationship Id="rId1113" Type="http://schemas.openxmlformats.org/officeDocument/2006/relationships/hyperlink" Target="http://www2.assemblee-nationale.fr/deputes/fiche/OMC_PA856" TargetMode="External"/><Relationship Id="rId1597" Type="http://schemas.openxmlformats.org/officeDocument/2006/relationships/hyperlink" Target="https://www.nosdeputes.fr/gwendal-rouillard/csv" TargetMode="External"/><Relationship Id="rId1103" Type="http://schemas.openxmlformats.org/officeDocument/2006/relationships/hyperlink" Target="https://www.nosdeputes.fr/lionel-causse/csv" TargetMode="External"/><Relationship Id="rId1587" Type="http://schemas.openxmlformats.org/officeDocument/2006/relationships/hyperlink" Target="https://www.nosdeputes.fr/patrick-mignola/csv" TargetMode="External"/><Relationship Id="rId1104" Type="http://schemas.openxmlformats.org/officeDocument/2006/relationships/hyperlink" Target="http://www2.assemblee-nationale.fr/deputes/fiche/OMC_PA721860" TargetMode="External"/><Relationship Id="rId1588" Type="http://schemas.openxmlformats.org/officeDocument/2006/relationships/hyperlink" Target="https://twitter.com/josypoueyto" TargetMode="External"/><Relationship Id="rId1105" Type="http://schemas.openxmlformats.org/officeDocument/2006/relationships/hyperlink" Target="https://www.nosdeputes.fr/jean-francois-cesarini" TargetMode="External"/><Relationship Id="rId1589" Type="http://schemas.openxmlformats.org/officeDocument/2006/relationships/hyperlink" Target="http://www2.assemblee-nationale.fr/deputes/fiche/OMC_PA720720" TargetMode="External"/><Relationship Id="rId1106" Type="http://schemas.openxmlformats.org/officeDocument/2006/relationships/hyperlink" Target="https://www.nosdeputes.fr/jean-francois-cesarini/csv" TargetMode="External"/><Relationship Id="rId1107" Type="http://schemas.openxmlformats.org/officeDocument/2006/relationships/hyperlink" Target="http://www2.assemblee-nationale.fr/deputes/fiche/OMC_PA721218" TargetMode="External"/><Relationship Id="rId1108" Type="http://schemas.openxmlformats.org/officeDocument/2006/relationships/hyperlink" Target="https://www.nosdeputes.fr/sylvie-charriere" TargetMode="External"/><Relationship Id="rId1109" Type="http://schemas.openxmlformats.org/officeDocument/2006/relationships/hyperlink" Target="https://www.nosdeputes.fr/sylvie-charriere/csv" TargetMode="External"/><Relationship Id="rId519" Type="http://schemas.openxmlformats.org/officeDocument/2006/relationships/hyperlink" Target="http://www2.assemblee-nationale.fr/deputes/fiche/OMC_PA720354" TargetMode="External"/><Relationship Id="rId514" Type="http://schemas.openxmlformats.org/officeDocument/2006/relationships/hyperlink" Target="https://www.nosdeputes.fr/yannick-haury/csv" TargetMode="External"/><Relationship Id="rId998" Type="http://schemas.openxmlformats.org/officeDocument/2006/relationships/hyperlink" Target="http://www2.assemblee-nationale.fr/deputes/fiche/OMC_PA722008" TargetMode="External"/><Relationship Id="rId513" Type="http://schemas.openxmlformats.org/officeDocument/2006/relationships/hyperlink" Target="https://www.nosdeputes.fr/yannick-haury" TargetMode="External"/><Relationship Id="rId997" Type="http://schemas.openxmlformats.org/officeDocument/2006/relationships/hyperlink" Target="https://www.nosdeputes.fr/stephane-le-foll/csv" TargetMode="External"/><Relationship Id="rId512" Type="http://schemas.openxmlformats.org/officeDocument/2006/relationships/hyperlink" Target="http://www2.assemblee-nationale.fr/deputes/fiche/OMC_PA720054" TargetMode="External"/><Relationship Id="rId996" Type="http://schemas.openxmlformats.org/officeDocument/2006/relationships/hyperlink" Target="https://www.nosdeputes.fr/stephane-le-foll" TargetMode="External"/><Relationship Id="rId511" Type="http://schemas.openxmlformats.org/officeDocument/2006/relationships/hyperlink" Target="https://www.nosdeputes.fr/romain-grau/csv" TargetMode="External"/><Relationship Id="rId995" Type="http://schemas.openxmlformats.org/officeDocument/2006/relationships/hyperlink" Target="http://www2.assemblee-nationale.fr/deputes/fiche/OMC_PA588886" TargetMode="External"/><Relationship Id="rId518" Type="http://schemas.openxmlformats.org/officeDocument/2006/relationships/hyperlink" Target="https://twitter.com/J_M_Jacques" TargetMode="External"/><Relationship Id="rId517" Type="http://schemas.openxmlformats.org/officeDocument/2006/relationships/hyperlink" Target="https://www.nosdeputes.fr/antoine-herth/csv" TargetMode="External"/><Relationship Id="rId516" Type="http://schemas.openxmlformats.org/officeDocument/2006/relationships/hyperlink" Target="https://www.nosdeputes.fr/antoine-herth" TargetMode="External"/><Relationship Id="rId515" Type="http://schemas.openxmlformats.org/officeDocument/2006/relationships/hyperlink" Target="http://www2.assemblee-nationale.fr/deputes/fiche/OMC_PA267355" TargetMode="External"/><Relationship Id="rId999" Type="http://schemas.openxmlformats.org/officeDocument/2006/relationships/hyperlink" Target="https://www.nosdeputes.fr/martine-leguille-balloy" TargetMode="External"/><Relationship Id="rId990" Type="http://schemas.openxmlformats.org/officeDocument/2006/relationships/hyperlink" Target="https://www.nosdeputes.fr/frederique-lardet" TargetMode="External"/><Relationship Id="rId1580" Type="http://schemas.openxmlformats.org/officeDocument/2006/relationships/hyperlink" Target="https://www.nosdeputes.fr/francois-michel-lambert" TargetMode="External"/><Relationship Id="rId1581" Type="http://schemas.openxmlformats.org/officeDocument/2006/relationships/hyperlink" Target="https://www.nosdeputes.fr/francois-michel-lambert/csv" TargetMode="External"/><Relationship Id="rId1582" Type="http://schemas.openxmlformats.org/officeDocument/2006/relationships/hyperlink" Target="http://www2.assemblee-nationale.fr/deputes/fiche/OMC_PA643205" TargetMode="External"/><Relationship Id="rId510" Type="http://schemas.openxmlformats.org/officeDocument/2006/relationships/hyperlink" Target="https://www.nosdeputes.fr/romain-grau" TargetMode="External"/><Relationship Id="rId994" Type="http://schemas.openxmlformats.org/officeDocument/2006/relationships/hyperlink" Target="https://www.nosdeputes.fr/michel-larive/csv" TargetMode="External"/><Relationship Id="rId1583" Type="http://schemas.openxmlformats.org/officeDocument/2006/relationships/hyperlink" Target="https://www.nosdeputes.fr/anne-christine-lang" TargetMode="External"/><Relationship Id="rId993" Type="http://schemas.openxmlformats.org/officeDocument/2006/relationships/hyperlink" Target="https://www.nosdeputes.fr/michel-larive" TargetMode="External"/><Relationship Id="rId1100" Type="http://schemas.openxmlformats.org/officeDocument/2006/relationships/hyperlink" Target="https://www.nosdeputes.fr/stephane-buchou/csv" TargetMode="External"/><Relationship Id="rId1584" Type="http://schemas.openxmlformats.org/officeDocument/2006/relationships/hyperlink" Target="https://www.nosdeputes.fr/anne-christine-lang/csv" TargetMode="External"/><Relationship Id="rId992" Type="http://schemas.openxmlformats.org/officeDocument/2006/relationships/hyperlink" Target="http://www2.assemblee-nationale.fr/deputes/fiche/OMC_PA718868" TargetMode="External"/><Relationship Id="rId1101" Type="http://schemas.openxmlformats.org/officeDocument/2006/relationships/hyperlink" Target="http://www2.assemblee-nationale.fr/deputes/fiche/OMC_PA719922" TargetMode="External"/><Relationship Id="rId1585" Type="http://schemas.openxmlformats.org/officeDocument/2006/relationships/hyperlink" Target="http://www2.assemblee-nationale.fr/deputes/fiche/OMC_PA721418" TargetMode="External"/><Relationship Id="rId991" Type="http://schemas.openxmlformats.org/officeDocument/2006/relationships/hyperlink" Target="https://www.nosdeputes.fr/frederique-lardet/csv" TargetMode="External"/><Relationship Id="rId1102" Type="http://schemas.openxmlformats.org/officeDocument/2006/relationships/hyperlink" Target="https://www.nosdeputes.fr/lionel-causse" TargetMode="External"/><Relationship Id="rId1586" Type="http://schemas.openxmlformats.org/officeDocument/2006/relationships/hyperlink" Target="https://www.nosdeputes.fr/patrick-mignola" TargetMode="External"/><Relationship Id="rId1532" Type="http://schemas.openxmlformats.org/officeDocument/2006/relationships/hyperlink" Target="https://www.nosdeputes.fr/maurice-leroy" TargetMode="External"/><Relationship Id="rId1533" Type="http://schemas.openxmlformats.org/officeDocument/2006/relationships/hyperlink" Target="https://www.nosdeputes.fr/maurice-leroy/csv" TargetMode="External"/><Relationship Id="rId1534" Type="http://schemas.openxmlformats.org/officeDocument/2006/relationships/hyperlink" Target="http://www2.assemblee-nationale.fr/deputes/fiche/OMC_PA334116" TargetMode="External"/><Relationship Id="rId1535" Type="http://schemas.openxmlformats.org/officeDocument/2006/relationships/hyperlink" Target="https://www.nosdeputes.fr/jacqueline-maquet" TargetMode="External"/><Relationship Id="rId1536" Type="http://schemas.openxmlformats.org/officeDocument/2006/relationships/hyperlink" Target="https://www.nosdeputes.fr/jacqueline-maquet/csv" TargetMode="External"/><Relationship Id="rId1537" Type="http://schemas.openxmlformats.org/officeDocument/2006/relationships/hyperlink" Target="http://www2.assemblee-nationale.fr/deputes/fiche/OMC_PA721656" TargetMode="External"/><Relationship Id="rId1538" Type="http://schemas.openxmlformats.org/officeDocument/2006/relationships/hyperlink" Target="https://www.nosdeputes.fr/cecile-muschotti" TargetMode="External"/><Relationship Id="rId1539" Type="http://schemas.openxmlformats.org/officeDocument/2006/relationships/hyperlink" Target="https://www.nosdeputes.fr/cecile-muschotti/csv" TargetMode="External"/><Relationship Id="rId949" Type="http://schemas.openxmlformats.org/officeDocument/2006/relationships/hyperlink" Target="http://www2.assemblee-nationale.fr/deputes/fiche/OMC_PA718674" TargetMode="External"/><Relationship Id="rId948" Type="http://schemas.openxmlformats.org/officeDocument/2006/relationships/hyperlink" Target="https://www.nosdeputes.fr/raphael-gerard/csv" TargetMode="External"/><Relationship Id="rId943" Type="http://schemas.openxmlformats.org/officeDocument/2006/relationships/hyperlink" Target="http://www2.assemblee-nationale.fr/deputes/fiche/OMC_PA721364" TargetMode="External"/><Relationship Id="rId942" Type="http://schemas.openxmlformats.org/officeDocument/2006/relationships/hyperlink" Target="https://www.nosdeputes.fr/patricia-gallerneau/csv" TargetMode="External"/><Relationship Id="rId941" Type="http://schemas.openxmlformats.org/officeDocument/2006/relationships/hyperlink" Target="https://www.nosdeputes.fr/patricia-gallerneau" TargetMode="External"/><Relationship Id="rId940" Type="http://schemas.openxmlformats.org/officeDocument/2006/relationships/hyperlink" Target="http://www2.assemblee-nationale.fr/deputes/fiche/OMC_PA721992" TargetMode="External"/><Relationship Id="rId947" Type="http://schemas.openxmlformats.org/officeDocument/2006/relationships/hyperlink" Target="https://www.nosdeputes.fr/raphael-gerard" TargetMode="External"/><Relationship Id="rId946" Type="http://schemas.openxmlformats.org/officeDocument/2006/relationships/hyperlink" Target="http://www2.assemblee-nationale.fr/deputes/fiche/OMC_PA719108" TargetMode="External"/><Relationship Id="rId945" Type="http://schemas.openxmlformats.org/officeDocument/2006/relationships/hyperlink" Target="https://www.nosdeputes.fr/raphael-gauvain/csv" TargetMode="External"/><Relationship Id="rId944" Type="http://schemas.openxmlformats.org/officeDocument/2006/relationships/hyperlink" Target="https://www.nosdeputes.fr/raphael-gauvain" TargetMode="External"/><Relationship Id="rId1530" Type="http://schemas.openxmlformats.org/officeDocument/2006/relationships/hyperlink" Target="https://www.nosdeputes.fr/jerome-lambert/csv" TargetMode="External"/><Relationship Id="rId1531" Type="http://schemas.openxmlformats.org/officeDocument/2006/relationships/hyperlink" Target="http://www2.assemblee-nationale.fr/deputes/fiche/OMC_PA1960" TargetMode="External"/><Relationship Id="rId1521" Type="http://schemas.openxmlformats.org/officeDocument/2006/relationships/hyperlink" Target="http://www2.assemblee-nationale.fr/deputes/fiche/OMC_PA722070" TargetMode="External"/><Relationship Id="rId1522" Type="http://schemas.openxmlformats.org/officeDocument/2006/relationships/hyperlink" Target="https://www.nosdeputes.fr/pierre-henriet" TargetMode="External"/><Relationship Id="rId1523" Type="http://schemas.openxmlformats.org/officeDocument/2006/relationships/hyperlink" Target="https://www.nosdeputes.fr/pierre-henriet/csv" TargetMode="External"/><Relationship Id="rId1524" Type="http://schemas.openxmlformats.org/officeDocument/2006/relationships/hyperlink" Target="http://www2.assemblee-nationale.fr/deputes/fiche/OMC_PA720202" TargetMode="External"/><Relationship Id="rId1525" Type="http://schemas.openxmlformats.org/officeDocument/2006/relationships/hyperlink" Target="https://www.nosdeputes.fr/sonia-krimi" TargetMode="External"/><Relationship Id="rId1526" Type="http://schemas.openxmlformats.org/officeDocument/2006/relationships/hyperlink" Target="https://www.nosdeputes.fr/sonia-krimi/csv" TargetMode="External"/><Relationship Id="rId1527" Type="http://schemas.openxmlformats.org/officeDocument/2006/relationships/hyperlink" Target="https://twitter.com/jeromelambert16" TargetMode="External"/><Relationship Id="rId1528" Type="http://schemas.openxmlformats.org/officeDocument/2006/relationships/hyperlink" Target="http://www2.assemblee-nationale.fr/deputes/fiche/OMC_PA1809" TargetMode="External"/><Relationship Id="rId1529" Type="http://schemas.openxmlformats.org/officeDocument/2006/relationships/hyperlink" Target="https://www.nosdeputes.fr/jerome-lambert" TargetMode="External"/><Relationship Id="rId939" Type="http://schemas.openxmlformats.org/officeDocument/2006/relationships/hyperlink" Target="https://www.nosdeputes.fr/bruno-fuchs/csv" TargetMode="External"/><Relationship Id="rId938" Type="http://schemas.openxmlformats.org/officeDocument/2006/relationships/hyperlink" Target="https://www.nosdeputes.fr/bruno-fuchs" TargetMode="External"/><Relationship Id="rId937" Type="http://schemas.openxmlformats.org/officeDocument/2006/relationships/hyperlink" Target="http://www2.assemblee-nationale.fr/deputes/fiche/OMC_PA722284" TargetMode="External"/><Relationship Id="rId932" Type="http://schemas.openxmlformats.org/officeDocument/2006/relationships/hyperlink" Target="https://www.nosdeputes.fr/olivier-falorni" TargetMode="External"/><Relationship Id="rId931" Type="http://schemas.openxmlformats.org/officeDocument/2006/relationships/hyperlink" Target="http://www2.assemblee-nationale.fr/deputes/fiche/OMC_PA605694" TargetMode="External"/><Relationship Id="rId930" Type="http://schemas.openxmlformats.org/officeDocument/2006/relationships/hyperlink" Target="https://www.nosdeputes.fr/nadia-essayan/csv" TargetMode="External"/><Relationship Id="rId936" Type="http://schemas.openxmlformats.org/officeDocument/2006/relationships/hyperlink" Target="https://www.nosdeputes.fr/paula-forteza/csv" TargetMode="External"/><Relationship Id="rId935" Type="http://schemas.openxmlformats.org/officeDocument/2006/relationships/hyperlink" Target="https://www.nosdeputes.fr/paula-forteza" TargetMode="External"/><Relationship Id="rId934" Type="http://schemas.openxmlformats.org/officeDocument/2006/relationships/hyperlink" Target="http://www2.assemblee-nationale.fr/deputes/fiche/OMC_PA721142" TargetMode="External"/><Relationship Id="rId933" Type="http://schemas.openxmlformats.org/officeDocument/2006/relationships/hyperlink" Target="https://www.nosdeputes.fr/olivier-falorni/csv" TargetMode="External"/><Relationship Id="rId1520" Type="http://schemas.openxmlformats.org/officeDocument/2006/relationships/hyperlink" Target="https://www.nosdeputes.fr/claire-guion-firmin/csv" TargetMode="External"/><Relationship Id="rId1554" Type="http://schemas.openxmlformats.org/officeDocument/2006/relationships/hyperlink" Target="https://www.nosdeputes.fr/cedric-villani/csv" TargetMode="External"/><Relationship Id="rId1555" Type="http://schemas.openxmlformats.org/officeDocument/2006/relationships/hyperlink" Target="http://www2.assemblee-nationale.fr/deputes/fiche/OMC_PA508" TargetMode="External"/><Relationship Id="rId1556" Type="http://schemas.openxmlformats.org/officeDocument/2006/relationships/hyperlink" Target="https://www.nosdeputes.fr/gisele-biemouret" TargetMode="External"/><Relationship Id="rId1557" Type="http://schemas.openxmlformats.org/officeDocument/2006/relationships/hyperlink" Target="https://www.nosdeputes.fr/gisele-biemouret/csv" TargetMode="External"/><Relationship Id="rId1558" Type="http://schemas.openxmlformats.org/officeDocument/2006/relationships/hyperlink" Target="http://www2.assemblee-nationale.fr/deputes/fiche/OMC_PA267241" TargetMode="External"/><Relationship Id="rId1559" Type="http://schemas.openxmlformats.org/officeDocument/2006/relationships/hyperlink" Target="https://www.nosdeputes.fr/stephane-demilly" TargetMode="External"/><Relationship Id="rId965" Type="http://schemas.openxmlformats.org/officeDocument/2006/relationships/hyperlink" Target="http://www2.assemblee-nationale.fr/deputes/fiche/OMC_PA267200" TargetMode="External"/><Relationship Id="rId964" Type="http://schemas.openxmlformats.org/officeDocument/2006/relationships/hyperlink" Target="https://www.nosdeputes.fr/christian-hutin/csv" TargetMode="External"/><Relationship Id="rId963" Type="http://schemas.openxmlformats.org/officeDocument/2006/relationships/hyperlink" Target="https://www.nosdeputes.fr/christian-hutin" TargetMode="External"/><Relationship Id="rId962" Type="http://schemas.openxmlformats.org/officeDocument/2006/relationships/hyperlink" Target="http://www2.assemblee-nationale.fr/deputes/fiche/OMC_PA333818" TargetMode="External"/><Relationship Id="rId969" Type="http://schemas.openxmlformats.org/officeDocument/2006/relationships/hyperlink" Target="https://www.nosdeputes.fr/monique-iborra" TargetMode="External"/><Relationship Id="rId968" Type="http://schemas.openxmlformats.org/officeDocument/2006/relationships/hyperlink" Target="http://www2.assemblee-nationale.fr/deputes/fiche/OMC_PA331835" TargetMode="External"/><Relationship Id="rId967" Type="http://schemas.openxmlformats.org/officeDocument/2006/relationships/hyperlink" Target="https://www.nosdeputes.fr/sebastien-huyghe/csv" TargetMode="External"/><Relationship Id="rId966" Type="http://schemas.openxmlformats.org/officeDocument/2006/relationships/hyperlink" Target="https://www.nosdeputes.fr/sebastien-huyghe" TargetMode="External"/><Relationship Id="rId961" Type="http://schemas.openxmlformats.org/officeDocument/2006/relationships/hyperlink" Target="https://twitter.com/ChristianHutin" TargetMode="External"/><Relationship Id="rId1550" Type="http://schemas.openxmlformats.org/officeDocument/2006/relationships/hyperlink" Target="https://www.nosdeputes.fr/michel-vialay" TargetMode="External"/><Relationship Id="rId960" Type="http://schemas.openxmlformats.org/officeDocument/2006/relationships/hyperlink" Target="https://www.nosdeputes.fr/daniele-herin/csv" TargetMode="External"/><Relationship Id="rId1551" Type="http://schemas.openxmlformats.org/officeDocument/2006/relationships/hyperlink" Target="https://www.nosdeputes.fr/michel-vialay/csv" TargetMode="External"/><Relationship Id="rId1552" Type="http://schemas.openxmlformats.org/officeDocument/2006/relationships/hyperlink" Target="http://www2.assemblee-nationale.fr/deputes/fiche/OMC_PA722260" TargetMode="External"/><Relationship Id="rId1553" Type="http://schemas.openxmlformats.org/officeDocument/2006/relationships/hyperlink" Target="https://www.nosdeputes.fr/cedric-villani" TargetMode="External"/><Relationship Id="rId1543" Type="http://schemas.openxmlformats.org/officeDocument/2006/relationships/hyperlink" Target="http://www2.assemblee-nationale.fr/deputes/fiche/OMC_PA720952" TargetMode="External"/><Relationship Id="rId1544" Type="http://schemas.openxmlformats.org/officeDocument/2006/relationships/hyperlink" Target="https://www.nosdeputes.fr/aurelien-tache" TargetMode="External"/><Relationship Id="rId1545" Type="http://schemas.openxmlformats.org/officeDocument/2006/relationships/hyperlink" Target="https://www.nosdeputes.fr/aurelien-tache/csv" TargetMode="External"/><Relationship Id="rId1546" Type="http://schemas.openxmlformats.org/officeDocument/2006/relationships/hyperlink" Target="http://www2.assemblee-nationale.fr/deputes/fiche/OMC_PA719302" TargetMode="External"/><Relationship Id="rId1547" Type="http://schemas.openxmlformats.org/officeDocument/2006/relationships/hyperlink" Target="https://www.nosdeputes.fr/alice-thourot" TargetMode="External"/><Relationship Id="rId1548" Type="http://schemas.openxmlformats.org/officeDocument/2006/relationships/hyperlink" Target="https://www.nosdeputes.fr/alice-thourot/csv" TargetMode="External"/><Relationship Id="rId1549" Type="http://schemas.openxmlformats.org/officeDocument/2006/relationships/hyperlink" Target="http://www2.assemblee-nationale.fr/deputes/fiche/OMC_PA721968" TargetMode="External"/><Relationship Id="rId959" Type="http://schemas.openxmlformats.org/officeDocument/2006/relationships/hyperlink" Target="https://www.nosdeputes.fr/daniele-herin" TargetMode="External"/><Relationship Id="rId954" Type="http://schemas.openxmlformats.org/officeDocument/2006/relationships/hyperlink" Target="https://www.nosdeputes.fr/david-habib/csv" TargetMode="External"/><Relationship Id="rId953" Type="http://schemas.openxmlformats.org/officeDocument/2006/relationships/hyperlink" Target="https://www.nosdeputes.fr/david-habib" TargetMode="External"/><Relationship Id="rId952" Type="http://schemas.openxmlformats.org/officeDocument/2006/relationships/hyperlink" Target="http://www2.assemblee-nationale.fr/deputes/fiche/OMC_PA1592" TargetMode="External"/><Relationship Id="rId951" Type="http://schemas.openxmlformats.org/officeDocument/2006/relationships/hyperlink" Target="https://www.nosdeputes.fr/olga-givernet/csv" TargetMode="External"/><Relationship Id="rId958" Type="http://schemas.openxmlformats.org/officeDocument/2006/relationships/hyperlink" Target="http://www2.assemblee-nationale.fr/deputes/fiche/OMC_PA718794" TargetMode="External"/><Relationship Id="rId957" Type="http://schemas.openxmlformats.org/officeDocument/2006/relationships/hyperlink" Target="https://www.nosdeputes.fr/veronique-hammerer/csv" TargetMode="External"/><Relationship Id="rId956" Type="http://schemas.openxmlformats.org/officeDocument/2006/relationships/hyperlink" Target="https://www.nosdeputes.fr/veronique-hammerer" TargetMode="External"/><Relationship Id="rId955" Type="http://schemas.openxmlformats.org/officeDocument/2006/relationships/hyperlink" Target="http://www2.assemblee-nationale.fr/deputes/fiche/OMC_PA719652" TargetMode="External"/><Relationship Id="rId950" Type="http://schemas.openxmlformats.org/officeDocument/2006/relationships/hyperlink" Target="https://www.nosdeputes.fr/olga-givernet" TargetMode="External"/><Relationship Id="rId1540" Type="http://schemas.openxmlformats.org/officeDocument/2006/relationships/hyperlink" Target="http://www2.assemblee-nationale.fr/deputes/fiche/OMC_PA721956" TargetMode="External"/><Relationship Id="rId1541" Type="http://schemas.openxmlformats.org/officeDocument/2006/relationships/hyperlink" Target="https://www.nosdeputes.fr/delphine-o" TargetMode="External"/><Relationship Id="rId1542" Type="http://schemas.openxmlformats.org/officeDocument/2006/relationships/hyperlink" Target="https://www.nosdeputes.fr/delphine-o/csv" TargetMode="External"/><Relationship Id="rId590" Type="http://schemas.openxmlformats.org/officeDocument/2006/relationships/hyperlink" Target="https://www.nosdeputes.fr/sophie-panonacle/csv" TargetMode="External"/><Relationship Id="rId107" Type="http://schemas.openxmlformats.org/officeDocument/2006/relationships/hyperlink" Target="http://www2.assemblee-nationale.fr/deputes/fiche/OMC_PA719756" TargetMode="External"/><Relationship Id="rId106" Type="http://schemas.openxmlformats.org/officeDocument/2006/relationships/hyperlink" Target="https://twitter.com/ChrisCloarec" TargetMode="External"/><Relationship Id="rId105" Type="http://schemas.openxmlformats.org/officeDocument/2006/relationships/hyperlink" Target="https://www.nosdeputes.fr/eric-ciotti/csv" TargetMode="External"/><Relationship Id="rId589" Type="http://schemas.openxmlformats.org/officeDocument/2006/relationships/hyperlink" Target="https://www.nosdeputes.fr/sophie-panonacle" TargetMode="External"/><Relationship Id="rId104" Type="http://schemas.openxmlformats.org/officeDocument/2006/relationships/hyperlink" Target="https://www.nosdeputes.fr/eric-ciotti" TargetMode="External"/><Relationship Id="rId588" Type="http://schemas.openxmlformats.org/officeDocument/2006/relationships/hyperlink" Target="http://www2.assemblee-nationale.fr/deputes/fiche/OMC_PA719632" TargetMode="External"/><Relationship Id="rId109" Type="http://schemas.openxmlformats.org/officeDocument/2006/relationships/hyperlink" Target="https://www.nosdeputes.fr/christine-cloarec/csv" TargetMode="External"/><Relationship Id="rId1170" Type="http://schemas.openxmlformats.org/officeDocument/2006/relationships/hyperlink" Target="https://www.nosdeputes.fr/laurence-gayte/csv" TargetMode="External"/><Relationship Id="rId108" Type="http://schemas.openxmlformats.org/officeDocument/2006/relationships/hyperlink" Target="https://www.nosdeputes.fr/christine-cloarec" TargetMode="External"/><Relationship Id="rId1171" Type="http://schemas.openxmlformats.org/officeDocument/2006/relationships/hyperlink" Target="https://twitter.com/GirardinEric" TargetMode="External"/><Relationship Id="rId583" Type="http://schemas.openxmlformats.org/officeDocument/2006/relationships/hyperlink" Target="https://www.nosdeputes.fr/christophe-naegelen/csv" TargetMode="External"/><Relationship Id="rId1172" Type="http://schemas.openxmlformats.org/officeDocument/2006/relationships/hyperlink" Target="http://www2.assemblee-nationale.fr/deputes/fiche/OMC_PA720222" TargetMode="External"/><Relationship Id="rId582" Type="http://schemas.openxmlformats.org/officeDocument/2006/relationships/hyperlink" Target="https://www.nosdeputes.fr/christophe-naegelen" TargetMode="External"/><Relationship Id="rId1173" Type="http://schemas.openxmlformats.org/officeDocument/2006/relationships/hyperlink" Target="https://www.nosdeputes.fr/eric-girardin" TargetMode="External"/><Relationship Id="rId581" Type="http://schemas.openxmlformats.org/officeDocument/2006/relationships/hyperlink" Target="http://www2.assemblee-nationale.fr/deputes/fiche/OMC_PA721486" TargetMode="External"/><Relationship Id="rId1174" Type="http://schemas.openxmlformats.org/officeDocument/2006/relationships/hyperlink" Target="https://www.nosdeputes.fr/eric-girardin/csv" TargetMode="External"/><Relationship Id="rId580" Type="http://schemas.openxmlformats.org/officeDocument/2006/relationships/hyperlink" Target="https://www.nosdeputes.fr/jean-baptiste-moreau/csv" TargetMode="External"/><Relationship Id="rId1175" Type="http://schemas.openxmlformats.org/officeDocument/2006/relationships/hyperlink" Target="http://www2.assemblee-nationale.fr/deputes/fiche/OMC_PA721296" TargetMode="External"/><Relationship Id="rId103" Type="http://schemas.openxmlformats.org/officeDocument/2006/relationships/hyperlink" Target="http://www2.assemblee-nationale.fr/deputes/fiche/OMC_PA330240" TargetMode="External"/><Relationship Id="rId587" Type="http://schemas.openxmlformats.org/officeDocument/2006/relationships/hyperlink" Target="https://twitter.com/SPanonacle" TargetMode="External"/><Relationship Id="rId1176" Type="http://schemas.openxmlformats.org/officeDocument/2006/relationships/hyperlink" Target="https://www.nosdeputes.fr/guillaume-gouffier-cha" TargetMode="External"/><Relationship Id="rId102" Type="http://schemas.openxmlformats.org/officeDocument/2006/relationships/hyperlink" Target="https://www.nosdeputes.fr/brigitte-bourguignon/csv" TargetMode="External"/><Relationship Id="rId586" Type="http://schemas.openxmlformats.org/officeDocument/2006/relationships/hyperlink" Target="https://www.nosdeputes.fr/jimmy-pahun/csv" TargetMode="External"/><Relationship Id="rId1177" Type="http://schemas.openxmlformats.org/officeDocument/2006/relationships/hyperlink" Target="https://www.nosdeputes.fr/guillaume-gouffier-cha/csv" TargetMode="External"/><Relationship Id="rId101" Type="http://schemas.openxmlformats.org/officeDocument/2006/relationships/hyperlink" Target="https://www.nosdeputes.fr/brigitte-bourguignon" TargetMode="External"/><Relationship Id="rId585" Type="http://schemas.openxmlformats.org/officeDocument/2006/relationships/hyperlink" Target="https://www.nosdeputes.fr/jimmy-pahun" TargetMode="External"/><Relationship Id="rId1178" Type="http://schemas.openxmlformats.org/officeDocument/2006/relationships/hyperlink" Target="http://www2.assemblee-nationale.fr/deputes/fiche/OMC_PA719330" TargetMode="External"/><Relationship Id="rId100" Type="http://schemas.openxmlformats.org/officeDocument/2006/relationships/hyperlink" Target="http://www2.assemblee-nationale.fr/deputes/fiche/OMC_PA608083" TargetMode="External"/><Relationship Id="rId584" Type="http://schemas.openxmlformats.org/officeDocument/2006/relationships/hyperlink" Target="http://www2.assemblee-nationale.fr/deputes/fiche/OMC_PA720334" TargetMode="External"/><Relationship Id="rId1179" Type="http://schemas.openxmlformats.org/officeDocument/2006/relationships/hyperlink" Target="https://www.nosdeputes.fr/fabien-gouttefarde" TargetMode="External"/><Relationship Id="rId1169" Type="http://schemas.openxmlformats.org/officeDocument/2006/relationships/hyperlink" Target="https://www.nosdeputes.fr/laurence-gayte" TargetMode="External"/><Relationship Id="rId579" Type="http://schemas.openxmlformats.org/officeDocument/2006/relationships/hyperlink" Target="https://www.nosdeputes.fr/jean-baptiste-moreau" TargetMode="External"/><Relationship Id="rId578" Type="http://schemas.openxmlformats.org/officeDocument/2006/relationships/hyperlink" Target="http://www2.assemblee-nationale.fr/deputes/fiche/OMC_PA719242" TargetMode="External"/><Relationship Id="rId577" Type="http://schemas.openxmlformats.org/officeDocument/2006/relationships/hyperlink" Target="https://www.nosdeputes.fr/paul-molac/csv" TargetMode="External"/><Relationship Id="rId1160" Type="http://schemas.openxmlformats.org/officeDocument/2006/relationships/hyperlink" Target="https://www.nosdeputes.fr/laurent-furst" TargetMode="External"/><Relationship Id="rId572" Type="http://schemas.openxmlformats.org/officeDocument/2006/relationships/hyperlink" Target="http://www2.assemblee-nationale.fr/deputes/fiche/OMC_PA2155" TargetMode="External"/><Relationship Id="rId1161" Type="http://schemas.openxmlformats.org/officeDocument/2006/relationships/hyperlink" Target="https://www.nosdeputes.fr/laurent-furst/csv" TargetMode="External"/><Relationship Id="rId571" Type="http://schemas.openxmlformats.org/officeDocument/2006/relationships/hyperlink" Target="https://www.nosdeputes.fr/stephane-mazars/csv" TargetMode="External"/><Relationship Id="rId1162" Type="http://schemas.openxmlformats.org/officeDocument/2006/relationships/hyperlink" Target="http://www2.assemblee-nationale.fr/deputes/fiche/OMC_PA267735" TargetMode="External"/><Relationship Id="rId570" Type="http://schemas.openxmlformats.org/officeDocument/2006/relationships/hyperlink" Target="https://www.nosdeputes.fr/stephane-mazars" TargetMode="External"/><Relationship Id="rId1163" Type="http://schemas.openxmlformats.org/officeDocument/2006/relationships/hyperlink" Target="https://www.nosdeputes.fr/claude-de-ganay" TargetMode="External"/><Relationship Id="rId1164" Type="http://schemas.openxmlformats.org/officeDocument/2006/relationships/hyperlink" Target="https://www.nosdeputes.fr/claude-de-ganay/csv" TargetMode="External"/><Relationship Id="rId576" Type="http://schemas.openxmlformats.org/officeDocument/2006/relationships/hyperlink" Target="https://www.nosdeputes.fr/paul-molac" TargetMode="External"/><Relationship Id="rId1165" Type="http://schemas.openxmlformats.org/officeDocument/2006/relationships/hyperlink" Target="http://www2.assemblee-nationale.fr/deputes/fiche/OMC_PA722358" TargetMode="External"/><Relationship Id="rId575" Type="http://schemas.openxmlformats.org/officeDocument/2006/relationships/hyperlink" Target="http://www2.assemblee-nationale.fr/deputes/fiche/OMC_PA607619" TargetMode="External"/><Relationship Id="rId1166" Type="http://schemas.openxmlformats.org/officeDocument/2006/relationships/hyperlink" Target="https://www.nosdeputes.fr/thomas-gassilloud" TargetMode="External"/><Relationship Id="rId574" Type="http://schemas.openxmlformats.org/officeDocument/2006/relationships/hyperlink" Target="https://www.nosdeputes.fr/gerard-menuel/csv" TargetMode="External"/><Relationship Id="rId1167" Type="http://schemas.openxmlformats.org/officeDocument/2006/relationships/hyperlink" Target="https://www.nosdeputes.fr/thomas-gassilloud/csv" TargetMode="External"/><Relationship Id="rId573" Type="http://schemas.openxmlformats.org/officeDocument/2006/relationships/hyperlink" Target="https://www.nosdeputes.fr/gerard-menuel" TargetMode="External"/><Relationship Id="rId1168" Type="http://schemas.openxmlformats.org/officeDocument/2006/relationships/hyperlink" Target="http://www2.assemblee-nationale.fr/deputes/fiche/OMC_PA720806" TargetMode="External"/><Relationship Id="rId129" Type="http://schemas.openxmlformats.org/officeDocument/2006/relationships/hyperlink" Target="https://www.nosdeputes.fr/christophe-jerretie" TargetMode="External"/><Relationship Id="rId128" Type="http://schemas.openxmlformats.org/officeDocument/2006/relationships/hyperlink" Target="http://www2.assemblee-nationale.fr/deputes/fiche/OMC_PA719060" TargetMode="External"/><Relationship Id="rId127" Type="http://schemas.openxmlformats.org/officeDocument/2006/relationships/hyperlink" Target="https://www.nosdeputes.fr/sacha-houlie/csv" TargetMode="External"/><Relationship Id="rId126" Type="http://schemas.openxmlformats.org/officeDocument/2006/relationships/hyperlink" Target="https://www.nosdeputes.fr/sacha-houlie" TargetMode="External"/><Relationship Id="rId1190" Type="http://schemas.openxmlformats.org/officeDocument/2006/relationships/hyperlink" Target="https://twitter.com/SandrineLeFeur" TargetMode="External"/><Relationship Id="rId1191" Type="http://schemas.openxmlformats.org/officeDocument/2006/relationships/hyperlink" Target="http://www2.assemblee-nationale.fr/deputes/fiche/OMC_PA719412" TargetMode="External"/><Relationship Id="rId1192" Type="http://schemas.openxmlformats.org/officeDocument/2006/relationships/hyperlink" Target="https://www.nosdeputes.fr/sandrine-le-feur" TargetMode="External"/><Relationship Id="rId1193" Type="http://schemas.openxmlformats.org/officeDocument/2006/relationships/hyperlink" Target="https://www.nosdeputes.fr/sandrine-le-feur/csv" TargetMode="External"/><Relationship Id="rId121" Type="http://schemas.openxmlformats.org/officeDocument/2006/relationships/hyperlink" Target="https://www.nosdeputes.fr/sarah-el-hairy/csv" TargetMode="External"/><Relationship Id="rId1194" Type="http://schemas.openxmlformats.org/officeDocument/2006/relationships/hyperlink" Target="http://www2.assemblee-nationale.fr/deputes/fiche/OMC_PA719388" TargetMode="External"/><Relationship Id="rId120" Type="http://schemas.openxmlformats.org/officeDocument/2006/relationships/hyperlink" Target="https://www.nosdeputes.fr/sarah-el-hairy" TargetMode="External"/><Relationship Id="rId1195" Type="http://schemas.openxmlformats.org/officeDocument/2006/relationships/hyperlink" Target="https://www.nosdeputes.fr/annaig-le-meur" TargetMode="External"/><Relationship Id="rId1196" Type="http://schemas.openxmlformats.org/officeDocument/2006/relationships/hyperlink" Target="https://www.nosdeputes.fr/annaig-le-meur/csv" TargetMode="External"/><Relationship Id="rId1197" Type="http://schemas.openxmlformats.org/officeDocument/2006/relationships/hyperlink" Target="http://www2.assemblee-nationale.fr/deputes/fiche/OMC_PA720614" TargetMode="External"/><Relationship Id="rId125" Type="http://schemas.openxmlformats.org/officeDocument/2006/relationships/hyperlink" Target="http://www2.assemblee-nationale.fr/deputes/fiche/OMC_PA722150" TargetMode="External"/><Relationship Id="rId1198" Type="http://schemas.openxmlformats.org/officeDocument/2006/relationships/hyperlink" Target="https://www.nosdeputes.fr/marine-le-pen" TargetMode="External"/><Relationship Id="rId124" Type="http://schemas.openxmlformats.org/officeDocument/2006/relationships/hyperlink" Target="https://www.nosdeputes.fr/jean-michel-fauvergue/csv" TargetMode="External"/><Relationship Id="rId1199" Type="http://schemas.openxmlformats.org/officeDocument/2006/relationships/hyperlink" Target="https://www.nosdeputes.fr/marine-le-pen/csv" TargetMode="External"/><Relationship Id="rId123" Type="http://schemas.openxmlformats.org/officeDocument/2006/relationships/hyperlink" Target="https://www.nosdeputes.fr/jean-michel-fauvergue" TargetMode="External"/><Relationship Id="rId122" Type="http://schemas.openxmlformats.org/officeDocument/2006/relationships/hyperlink" Target="http://www2.assemblee-nationale.fr/deputes/fiche/OMC_PA721702" TargetMode="External"/><Relationship Id="rId118" Type="http://schemas.openxmlformats.org/officeDocument/2006/relationships/hyperlink" Target="https://www.nosdeputes.fr/pierre-henri-dumont/csv" TargetMode="External"/><Relationship Id="rId117" Type="http://schemas.openxmlformats.org/officeDocument/2006/relationships/hyperlink" Target="https://www.nosdeputes.fr/pierre-henri-dumont" TargetMode="External"/><Relationship Id="rId116" Type="http://schemas.openxmlformats.org/officeDocument/2006/relationships/hyperlink" Target="http://www2.assemblee-nationale.fr/deputes/fiche/OMC_PA720684" TargetMode="External"/><Relationship Id="rId115" Type="http://schemas.openxmlformats.org/officeDocument/2006/relationships/hyperlink" Target="https://www.nosdeputes.fr/fabien-di-filippo/csv" TargetMode="External"/><Relationship Id="rId599" Type="http://schemas.openxmlformats.org/officeDocument/2006/relationships/hyperlink" Target="https://www.nosdeputes.fr/francois-pupponi/csv" TargetMode="External"/><Relationship Id="rId1180" Type="http://schemas.openxmlformats.org/officeDocument/2006/relationships/hyperlink" Target="https://www.nosdeputes.fr/fabien-gouttefarde/csv" TargetMode="External"/><Relationship Id="rId1181" Type="http://schemas.openxmlformats.org/officeDocument/2006/relationships/hyperlink" Target="http://www2.assemblee-nationale.fr/deputes/fiche/OMC_PA605084" TargetMode="External"/><Relationship Id="rId119" Type="http://schemas.openxmlformats.org/officeDocument/2006/relationships/hyperlink" Target="http://www2.assemblee-nationale.fr/deputes/fiche/OMC_PA720002" TargetMode="External"/><Relationship Id="rId1182" Type="http://schemas.openxmlformats.org/officeDocument/2006/relationships/hyperlink" Target="https://www.nosdeputes.fr/jacques-krabal" TargetMode="External"/><Relationship Id="rId110" Type="http://schemas.openxmlformats.org/officeDocument/2006/relationships/hyperlink" Target="http://www2.assemblee-nationale.fr/deputes/fiche/OMC_PA721210" TargetMode="External"/><Relationship Id="rId594" Type="http://schemas.openxmlformats.org/officeDocument/2006/relationships/hyperlink" Target="http://www2.assemblee-nationale.fr/deputes/fiche/OMC_PA608011" TargetMode="External"/><Relationship Id="rId1183" Type="http://schemas.openxmlformats.org/officeDocument/2006/relationships/hyperlink" Target="https://www.nosdeputes.fr/jacques-krabal/csv" TargetMode="External"/><Relationship Id="rId593" Type="http://schemas.openxmlformats.org/officeDocument/2006/relationships/hyperlink" Target="https://www.nosdeputes.fr/jean-pierre-pont/csv" TargetMode="External"/><Relationship Id="rId1184" Type="http://schemas.openxmlformats.org/officeDocument/2006/relationships/hyperlink" Target="http://www2.assemblee-nationale.fr/deputes/fiche/OMC_PA719842" TargetMode="External"/><Relationship Id="rId592" Type="http://schemas.openxmlformats.org/officeDocument/2006/relationships/hyperlink" Target="https://www.nosdeputes.fr/jean-pierre-pont" TargetMode="External"/><Relationship Id="rId1185" Type="http://schemas.openxmlformats.org/officeDocument/2006/relationships/hyperlink" Target="https://www.nosdeputes.fr/mustapha-laabid" TargetMode="External"/><Relationship Id="rId591" Type="http://schemas.openxmlformats.org/officeDocument/2006/relationships/hyperlink" Target="http://www2.assemblee-nationale.fr/deputes/fiche/OMC_PA2449" TargetMode="External"/><Relationship Id="rId1186" Type="http://schemas.openxmlformats.org/officeDocument/2006/relationships/hyperlink" Target="https://www.nosdeputes.fr/mustapha-laabid/csv" TargetMode="External"/><Relationship Id="rId114" Type="http://schemas.openxmlformats.org/officeDocument/2006/relationships/hyperlink" Target="https://www.nosdeputes.fr/fabien-di-filippo" TargetMode="External"/><Relationship Id="rId598" Type="http://schemas.openxmlformats.org/officeDocument/2006/relationships/hyperlink" Target="https://www.nosdeputes.fr/francois-pupponi" TargetMode="External"/><Relationship Id="rId1187" Type="http://schemas.openxmlformats.org/officeDocument/2006/relationships/hyperlink" Target="http://www2.assemblee-nationale.fr/deputes/fiche/OMC_PA719728" TargetMode="External"/><Relationship Id="rId113" Type="http://schemas.openxmlformats.org/officeDocument/2006/relationships/hyperlink" Target="http://www2.assemblee-nationale.fr/deputes/fiche/OMC_PA720386" TargetMode="External"/><Relationship Id="rId597" Type="http://schemas.openxmlformats.org/officeDocument/2006/relationships/hyperlink" Target="http://www2.assemblee-nationale.fr/deputes/fiche/OMC_PA405480" TargetMode="External"/><Relationship Id="rId1188" Type="http://schemas.openxmlformats.org/officeDocument/2006/relationships/hyperlink" Target="https://www.nosdeputes.fr/gael-le-bohec" TargetMode="External"/><Relationship Id="rId112" Type="http://schemas.openxmlformats.org/officeDocument/2006/relationships/hyperlink" Target="https://www.nosdeputes.fr/alexis-corbiere/csv" TargetMode="External"/><Relationship Id="rId596" Type="http://schemas.openxmlformats.org/officeDocument/2006/relationships/hyperlink" Target="https://www.nosdeputes.fr/joaquim-pueyo/csv" TargetMode="External"/><Relationship Id="rId1189" Type="http://schemas.openxmlformats.org/officeDocument/2006/relationships/hyperlink" Target="https://www.nosdeputes.fr/gael-le-bohec/csv" TargetMode="External"/><Relationship Id="rId111" Type="http://schemas.openxmlformats.org/officeDocument/2006/relationships/hyperlink" Target="https://www.nosdeputes.fr/alexis-corbiere" TargetMode="External"/><Relationship Id="rId595" Type="http://schemas.openxmlformats.org/officeDocument/2006/relationships/hyperlink" Target="https://www.nosdeputes.fr/joaquim-pueyo" TargetMode="External"/><Relationship Id="rId1136" Type="http://schemas.openxmlformats.org/officeDocument/2006/relationships/hyperlink" Target="https://www.nosdeputes.fr/coralie-dubost/csv" TargetMode="External"/><Relationship Id="rId1137" Type="http://schemas.openxmlformats.org/officeDocument/2006/relationships/hyperlink" Target="http://www2.assemblee-nationale.fr/deputes/fiche/OMC_PA721194" TargetMode="External"/><Relationship Id="rId1138" Type="http://schemas.openxmlformats.org/officeDocument/2006/relationships/hyperlink" Target="https://www.nosdeputes.fr/frederique-dumas" TargetMode="External"/><Relationship Id="rId1139" Type="http://schemas.openxmlformats.org/officeDocument/2006/relationships/hyperlink" Target="https://www.nosdeputes.fr/frederique-dumas/csv" TargetMode="External"/><Relationship Id="rId547" Type="http://schemas.openxmlformats.org/officeDocument/2006/relationships/hyperlink" Target="https://www.nosdeputes.fr/marc-le-fur/csv" TargetMode="External"/><Relationship Id="rId546" Type="http://schemas.openxmlformats.org/officeDocument/2006/relationships/hyperlink" Target="https://www.nosdeputes.fr/marc-le-fur" TargetMode="External"/><Relationship Id="rId545" Type="http://schemas.openxmlformats.org/officeDocument/2006/relationships/hyperlink" Target="http://www2.assemblee-nationale.fr/deputes/fiche/OMC_PA1874" TargetMode="External"/><Relationship Id="rId544" Type="http://schemas.openxmlformats.org/officeDocument/2006/relationships/hyperlink" Target="https://www.nosdeputes.fr/celia-de-lavergne/csv" TargetMode="External"/><Relationship Id="rId549" Type="http://schemas.openxmlformats.org/officeDocument/2006/relationships/hyperlink" Target="https://www.nosdeputes.fr/gilles-le-gendre" TargetMode="External"/><Relationship Id="rId548" Type="http://schemas.openxmlformats.org/officeDocument/2006/relationships/hyperlink" Target="http://www2.assemblee-nationale.fr/deputes/fiche/OMC_PA721466" TargetMode="External"/><Relationship Id="rId1130" Type="http://schemas.openxmlformats.org/officeDocument/2006/relationships/hyperlink" Target="https://www.nosdeputes.fr/loic-dombreval/csv" TargetMode="External"/><Relationship Id="rId1131" Type="http://schemas.openxmlformats.org/officeDocument/2006/relationships/hyperlink" Target="http://www2.assemblee-nationale.fr/deputes/fiche/OMC_PA719162" TargetMode="External"/><Relationship Id="rId543" Type="http://schemas.openxmlformats.org/officeDocument/2006/relationships/hyperlink" Target="https://www.nosdeputes.fr/celia-de-lavergne" TargetMode="External"/><Relationship Id="rId1132" Type="http://schemas.openxmlformats.org/officeDocument/2006/relationships/hyperlink" Target="https://www.nosdeputes.fr/jacqueline-dubois" TargetMode="External"/><Relationship Id="rId542" Type="http://schemas.openxmlformats.org/officeDocument/2006/relationships/hyperlink" Target="http://www2.assemblee-nationale.fr/deputes/fiche/OMC_PA719310" TargetMode="External"/><Relationship Id="rId1133" Type="http://schemas.openxmlformats.org/officeDocument/2006/relationships/hyperlink" Target="https://www.nosdeputes.fr/jacqueline-dubois/csv" TargetMode="External"/><Relationship Id="rId541" Type="http://schemas.openxmlformats.org/officeDocument/2006/relationships/hyperlink" Target="https://www.nosdeputes.fr/michel-lauzzana/csv" TargetMode="External"/><Relationship Id="rId1134" Type="http://schemas.openxmlformats.org/officeDocument/2006/relationships/hyperlink" Target="http://www2.assemblee-nationale.fr/deputes/fiche/OMC_PA719684" TargetMode="External"/><Relationship Id="rId540" Type="http://schemas.openxmlformats.org/officeDocument/2006/relationships/hyperlink" Target="https://www.nosdeputes.fr/michel-lauzzana" TargetMode="External"/><Relationship Id="rId1135" Type="http://schemas.openxmlformats.org/officeDocument/2006/relationships/hyperlink" Target="https://www.nosdeputes.fr/coralie-dubost" TargetMode="External"/><Relationship Id="rId1125" Type="http://schemas.openxmlformats.org/officeDocument/2006/relationships/hyperlink" Target="http://www2.assemblee-nationale.fr/deputes/fiche/OMC_PA722236" TargetMode="External"/><Relationship Id="rId1126" Type="http://schemas.openxmlformats.org/officeDocument/2006/relationships/hyperlink" Target="https://www.nosdeputes.fr/jean-baptiste-djebbari" TargetMode="External"/><Relationship Id="rId1127" Type="http://schemas.openxmlformats.org/officeDocument/2006/relationships/hyperlink" Target="https://www.nosdeputes.fr/jean-baptiste-djebbari/csv" TargetMode="External"/><Relationship Id="rId1128" Type="http://schemas.openxmlformats.org/officeDocument/2006/relationships/hyperlink" Target="http://www2.assemblee-nationale.fr/deputes/fiche/OMC_PA718894" TargetMode="External"/><Relationship Id="rId1129" Type="http://schemas.openxmlformats.org/officeDocument/2006/relationships/hyperlink" Target="https://www.nosdeputes.fr/loic-dombreval" TargetMode="External"/><Relationship Id="rId536" Type="http://schemas.openxmlformats.org/officeDocument/2006/relationships/hyperlink" Target="https://www.nosdeputes.fr/philippe-latombe" TargetMode="External"/><Relationship Id="rId535" Type="http://schemas.openxmlformats.org/officeDocument/2006/relationships/hyperlink" Target="http://www2.assemblee-nationale.fr/deputes/fiche/OMC_PA721984" TargetMode="External"/><Relationship Id="rId534" Type="http://schemas.openxmlformats.org/officeDocument/2006/relationships/hyperlink" Target="https://twitter.com/platombe" TargetMode="External"/><Relationship Id="rId533" Type="http://schemas.openxmlformats.org/officeDocument/2006/relationships/hyperlink" Target="https://www.nosdeputes.fr/guillaume-larrive/csv" TargetMode="External"/><Relationship Id="rId539" Type="http://schemas.openxmlformats.org/officeDocument/2006/relationships/hyperlink" Target="http://www2.assemblee-nationale.fr/deputes/fiche/OMC_PA720022" TargetMode="External"/><Relationship Id="rId538" Type="http://schemas.openxmlformats.org/officeDocument/2006/relationships/hyperlink" Target="https://twitter.com/lauzzanamichel" TargetMode="External"/><Relationship Id="rId537" Type="http://schemas.openxmlformats.org/officeDocument/2006/relationships/hyperlink" Target="https://www.nosdeputes.fr/philippe-latombe/csv" TargetMode="External"/><Relationship Id="rId1120" Type="http://schemas.openxmlformats.org/officeDocument/2006/relationships/hyperlink" Target="https://www.nosdeputes.fr/beatrice-descamps" TargetMode="External"/><Relationship Id="rId532" Type="http://schemas.openxmlformats.org/officeDocument/2006/relationships/hyperlink" Target="https://www.nosdeputes.fr/guillaume-larrive" TargetMode="External"/><Relationship Id="rId1121" Type="http://schemas.openxmlformats.org/officeDocument/2006/relationships/hyperlink" Target="https://www.nosdeputes.fr/beatrice-descamps/csv" TargetMode="External"/><Relationship Id="rId531" Type="http://schemas.openxmlformats.org/officeDocument/2006/relationships/hyperlink" Target="http://www2.assemblee-nationale.fr/deputes/fiche/OMC_PA267785" TargetMode="External"/><Relationship Id="rId1122" Type="http://schemas.openxmlformats.org/officeDocument/2006/relationships/hyperlink" Target="http://www2.assemblee-nationale.fr/deputes/fiche/OMC_PA267440" TargetMode="External"/><Relationship Id="rId530" Type="http://schemas.openxmlformats.org/officeDocument/2006/relationships/hyperlink" Target="https://www.nosdeputes.fr/fadila-khattabi/csv" TargetMode="External"/><Relationship Id="rId1123" Type="http://schemas.openxmlformats.org/officeDocument/2006/relationships/hyperlink" Target="https://www.nosdeputes.fr/eric-diard" TargetMode="External"/><Relationship Id="rId1124" Type="http://schemas.openxmlformats.org/officeDocument/2006/relationships/hyperlink" Target="https://www.nosdeputes.fr/eric-diard/csv" TargetMode="External"/><Relationship Id="rId1158" Type="http://schemas.openxmlformats.org/officeDocument/2006/relationships/hyperlink" Target="https://fr-fr.facebook.com/profile.php?id=100008830864450/%7Chttp://www.laurentfurst.fr" TargetMode="External"/><Relationship Id="rId1159" Type="http://schemas.openxmlformats.org/officeDocument/2006/relationships/hyperlink" Target="http://www2.assemblee-nationale.fr/deputes/fiche/OMC_PA266774" TargetMode="External"/><Relationship Id="rId569" Type="http://schemas.openxmlformats.org/officeDocument/2006/relationships/hyperlink" Target="http://www2.assemblee-nationale.fr/deputes/fiche/OMC_PA677483" TargetMode="External"/><Relationship Id="rId568" Type="http://schemas.openxmlformats.org/officeDocument/2006/relationships/hyperlink" Target="https://www.nosdeputes.fr/olivier-marleix/csv" TargetMode="External"/><Relationship Id="rId567" Type="http://schemas.openxmlformats.org/officeDocument/2006/relationships/hyperlink" Target="https://www.nosdeputes.fr/olivier-marleix" TargetMode="External"/><Relationship Id="rId566" Type="http://schemas.openxmlformats.org/officeDocument/2006/relationships/hyperlink" Target="http://www2.assemblee-nationale.fr/deputes/fiche/OMC_PA606098" TargetMode="External"/><Relationship Id="rId561" Type="http://schemas.openxmlformats.org/officeDocument/2006/relationships/hyperlink" Target="https://www.nosdeputes.fr/alexandra-louis" TargetMode="External"/><Relationship Id="rId1150" Type="http://schemas.openxmlformats.org/officeDocument/2006/relationships/hyperlink" Target="https://www.nosdeputes.fr/agnes-firmin-le-bodo/csv" TargetMode="External"/><Relationship Id="rId560" Type="http://schemas.openxmlformats.org/officeDocument/2006/relationships/hyperlink" Target="http://www2.assemblee-nationale.fr/deputes/fiche/OMC_PA718918" TargetMode="External"/><Relationship Id="rId1151" Type="http://schemas.openxmlformats.org/officeDocument/2006/relationships/hyperlink" Target="https://fr-fr.facebook.com/emmanuelle.fontaine.domeizel/" TargetMode="External"/><Relationship Id="rId1152" Type="http://schemas.openxmlformats.org/officeDocument/2006/relationships/hyperlink" Target="http://www2.assemblee-nationale.fr/deputes/fiche/OMC_PA718706" TargetMode="External"/><Relationship Id="rId1153" Type="http://schemas.openxmlformats.org/officeDocument/2006/relationships/hyperlink" Target="https://www.nosdeputes.fr/emmanuelle-fontaine-domeizel" TargetMode="External"/><Relationship Id="rId565" Type="http://schemas.openxmlformats.org/officeDocument/2006/relationships/hyperlink" Target="https://www.nosdeputes.fr/lise-magnier/csv" TargetMode="External"/><Relationship Id="rId1154" Type="http://schemas.openxmlformats.org/officeDocument/2006/relationships/hyperlink" Target="https://www.nosdeputes.fr/emmanuelle-fontaine-domeizel/csv" TargetMode="External"/><Relationship Id="rId564" Type="http://schemas.openxmlformats.org/officeDocument/2006/relationships/hyperlink" Target="https://www.nosdeputes.fr/lise-magnier" TargetMode="External"/><Relationship Id="rId1155" Type="http://schemas.openxmlformats.org/officeDocument/2006/relationships/hyperlink" Target="http://www2.assemblee-nationale.fr/deputes/fiche/OMC_PA721384" TargetMode="External"/><Relationship Id="rId563" Type="http://schemas.openxmlformats.org/officeDocument/2006/relationships/hyperlink" Target="http://www2.assemblee-nationale.fr/deputes/fiche/OMC_PA720230" TargetMode="External"/><Relationship Id="rId1156" Type="http://schemas.openxmlformats.org/officeDocument/2006/relationships/hyperlink" Target="https://www.nosdeputes.fr/pascale-fontenel-personne" TargetMode="External"/><Relationship Id="rId562" Type="http://schemas.openxmlformats.org/officeDocument/2006/relationships/hyperlink" Target="https://www.nosdeputes.fr/alexandra-louis/csv" TargetMode="External"/><Relationship Id="rId1157" Type="http://schemas.openxmlformats.org/officeDocument/2006/relationships/hyperlink" Target="https://www.nosdeputes.fr/pascale-fontenel-personne/csv" TargetMode="External"/><Relationship Id="rId1147" Type="http://schemas.openxmlformats.org/officeDocument/2006/relationships/hyperlink" Target="https://twitter.com/agnesfirmin" TargetMode="External"/><Relationship Id="rId1148" Type="http://schemas.openxmlformats.org/officeDocument/2006/relationships/hyperlink" Target="http://www2.assemblee-nationale.fr/deputes/fiche/OMC_PA267780" TargetMode="External"/><Relationship Id="rId1149" Type="http://schemas.openxmlformats.org/officeDocument/2006/relationships/hyperlink" Target="https://www.nosdeputes.fr/agnes-firmin-le-bodo" TargetMode="External"/><Relationship Id="rId558" Type="http://schemas.openxmlformats.org/officeDocument/2006/relationships/hyperlink" Target="https://www.nosdeputes.fr/vincent-ledoux" TargetMode="External"/><Relationship Id="rId557" Type="http://schemas.openxmlformats.org/officeDocument/2006/relationships/hyperlink" Target="http://www2.assemblee-nationale.fr/deputes/fiche/OMC_PA712014" TargetMode="External"/><Relationship Id="rId556" Type="http://schemas.openxmlformats.org/officeDocument/2006/relationships/hyperlink" Target="https://www.nosdeputes.fr/charlotte-lecocq/csv" TargetMode="External"/><Relationship Id="rId555" Type="http://schemas.openxmlformats.org/officeDocument/2006/relationships/hyperlink" Target="https://www.nosdeputes.fr/charlotte-lecocq" TargetMode="External"/><Relationship Id="rId559" Type="http://schemas.openxmlformats.org/officeDocument/2006/relationships/hyperlink" Target="https://www.nosdeputes.fr/vincent-ledoux/csv" TargetMode="External"/><Relationship Id="rId550" Type="http://schemas.openxmlformats.org/officeDocument/2006/relationships/hyperlink" Target="https://www.nosdeputes.fr/gilles-le-gendre/csv" TargetMode="External"/><Relationship Id="rId1140" Type="http://schemas.openxmlformats.org/officeDocument/2006/relationships/hyperlink" Target="http://www2.assemblee-nationale.fr/deputes/fiche/OMC_PA721564" TargetMode="External"/><Relationship Id="rId1141" Type="http://schemas.openxmlformats.org/officeDocument/2006/relationships/hyperlink" Target="https://www.nosdeputes.fr/elise-fajgeles" TargetMode="External"/><Relationship Id="rId1142" Type="http://schemas.openxmlformats.org/officeDocument/2006/relationships/hyperlink" Target="https://www.nosdeputes.fr/elise-fajgeles/csv" TargetMode="External"/><Relationship Id="rId554" Type="http://schemas.openxmlformats.org/officeDocument/2006/relationships/hyperlink" Target="http://www2.assemblee-nationale.fr/deputes/fiche/OMC_PA720480" TargetMode="External"/><Relationship Id="rId1143" Type="http://schemas.openxmlformats.org/officeDocument/2006/relationships/hyperlink" Target="https://twitter.com/michelfanget" TargetMode="External"/><Relationship Id="rId553" Type="http://schemas.openxmlformats.org/officeDocument/2006/relationships/hyperlink" Target="https://www.nosdeputes.fr/nicole-le-peih/csv" TargetMode="External"/><Relationship Id="rId1144" Type="http://schemas.openxmlformats.org/officeDocument/2006/relationships/hyperlink" Target="http://www2.assemblee-nationale.fr/deputes/fiche/OMC_PA1276" TargetMode="External"/><Relationship Id="rId552" Type="http://schemas.openxmlformats.org/officeDocument/2006/relationships/hyperlink" Target="https://www.nosdeputes.fr/nicole-le-peih" TargetMode="External"/><Relationship Id="rId1145" Type="http://schemas.openxmlformats.org/officeDocument/2006/relationships/hyperlink" Target="https://www.nosdeputes.fr/michel-fanget" TargetMode="External"/><Relationship Id="rId551" Type="http://schemas.openxmlformats.org/officeDocument/2006/relationships/hyperlink" Target="http://www2.assemblee-nationale.fr/deputes/fiche/OMC_PA720342" TargetMode="External"/><Relationship Id="rId1146" Type="http://schemas.openxmlformats.org/officeDocument/2006/relationships/hyperlink" Target="https://www.nosdeputes.fr/michel-fanget/csv" TargetMode="External"/><Relationship Id="rId495" Type="http://schemas.openxmlformats.org/officeDocument/2006/relationships/hyperlink" Target="https://www.nosdeputes.fr/daniel-fasquelle/csv" TargetMode="External"/><Relationship Id="rId494" Type="http://schemas.openxmlformats.org/officeDocument/2006/relationships/hyperlink" Target="https://www.nosdeputes.fr/daniel-fasquelle" TargetMode="External"/><Relationship Id="rId493" Type="http://schemas.openxmlformats.org/officeDocument/2006/relationships/hyperlink" Target="http://www2.assemblee-nationale.fr/deputes/fiche/OMC_PA334149" TargetMode="External"/><Relationship Id="rId492" Type="http://schemas.openxmlformats.org/officeDocument/2006/relationships/hyperlink" Target="https://www.nosdeputes.fr/catherine-fabre/csv" TargetMode="External"/><Relationship Id="rId499" Type="http://schemas.openxmlformats.org/officeDocument/2006/relationships/hyperlink" Target="http://www2.assemblee-nationale.fr/deputes/fiche/OMC_PA719938" TargetMode="External"/><Relationship Id="rId498" Type="http://schemas.openxmlformats.org/officeDocument/2006/relationships/hyperlink" Target="https://www.nosdeputes.fr/elsa-faucillon/csv" TargetMode="External"/><Relationship Id="rId497" Type="http://schemas.openxmlformats.org/officeDocument/2006/relationships/hyperlink" Target="https://www.nosdeputes.fr/elsa-faucillon" TargetMode="External"/><Relationship Id="rId496" Type="http://schemas.openxmlformats.org/officeDocument/2006/relationships/hyperlink" Target="http://www2.assemblee-nationale.fr/deputes/fiche/OMC_PA721896" TargetMode="External"/><Relationship Id="rId1610" Type="http://schemas.openxmlformats.org/officeDocument/2006/relationships/hyperlink" Target="http://www2.assemblee-nationale.fr/deputes/fiche/OMC_PA720030" TargetMode="External"/><Relationship Id="rId1611" Type="http://schemas.openxmlformats.org/officeDocument/2006/relationships/hyperlink" Target="https://www.nosdeputes.fr/alexandre-freschi" TargetMode="External"/><Relationship Id="rId1612" Type="http://schemas.openxmlformats.org/officeDocument/2006/relationships/hyperlink" Target="https://www.nosdeputes.fr/alexandre-freschi/csv" TargetMode="External"/><Relationship Id="rId1613" Type="http://schemas.openxmlformats.org/officeDocument/2006/relationships/hyperlink" Target="http://www2.assemblee-nationale.fr/deputes/fiche/OMC_PA610775" TargetMode="External"/><Relationship Id="rId1614" Type="http://schemas.openxmlformats.org/officeDocument/2006/relationships/hyperlink" Target="https://www.nosdeputes.fr/philippe-gomes" TargetMode="External"/><Relationship Id="rId1615" Type="http://schemas.openxmlformats.org/officeDocument/2006/relationships/hyperlink" Target="https://www.nosdeputes.fr/philippe-gomes/csv" TargetMode="External"/><Relationship Id="rId1616" Type="http://schemas.openxmlformats.org/officeDocument/2006/relationships/hyperlink" Target="http://www2.assemblee-nationale.fr/deputes/fiche/OMC_PA267801" TargetMode="External"/><Relationship Id="rId907" Type="http://schemas.openxmlformats.org/officeDocument/2006/relationships/hyperlink" Target="https://www.nosdeputes.fr/sebastien-cazenove" TargetMode="External"/><Relationship Id="rId1617" Type="http://schemas.openxmlformats.org/officeDocument/2006/relationships/hyperlink" Target="https://www.nosdeputes.fr/yves-jego" TargetMode="External"/><Relationship Id="rId906" Type="http://schemas.openxmlformats.org/officeDocument/2006/relationships/hyperlink" Target="http://www2.assemblee-nationale.fr/deputes/fiche/OMC_PA720814" TargetMode="External"/><Relationship Id="rId1618" Type="http://schemas.openxmlformats.org/officeDocument/2006/relationships/hyperlink" Target="https://www.nosdeputes.fr/yves-jego/csv" TargetMode="External"/><Relationship Id="rId905" Type="http://schemas.openxmlformats.org/officeDocument/2006/relationships/hyperlink" Target="https://www.nosdeputes.fr/guy-bricout/csv" TargetMode="External"/><Relationship Id="rId1619" Type="http://schemas.openxmlformats.org/officeDocument/2006/relationships/hyperlink" Target="http://www2.assemblee-nationale.fr/deputes/fiche/OMC_PA722300" TargetMode="External"/><Relationship Id="rId904" Type="http://schemas.openxmlformats.org/officeDocument/2006/relationships/hyperlink" Target="https://www.nosdeputes.fr/guy-bricout" TargetMode="External"/><Relationship Id="rId909" Type="http://schemas.openxmlformats.org/officeDocument/2006/relationships/hyperlink" Target="http://www2.assemblee-nationale.fr/deputes/fiche/OMC_PA719748" TargetMode="External"/><Relationship Id="rId908" Type="http://schemas.openxmlformats.org/officeDocument/2006/relationships/hyperlink" Target="https://www.nosdeputes.fr/sebastien-cazenove/csv" TargetMode="External"/><Relationship Id="rId903" Type="http://schemas.openxmlformats.org/officeDocument/2006/relationships/hyperlink" Target="http://www2.assemblee-nationale.fr/deputes/fiche/OMC_PA267766" TargetMode="External"/><Relationship Id="rId902" Type="http://schemas.openxmlformats.org/officeDocument/2006/relationships/hyperlink" Target="https://www.nosdeputes.fr/bertrand-bouyx/csv" TargetMode="External"/><Relationship Id="rId901" Type="http://schemas.openxmlformats.org/officeDocument/2006/relationships/hyperlink" Target="https://www.nosdeputes.fr/bertrand-bouyx" TargetMode="External"/><Relationship Id="rId900" Type="http://schemas.openxmlformats.org/officeDocument/2006/relationships/hyperlink" Target="http://www2.assemblee-nationale.fr/deputes/fiche/OMC_PA719032" TargetMode="External"/><Relationship Id="rId1600" Type="http://schemas.openxmlformats.org/officeDocument/2006/relationships/hyperlink" Target="https://www.nosdeputes.fr/jean-charles-taugourdeau/csv" TargetMode="External"/><Relationship Id="rId1601" Type="http://schemas.openxmlformats.org/officeDocument/2006/relationships/hyperlink" Target="http://www2.assemblee-nationale.fr/deputes/fiche/OMC_PA721522" TargetMode="External"/><Relationship Id="rId1602" Type="http://schemas.openxmlformats.org/officeDocument/2006/relationships/hyperlink" Target="https://www.nosdeputes.fr/xavier-batut" TargetMode="External"/><Relationship Id="rId1603" Type="http://schemas.openxmlformats.org/officeDocument/2006/relationships/hyperlink" Target="https://www.nosdeputes.fr/xavier-batut/csv" TargetMode="External"/><Relationship Id="rId1604" Type="http://schemas.openxmlformats.org/officeDocument/2006/relationships/hyperlink" Target="http://www2.assemblee-nationale.fr/deputes/fiche/OMC_PA720116" TargetMode="External"/><Relationship Id="rId1605" Type="http://schemas.openxmlformats.org/officeDocument/2006/relationships/hyperlink" Target="https://www.nosdeputes.fr/anne-france-brunet" TargetMode="External"/><Relationship Id="rId1606" Type="http://schemas.openxmlformats.org/officeDocument/2006/relationships/hyperlink" Target="https://www.nosdeputes.fr/anne-france-brunet/csv" TargetMode="External"/><Relationship Id="rId1607" Type="http://schemas.openxmlformats.org/officeDocument/2006/relationships/hyperlink" Target="http://www2.assemblee-nationale.fr/deputes/fiche/OMC_PA720996" TargetMode="External"/><Relationship Id="rId1608" Type="http://schemas.openxmlformats.org/officeDocument/2006/relationships/hyperlink" Target="https://www.nosdeputes.fr/m-jid-el-guerrab" TargetMode="External"/><Relationship Id="rId1609" Type="http://schemas.openxmlformats.org/officeDocument/2006/relationships/hyperlink" Target="https://www.nosdeputes.fr/m-jid-el-guerrab/csv" TargetMode="External"/><Relationship Id="rId1631" Type="http://schemas.openxmlformats.org/officeDocument/2006/relationships/hyperlink" Target="http://www2.assemblee-nationale.fr/deputes/fiche/OMC_PA720988" TargetMode="External"/><Relationship Id="rId1632" Type="http://schemas.openxmlformats.org/officeDocument/2006/relationships/hyperlink" Target="https://www.nosdeputes.fr/josette-manin" TargetMode="External"/><Relationship Id="rId1633" Type="http://schemas.openxmlformats.org/officeDocument/2006/relationships/hyperlink" Target="https://www.nosdeputes.fr/josette-manin/csv" TargetMode="External"/><Relationship Id="rId1634" Type="http://schemas.openxmlformats.org/officeDocument/2006/relationships/hyperlink" Target="http://www2.assemblee-nationale.fr/deputes/fiche/OMC_PA719668" TargetMode="External"/><Relationship Id="rId1635" Type="http://schemas.openxmlformats.org/officeDocument/2006/relationships/hyperlink" Target="https://www.nosdeputes.fr/patricia-miralles" TargetMode="External"/><Relationship Id="rId1636" Type="http://schemas.openxmlformats.org/officeDocument/2006/relationships/hyperlink" Target="https://www.nosdeputes.fr/patricia-miralles/csv" TargetMode="External"/><Relationship Id="rId1637" Type="http://schemas.openxmlformats.org/officeDocument/2006/relationships/hyperlink" Target="http://www2.assemblee-nationale.fr/deputes/fiche/OMC_PA330788" TargetMode="External"/><Relationship Id="rId1638" Type="http://schemas.openxmlformats.org/officeDocument/2006/relationships/hyperlink" Target="https://www.nosdeputes.fr/bernard-reynes" TargetMode="External"/><Relationship Id="rId929" Type="http://schemas.openxmlformats.org/officeDocument/2006/relationships/hyperlink" Target="https://www.nosdeputes.fr/nadia-essayan" TargetMode="External"/><Relationship Id="rId1639" Type="http://schemas.openxmlformats.org/officeDocument/2006/relationships/hyperlink" Target="https://www.nosdeputes.fr/bernard-reynes/csv" TargetMode="External"/><Relationship Id="rId928" Type="http://schemas.openxmlformats.org/officeDocument/2006/relationships/hyperlink" Target="http://www2.assemblee-nationale.fr/deputes/fiche/OMC_PA719044" TargetMode="External"/><Relationship Id="rId927" Type="http://schemas.openxmlformats.org/officeDocument/2006/relationships/hyperlink" Target="https://www.nosdeputes.fr/jean-francois-eliaou/csv" TargetMode="External"/><Relationship Id="rId926" Type="http://schemas.openxmlformats.org/officeDocument/2006/relationships/hyperlink" Target="https://www.nosdeputes.fr/jean-francois-eliaou" TargetMode="External"/><Relationship Id="rId921" Type="http://schemas.openxmlformats.org/officeDocument/2006/relationships/hyperlink" Target="https://www.nosdeputes.fr/yolaine-de-courson/csv" TargetMode="External"/><Relationship Id="rId920" Type="http://schemas.openxmlformats.org/officeDocument/2006/relationships/hyperlink" Target="https://www.nosdeputes.fr/yolaine-de-courson" TargetMode="External"/><Relationship Id="rId925" Type="http://schemas.openxmlformats.org/officeDocument/2006/relationships/hyperlink" Target="http://www2.assemblee-nationale.fr/deputes/fiche/OMC_PA719692" TargetMode="External"/><Relationship Id="rId924" Type="http://schemas.openxmlformats.org/officeDocument/2006/relationships/hyperlink" Target="https://www.nosdeputes.fr/frederic-descrozaille/csv" TargetMode="External"/><Relationship Id="rId923" Type="http://schemas.openxmlformats.org/officeDocument/2006/relationships/hyperlink" Target="https://www.nosdeputes.fr/frederic-descrozaille" TargetMode="External"/><Relationship Id="rId922" Type="http://schemas.openxmlformats.org/officeDocument/2006/relationships/hyperlink" Target="http://www2.assemblee-nationale.fr/deputes/fiche/OMC_PA720862" TargetMode="External"/><Relationship Id="rId1630" Type="http://schemas.openxmlformats.org/officeDocument/2006/relationships/hyperlink" Target="https://www.nosdeputes.fr/marie-france-lorho/csv" TargetMode="External"/><Relationship Id="rId1620" Type="http://schemas.openxmlformats.org/officeDocument/2006/relationships/hyperlink" Target="https://www.nosdeputes.fr/anissa-khedher" TargetMode="External"/><Relationship Id="rId1621" Type="http://schemas.openxmlformats.org/officeDocument/2006/relationships/hyperlink" Target="https://www.nosdeputes.fr/anissa-khedher/csv" TargetMode="External"/><Relationship Id="rId1622" Type="http://schemas.openxmlformats.org/officeDocument/2006/relationships/hyperlink" Target="http://www2.assemblee-nationale.fr/deputes/fiche/OMC_PA268019" TargetMode="External"/><Relationship Id="rId1623" Type="http://schemas.openxmlformats.org/officeDocument/2006/relationships/hyperlink" Target="https://www.nosdeputes.fr/jean-christophe-lagarde" TargetMode="External"/><Relationship Id="rId1624" Type="http://schemas.openxmlformats.org/officeDocument/2006/relationships/hyperlink" Target="https://www.nosdeputes.fr/jean-christophe-lagarde/csv" TargetMode="External"/><Relationship Id="rId1625" Type="http://schemas.openxmlformats.org/officeDocument/2006/relationships/hyperlink" Target="http://www2.assemblee-nationale.fr/deputes/fiche/OMC_PA719396" TargetMode="External"/><Relationship Id="rId1626" Type="http://schemas.openxmlformats.org/officeDocument/2006/relationships/hyperlink" Target="https://www.nosdeputes.fr/jean-charles-larsonneur" TargetMode="External"/><Relationship Id="rId1627" Type="http://schemas.openxmlformats.org/officeDocument/2006/relationships/hyperlink" Target="https://www.nosdeputes.fr/jean-charles-larsonneur/csv" TargetMode="External"/><Relationship Id="rId918" Type="http://schemas.openxmlformats.org/officeDocument/2006/relationships/hyperlink" Target="https://twitter.com/ydecourson" TargetMode="External"/><Relationship Id="rId1628" Type="http://schemas.openxmlformats.org/officeDocument/2006/relationships/hyperlink" Target="http://www2.assemblee-nationale.fr/deputes/fiche/OMC_PA721932" TargetMode="External"/><Relationship Id="rId917" Type="http://schemas.openxmlformats.org/officeDocument/2006/relationships/hyperlink" Target="https://www.nosdeputes.fr/francois-cornut-gentille/csv" TargetMode="External"/><Relationship Id="rId1629" Type="http://schemas.openxmlformats.org/officeDocument/2006/relationships/hyperlink" Target="https://www.nosdeputes.fr/marie-france-lorho" TargetMode="External"/><Relationship Id="rId916" Type="http://schemas.openxmlformats.org/officeDocument/2006/relationships/hyperlink" Target="https://www.nosdeputes.fr/francois-cornut-gentille" TargetMode="External"/><Relationship Id="rId915" Type="http://schemas.openxmlformats.org/officeDocument/2006/relationships/hyperlink" Target="http://www2.assemblee-nationale.fr/deputes/fiche/OMC_PA923" TargetMode="External"/><Relationship Id="rId919" Type="http://schemas.openxmlformats.org/officeDocument/2006/relationships/hyperlink" Target="http://www2.assemblee-nationale.fr/deputes/fiche/OMC_PA719194" TargetMode="External"/><Relationship Id="rId910" Type="http://schemas.openxmlformats.org/officeDocument/2006/relationships/hyperlink" Target="https://www.nosdeputes.fr/emilie-chalas" TargetMode="External"/><Relationship Id="rId914" Type="http://schemas.openxmlformats.org/officeDocument/2006/relationships/hyperlink" Target="https://www.nosdeputes.fr/annie-chapelier/csv" TargetMode="External"/><Relationship Id="rId913" Type="http://schemas.openxmlformats.org/officeDocument/2006/relationships/hyperlink" Target="https://www.nosdeputes.fr/annie-chapelier" TargetMode="External"/><Relationship Id="rId912" Type="http://schemas.openxmlformats.org/officeDocument/2006/relationships/hyperlink" Target="http://www2.assemblee-nationale.fr/deputes/fiche/OMC_PA719448" TargetMode="External"/><Relationship Id="rId911" Type="http://schemas.openxmlformats.org/officeDocument/2006/relationships/hyperlink" Target="https://www.nosdeputes.fr/emilie-chalas/csv" TargetMode="External"/><Relationship Id="rId1213" Type="http://schemas.openxmlformats.org/officeDocument/2006/relationships/hyperlink" Target="https://www.nosdeputes.fr/george-pau-langevin" TargetMode="External"/><Relationship Id="rId1697" Type="http://schemas.openxmlformats.org/officeDocument/2006/relationships/hyperlink" Target="https://www.nosdeputes.fr/guy-teissier" TargetMode="External"/><Relationship Id="rId1214" Type="http://schemas.openxmlformats.org/officeDocument/2006/relationships/hyperlink" Target="https://www.nosdeputes.fr/george-pau-langevin/csv" TargetMode="External"/><Relationship Id="rId1698" Type="http://schemas.openxmlformats.org/officeDocument/2006/relationships/hyperlink" Target="https://www.nosdeputes.fr/guy-teissier/csv" TargetMode="External"/><Relationship Id="rId1215" Type="http://schemas.openxmlformats.org/officeDocument/2006/relationships/hyperlink" Target="http://www2.assemblee-nationale.fr/deputes/fiche/OMC_PA718930" TargetMode="External"/><Relationship Id="rId1699" Type="http://schemas.openxmlformats.org/officeDocument/2006/relationships/hyperlink" Target="https://twitter.com/hvchristophe" TargetMode="External"/><Relationship Id="rId1216" Type="http://schemas.openxmlformats.org/officeDocument/2006/relationships/hyperlink" Target="https://www.nosdeputes.fr/anne-laurence-petel" TargetMode="External"/><Relationship Id="rId1217" Type="http://schemas.openxmlformats.org/officeDocument/2006/relationships/hyperlink" Target="https://www.nosdeputes.fr/anne-laurence-petel/csv" TargetMode="External"/><Relationship Id="rId1218" Type="http://schemas.openxmlformats.org/officeDocument/2006/relationships/hyperlink" Target="http://www2.assemblee-nationale.fr/deputes/fiche/OMC_PA718910" TargetMode="External"/><Relationship Id="rId1219" Type="http://schemas.openxmlformats.org/officeDocument/2006/relationships/hyperlink" Target="https://www.nosdeputes.fr/claire-pitollat" TargetMode="External"/><Relationship Id="rId866" Type="http://schemas.openxmlformats.org/officeDocument/2006/relationships/hyperlink" Target="https://www.nosdeputes.fr/louis-aliot/csv" TargetMode="External"/><Relationship Id="rId865" Type="http://schemas.openxmlformats.org/officeDocument/2006/relationships/hyperlink" Target="https://www.nosdeputes.fr/louis-aliot" TargetMode="External"/><Relationship Id="rId864" Type="http://schemas.openxmlformats.org/officeDocument/2006/relationships/hyperlink" Target="http://www2.assemblee-nationale.fr/deputes/fiche/OMC_PA720798" TargetMode="External"/><Relationship Id="rId863" Type="http://schemas.openxmlformats.org/officeDocument/2006/relationships/hyperlink" Target="https://www.nosdeputes.fr/damien-adam/csv" TargetMode="External"/><Relationship Id="rId869" Type="http://schemas.openxmlformats.org/officeDocument/2006/relationships/hyperlink" Target="https://www.nosdeputes.fr/christophe-arend/csv" TargetMode="External"/><Relationship Id="rId868" Type="http://schemas.openxmlformats.org/officeDocument/2006/relationships/hyperlink" Target="https://www.nosdeputes.fr/christophe-arend" TargetMode="External"/><Relationship Id="rId867" Type="http://schemas.openxmlformats.org/officeDocument/2006/relationships/hyperlink" Target="http://www2.assemblee-nationale.fr/deputes/fiche/OMC_PA720310" TargetMode="External"/><Relationship Id="rId1690" Type="http://schemas.openxmlformats.org/officeDocument/2006/relationships/hyperlink" Target="http://www2.assemblee-nationale.fr/deputes/fiche/OMC_PA267324" TargetMode="External"/><Relationship Id="rId1691" Type="http://schemas.openxmlformats.org/officeDocument/2006/relationships/hyperlink" Target="https://www.nosdeputes.fr/jean-jacques-gaultier" TargetMode="External"/><Relationship Id="rId1692" Type="http://schemas.openxmlformats.org/officeDocument/2006/relationships/hyperlink" Target="https://www.nosdeputes.fr/jean-jacques-gaultier/csv" TargetMode="External"/><Relationship Id="rId862" Type="http://schemas.openxmlformats.org/officeDocument/2006/relationships/hyperlink" Target="https://www.nosdeputes.fr/damien-adam" TargetMode="External"/><Relationship Id="rId1693" Type="http://schemas.openxmlformats.org/officeDocument/2006/relationships/hyperlink" Target="http://www2.assemblee-nationale.fr/deputes/fiche/OMC_PA337483" TargetMode="External"/><Relationship Id="rId861" Type="http://schemas.openxmlformats.org/officeDocument/2006/relationships/hyperlink" Target="http://www2.assemblee-nationale.fr/deputes/fiche/OMC_PA722038" TargetMode="External"/><Relationship Id="rId1210" Type="http://schemas.openxmlformats.org/officeDocument/2006/relationships/hyperlink" Target="https://www.nosdeputes.fr/jerome-nury" TargetMode="External"/><Relationship Id="rId1694" Type="http://schemas.openxmlformats.org/officeDocument/2006/relationships/hyperlink" Target="https://www.nosdeputes.fr/serge-letchimy" TargetMode="External"/><Relationship Id="rId860" Type="http://schemas.openxmlformats.org/officeDocument/2006/relationships/hyperlink" Target="https://www.nosdeputes.fr/guillaume-vuilletet/csv" TargetMode="External"/><Relationship Id="rId1211" Type="http://schemas.openxmlformats.org/officeDocument/2006/relationships/hyperlink" Target="https://www.nosdeputes.fr/jerome-nury/csv" TargetMode="External"/><Relationship Id="rId1695" Type="http://schemas.openxmlformats.org/officeDocument/2006/relationships/hyperlink" Target="https://www.nosdeputes.fr/serge-letchimy/csv" TargetMode="External"/><Relationship Id="rId1212" Type="http://schemas.openxmlformats.org/officeDocument/2006/relationships/hyperlink" Target="http://www2.assemblee-nationale.fr/deputes/fiche/OMC_PA335532" TargetMode="External"/><Relationship Id="rId1696" Type="http://schemas.openxmlformats.org/officeDocument/2006/relationships/hyperlink" Target="http://www2.assemblee-nationale.fr/deputes/fiche/OMC_PA2796" TargetMode="External"/><Relationship Id="rId1202" Type="http://schemas.openxmlformats.org/officeDocument/2006/relationships/hyperlink" Target="https://www.nosdeputes.fr/sebastien-leclerc/csv" TargetMode="External"/><Relationship Id="rId1686" Type="http://schemas.openxmlformats.org/officeDocument/2006/relationships/hyperlink" Target="https://www.nosdeputes.fr/jean-claude-bouchet/csv" TargetMode="External"/><Relationship Id="rId1203" Type="http://schemas.openxmlformats.org/officeDocument/2006/relationships/hyperlink" Target="http://www2.assemblee-nationale.fr/deputes/fiche/OMC_PA721726" TargetMode="External"/><Relationship Id="rId1687" Type="http://schemas.openxmlformats.org/officeDocument/2006/relationships/hyperlink" Target="http://www2.assemblee-nationale.fr/deputes/fiche/OMC_PA721352" TargetMode="External"/><Relationship Id="rId1204" Type="http://schemas.openxmlformats.org/officeDocument/2006/relationships/hyperlink" Target="https://www.nosdeputes.fr/sereine-mauborgne" TargetMode="External"/><Relationship Id="rId1688" Type="http://schemas.openxmlformats.org/officeDocument/2006/relationships/hyperlink" Target="https://www.nosdeputes.fr/daniele-cazarian" TargetMode="External"/><Relationship Id="rId1205" Type="http://schemas.openxmlformats.org/officeDocument/2006/relationships/hyperlink" Target="https://www.nosdeputes.fr/sereine-mauborgne/csv" TargetMode="External"/><Relationship Id="rId1689" Type="http://schemas.openxmlformats.org/officeDocument/2006/relationships/hyperlink" Target="https://www.nosdeputes.fr/daniele-cazarian/csv" TargetMode="External"/><Relationship Id="rId1206" Type="http://schemas.openxmlformats.org/officeDocument/2006/relationships/hyperlink" Target="http://www2.assemblee-nationale.fr/deputes/fiche/OMC_PA720870" TargetMode="External"/><Relationship Id="rId1207" Type="http://schemas.openxmlformats.org/officeDocument/2006/relationships/hyperlink" Target="https://www.nosdeputes.fr/jean-francois-mbaye" TargetMode="External"/><Relationship Id="rId1208" Type="http://schemas.openxmlformats.org/officeDocument/2006/relationships/hyperlink" Target="https://www.nosdeputes.fr/jean-francois-mbaye/csv" TargetMode="External"/><Relationship Id="rId1209" Type="http://schemas.openxmlformats.org/officeDocument/2006/relationships/hyperlink" Target="http://www2.assemblee-nationale.fr/deputes/fiche/OMC_PA720644" TargetMode="External"/><Relationship Id="rId855" Type="http://schemas.openxmlformats.org/officeDocument/2006/relationships/hyperlink" Target="http://www2.assemblee-nationale.fr/deputes/fiche/OMC_PA718780" TargetMode="External"/><Relationship Id="rId854" Type="http://schemas.openxmlformats.org/officeDocument/2006/relationships/hyperlink" Target="https://www.nosdeputes.fr/sabine-thillaye/csv" TargetMode="External"/><Relationship Id="rId853" Type="http://schemas.openxmlformats.org/officeDocument/2006/relationships/hyperlink" Target="https://www.nosdeputes.fr/sabine-thillaye" TargetMode="External"/><Relationship Id="rId852" Type="http://schemas.openxmlformats.org/officeDocument/2006/relationships/hyperlink" Target="http://www2.assemblee-nationale.fr/deputes/fiche/OMC_PA719822" TargetMode="External"/><Relationship Id="rId859" Type="http://schemas.openxmlformats.org/officeDocument/2006/relationships/hyperlink" Target="https://www.nosdeputes.fr/guillaume-vuilletet" TargetMode="External"/><Relationship Id="rId858" Type="http://schemas.openxmlformats.org/officeDocument/2006/relationships/hyperlink" Target="http://www2.assemblee-nationale.fr/deputes/fiche/OMC_PA721262" TargetMode="External"/><Relationship Id="rId857" Type="http://schemas.openxmlformats.org/officeDocument/2006/relationships/hyperlink" Target="https://www.nosdeputes.fr/laurence-trastour-isnart/csv" TargetMode="External"/><Relationship Id="rId856" Type="http://schemas.openxmlformats.org/officeDocument/2006/relationships/hyperlink" Target="https://www.nosdeputes.fr/laurence-trastour-isnart" TargetMode="External"/><Relationship Id="rId1680" Type="http://schemas.openxmlformats.org/officeDocument/2006/relationships/hyperlink" Target="https://www.nosdeputes.fr/gabriel-serville/csv" TargetMode="External"/><Relationship Id="rId1681" Type="http://schemas.openxmlformats.org/officeDocument/2006/relationships/hyperlink" Target="http://www2.assemblee-nationale.fr/deputes/fiche/OMC_PA721344" TargetMode="External"/><Relationship Id="rId851" Type="http://schemas.openxmlformats.org/officeDocument/2006/relationships/hyperlink" Target="https://www.nosdeputes.fr/agnes-thill/csv" TargetMode="External"/><Relationship Id="rId1682" Type="http://schemas.openxmlformats.org/officeDocument/2006/relationships/hyperlink" Target="https://www.nosdeputes.fr/bruno-bonnell" TargetMode="External"/><Relationship Id="rId850" Type="http://schemas.openxmlformats.org/officeDocument/2006/relationships/hyperlink" Target="https://www.nosdeputes.fr/agnes-thill" TargetMode="External"/><Relationship Id="rId1683" Type="http://schemas.openxmlformats.org/officeDocument/2006/relationships/hyperlink" Target="https://www.nosdeputes.fr/bruno-bonnell/csv" TargetMode="External"/><Relationship Id="rId1200" Type="http://schemas.openxmlformats.org/officeDocument/2006/relationships/hyperlink" Target="http://www2.assemblee-nationale.fr/deputes/fiche/OMC_PA340853" TargetMode="External"/><Relationship Id="rId1684" Type="http://schemas.openxmlformats.org/officeDocument/2006/relationships/hyperlink" Target="http://www2.assemblee-nationale.fr/deputes/fiche/OMC_PA336316" TargetMode="External"/><Relationship Id="rId1201" Type="http://schemas.openxmlformats.org/officeDocument/2006/relationships/hyperlink" Target="https://www.nosdeputes.fr/sebastien-leclerc" TargetMode="External"/><Relationship Id="rId1685" Type="http://schemas.openxmlformats.org/officeDocument/2006/relationships/hyperlink" Target="https://www.nosdeputes.fr/jean-claude-bouchet" TargetMode="External"/><Relationship Id="rId1235" Type="http://schemas.openxmlformats.org/officeDocument/2006/relationships/hyperlink" Target="http://www2.assemblee-nationale.fr/deputes/fiche/OMC_PA334768" TargetMode="External"/><Relationship Id="rId1236" Type="http://schemas.openxmlformats.org/officeDocument/2006/relationships/hyperlink" Target="https://www.nosdeputes.fr/jean-louis-touraine" TargetMode="External"/><Relationship Id="rId1237" Type="http://schemas.openxmlformats.org/officeDocument/2006/relationships/hyperlink" Target="https://www.nosdeputes.fr/jean-louis-touraine/csv" TargetMode="External"/><Relationship Id="rId1238" Type="http://schemas.openxmlformats.org/officeDocument/2006/relationships/hyperlink" Target="http://www2.assemblee-nationale.fr/deputes/fiche/OMC_PA2828" TargetMode="External"/><Relationship Id="rId1239" Type="http://schemas.openxmlformats.org/officeDocument/2006/relationships/hyperlink" Target="https://www.nosdeputes.fr/alain-tourret" TargetMode="External"/><Relationship Id="rId409" Type="http://schemas.openxmlformats.org/officeDocument/2006/relationships/hyperlink" Target="https://www.nosdeputes.fr/mireille-robert/csv" TargetMode="External"/><Relationship Id="rId404" Type="http://schemas.openxmlformats.org/officeDocument/2006/relationships/hyperlink" Target="http://www2.assemblee-nationale.fr/deputes/fiche/OMC_PA721426" TargetMode="External"/><Relationship Id="rId888" Type="http://schemas.openxmlformats.org/officeDocument/2006/relationships/hyperlink" Target="http://www2.assemblee-nationale.fr/deputes/fiche/OMC_PA720822" TargetMode="External"/><Relationship Id="rId403" Type="http://schemas.openxmlformats.org/officeDocument/2006/relationships/hyperlink" Target="https://www.nosdeputes.fr/adrien-quatennens/csv" TargetMode="External"/><Relationship Id="rId887" Type="http://schemas.openxmlformats.org/officeDocument/2006/relationships/hyperlink" Target="https://www.nosdeputes.fr/barbara-bessot-ballot/csv" TargetMode="External"/><Relationship Id="rId402" Type="http://schemas.openxmlformats.org/officeDocument/2006/relationships/hyperlink" Target="https://www.nosdeputes.fr/adrien-quatennens" TargetMode="External"/><Relationship Id="rId886" Type="http://schemas.openxmlformats.org/officeDocument/2006/relationships/hyperlink" Target="https://www.nosdeputes.fr/barbara-bessot-ballot" TargetMode="External"/><Relationship Id="rId401" Type="http://schemas.openxmlformats.org/officeDocument/2006/relationships/hyperlink" Target="http://www2.assemblee-nationale.fr/deputes/fiche/OMC_PA720422" TargetMode="External"/><Relationship Id="rId885" Type="http://schemas.openxmlformats.org/officeDocument/2006/relationships/hyperlink" Target="http://www2.assemblee-nationale.fr/deputes/fiche/OMC_PA722312" TargetMode="External"/><Relationship Id="rId408" Type="http://schemas.openxmlformats.org/officeDocument/2006/relationships/hyperlink" Target="https://www.nosdeputes.fr/mireille-robert" TargetMode="External"/><Relationship Id="rId407" Type="http://schemas.openxmlformats.org/officeDocument/2006/relationships/hyperlink" Target="http://www2.assemblee-nationale.fr/deputes/fiche/OMC_PA718810" TargetMode="External"/><Relationship Id="rId406" Type="http://schemas.openxmlformats.org/officeDocument/2006/relationships/hyperlink" Target="https://www.nosdeputes.fr/veronique-riotton/csv" TargetMode="External"/><Relationship Id="rId405" Type="http://schemas.openxmlformats.org/officeDocument/2006/relationships/hyperlink" Target="https://www.nosdeputes.fr/veronique-riotton" TargetMode="External"/><Relationship Id="rId889" Type="http://schemas.openxmlformats.org/officeDocument/2006/relationships/hyperlink" Target="https://www.nosdeputes.fr/bruno-bilde" TargetMode="External"/><Relationship Id="rId880" Type="http://schemas.openxmlformats.org/officeDocument/2006/relationships/hyperlink" Target="https://www.nosdeputes.fr/philippe-berta" TargetMode="External"/><Relationship Id="rId1230" Type="http://schemas.openxmlformats.org/officeDocument/2006/relationships/hyperlink" Target="https://www.nosdeputes.fr/laetitia-saint-paul" TargetMode="External"/><Relationship Id="rId400" Type="http://schemas.openxmlformats.org/officeDocument/2006/relationships/hyperlink" Target="https://www.nosdeputes.fr/loic-prud-homme/csv" TargetMode="External"/><Relationship Id="rId884" Type="http://schemas.openxmlformats.org/officeDocument/2006/relationships/hyperlink" Target="https://www.nosdeputes.fr/gregory-besson-moreau/csv" TargetMode="External"/><Relationship Id="rId1231" Type="http://schemas.openxmlformats.org/officeDocument/2006/relationships/hyperlink" Target="https://www.nosdeputes.fr/laetitia-saint-paul/csv" TargetMode="External"/><Relationship Id="rId883" Type="http://schemas.openxmlformats.org/officeDocument/2006/relationships/hyperlink" Target="https://www.nosdeputes.fr/gregory-besson-moreau" TargetMode="External"/><Relationship Id="rId1232" Type="http://schemas.openxmlformats.org/officeDocument/2006/relationships/hyperlink" Target="http://www2.assemblee-nationale.fr/deputes/fiche/OMC_PA720830" TargetMode="External"/><Relationship Id="rId882" Type="http://schemas.openxmlformats.org/officeDocument/2006/relationships/hyperlink" Target="http://www2.assemblee-nationale.fr/deputes/fiche/OMC_PA718876" TargetMode="External"/><Relationship Id="rId1233" Type="http://schemas.openxmlformats.org/officeDocument/2006/relationships/hyperlink" Target="https://www.nosdeputes.fr/valerie-thomas" TargetMode="External"/><Relationship Id="rId881" Type="http://schemas.openxmlformats.org/officeDocument/2006/relationships/hyperlink" Target="https://www.nosdeputes.fr/philippe-berta/csv" TargetMode="External"/><Relationship Id="rId1234" Type="http://schemas.openxmlformats.org/officeDocument/2006/relationships/hyperlink" Target="https://www.nosdeputes.fr/valerie-thomas/csv" TargetMode="External"/><Relationship Id="rId1224" Type="http://schemas.openxmlformats.org/officeDocument/2006/relationships/hyperlink" Target="https://twitter.com/isabelle_rauch" TargetMode="External"/><Relationship Id="rId1225" Type="http://schemas.openxmlformats.org/officeDocument/2006/relationships/hyperlink" Target="http://www2.assemblee-nationale.fr/deputes/fiche/OMC_PA720552" TargetMode="External"/><Relationship Id="rId1226" Type="http://schemas.openxmlformats.org/officeDocument/2006/relationships/hyperlink" Target="https://www.nosdeputes.fr/isabelle-rauch" TargetMode="External"/><Relationship Id="rId1227" Type="http://schemas.openxmlformats.org/officeDocument/2006/relationships/hyperlink" Target="https://www.nosdeputes.fr/isabelle-rauch/csv" TargetMode="External"/><Relationship Id="rId1228" Type="http://schemas.openxmlformats.org/officeDocument/2006/relationships/hyperlink" Target="http://laetitiasaintpaul.enmarche.fr" TargetMode="External"/><Relationship Id="rId1229" Type="http://schemas.openxmlformats.org/officeDocument/2006/relationships/hyperlink" Target="http://www2.assemblee-nationale.fr/deputes/fiche/OMC_PA720138" TargetMode="External"/><Relationship Id="rId877" Type="http://schemas.openxmlformats.org/officeDocument/2006/relationships/hyperlink" Target="https://www.nosdeputes.fr/aurore-berge" TargetMode="External"/><Relationship Id="rId876" Type="http://schemas.openxmlformats.org/officeDocument/2006/relationships/hyperlink" Target="http://www2.assemblee-nationale.fr/deputes/fiche/OMC_PA722046" TargetMode="External"/><Relationship Id="rId875" Type="http://schemas.openxmlformats.org/officeDocument/2006/relationships/hyperlink" Target="https://www.nosdeputes.fr/geraldine-bannier/csv" TargetMode="External"/><Relationship Id="rId874" Type="http://schemas.openxmlformats.org/officeDocument/2006/relationships/hyperlink" Target="https://www.nosdeputes.fr/geraldine-bannier" TargetMode="External"/><Relationship Id="rId879" Type="http://schemas.openxmlformats.org/officeDocument/2006/relationships/hyperlink" Target="http://www2.assemblee-nationale.fr/deputes/fiche/OMC_PA719488" TargetMode="External"/><Relationship Id="rId878" Type="http://schemas.openxmlformats.org/officeDocument/2006/relationships/hyperlink" Target="https://www.nosdeputes.fr/aurore-berge/csv" TargetMode="External"/><Relationship Id="rId873" Type="http://schemas.openxmlformats.org/officeDocument/2006/relationships/hyperlink" Target="http://www2.assemblee-nationale.fr/deputes/fiche/OMC_PA720256" TargetMode="External"/><Relationship Id="rId1220" Type="http://schemas.openxmlformats.org/officeDocument/2006/relationships/hyperlink" Target="https://www.nosdeputes.fr/claire-pitollat/csv" TargetMode="External"/><Relationship Id="rId872" Type="http://schemas.openxmlformats.org/officeDocument/2006/relationships/hyperlink" Target="https://www.nosdeputes.fr/gabriel-attal/csv" TargetMode="External"/><Relationship Id="rId1221" Type="http://schemas.openxmlformats.org/officeDocument/2006/relationships/hyperlink" Target="http://www2.assemblee-nationale.fr/deputes/fiche/OMC_PA718944" TargetMode="External"/><Relationship Id="rId871" Type="http://schemas.openxmlformats.org/officeDocument/2006/relationships/hyperlink" Target="https://www.nosdeputes.fr/gabriel-attal" TargetMode="External"/><Relationship Id="rId1222" Type="http://schemas.openxmlformats.org/officeDocument/2006/relationships/hyperlink" Target="https://www.nosdeputes.fr/cathy-racon-bouzon" TargetMode="External"/><Relationship Id="rId870" Type="http://schemas.openxmlformats.org/officeDocument/2006/relationships/hyperlink" Target="http://www2.assemblee-nationale.fr/deputes/fiche/OMC_PA722190" TargetMode="External"/><Relationship Id="rId1223" Type="http://schemas.openxmlformats.org/officeDocument/2006/relationships/hyperlink" Target="https://www.nosdeputes.fr/cathy-racon-bouzon/csv" TargetMode="External"/><Relationship Id="rId1653" Type="http://schemas.openxmlformats.org/officeDocument/2006/relationships/hyperlink" Target="http://www2.assemblee-nationale.fr/deputes/fiche/OMC_PA719770" TargetMode="External"/><Relationship Id="rId1654" Type="http://schemas.openxmlformats.org/officeDocument/2006/relationships/hyperlink" Target="https://www.nosdeputes.fr/florian-bachelier" TargetMode="External"/><Relationship Id="rId1655" Type="http://schemas.openxmlformats.org/officeDocument/2006/relationships/hyperlink" Target="https://www.nosdeputes.fr/florian-bachelier/csv" TargetMode="External"/><Relationship Id="rId1656" Type="http://schemas.openxmlformats.org/officeDocument/2006/relationships/hyperlink" Target="http://www2.assemblee-nationale.fr/deputes/fiche/OMC_PA267429" TargetMode="External"/><Relationship Id="rId1657" Type="http://schemas.openxmlformats.org/officeDocument/2006/relationships/hyperlink" Target="https://www.nosdeputes.fr/dino-cinieri" TargetMode="External"/><Relationship Id="rId1658" Type="http://schemas.openxmlformats.org/officeDocument/2006/relationships/hyperlink" Target="https://www.nosdeputes.fr/dino-cinieri/csv" TargetMode="External"/><Relationship Id="rId1659" Type="http://schemas.openxmlformats.org/officeDocument/2006/relationships/hyperlink" Target="http://www2.assemblee-nationale.fr/deputes/fiche/OMC_PA336439" TargetMode="External"/><Relationship Id="rId829" Type="http://schemas.openxmlformats.org/officeDocument/2006/relationships/hyperlink" Target="https://www.nosdeputes.fr/marie-pierre-rixain/csv" TargetMode="External"/><Relationship Id="rId828" Type="http://schemas.openxmlformats.org/officeDocument/2006/relationships/hyperlink" Target="https://www.nosdeputes.fr/marie-pierre-rixain" TargetMode="External"/><Relationship Id="rId827" Type="http://schemas.openxmlformats.org/officeDocument/2006/relationships/hyperlink" Target="http://www2.assemblee-nationale.fr/deputes/fiche/OMC_PA722252" TargetMode="External"/><Relationship Id="rId822" Type="http://schemas.openxmlformats.org/officeDocument/2006/relationships/hyperlink" Target="https://fr-fr.facebook.com/profile.php?id=100017133168739/%7Chttps://twitter.com/Cecile_Rilhac" TargetMode="External"/><Relationship Id="rId821" Type="http://schemas.openxmlformats.org/officeDocument/2006/relationships/hyperlink" Target="https://www.nosdeputes.fr/jean-luc-reitzer/csv" TargetMode="External"/><Relationship Id="rId820" Type="http://schemas.openxmlformats.org/officeDocument/2006/relationships/hyperlink" Target="https://www.nosdeputes.fr/jean-luc-reitzer" TargetMode="External"/><Relationship Id="rId826" Type="http://schemas.openxmlformats.org/officeDocument/2006/relationships/hyperlink" Target="https://twitter.com/RixainMP" TargetMode="External"/><Relationship Id="rId825" Type="http://schemas.openxmlformats.org/officeDocument/2006/relationships/hyperlink" Target="https://www.nosdeputes.fr/cecile-rilhac/csv" TargetMode="External"/><Relationship Id="rId824" Type="http://schemas.openxmlformats.org/officeDocument/2006/relationships/hyperlink" Target="https://www.nosdeputes.fr/cecile-rilhac" TargetMode="External"/><Relationship Id="rId823" Type="http://schemas.openxmlformats.org/officeDocument/2006/relationships/hyperlink" Target="http://www2.assemblee-nationale.fr/deputes/fiche/OMC_PA720900" TargetMode="External"/><Relationship Id="rId1650" Type="http://schemas.openxmlformats.org/officeDocument/2006/relationships/hyperlink" Target="http://www2.assemblee-nationale.fr/deputes/fiche/OMC_PA720242" TargetMode="External"/><Relationship Id="rId1651" Type="http://schemas.openxmlformats.org/officeDocument/2006/relationships/hyperlink" Target="https://www.nosdeputes.fr/berangere-abba" TargetMode="External"/><Relationship Id="rId1652" Type="http://schemas.openxmlformats.org/officeDocument/2006/relationships/hyperlink" Target="https://www.nosdeputes.fr/berangere-abba/csv" TargetMode="External"/><Relationship Id="rId1642" Type="http://schemas.openxmlformats.org/officeDocument/2006/relationships/hyperlink" Target="https://www.nosdeputes.fr/maina-sage/csv" TargetMode="External"/><Relationship Id="rId1643" Type="http://schemas.openxmlformats.org/officeDocument/2006/relationships/hyperlink" Target="https://fr-fr.facebook.com/profile.php?id=100011273400352/%7Chttps://twitter.com/S_Trompille%7Chttps://en-marche.fr%7Chttps://www.instagram.com/stephane.trompille/?hl=fr" TargetMode="External"/><Relationship Id="rId1644" Type="http://schemas.openxmlformats.org/officeDocument/2006/relationships/hyperlink" Target="http://www2.assemblee-nationale.fr/deputes/fiche/OMC_PA718682" TargetMode="External"/><Relationship Id="rId1645" Type="http://schemas.openxmlformats.org/officeDocument/2006/relationships/hyperlink" Target="https://www.nosdeputes.fr/stephane-trompille" TargetMode="External"/><Relationship Id="rId1646" Type="http://schemas.openxmlformats.org/officeDocument/2006/relationships/hyperlink" Target="https://www.nosdeputes.fr/stephane-trompille/csv" TargetMode="External"/><Relationship Id="rId1647" Type="http://schemas.openxmlformats.org/officeDocument/2006/relationships/hyperlink" Target="http://www2.assemblee-nationale.fr/deputes/fiche/OMC_PA606639" TargetMode="External"/><Relationship Id="rId1648" Type="http://schemas.openxmlformats.org/officeDocument/2006/relationships/hyperlink" Target="https://www.nosdeputes.fr/patrick-vignal" TargetMode="External"/><Relationship Id="rId1649" Type="http://schemas.openxmlformats.org/officeDocument/2006/relationships/hyperlink" Target="https://www.nosdeputes.fr/patrick-vignal/csv" TargetMode="External"/><Relationship Id="rId819" Type="http://schemas.openxmlformats.org/officeDocument/2006/relationships/hyperlink" Target="http://www2.assemblee-nationale.fr/deputes/fiche/OMC_PA2529" TargetMode="External"/><Relationship Id="rId818" Type="http://schemas.openxmlformats.org/officeDocument/2006/relationships/hyperlink" Target="https://www.nosdeputes.fr/robin-reda/csv" TargetMode="External"/><Relationship Id="rId817" Type="http://schemas.openxmlformats.org/officeDocument/2006/relationships/hyperlink" Target="https://www.nosdeputes.fr/robin-reda" TargetMode="External"/><Relationship Id="rId816" Type="http://schemas.openxmlformats.org/officeDocument/2006/relationships/hyperlink" Target="http://www2.assemblee-nationale.fr/deputes/fiche/OMC_PA721678" TargetMode="External"/><Relationship Id="rId811" Type="http://schemas.openxmlformats.org/officeDocument/2006/relationships/hyperlink" Target="https://www.nosdeputes.fr/richard-ramos/csv" TargetMode="External"/><Relationship Id="rId810" Type="http://schemas.openxmlformats.org/officeDocument/2006/relationships/hyperlink" Target="https://www.nosdeputes.fr/richard-ramos" TargetMode="External"/><Relationship Id="rId815" Type="http://schemas.openxmlformats.org/officeDocument/2006/relationships/hyperlink" Target="https://www.nosdeputes.fr/jean-hugues-ratenon/csv" TargetMode="External"/><Relationship Id="rId814" Type="http://schemas.openxmlformats.org/officeDocument/2006/relationships/hyperlink" Target="https://www.nosdeputes.fr/jean-hugues-ratenon" TargetMode="External"/><Relationship Id="rId813" Type="http://schemas.openxmlformats.org/officeDocument/2006/relationships/hyperlink" Target="http://www2.assemblee-nationale.fr/deputes/fiche/OMC_PA721062" TargetMode="External"/><Relationship Id="rId812" Type="http://schemas.openxmlformats.org/officeDocument/2006/relationships/hyperlink" Target="https://twitter.com/JhRatenon" TargetMode="External"/><Relationship Id="rId1640" Type="http://schemas.openxmlformats.org/officeDocument/2006/relationships/hyperlink" Target="http://www2.assemblee-nationale.fr/deputes/fiche/OMC_PA702052" TargetMode="External"/><Relationship Id="rId1641" Type="http://schemas.openxmlformats.org/officeDocument/2006/relationships/hyperlink" Target="https://www.nosdeputes.fr/maina-sage" TargetMode="External"/><Relationship Id="rId1675" Type="http://schemas.openxmlformats.org/officeDocument/2006/relationships/hyperlink" Target="http://www2.assemblee-nationale.fr/deputes/fiche/OMC_PA720960" TargetMode="External"/><Relationship Id="rId1676" Type="http://schemas.openxmlformats.org/officeDocument/2006/relationships/hyperlink" Target="https://www.nosdeputes.fr/olivier-serva" TargetMode="External"/><Relationship Id="rId1677" Type="http://schemas.openxmlformats.org/officeDocument/2006/relationships/hyperlink" Target="https://www.nosdeputes.fr/olivier-serva/csv" TargetMode="External"/><Relationship Id="rId1678" Type="http://schemas.openxmlformats.org/officeDocument/2006/relationships/hyperlink" Target="http://www2.assemblee-nationale.fr/deputes/fiche/OMC_PA610667" TargetMode="External"/><Relationship Id="rId1679" Type="http://schemas.openxmlformats.org/officeDocument/2006/relationships/hyperlink" Target="https://www.nosdeputes.fr/gabriel-serville" TargetMode="External"/><Relationship Id="rId849" Type="http://schemas.openxmlformats.org/officeDocument/2006/relationships/hyperlink" Target="http://www2.assemblee-nationale.fr/deputes/fiche/OMC_PA720568" TargetMode="External"/><Relationship Id="rId844" Type="http://schemas.openxmlformats.org/officeDocument/2006/relationships/hyperlink" Target="https://www.nosdeputes.fr/liliana-tanguy/csv" TargetMode="External"/><Relationship Id="rId843" Type="http://schemas.openxmlformats.org/officeDocument/2006/relationships/hyperlink" Target="https://www.nosdeputes.fr/liliana-tanguy" TargetMode="External"/><Relationship Id="rId842" Type="http://schemas.openxmlformats.org/officeDocument/2006/relationships/hyperlink" Target="http://www2.assemblee-nationale.fr/deputes/fiche/OMC_PA719550" TargetMode="External"/><Relationship Id="rId841" Type="http://schemas.openxmlformats.org/officeDocument/2006/relationships/hyperlink" Target="https://www.nosdeputes.fr/pacome-rupin/csv" TargetMode="External"/><Relationship Id="rId848" Type="http://schemas.openxmlformats.org/officeDocument/2006/relationships/hyperlink" Target="https://twitter.com/ThillAgnes" TargetMode="External"/><Relationship Id="rId847" Type="http://schemas.openxmlformats.org/officeDocument/2006/relationships/hyperlink" Target="https://www.nosdeputes.fr/jean-terlier/csv" TargetMode="External"/><Relationship Id="rId846" Type="http://schemas.openxmlformats.org/officeDocument/2006/relationships/hyperlink" Target="https://www.nosdeputes.fr/jean-terlier" TargetMode="External"/><Relationship Id="rId845" Type="http://schemas.openxmlformats.org/officeDocument/2006/relationships/hyperlink" Target="http://www2.assemblee-nationale.fr/deputes/fiche/OMC_PA721584" TargetMode="External"/><Relationship Id="rId1670" Type="http://schemas.openxmlformats.org/officeDocument/2006/relationships/hyperlink" Target="https://www.nosdeputes.fr/guillaume-peltier" TargetMode="External"/><Relationship Id="rId840" Type="http://schemas.openxmlformats.org/officeDocument/2006/relationships/hyperlink" Target="https://www.nosdeputes.fr/pacome-rupin" TargetMode="External"/><Relationship Id="rId1671" Type="http://schemas.openxmlformats.org/officeDocument/2006/relationships/hyperlink" Target="https://www.nosdeputes.fr/guillaume-peltier/csv" TargetMode="External"/><Relationship Id="rId1672" Type="http://schemas.openxmlformats.org/officeDocument/2006/relationships/hyperlink" Target="http://www2.assemblee-nationale.fr/deputes/fiche/OMC_PA721070" TargetMode="External"/><Relationship Id="rId1673" Type="http://schemas.openxmlformats.org/officeDocument/2006/relationships/hyperlink" Target="https://www.nosdeputes.fr/nadia-ramassamy" TargetMode="External"/><Relationship Id="rId1674" Type="http://schemas.openxmlformats.org/officeDocument/2006/relationships/hyperlink" Target="https://www.nosdeputes.fr/nadia-ramassamy/csv" TargetMode="External"/><Relationship Id="rId1664" Type="http://schemas.openxmlformats.org/officeDocument/2006/relationships/hyperlink" Target="https://www.nosdeputes.fr/fabien-laine/csv" TargetMode="External"/><Relationship Id="rId1665" Type="http://schemas.openxmlformats.org/officeDocument/2006/relationships/hyperlink" Target="https://twitter.com/fmeunier19" TargetMode="External"/><Relationship Id="rId1666" Type="http://schemas.openxmlformats.org/officeDocument/2006/relationships/hyperlink" Target="http://www2.assemblee-nationale.fr/deputes/fiche/OMC_PA719272" TargetMode="External"/><Relationship Id="rId1667" Type="http://schemas.openxmlformats.org/officeDocument/2006/relationships/hyperlink" Target="https://www.nosdeputes.fr/frederique-meunier" TargetMode="External"/><Relationship Id="rId1668" Type="http://schemas.openxmlformats.org/officeDocument/2006/relationships/hyperlink" Target="https://www.nosdeputes.fr/frederique-meunier/csv" TargetMode="External"/><Relationship Id="rId1669" Type="http://schemas.openxmlformats.org/officeDocument/2006/relationships/hyperlink" Target="http://www2.assemblee-nationale.fr/deputes/fiche/OMC_PA719946" TargetMode="External"/><Relationship Id="rId839" Type="http://schemas.openxmlformats.org/officeDocument/2006/relationships/hyperlink" Target="http://www2.assemblee-nationale.fr/deputes/fiche/OMC_PA721616" TargetMode="External"/><Relationship Id="rId838" Type="http://schemas.openxmlformats.org/officeDocument/2006/relationships/hyperlink" Target="https://www.nosdeputes.fr/francois-ruffin/csv" TargetMode="External"/><Relationship Id="rId833" Type="http://schemas.openxmlformats.org/officeDocument/2006/relationships/hyperlink" Target="http://www2.assemblee-nationale.fr/deputes/fiche/OMC_PA718902" TargetMode="External"/><Relationship Id="rId832" Type="http://schemas.openxmlformats.org/officeDocument/2006/relationships/hyperlink" Target="https://www.nosdeputes.fr/laetitia-romeiro-dias/csv" TargetMode="External"/><Relationship Id="rId831" Type="http://schemas.openxmlformats.org/officeDocument/2006/relationships/hyperlink" Target="https://www.nosdeputes.fr/laetitia-romeiro-dias" TargetMode="External"/><Relationship Id="rId830" Type="http://schemas.openxmlformats.org/officeDocument/2006/relationships/hyperlink" Target="http://www2.assemblee-nationale.fr/deputes/fiche/OMC_PA722022" TargetMode="External"/><Relationship Id="rId837" Type="http://schemas.openxmlformats.org/officeDocument/2006/relationships/hyperlink" Target="https://www.nosdeputes.fr/francois-ruffin" TargetMode="External"/><Relationship Id="rId836" Type="http://schemas.openxmlformats.org/officeDocument/2006/relationships/hyperlink" Target="http://www2.assemblee-nationale.fr/deputes/fiche/OMC_PA722142" TargetMode="External"/><Relationship Id="rId835" Type="http://schemas.openxmlformats.org/officeDocument/2006/relationships/hyperlink" Target="https://www.nosdeputes.fr/cedric-roussel/csv" TargetMode="External"/><Relationship Id="rId834" Type="http://schemas.openxmlformats.org/officeDocument/2006/relationships/hyperlink" Target="https://www.nosdeputes.fr/cedric-roussel" TargetMode="External"/><Relationship Id="rId1660" Type="http://schemas.openxmlformats.org/officeDocument/2006/relationships/hyperlink" Target="https://www.nosdeputes.fr/jean-michel-clement" TargetMode="External"/><Relationship Id="rId1661" Type="http://schemas.openxmlformats.org/officeDocument/2006/relationships/hyperlink" Target="https://www.nosdeputes.fr/jean-michel-clement/csv" TargetMode="External"/><Relationship Id="rId1662" Type="http://schemas.openxmlformats.org/officeDocument/2006/relationships/hyperlink" Target="http://www2.assemblee-nationale.fr/deputes/fiche/OMC_PA719918" TargetMode="External"/><Relationship Id="rId1663" Type="http://schemas.openxmlformats.org/officeDocument/2006/relationships/hyperlink" Target="https://www.nosdeputes.fr/fabien-laine" TargetMode="External"/><Relationship Id="rId469" Type="http://schemas.openxmlformats.org/officeDocument/2006/relationships/hyperlink" Target="http://www2.assemblee-nationale.fr/deputes/fiche/OMC_PA720520" TargetMode="External"/><Relationship Id="rId468" Type="http://schemas.openxmlformats.org/officeDocument/2006/relationships/hyperlink" Target="https://www.nosdeputes.fr/vincent-bru/csv" TargetMode="External"/><Relationship Id="rId467" Type="http://schemas.openxmlformats.org/officeDocument/2006/relationships/hyperlink" Target="https://www.nosdeputes.fr/vincent-bru" TargetMode="External"/><Relationship Id="rId1290" Type="http://schemas.openxmlformats.org/officeDocument/2006/relationships/hyperlink" Target="https://www.nosdeputes.fr/remi-delatte/csv" TargetMode="External"/><Relationship Id="rId1291" Type="http://schemas.openxmlformats.org/officeDocument/2006/relationships/hyperlink" Target="https://twitter.com/DipompeoChrist" TargetMode="External"/><Relationship Id="rId1292" Type="http://schemas.openxmlformats.org/officeDocument/2006/relationships/hyperlink" Target="http://www2.assemblee-nationale.fr/deputes/fiche/OMC_PA720438" TargetMode="External"/><Relationship Id="rId462" Type="http://schemas.openxmlformats.org/officeDocument/2006/relationships/hyperlink" Target="https://twitter.com/pascaleboyer05" TargetMode="External"/><Relationship Id="rId1293" Type="http://schemas.openxmlformats.org/officeDocument/2006/relationships/hyperlink" Target="https://www.nosdeputes.fr/christophe-di-pompeo" TargetMode="External"/><Relationship Id="rId461" Type="http://schemas.openxmlformats.org/officeDocument/2006/relationships/hyperlink" Target="https://www.nosdeputes.fr/jean-louis-bourlanges/csv" TargetMode="External"/><Relationship Id="rId1294" Type="http://schemas.openxmlformats.org/officeDocument/2006/relationships/hyperlink" Target="https://www.nosdeputes.fr/christophe-di-pompeo/csv" TargetMode="External"/><Relationship Id="rId460" Type="http://schemas.openxmlformats.org/officeDocument/2006/relationships/hyperlink" Target="https://www.nosdeputes.fr/jean-louis-bourlanges" TargetMode="External"/><Relationship Id="rId1295" Type="http://schemas.openxmlformats.org/officeDocument/2006/relationships/hyperlink" Target="http://www2.assemblee-nationale.fr/deputes/fiche/OMC_PA609332" TargetMode="External"/><Relationship Id="rId1296" Type="http://schemas.openxmlformats.org/officeDocument/2006/relationships/hyperlink" Target="https://www.nosdeputes.fr/olivier-faure" TargetMode="External"/><Relationship Id="rId466" Type="http://schemas.openxmlformats.org/officeDocument/2006/relationships/hyperlink" Target="http://www2.assemblee-nationale.fr/deputes/fiche/OMC_PA720772" TargetMode="External"/><Relationship Id="rId1297" Type="http://schemas.openxmlformats.org/officeDocument/2006/relationships/hyperlink" Target="https://www.nosdeputes.fr/olivier-faure/csv" TargetMode="External"/><Relationship Id="rId465" Type="http://schemas.openxmlformats.org/officeDocument/2006/relationships/hyperlink" Target="https://www.nosdeputes.fr/pascale-boyer/csv" TargetMode="External"/><Relationship Id="rId1298" Type="http://schemas.openxmlformats.org/officeDocument/2006/relationships/hyperlink" Target="http://www2.assemblee-nationale.fr/deputes/fiche/OMC_PA719960" TargetMode="External"/><Relationship Id="rId464" Type="http://schemas.openxmlformats.org/officeDocument/2006/relationships/hyperlink" Target="https://www.nosdeputes.fr/pascale-boyer" TargetMode="External"/><Relationship Id="rId1299" Type="http://schemas.openxmlformats.org/officeDocument/2006/relationships/hyperlink" Target="https://www.nosdeputes.fr/valeria-faure-muntian" TargetMode="External"/><Relationship Id="rId463" Type="http://schemas.openxmlformats.org/officeDocument/2006/relationships/hyperlink" Target="http://www2.assemblee-nationale.fr/deputes/fiche/OMC_PA718710" TargetMode="External"/><Relationship Id="rId459" Type="http://schemas.openxmlformats.org/officeDocument/2006/relationships/hyperlink" Target="http://www2.assemblee-nationale.fr/deputes/fiche/OMC_PA721608" TargetMode="External"/><Relationship Id="rId458" Type="http://schemas.openxmlformats.org/officeDocument/2006/relationships/hyperlink" Target="https://www.nosdeputes.fr/philippe-bolo/csv" TargetMode="External"/><Relationship Id="rId457" Type="http://schemas.openxmlformats.org/officeDocument/2006/relationships/hyperlink" Target="https://www.nosdeputes.fr/philippe-bolo" TargetMode="External"/><Relationship Id="rId456" Type="http://schemas.openxmlformats.org/officeDocument/2006/relationships/hyperlink" Target="http://www2.assemblee-nationale.fr/deputes/fiche/OMC_PA720162" TargetMode="External"/><Relationship Id="rId1280" Type="http://schemas.openxmlformats.org/officeDocument/2006/relationships/hyperlink" Target="https://www.nosdeputes.fr/guillaume-chiche/csv" TargetMode="External"/><Relationship Id="rId1281" Type="http://schemas.openxmlformats.org/officeDocument/2006/relationships/hyperlink" Target="http://www2.assemblee-nationale.fr/deputes/fiche/OMC_PA719814" TargetMode="External"/><Relationship Id="rId451" Type="http://schemas.openxmlformats.org/officeDocument/2006/relationships/hyperlink" Target="https://www.nosdeputes.fr/jean-noel-barrot" TargetMode="External"/><Relationship Id="rId1282" Type="http://schemas.openxmlformats.org/officeDocument/2006/relationships/hyperlink" Target="https://www.nosdeputes.fr/fabienne-colboc" TargetMode="External"/><Relationship Id="rId450" Type="http://schemas.openxmlformats.org/officeDocument/2006/relationships/hyperlink" Target="http://www2.assemblee-nationale.fr/deputes/fiche/OMC_PA721836" TargetMode="External"/><Relationship Id="rId1283" Type="http://schemas.openxmlformats.org/officeDocument/2006/relationships/hyperlink" Target="https://www.nosdeputes.fr/fabienne-colboc/csv" TargetMode="External"/><Relationship Id="rId1284" Type="http://schemas.openxmlformats.org/officeDocument/2006/relationships/hyperlink" Target="https://fr-fr.facebook.com/jeanpierre.cubertafon/" TargetMode="External"/><Relationship Id="rId1285" Type="http://schemas.openxmlformats.org/officeDocument/2006/relationships/hyperlink" Target="http://www2.assemblee-nationale.fr/deputes/fiche/OMC_PA719266" TargetMode="External"/><Relationship Id="rId455" Type="http://schemas.openxmlformats.org/officeDocument/2006/relationships/hyperlink" Target="https://www.nosdeputes.fr/marie-noelle-battistel/csv" TargetMode="External"/><Relationship Id="rId1286" Type="http://schemas.openxmlformats.org/officeDocument/2006/relationships/hyperlink" Target="https://www.nosdeputes.fr/jean-pierre-cubertafon" TargetMode="External"/><Relationship Id="rId454" Type="http://schemas.openxmlformats.org/officeDocument/2006/relationships/hyperlink" Target="https://www.nosdeputes.fr/marie-noelle-battistel" TargetMode="External"/><Relationship Id="rId1287" Type="http://schemas.openxmlformats.org/officeDocument/2006/relationships/hyperlink" Target="https://www.nosdeputes.fr/jean-pierre-cubertafon/csv" TargetMode="External"/><Relationship Id="rId453" Type="http://schemas.openxmlformats.org/officeDocument/2006/relationships/hyperlink" Target="http://www2.assemblee-nationale.fr/deputes/fiche/OMC_PA342415" TargetMode="External"/><Relationship Id="rId1288" Type="http://schemas.openxmlformats.org/officeDocument/2006/relationships/hyperlink" Target="http://www2.assemblee-nationale.fr/deputes/fiche/OMC_PA267450" TargetMode="External"/><Relationship Id="rId452" Type="http://schemas.openxmlformats.org/officeDocument/2006/relationships/hyperlink" Target="https://www.nosdeputes.fr/jean-noel-barrot/csv" TargetMode="External"/><Relationship Id="rId1289" Type="http://schemas.openxmlformats.org/officeDocument/2006/relationships/hyperlink" Target="https://www.nosdeputes.fr/remi-delatte" TargetMode="External"/><Relationship Id="rId491" Type="http://schemas.openxmlformats.org/officeDocument/2006/relationships/hyperlink" Target="https://www.nosdeputes.fr/catherine-fabre" TargetMode="External"/><Relationship Id="rId490" Type="http://schemas.openxmlformats.org/officeDocument/2006/relationships/hyperlink" Target="http://www2.assemblee-nationale.fr/deputes/fiche/OMC_PA719570" TargetMode="External"/><Relationship Id="rId489" Type="http://schemas.openxmlformats.org/officeDocument/2006/relationships/hyperlink" Target="https://www.nosdeputes.fr/sophie-errante/csv" TargetMode="External"/><Relationship Id="rId484" Type="http://schemas.openxmlformats.org/officeDocument/2006/relationships/hyperlink" Target="http://www2.assemblee-nationale.fr/deputes/fiche/OMC_PA720924" TargetMode="External"/><Relationship Id="rId483" Type="http://schemas.openxmlformats.org/officeDocument/2006/relationships/hyperlink" Target="https://www.nosdeputes.fr/audrey-dufeu-schubert/csv" TargetMode="External"/><Relationship Id="rId482" Type="http://schemas.openxmlformats.org/officeDocument/2006/relationships/hyperlink" Target="https://www.nosdeputes.fr/audrey-dufeu-schubert" TargetMode="External"/><Relationship Id="rId481" Type="http://schemas.openxmlformats.org/officeDocument/2006/relationships/hyperlink" Target="http://www2.assemblee-nationale.fr/deputes/fiche/OMC_PA720046" TargetMode="External"/><Relationship Id="rId488" Type="http://schemas.openxmlformats.org/officeDocument/2006/relationships/hyperlink" Target="https://www.nosdeputes.fr/sophie-errante" TargetMode="External"/><Relationship Id="rId487" Type="http://schemas.openxmlformats.org/officeDocument/2006/relationships/hyperlink" Target="http://www2.assemblee-nationale.fr/deputes/fiche/OMC_PA607193" TargetMode="External"/><Relationship Id="rId486" Type="http://schemas.openxmlformats.org/officeDocument/2006/relationships/hyperlink" Target="https://www.nosdeputes.fr/nathalie-elimas/csv" TargetMode="External"/><Relationship Id="rId485" Type="http://schemas.openxmlformats.org/officeDocument/2006/relationships/hyperlink" Target="https://www.nosdeputes.fr/nathalie-elimas" TargetMode="External"/><Relationship Id="rId480" Type="http://schemas.openxmlformats.org/officeDocument/2006/relationships/hyperlink" Target="https://www.nosdeputes.fr/christelle-dubos/csv" TargetMode="External"/><Relationship Id="rId479" Type="http://schemas.openxmlformats.org/officeDocument/2006/relationships/hyperlink" Target="https://www.nosdeputes.fr/christelle-dubos" TargetMode="External"/><Relationship Id="rId478" Type="http://schemas.openxmlformats.org/officeDocument/2006/relationships/hyperlink" Target="http://www2.assemblee-nationale.fr/deputes/fiche/OMC_PA719660" TargetMode="External"/><Relationship Id="rId473" Type="http://schemas.openxmlformats.org/officeDocument/2006/relationships/hyperlink" Target="https://www.nosdeputes.fr/yves-daniel" TargetMode="External"/><Relationship Id="rId472" Type="http://schemas.openxmlformats.org/officeDocument/2006/relationships/hyperlink" Target="http://www2.assemblee-nationale.fr/deputes/fiche/OMC_PA607155" TargetMode="External"/><Relationship Id="rId471" Type="http://schemas.openxmlformats.org/officeDocument/2006/relationships/hyperlink" Target="https://www.nosdeputes.fr/anne-laure-cattelot/csv" TargetMode="External"/><Relationship Id="rId470" Type="http://schemas.openxmlformats.org/officeDocument/2006/relationships/hyperlink" Target="https://www.nosdeputes.fr/anne-laure-cattelot" TargetMode="External"/><Relationship Id="rId477" Type="http://schemas.openxmlformats.org/officeDocument/2006/relationships/hyperlink" Target="https://www.nosdeputes.fr/vincent-descoeur/csv" TargetMode="External"/><Relationship Id="rId476" Type="http://schemas.openxmlformats.org/officeDocument/2006/relationships/hyperlink" Target="https://www.nosdeputes.fr/vincent-descoeur" TargetMode="External"/><Relationship Id="rId475" Type="http://schemas.openxmlformats.org/officeDocument/2006/relationships/hyperlink" Target="http://www2.assemblee-nationale.fr/deputes/fiche/OMC_PA330909" TargetMode="External"/><Relationship Id="rId474" Type="http://schemas.openxmlformats.org/officeDocument/2006/relationships/hyperlink" Target="https://www.nosdeputes.fr/yves-daniel/csv" TargetMode="External"/><Relationship Id="rId1257" Type="http://schemas.openxmlformats.org/officeDocument/2006/relationships/hyperlink" Target="https://www.nosdeputes.fr/francois-andre" TargetMode="External"/><Relationship Id="rId1258" Type="http://schemas.openxmlformats.org/officeDocument/2006/relationships/hyperlink" Target="https://www.nosdeputes.fr/francois-andre/csv" TargetMode="External"/><Relationship Id="rId1259" Type="http://schemas.openxmlformats.org/officeDocument/2006/relationships/hyperlink" Target="https://twitter.com/vbazinmalgras" TargetMode="External"/><Relationship Id="rId426" Type="http://schemas.openxmlformats.org/officeDocument/2006/relationships/hyperlink" Target="https://www.nosdeputes.fr/vincent-thiebaut" TargetMode="External"/><Relationship Id="rId425" Type="http://schemas.openxmlformats.org/officeDocument/2006/relationships/hyperlink" Target="http://www2.assemblee-nationale.fr/deputes/fiche/OMC_PA722336" TargetMode="External"/><Relationship Id="rId424" Type="http://schemas.openxmlformats.org/officeDocument/2006/relationships/hyperlink" Target="https://www.nosdeputes.fr/eric-straumann/csv" TargetMode="External"/><Relationship Id="rId423" Type="http://schemas.openxmlformats.org/officeDocument/2006/relationships/hyperlink" Target="https://www.nosdeputes.fr/eric-straumann" TargetMode="External"/><Relationship Id="rId429" Type="http://schemas.openxmlformats.org/officeDocument/2006/relationships/hyperlink" Target="http://www2.assemblee-nationale.fr/deputes/fiche/OMC_PA643134" TargetMode="External"/><Relationship Id="rId428" Type="http://schemas.openxmlformats.org/officeDocument/2006/relationships/hyperlink" Target="https://twitter.com/isavalentin43" TargetMode="External"/><Relationship Id="rId427" Type="http://schemas.openxmlformats.org/officeDocument/2006/relationships/hyperlink" Target="https://www.nosdeputes.fr/vincent-thiebaut/csv" TargetMode="External"/><Relationship Id="rId1250" Type="http://schemas.openxmlformats.org/officeDocument/2006/relationships/hyperlink" Target="http://www2.assemblee-nationale.fr/deputes/fiche/OMC_PA267330" TargetMode="External"/><Relationship Id="rId1251" Type="http://schemas.openxmlformats.org/officeDocument/2006/relationships/hyperlink" Target="https://www.nosdeputes.fr/michel-zumkeller" TargetMode="External"/><Relationship Id="rId1252" Type="http://schemas.openxmlformats.org/officeDocument/2006/relationships/hyperlink" Target="https://www.nosdeputes.fr/michel-zumkeller/csv" TargetMode="External"/><Relationship Id="rId422" Type="http://schemas.openxmlformats.org/officeDocument/2006/relationships/hyperlink" Target="http://www2.assemblee-nationale.fr/deputes/fiche/OMC_PA334654" TargetMode="External"/><Relationship Id="rId1253" Type="http://schemas.openxmlformats.org/officeDocument/2006/relationships/hyperlink" Target="http://www2.assemblee-nationale.fr/deputes/fiche/OMC_PA719146" TargetMode="External"/><Relationship Id="rId421" Type="http://schemas.openxmlformats.org/officeDocument/2006/relationships/hyperlink" Target="https://www.nosdeputes.fr/francois-de-rugy/csv" TargetMode="External"/><Relationship Id="rId1254" Type="http://schemas.openxmlformats.org/officeDocument/2006/relationships/hyperlink" Target="https://www.nosdeputes.fr/jean-felix-acquaviva" TargetMode="External"/><Relationship Id="rId420" Type="http://schemas.openxmlformats.org/officeDocument/2006/relationships/hyperlink" Target="https://www.nosdeputes.fr/francois-de-rugy" TargetMode="External"/><Relationship Id="rId1255" Type="http://schemas.openxmlformats.org/officeDocument/2006/relationships/hyperlink" Target="https://www.nosdeputes.fr/jean-felix-acquaviva/csv" TargetMode="External"/><Relationship Id="rId1256" Type="http://schemas.openxmlformats.org/officeDocument/2006/relationships/hyperlink" Target="http://www2.assemblee-nationale.fr/deputes/fiche/OMC_PA606675" TargetMode="External"/><Relationship Id="rId1246" Type="http://schemas.openxmlformats.org/officeDocument/2006/relationships/hyperlink" Target="https://www.nosdeputes.fr/frederique-tuffnell/csv" TargetMode="External"/><Relationship Id="rId1247" Type="http://schemas.openxmlformats.org/officeDocument/2006/relationships/hyperlink" Target="http://www2.assemblee-nationale.fr/deputes/fiche/OMC_PA421348" TargetMode="External"/><Relationship Id="rId1248" Type="http://schemas.openxmlformats.org/officeDocument/2006/relationships/hyperlink" Target="https://www.nosdeputes.fr/andre-villiers" TargetMode="External"/><Relationship Id="rId1249" Type="http://schemas.openxmlformats.org/officeDocument/2006/relationships/hyperlink" Target="https://www.nosdeputes.fr/andre-villiers/csv" TargetMode="External"/><Relationship Id="rId415" Type="http://schemas.openxmlformats.org/officeDocument/2006/relationships/hyperlink" Target="https://www.nosdeputes.fr/sabine-rubin/csv" TargetMode="External"/><Relationship Id="rId899" Type="http://schemas.openxmlformats.org/officeDocument/2006/relationships/hyperlink" Target="https://www.nosdeputes.fr/eric-bothorel/csv" TargetMode="External"/><Relationship Id="rId414" Type="http://schemas.openxmlformats.org/officeDocument/2006/relationships/hyperlink" Target="https://www.nosdeputes.fr/sabine-rubin" TargetMode="External"/><Relationship Id="rId898" Type="http://schemas.openxmlformats.org/officeDocument/2006/relationships/hyperlink" Target="https://www.nosdeputes.fr/eric-bothorel" TargetMode="External"/><Relationship Id="rId413" Type="http://schemas.openxmlformats.org/officeDocument/2006/relationships/hyperlink" Target="http://www2.assemblee-nationale.fr/deputes/fiche/OMC_PA721226" TargetMode="External"/><Relationship Id="rId897" Type="http://schemas.openxmlformats.org/officeDocument/2006/relationships/hyperlink" Target="http://www2.assemblee-nationale.fr/deputes/fiche/OMC_PA642695" TargetMode="External"/><Relationship Id="rId412" Type="http://schemas.openxmlformats.org/officeDocument/2006/relationships/hyperlink" Target="https://www.nosdeputes.fr/xavier-roseren/csv" TargetMode="External"/><Relationship Id="rId896" Type="http://schemas.openxmlformats.org/officeDocument/2006/relationships/hyperlink" Target="https://www.nosdeputes.fr/aude-bono-vandorme/csv" TargetMode="External"/><Relationship Id="rId419" Type="http://schemas.openxmlformats.org/officeDocument/2006/relationships/hyperlink" Target="http://www2.assemblee-nationale.fr/deputes/fiche/OMC_PA332747" TargetMode="External"/><Relationship Id="rId418" Type="http://schemas.openxmlformats.org/officeDocument/2006/relationships/hyperlink" Target="https://www.nosdeputes.fr/thomas-rudigoz/csv" TargetMode="External"/><Relationship Id="rId417" Type="http://schemas.openxmlformats.org/officeDocument/2006/relationships/hyperlink" Target="https://www.nosdeputes.fr/thomas-rudigoz" TargetMode="External"/><Relationship Id="rId416" Type="http://schemas.openxmlformats.org/officeDocument/2006/relationships/hyperlink" Target="http://www2.assemblee-nationale.fr/deputes/fiche/OMC_PA722292" TargetMode="External"/><Relationship Id="rId891" Type="http://schemas.openxmlformats.org/officeDocument/2006/relationships/hyperlink" Target="http://www2.assemblee-nationale.fr/deputes/fiche/OMC_PA608641" TargetMode="External"/><Relationship Id="rId890" Type="http://schemas.openxmlformats.org/officeDocument/2006/relationships/hyperlink" Target="https://www.nosdeputes.fr/bruno-bilde/csv" TargetMode="External"/><Relationship Id="rId1240" Type="http://schemas.openxmlformats.org/officeDocument/2006/relationships/hyperlink" Target="https://www.nosdeputes.fr/alain-tourret/csv" TargetMode="External"/><Relationship Id="rId1241" Type="http://schemas.openxmlformats.org/officeDocument/2006/relationships/hyperlink" Target="http://www2.assemblee-nationale.fr/deputes/fiche/OMC_PA720394" TargetMode="External"/><Relationship Id="rId411" Type="http://schemas.openxmlformats.org/officeDocument/2006/relationships/hyperlink" Target="https://www.nosdeputes.fr/xavier-roseren" TargetMode="External"/><Relationship Id="rId895" Type="http://schemas.openxmlformats.org/officeDocument/2006/relationships/hyperlink" Target="https://www.nosdeputes.fr/aude-bono-vandorme" TargetMode="External"/><Relationship Id="rId1242" Type="http://schemas.openxmlformats.org/officeDocument/2006/relationships/hyperlink" Target="https://www.nosdeputes.fr/nicole-trisse" TargetMode="External"/><Relationship Id="rId410" Type="http://schemas.openxmlformats.org/officeDocument/2006/relationships/hyperlink" Target="http://www2.assemblee-nationale.fr/deputes/fiche/OMC_PA721458" TargetMode="External"/><Relationship Id="rId894" Type="http://schemas.openxmlformats.org/officeDocument/2006/relationships/hyperlink" Target="http://www2.assemblee-nationale.fr/deputes/fiche/OMC_PA718756" TargetMode="External"/><Relationship Id="rId1243" Type="http://schemas.openxmlformats.org/officeDocument/2006/relationships/hyperlink" Target="https://www.nosdeputes.fr/nicole-trisse/csv" TargetMode="External"/><Relationship Id="rId893" Type="http://schemas.openxmlformats.org/officeDocument/2006/relationships/hyperlink" Target="https://www.nosdeputes.fr/yves-blein/csv" TargetMode="External"/><Relationship Id="rId1244" Type="http://schemas.openxmlformats.org/officeDocument/2006/relationships/hyperlink" Target="http://www2.assemblee-nationale.fr/deputes/fiche/OMC_PA719092" TargetMode="External"/><Relationship Id="rId892" Type="http://schemas.openxmlformats.org/officeDocument/2006/relationships/hyperlink" Target="https://www.nosdeputes.fr/yves-blein" TargetMode="External"/><Relationship Id="rId1245" Type="http://schemas.openxmlformats.org/officeDocument/2006/relationships/hyperlink" Target="https://www.nosdeputes.fr/frederique-tuffnell" TargetMode="External"/><Relationship Id="rId1279" Type="http://schemas.openxmlformats.org/officeDocument/2006/relationships/hyperlink" Target="https://www.nosdeputes.fr/guillaume-chiche" TargetMode="External"/><Relationship Id="rId448" Type="http://schemas.openxmlformats.org/officeDocument/2006/relationships/hyperlink" Target="https://www.nosdeputes.fr/clementine-autain" TargetMode="External"/><Relationship Id="rId447" Type="http://schemas.openxmlformats.org/officeDocument/2006/relationships/hyperlink" Target="http://www2.assemblee-nationale.fr/deputes/fiche/OMC_PA588884" TargetMode="External"/><Relationship Id="rId446" Type="http://schemas.openxmlformats.org/officeDocument/2006/relationships/hyperlink" Target="https://www.nosdeputes.fr/said-ahamada/csv" TargetMode="External"/><Relationship Id="rId445" Type="http://schemas.openxmlformats.org/officeDocument/2006/relationships/hyperlink" Target="https://www.nosdeputes.fr/said-ahamada" TargetMode="External"/><Relationship Id="rId449" Type="http://schemas.openxmlformats.org/officeDocument/2006/relationships/hyperlink" Target="https://www.nosdeputes.fr/clementine-autain/csv" TargetMode="External"/><Relationship Id="rId1270" Type="http://schemas.openxmlformats.org/officeDocument/2006/relationships/hyperlink" Target="https://www.nosdeputes.fr/jean-jacques-bridey" TargetMode="External"/><Relationship Id="rId440" Type="http://schemas.openxmlformats.org/officeDocument/2006/relationships/hyperlink" Target="https://www.nosdeputes.fr/helene-zannier/csv" TargetMode="External"/><Relationship Id="rId1271" Type="http://schemas.openxmlformats.org/officeDocument/2006/relationships/hyperlink" Target="https://www.nosdeputes.fr/jean-jacques-bridey/csv" TargetMode="External"/><Relationship Id="rId1272" Type="http://schemas.openxmlformats.org/officeDocument/2006/relationships/hyperlink" Target="http://www2.assemblee-nationale.fr/deputes/fiche/OMC_PA721336" TargetMode="External"/><Relationship Id="rId1273" Type="http://schemas.openxmlformats.org/officeDocument/2006/relationships/hyperlink" Target="https://www.nosdeputes.fr/blandine-brocard" TargetMode="External"/><Relationship Id="rId1274" Type="http://schemas.openxmlformats.org/officeDocument/2006/relationships/hyperlink" Target="https://www.nosdeputes.fr/blandine-brocard/csv" TargetMode="External"/><Relationship Id="rId444" Type="http://schemas.openxmlformats.org/officeDocument/2006/relationships/hyperlink" Target="http://www2.assemblee-nationale.fr/deputes/fiche/OMC_PA718954" TargetMode="External"/><Relationship Id="rId1275" Type="http://schemas.openxmlformats.org/officeDocument/2006/relationships/hyperlink" Target="http://www2.assemblee-nationale.fr/deputes/fiche/OMC_PA767" TargetMode="External"/><Relationship Id="rId443" Type="http://schemas.openxmlformats.org/officeDocument/2006/relationships/hyperlink" Target="https://www.nosdeputes.fr/damien-abad/csv" TargetMode="External"/><Relationship Id="rId1276" Type="http://schemas.openxmlformats.org/officeDocument/2006/relationships/hyperlink" Target="https://www.nosdeputes.fr/jacques-cattin" TargetMode="External"/><Relationship Id="rId442" Type="http://schemas.openxmlformats.org/officeDocument/2006/relationships/hyperlink" Target="https://www.nosdeputes.fr/damien-abad" TargetMode="External"/><Relationship Id="rId1277" Type="http://schemas.openxmlformats.org/officeDocument/2006/relationships/hyperlink" Target="https://www.nosdeputes.fr/jacques-cattin/csv" TargetMode="External"/><Relationship Id="rId441" Type="http://schemas.openxmlformats.org/officeDocument/2006/relationships/hyperlink" Target="http://www2.assemblee-nationale.fr/deputes/fiche/OMC_PA605036" TargetMode="External"/><Relationship Id="rId1278" Type="http://schemas.openxmlformats.org/officeDocument/2006/relationships/hyperlink" Target="http://www2.assemblee-nationale.fr/deputes/fiche/OMC_PA722126" TargetMode="External"/><Relationship Id="rId1268" Type="http://schemas.openxmlformats.org/officeDocument/2006/relationships/hyperlink" Target="https://www.nosdeputes.fr/valerie-boyer/csv" TargetMode="External"/><Relationship Id="rId1269" Type="http://schemas.openxmlformats.org/officeDocument/2006/relationships/hyperlink" Target="http://www2.assemblee-nationale.fr/deputes/fiche/OMC_PA672" TargetMode="External"/><Relationship Id="rId437" Type="http://schemas.openxmlformats.org/officeDocument/2006/relationships/hyperlink" Target="https://www.nosdeputes.fr/stephane-viry/csv" TargetMode="External"/><Relationship Id="rId436" Type="http://schemas.openxmlformats.org/officeDocument/2006/relationships/hyperlink" Target="https://www.nosdeputes.fr/stephane-viry" TargetMode="External"/><Relationship Id="rId435" Type="http://schemas.openxmlformats.org/officeDocument/2006/relationships/hyperlink" Target="http://www2.assemblee-nationale.fr/deputes/fiche/OMC_PA721474" TargetMode="External"/><Relationship Id="rId434" Type="http://schemas.openxmlformats.org/officeDocument/2006/relationships/hyperlink" Target="https://www.nosdeputes.fr/michele-de-vaucouleurs/csv" TargetMode="External"/><Relationship Id="rId439" Type="http://schemas.openxmlformats.org/officeDocument/2006/relationships/hyperlink" Target="https://www.nosdeputes.fr/helene-zannier" TargetMode="External"/><Relationship Id="rId438" Type="http://schemas.openxmlformats.org/officeDocument/2006/relationships/hyperlink" Target="http://www2.assemblee-nationale.fr/deputes/fiche/OMC_PA720318" TargetMode="External"/><Relationship Id="rId1260" Type="http://schemas.openxmlformats.org/officeDocument/2006/relationships/hyperlink" Target="http://www2.assemblee-nationale.fr/deputes/fiche/OMC_PA718884" TargetMode="External"/><Relationship Id="rId1261" Type="http://schemas.openxmlformats.org/officeDocument/2006/relationships/hyperlink" Target="https://www.nosdeputes.fr/valerie-bazin-malgras" TargetMode="External"/><Relationship Id="rId1262" Type="http://schemas.openxmlformats.org/officeDocument/2006/relationships/hyperlink" Target="https://www.nosdeputes.fr/valerie-bazin-malgras/csv" TargetMode="External"/><Relationship Id="rId1263" Type="http://schemas.openxmlformats.org/officeDocument/2006/relationships/hyperlink" Target="http://www2.assemblee-nationale.fr/deputes/fiche/OMC_PA266793" TargetMode="External"/><Relationship Id="rId433" Type="http://schemas.openxmlformats.org/officeDocument/2006/relationships/hyperlink" Target="https://www.nosdeputes.fr/michele-de-vaucouleurs" TargetMode="External"/><Relationship Id="rId1264" Type="http://schemas.openxmlformats.org/officeDocument/2006/relationships/hyperlink" Target="https://www.nosdeputes.fr/jean-yves-bony" TargetMode="External"/><Relationship Id="rId432" Type="http://schemas.openxmlformats.org/officeDocument/2006/relationships/hyperlink" Target="http://www2.assemblee-nationale.fr/deputes/fiche/OMC_PA721924" TargetMode="External"/><Relationship Id="rId1265" Type="http://schemas.openxmlformats.org/officeDocument/2006/relationships/hyperlink" Target="https://www.nosdeputes.fr/jean-yves-bony/csv" TargetMode="External"/><Relationship Id="rId431" Type="http://schemas.openxmlformats.org/officeDocument/2006/relationships/hyperlink" Target="https://www.nosdeputes.fr/isabelle-valentin/csv" TargetMode="External"/><Relationship Id="rId1266" Type="http://schemas.openxmlformats.org/officeDocument/2006/relationships/hyperlink" Target="http://www2.assemblee-nationale.fr/deputes/fiche/OMC_PA330684" TargetMode="External"/><Relationship Id="rId430" Type="http://schemas.openxmlformats.org/officeDocument/2006/relationships/hyperlink" Target="https://www.nosdeputes.fr/isabelle-valentin" TargetMode="External"/><Relationship Id="rId1267" Type="http://schemas.openxmlformats.org/officeDocument/2006/relationships/hyperlink" Target="https://www.nosdeputes.fr/valerie-boyer"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fr-fr.facebook.com/patriceperrotenmarche58/" TargetMode="External"/><Relationship Id="rId391" Type="http://schemas.openxmlformats.org/officeDocument/2006/relationships/hyperlink" Target="https://www.nosdeputes.fr/herve-pellois/csv" TargetMode="External"/><Relationship Id="rId390" Type="http://schemas.openxmlformats.org/officeDocument/2006/relationships/hyperlink" Target="https://www.nosdeputes.fr/herve-pellois" TargetMode="External"/><Relationship Id="rId1" Type="http://schemas.openxmlformats.org/officeDocument/2006/relationships/hyperlink" Target="http://www2.assemblee-nationale.fr/deputes/fiche/OMC_PA719540" TargetMode="External"/><Relationship Id="rId2" Type="http://schemas.openxmlformats.org/officeDocument/2006/relationships/hyperlink" Target="https://www.nosdeputes.fr/elisabeth-toutut-picard" TargetMode="External"/><Relationship Id="rId3" Type="http://schemas.openxmlformats.org/officeDocument/2006/relationships/hyperlink" Target="https://www.nosdeputes.fr/elisabeth-toutut-picard/csv" TargetMode="External"/><Relationship Id="rId4" Type="http://schemas.openxmlformats.org/officeDocument/2006/relationships/hyperlink" Target="http://www2.assemblee-nationale.fr/deputes/fiche/OMC_PA720362" TargetMode="External"/><Relationship Id="rId9" Type="http://schemas.openxmlformats.org/officeDocument/2006/relationships/hyperlink" Target="https://www.nosdeputes.fr/brahim-hammouche/csv" TargetMode="External"/><Relationship Id="rId385" Type="http://schemas.openxmlformats.org/officeDocument/2006/relationships/hyperlink" Target="https://www.nosdeputes.fr/xavier-paluszkiewicz/csv" TargetMode="External"/><Relationship Id="rId384" Type="http://schemas.openxmlformats.org/officeDocument/2006/relationships/hyperlink" Target="https://www.nosdeputes.fr/xavier-paluszkiewicz" TargetMode="External"/><Relationship Id="rId383" Type="http://schemas.openxmlformats.org/officeDocument/2006/relationships/hyperlink" Target="http://www2.assemblee-nationale.fr/deputes/fiche/OMC_PA720402" TargetMode="External"/><Relationship Id="rId382" Type="http://schemas.openxmlformats.org/officeDocument/2006/relationships/hyperlink" Target="https://www.nosdeputes.fr/catherine-osson/csv" TargetMode="External"/><Relationship Id="rId5" Type="http://schemas.openxmlformats.org/officeDocument/2006/relationships/hyperlink" Target="https://www.nosdeputes.fr/belkhir-belhaddad" TargetMode="External"/><Relationship Id="rId389" Type="http://schemas.openxmlformats.org/officeDocument/2006/relationships/hyperlink" Target="http://www2.assemblee-nationale.fr/deputes/fiche/OMC_PA607595" TargetMode="External"/><Relationship Id="rId6" Type="http://schemas.openxmlformats.org/officeDocument/2006/relationships/hyperlink" Target="https://www.nosdeputes.fr/belkhir-belhaddad/csv" TargetMode="External"/><Relationship Id="rId388" Type="http://schemas.openxmlformats.org/officeDocument/2006/relationships/hyperlink" Target="https://www.nosdeputes.fr/mathilde-panot/csv" TargetMode="External"/><Relationship Id="rId7" Type="http://schemas.openxmlformats.org/officeDocument/2006/relationships/hyperlink" Target="http://www2.assemblee-nationale.fr/deputes/fiche/OMC_PA720326" TargetMode="External"/><Relationship Id="rId387" Type="http://schemas.openxmlformats.org/officeDocument/2006/relationships/hyperlink" Target="https://www.nosdeputes.fr/mathilde-panot" TargetMode="External"/><Relationship Id="rId8" Type="http://schemas.openxmlformats.org/officeDocument/2006/relationships/hyperlink" Target="https://www.nosdeputes.fr/brahim-hammouche" TargetMode="External"/><Relationship Id="rId386" Type="http://schemas.openxmlformats.org/officeDocument/2006/relationships/hyperlink" Target="http://www2.assemblee-nationale.fr/deputes/fiche/OMC_PA720892" TargetMode="External"/><Relationship Id="rId381" Type="http://schemas.openxmlformats.org/officeDocument/2006/relationships/hyperlink" Target="https://www.nosdeputes.fr/catherine-osson" TargetMode="External"/><Relationship Id="rId380" Type="http://schemas.openxmlformats.org/officeDocument/2006/relationships/hyperlink" Target="http://www2.assemblee-nationale.fr/deputes/fiche/OMC_PA720492" TargetMode="External"/><Relationship Id="rId379" Type="http://schemas.openxmlformats.org/officeDocument/2006/relationships/hyperlink" Target="https://twitter.com/Ossoncatherine" TargetMode="External"/><Relationship Id="rId374" Type="http://schemas.openxmlformats.org/officeDocument/2006/relationships/hyperlink" Target="https://www.nosdeputes.fr/valerie-oppelt" TargetMode="External"/><Relationship Id="rId373" Type="http://schemas.openxmlformats.org/officeDocument/2006/relationships/hyperlink" Target="http://www2.assemblee-nationale.fr/deputes/fiche/OMC_PA720108" TargetMode="External"/><Relationship Id="rId372" Type="http://schemas.openxmlformats.org/officeDocument/2006/relationships/hyperlink" Target="https://www.nosdeputes.fr/mickael-nogal/csv" TargetMode="External"/><Relationship Id="rId371" Type="http://schemas.openxmlformats.org/officeDocument/2006/relationships/hyperlink" Target="https://www.nosdeputes.fr/mickael-nogal" TargetMode="External"/><Relationship Id="rId378" Type="http://schemas.openxmlformats.org/officeDocument/2006/relationships/hyperlink" Target="https://www.nosdeputes.fr/matthieu-orphelin/csv" TargetMode="External"/><Relationship Id="rId377" Type="http://schemas.openxmlformats.org/officeDocument/2006/relationships/hyperlink" Target="https://www.nosdeputes.fr/matthieu-orphelin" TargetMode="External"/><Relationship Id="rId376" Type="http://schemas.openxmlformats.org/officeDocument/2006/relationships/hyperlink" Target="http://www2.assemblee-nationale.fr/deputes/fiche/OMC_PA720278" TargetMode="External"/><Relationship Id="rId375" Type="http://schemas.openxmlformats.org/officeDocument/2006/relationships/hyperlink" Target="https://www.nosdeputes.fr/valerie-oppelt/csv" TargetMode="External"/><Relationship Id="rId396" Type="http://schemas.openxmlformats.org/officeDocument/2006/relationships/hyperlink" Target="https://twitter.com/ValeriePetit_EM" TargetMode="External"/><Relationship Id="rId395" Type="http://schemas.openxmlformats.org/officeDocument/2006/relationships/hyperlink" Target="https://www.nosdeputes.fr/patrice-perrot/csv" TargetMode="External"/><Relationship Id="rId394" Type="http://schemas.openxmlformats.org/officeDocument/2006/relationships/hyperlink" Target="https://www.nosdeputes.fr/patrice-perrot" TargetMode="External"/><Relationship Id="rId393" Type="http://schemas.openxmlformats.org/officeDocument/2006/relationships/hyperlink" Target="http://www2.assemblee-nationale.fr/deputes/fiche/OMC_PA720414" TargetMode="External"/><Relationship Id="rId399" Type="http://schemas.openxmlformats.org/officeDocument/2006/relationships/hyperlink" Target="https://www.nosdeputes.fr/valerie-petit/csv" TargetMode="External"/><Relationship Id="rId398" Type="http://schemas.openxmlformats.org/officeDocument/2006/relationships/hyperlink" Target="https://www.nosdeputes.fr/valerie-petit" TargetMode="External"/><Relationship Id="rId397" Type="http://schemas.openxmlformats.org/officeDocument/2006/relationships/hyperlink" Target="http://www2.assemblee-nationale.fr/deputes/fiche/OMC_PA720500" TargetMode="External"/><Relationship Id="rId1730" Type="http://schemas.openxmlformats.org/officeDocument/2006/relationships/hyperlink" Target="https://www.nosdeputes.fr/stephane-claireaux" TargetMode="External"/><Relationship Id="rId1731" Type="http://schemas.openxmlformats.org/officeDocument/2006/relationships/hyperlink" Target="https://www.nosdeputes.fr/stephane-claireaux/csv" TargetMode="External"/><Relationship Id="rId1732" Type="http://schemas.openxmlformats.org/officeDocument/2006/relationships/hyperlink" Target="http://www2.assemblee-nationale.fr/deputes/fiche/OMC_PA720870" TargetMode="External"/><Relationship Id="rId1733" Type="http://schemas.openxmlformats.org/officeDocument/2006/relationships/hyperlink" Target="https://www.nosdeputes.fr/jean-francois-mbaye" TargetMode="External"/><Relationship Id="rId1734" Type="http://schemas.openxmlformats.org/officeDocument/2006/relationships/hyperlink" Target="https://www.nosdeputes.fr/jean-francois-mbaye/csv" TargetMode="External"/><Relationship Id="rId1735" Type="http://schemas.openxmlformats.org/officeDocument/2006/relationships/hyperlink" Target="http://www2.assemblee-nationale.fr/deputes/fiche/OMC_PA1874" TargetMode="External"/><Relationship Id="rId1736" Type="http://schemas.openxmlformats.org/officeDocument/2006/relationships/hyperlink" Target="https://www.nosdeputes.fr/marc-le-fur" TargetMode="External"/><Relationship Id="rId1737" Type="http://schemas.openxmlformats.org/officeDocument/2006/relationships/hyperlink" Target="https://www.nosdeputes.fr/marc-le-fur/csv" TargetMode="External"/><Relationship Id="rId1738" Type="http://schemas.openxmlformats.org/officeDocument/2006/relationships/hyperlink" Target="http://www2.assemblee-nationale.fr/deputes/fiche/OMC_PA719550" TargetMode="External"/><Relationship Id="rId1739" Type="http://schemas.openxmlformats.org/officeDocument/2006/relationships/hyperlink" Target="https://www.nosdeputes.fr/liliana-tanguy" TargetMode="External"/><Relationship Id="rId1720" Type="http://schemas.openxmlformats.org/officeDocument/2006/relationships/hyperlink" Target="http://www2.assemblee-nationale.fr/deputes/fiche/OMC_PA721352" TargetMode="External"/><Relationship Id="rId1721" Type="http://schemas.openxmlformats.org/officeDocument/2006/relationships/hyperlink" Target="https://www.nosdeputes.fr/daniele-cazarian" TargetMode="External"/><Relationship Id="rId1722" Type="http://schemas.openxmlformats.org/officeDocument/2006/relationships/hyperlink" Target="https://www.nosdeputes.fr/daniele-cazarian/csv" TargetMode="External"/><Relationship Id="rId1723" Type="http://schemas.openxmlformats.org/officeDocument/2006/relationships/hyperlink" Target="http://www2.assemblee-nationale.fr/deputes/fiche/OMC_PA719218" TargetMode="External"/><Relationship Id="rId1724" Type="http://schemas.openxmlformats.org/officeDocument/2006/relationships/hyperlink" Target="https://www.nosdeputes.fr/herve-berville" TargetMode="External"/><Relationship Id="rId1725" Type="http://schemas.openxmlformats.org/officeDocument/2006/relationships/hyperlink" Target="https://www.nosdeputes.fr/herve-berville/csv" TargetMode="External"/><Relationship Id="rId1726" Type="http://schemas.openxmlformats.org/officeDocument/2006/relationships/hyperlink" Target="http://www2.assemblee-nationale.fr/deputes/fiche/OMC_PA721126" TargetMode="External"/><Relationship Id="rId1727" Type="http://schemas.openxmlformats.org/officeDocument/2006/relationships/hyperlink" Target="https://www.nosdeputes.fr/claire-guion-firmin" TargetMode="External"/><Relationship Id="rId1728" Type="http://schemas.openxmlformats.org/officeDocument/2006/relationships/hyperlink" Target="https://www.nosdeputes.fr/claire-guion-firmin/csv" TargetMode="External"/><Relationship Id="rId1729" Type="http://schemas.openxmlformats.org/officeDocument/2006/relationships/hyperlink" Target="http://www2.assemblee-nationale.fr/deputes/fiche/OMC_PA702054" TargetMode="External"/><Relationship Id="rId1752" Type="http://schemas.openxmlformats.org/officeDocument/2006/relationships/hyperlink" Target="https://www.nosdeputes.fr/ian-boucard/csv" TargetMode="External"/><Relationship Id="rId1753" Type="http://schemas.openxmlformats.org/officeDocument/2006/relationships/hyperlink" Target="http://www2.assemblee-nationale.fr/deputes/fiche/OMC_PA721278" TargetMode="External"/><Relationship Id="rId1754" Type="http://schemas.openxmlformats.org/officeDocument/2006/relationships/hyperlink" Target="https://www.nosdeputes.fr/patrice-anato" TargetMode="External"/><Relationship Id="rId1755" Type="http://schemas.openxmlformats.org/officeDocument/2006/relationships/hyperlink" Target="https://www.nosdeputes.fr/patrice-anato/csv" TargetMode="External"/><Relationship Id="rId1756" Type="http://schemas.openxmlformats.org/officeDocument/2006/relationships/hyperlink" Target="http://www2.assemblee-nationale.fr/deputes/fiche/OMC_PA719210" TargetMode="External"/><Relationship Id="rId1757" Type="http://schemas.openxmlformats.org/officeDocument/2006/relationships/hyperlink" Target="https://www.nosdeputes.fr/bruno-joncour" TargetMode="External"/><Relationship Id="rId1758" Type="http://schemas.openxmlformats.org/officeDocument/2006/relationships/hyperlink" Target="https://www.nosdeputes.fr/bruno-joncour/csv" TargetMode="External"/><Relationship Id="rId1759" Type="http://schemas.openxmlformats.org/officeDocument/2006/relationships/hyperlink" Target="http://www2.assemblee-nationale.fr/deputes/fiche/OMC_PA720202" TargetMode="External"/><Relationship Id="rId808" Type="http://schemas.openxmlformats.org/officeDocument/2006/relationships/hyperlink" Target="https://twitter.com/RixainMP" TargetMode="External"/><Relationship Id="rId807" Type="http://schemas.openxmlformats.org/officeDocument/2006/relationships/hyperlink" Target="https://www.nosdeputes.fr/cecile-rilhac/csv" TargetMode="External"/><Relationship Id="rId806" Type="http://schemas.openxmlformats.org/officeDocument/2006/relationships/hyperlink" Target="https://www.nosdeputes.fr/cecile-rilhac" TargetMode="External"/><Relationship Id="rId805" Type="http://schemas.openxmlformats.org/officeDocument/2006/relationships/hyperlink" Target="http://www2.assemblee-nationale.fr/deputes/fiche/OMC_PA720900" TargetMode="External"/><Relationship Id="rId809" Type="http://schemas.openxmlformats.org/officeDocument/2006/relationships/hyperlink" Target="http://www2.assemblee-nationale.fr/deputes/fiche/OMC_PA722252" TargetMode="External"/><Relationship Id="rId800" Type="http://schemas.openxmlformats.org/officeDocument/2006/relationships/hyperlink" Target="https://www.nosdeputes.fr/robin-reda/csv" TargetMode="External"/><Relationship Id="rId804" Type="http://schemas.openxmlformats.org/officeDocument/2006/relationships/hyperlink" Target="https://fr-fr.facebook.com/profile.php?id=100017133168739/%7Chttps://twitter.com/Cecile_Rilhac" TargetMode="External"/><Relationship Id="rId803" Type="http://schemas.openxmlformats.org/officeDocument/2006/relationships/hyperlink" Target="https://www.nosdeputes.fr/jean-luc-reitzer/csv" TargetMode="External"/><Relationship Id="rId802" Type="http://schemas.openxmlformats.org/officeDocument/2006/relationships/hyperlink" Target="https://www.nosdeputes.fr/jean-luc-reitzer" TargetMode="External"/><Relationship Id="rId801" Type="http://schemas.openxmlformats.org/officeDocument/2006/relationships/hyperlink" Target="http://www2.assemblee-nationale.fr/deputes/fiche/OMC_PA2529" TargetMode="External"/><Relationship Id="rId1750" Type="http://schemas.openxmlformats.org/officeDocument/2006/relationships/hyperlink" Target="http://www2.assemblee-nationale.fr/deputes/fiche/OMC_PA721816" TargetMode="External"/><Relationship Id="rId1751" Type="http://schemas.openxmlformats.org/officeDocument/2006/relationships/hyperlink" Target="https://www.nosdeputes.fr/ian-boucard" TargetMode="External"/><Relationship Id="rId1741" Type="http://schemas.openxmlformats.org/officeDocument/2006/relationships/hyperlink" Target="http://www2.assemblee-nationale.fr/deputes/fiche/OMC_PA719130" TargetMode="External"/><Relationship Id="rId1742" Type="http://schemas.openxmlformats.org/officeDocument/2006/relationships/hyperlink" Target="https://www.nosdeputes.fr/monica-michel" TargetMode="External"/><Relationship Id="rId1743" Type="http://schemas.openxmlformats.org/officeDocument/2006/relationships/hyperlink" Target="https://www.nosdeputes.fr/monica-michel/csv" TargetMode="External"/><Relationship Id="rId1744" Type="http://schemas.openxmlformats.org/officeDocument/2006/relationships/hyperlink" Target="http://www2.assemblee-nationale.fr/deputes/fiche/OMC_PA721150" TargetMode="External"/><Relationship Id="rId1745" Type="http://schemas.openxmlformats.org/officeDocument/2006/relationships/hyperlink" Target="https://www.nosdeputes.fr/alexandre-holroyd" TargetMode="External"/><Relationship Id="rId1746" Type="http://schemas.openxmlformats.org/officeDocument/2006/relationships/hyperlink" Target="https://www.nosdeputes.fr/alexandre-holroyd/csv" TargetMode="External"/><Relationship Id="rId1747" Type="http://schemas.openxmlformats.org/officeDocument/2006/relationships/hyperlink" Target="http://www2.assemblee-nationale.fr/deputes/fiche/OMC_PA267330" TargetMode="External"/><Relationship Id="rId1748" Type="http://schemas.openxmlformats.org/officeDocument/2006/relationships/hyperlink" Target="https://www.nosdeputes.fr/michel-zumkeller" TargetMode="External"/><Relationship Id="rId1749" Type="http://schemas.openxmlformats.org/officeDocument/2006/relationships/hyperlink" Target="https://www.nosdeputes.fr/michel-zumkeller/csv" TargetMode="External"/><Relationship Id="rId1740" Type="http://schemas.openxmlformats.org/officeDocument/2006/relationships/hyperlink" Target="https://www.nosdeputes.fr/liliana-tanguy/csv" TargetMode="External"/><Relationship Id="rId1710" Type="http://schemas.openxmlformats.org/officeDocument/2006/relationships/hyperlink" Target="https://www.nosdeputes.fr/yves-blein/csv" TargetMode="External"/><Relationship Id="rId1711" Type="http://schemas.openxmlformats.org/officeDocument/2006/relationships/hyperlink" Target="http://www2.assemblee-nationale.fr/deputes/fiche/OMC_PA722374" TargetMode="External"/><Relationship Id="rId1712" Type="http://schemas.openxmlformats.org/officeDocument/2006/relationships/hyperlink" Target="https://www.nosdeputes.fr/cyrille-isaac-sibille" TargetMode="External"/><Relationship Id="rId1713" Type="http://schemas.openxmlformats.org/officeDocument/2006/relationships/hyperlink" Target="https://www.nosdeputes.fr/cyrille-isaac-sibille/csv" TargetMode="External"/><Relationship Id="rId1714" Type="http://schemas.openxmlformats.org/officeDocument/2006/relationships/hyperlink" Target="http://www2.assemblee-nationale.fr/deputes/fiche/OMC_PA722358" TargetMode="External"/><Relationship Id="rId1715" Type="http://schemas.openxmlformats.org/officeDocument/2006/relationships/hyperlink" Target="https://www.nosdeputes.fr/thomas-gassilloud" TargetMode="External"/><Relationship Id="rId1716" Type="http://schemas.openxmlformats.org/officeDocument/2006/relationships/hyperlink" Target="https://www.nosdeputes.fr/thomas-gassilloud/csv" TargetMode="External"/><Relationship Id="rId1717" Type="http://schemas.openxmlformats.org/officeDocument/2006/relationships/hyperlink" Target="http://www2.assemblee-nationale.fr/deputes/fiche/OMC_PA722300" TargetMode="External"/><Relationship Id="rId1718" Type="http://schemas.openxmlformats.org/officeDocument/2006/relationships/hyperlink" Target="https://www.nosdeputes.fr/anissa-khedher" TargetMode="External"/><Relationship Id="rId1719" Type="http://schemas.openxmlformats.org/officeDocument/2006/relationships/hyperlink" Target="https://www.nosdeputes.fr/anissa-khedher/csv" TargetMode="External"/><Relationship Id="rId1700" Type="http://schemas.openxmlformats.org/officeDocument/2006/relationships/hyperlink" Target="https://www.nosdeputes.fr/bernard-perrut/csv" TargetMode="External"/><Relationship Id="rId1701" Type="http://schemas.openxmlformats.org/officeDocument/2006/relationships/hyperlink" Target="http://www2.assemblee-nationale.fr/deputes/fiche/OMC_PA722292" TargetMode="External"/><Relationship Id="rId1702" Type="http://schemas.openxmlformats.org/officeDocument/2006/relationships/hyperlink" Target="https://www.nosdeputes.fr/thomas-rudigoz" TargetMode="External"/><Relationship Id="rId1703" Type="http://schemas.openxmlformats.org/officeDocument/2006/relationships/hyperlink" Target="https://www.nosdeputes.fr/thomas-rudigoz/csv" TargetMode="External"/><Relationship Id="rId1704" Type="http://schemas.openxmlformats.org/officeDocument/2006/relationships/hyperlink" Target="https://twitter.com/BenjaminDirx" TargetMode="External"/><Relationship Id="rId1705" Type="http://schemas.openxmlformats.org/officeDocument/2006/relationships/hyperlink" Target="http://www2.assemblee-nationale.fr/deputes/fiche/OMC_PA722382" TargetMode="External"/><Relationship Id="rId1706" Type="http://schemas.openxmlformats.org/officeDocument/2006/relationships/hyperlink" Target="https://www.nosdeputes.fr/benjamin-dirx" TargetMode="External"/><Relationship Id="rId1707" Type="http://schemas.openxmlformats.org/officeDocument/2006/relationships/hyperlink" Target="https://www.nosdeputes.fr/benjamin-dirx/csv" TargetMode="External"/><Relationship Id="rId1708" Type="http://schemas.openxmlformats.org/officeDocument/2006/relationships/hyperlink" Target="http://www2.assemblee-nationale.fr/deputes/fiche/OMC_PA608641" TargetMode="External"/><Relationship Id="rId1709" Type="http://schemas.openxmlformats.org/officeDocument/2006/relationships/hyperlink" Target="https://www.nosdeputes.fr/yves-blein" TargetMode="External"/><Relationship Id="rId40" Type="http://schemas.openxmlformats.org/officeDocument/2006/relationships/hyperlink" Target="http://www2.assemblee-nationale.fr/deputes/fiche/OMC_PA721644" TargetMode="External"/><Relationship Id="rId1334" Type="http://schemas.openxmlformats.org/officeDocument/2006/relationships/hyperlink" Target="https://www.nosdeputes.fr/nicolas-forissier/csv" TargetMode="External"/><Relationship Id="rId1335" Type="http://schemas.openxmlformats.org/officeDocument/2006/relationships/hyperlink" Target="http://www2.assemblee-nationale.fr/deputes/fiche/OMC_PA721024" TargetMode="External"/><Relationship Id="rId42" Type="http://schemas.openxmlformats.org/officeDocument/2006/relationships/hyperlink" Target="https://www.nosdeputes.fr/rodrigue-kokouendo/csv" TargetMode="External"/><Relationship Id="rId1336" Type="http://schemas.openxmlformats.org/officeDocument/2006/relationships/hyperlink" Target="https://www.nosdeputes.fr/anne-genetet" TargetMode="External"/><Relationship Id="rId41" Type="http://schemas.openxmlformats.org/officeDocument/2006/relationships/hyperlink" Target="https://www.nosdeputes.fr/rodrigue-kokouendo" TargetMode="External"/><Relationship Id="rId1337" Type="http://schemas.openxmlformats.org/officeDocument/2006/relationships/hyperlink" Target="https://www.nosdeputes.fr/anne-genetet/csv" TargetMode="External"/><Relationship Id="rId44" Type="http://schemas.openxmlformats.org/officeDocument/2006/relationships/hyperlink" Target="https://www.nosdeputes.fr/joachim-son-forget" TargetMode="External"/><Relationship Id="rId1338" Type="http://schemas.openxmlformats.org/officeDocument/2006/relationships/hyperlink" Target="http://www2.assemblee-nationale.fr/deputes/fiche/OMC_PA695100" TargetMode="External"/><Relationship Id="rId43" Type="http://schemas.openxmlformats.org/officeDocument/2006/relationships/hyperlink" Target="http://www2.assemblee-nationale.fr/deputes/fiche/OMC_PA721174" TargetMode="External"/><Relationship Id="rId1339" Type="http://schemas.openxmlformats.org/officeDocument/2006/relationships/hyperlink" Target="https://www.nosdeputes.fr/meyer-habib" TargetMode="External"/><Relationship Id="rId46" Type="http://schemas.openxmlformats.org/officeDocument/2006/relationships/hyperlink" Target="http://www2.assemblee-nationale.fr/deputes/fiche/OMC_PA719044" TargetMode="External"/><Relationship Id="rId45" Type="http://schemas.openxmlformats.org/officeDocument/2006/relationships/hyperlink" Target="https://www.nosdeputes.fr/joachim-son-forget/csv" TargetMode="External"/><Relationship Id="rId745" Type="http://schemas.openxmlformats.org/officeDocument/2006/relationships/hyperlink" Target="https://www.nosdeputes.fr/dimitri-houbron" TargetMode="External"/><Relationship Id="rId744" Type="http://schemas.openxmlformats.org/officeDocument/2006/relationships/hyperlink" Target="http://www2.assemblee-nationale.fr/deputes/fiche/OMC_PA720454" TargetMode="External"/><Relationship Id="rId743" Type="http://schemas.openxmlformats.org/officeDocument/2006/relationships/hyperlink" Target="https://www.nosdeputes.fr/christine-hennion/csv" TargetMode="External"/><Relationship Id="rId742" Type="http://schemas.openxmlformats.org/officeDocument/2006/relationships/hyperlink" Target="https://www.nosdeputes.fr/christine-hennion" TargetMode="External"/><Relationship Id="rId749" Type="http://schemas.openxmlformats.org/officeDocument/2006/relationships/hyperlink" Target="https://www.nosdeputes.fr/caroline-janvier/csv" TargetMode="External"/><Relationship Id="rId748" Type="http://schemas.openxmlformats.org/officeDocument/2006/relationships/hyperlink" Target="https://www.nosdeputes.fr/caroline-janvier" TargetMode="External"/><Relationship Id="rId747" Type="http://schemas.openxmlformats.org/officeDocument/2006/relationships/hyperlink" Target="http://www2.assemblee-nationale.fr/deputes/fiche/OMC_PA720074" TargetMode="External"/><Relationship Id="rId746" Type="http://schemas.openxmlformats.org/officeDocument/2006/relationships/hyperlink" Target="https://www.nosdeputes.fr/dimitri-houbron/csv" TargetMode="External"/><Relationship Id="rId48" Type="http://schemas.openxmlformats.org/officeDocument/2006/relationships/hyperlink" Target="https://www.nosdeputes.fr/nadia-essayan/csv" TargetMode="External"/><Relationship Id="rId47" Type="http://schemas.openxmlformats.org/officeDocument/2006/relationships/hyperlink" Target="https://www.nosdeputes.fr/nadia-essayan" TargetMode="External"/><Relationship Id="rId49" Type="http://schemas.openxmlformats.org/officeDocument/2006/relationships/hyperlink" Target="http://www2.assemblee-nationale.fr/deputes/fiche/OMC_PA605518" TargetMode="External"/><Relationship Id="rId741" Type="http://schemas.openxmlformats.org/officeDocument/2006/relationships/hyperlink" Target="http://www2.assemblee-nationale.fr/deputes/fiche/OMC_PA722094" TargetMode="External"/><Relationship Id="rId1330" Type="http://schemas.openxmlformats.org/officeDocument/2006/relationships/hyperlink" Target="https://www.nosdeputes.fr/jean-marie-fievet" TargetMode="External"/><Relationship Id="rId740" Type="http://schemas.openxmlformats.org/officeDocument/2006/relationships/hyperlink" Target="https://www.nosdeputes.fr/marie-guevenoux/csv" TargetMode="External"/><Relationship Id="rId1331" Type="http://schemas.openxmlformats.org/officeDocument/2006/relationships/hyperlink" Target="https://www.nosdeputes.fr/jean-marie-fievet/csv" TargetMode="External"/><Relationship Id="rId1332" Type="http://schemas.openxmlformats.org/officeDocument/2006/relationships/hyperlink" Target="http://www2.assemblee-nationale.fr/deputes/fiche/OMC_PA1327" TargetMode="External"/><Relationship Id="rId1333" Type="http://schemas.openxmlformats.org/officeDocument/2006/relationships/hyperlink" Target="https://www.nosdeputes.fr/nicolas-forissier" TargetMode="External"/><Relationship Id="rId1323" Type="http://schemas.openxmlformats.org/officeDocument/2006/relationships/hyperlink" Target="http://www2.assemblee-nationale.fr/deputes/fiche/OMC_PA721776" TargetMode="External"/><Relationship Id="rId1324" Type="http://schemas.openxmlformats.org/officeDocument/2006/relationships/hyperlink" Target="https://www.nosdeputes.fr/didier-baichere" TargetMode="External"/><Relationship Id="rId31" Type="http://schemas.openxmlformats.org/officeDocument/2006/relationships/hyperlink" Target="http://www2.assemblee-nationale.fr/deputes/fiche/OMC_PA720014" TargetMode="External"/><Relationship Id="rId1325" Type="http://schemas.openxmlformats.org/officeDocument/2006/relationships/hyperlink" Target="https://www.nosdeputes.fr/didier-baichere/csv" TargetMode="External"/><Relationship Id="rId30" Type="http://schemas.openxmlformats.org/officeDocument/2006/relationships/hyperlink" Target="https://www.nosdeputes.fr/vincent-ledoux/csv" TargetMode="External"/><Relationship Id="rId1326" Type="http://schemas.openxmlformats.org/officeDocument/2006/relationships/hyperlink" Target="http://www2.assemblee-nationale.fr/deputes/fiche/OMC_PA689" TargetMode="External"/><Relationship Id="rId33" Type="http://schemas.openxmlformats.org/officeDocument/2006/relationships/hyperlink" Target="https://www.nosdeputes.fr/huguette-tiegna/csv" TargetMode="External"/><Relationship Id="rId1327" Type="http://schemas.openxmlformats.org/officeDocument/2006/relationships/hyperlink" Target="https://www.nosdeputes.fr/marie-george-buffet" TargetMode="External"/><Relationship Id="rId32" Type="http://schemas.openxmlformats.org/officeDocument/2006/relationships/hyperlink" Target="https://www.nosdeputes.fr/huguette-tiegna" TargetMode="External"/><Relationship Id="rId1328" Type="http://schemas.openxmlformats.org/officeDocument/2006/relationships/hyperlink" Target="https://www.nosdeputes.fr/marie-george-buffet/csv" TargetMode="External"/><Relationship Id="rId35" Type="http://schemas.openxmlformats.org/officeDocument/2006/relationships/hyperlink" Target="https://www.nosdeputes.fr/buon-tan" TargetMode="External"/><Relationship Id="rId1329" Type="http://schemas.openxmlformats.org/officeDocument/2006/relationships/hyperlink" Target="http://www2.assemblee-nationale.fr/deputes/fiche/OMC_PA722134" TargetMode="External"/><Relationship Id="rId34" Type="http://schemas.openxmlformats.org/officeDocument/2006/relationships/hyperlink" Target="http://www2.assemblee-nationale.fr/deputes/fiche/OMC_PA721690" TargetMode="External"/><Relationship Id="rId739" Type="http://schemas.openxmlformats.org/officeDocument/2006/relationships/hyperlink" Target="https://www.nosdeputes.fr/marie-guevenoux" TargetMode="External"/><Relationship Id="rId734" Type="http://schemas.openxmlformats.org/officeDocument/2006/relationships/hyperlink" Target="https://www.nosdeputes.fr/olivia-gregoire/csv" TargetMode="External"/><Relationship Id="rId733" Type="http://schemas.openxmlformats.org/officeDocument/2006/relationships/hyperlink" Target="https://www.nosdeputes.fr/olivia-gregoire" TargetMode="External"/><Relationship Id="rId732" Type="http://schemas.openxmlformats.org/officeDocument/2006/relationships/hyperlink" Target="http://www2.assemblee-nationale.fr/deputes/fiche/OMC_PA721764" TargetMode="External"/><Relationship Id="rId731" Type="http://schemas.openxmlformats.org/officeDocument/2006/relationships/hyperlink" Target="https://www.nosdeputes.fr/philippe-gosselin/csv" TargetMode="External"/><Relationship Id="rId738" Type="http://schemas.openxmlformats.org/officeDocument/2006/relationships/hyperlink" Target="http://www2.assemblee-nationale.fr/deputes/fiche/OMC_PA721880" TargetMode="External"/><Relationship Id="rId737" Type="http://schemas.openxmlformats.org/officeDocument/2006/relationships/hyperlink" Target="https://www.nosdeputes.fr/jean-carles-grelier/csv" TargetMode="External"/><Relationship Id="rId736" Type="http://schemas.openxmlformats.org/officeDocument/2006/relationships/hyperlink" Target="https://www.nosdeputes.fr/jean-carles-grelier" TargetMode="External"/><Relationship Id="rId735" Type="http://schemas.openxmlformats.org/officeDocument/2006/relationships/hyperlink" Target="http://www2.assemblee-nationale.fr/deputes/fiche/OMC_PA267318" TargetMode="External"/><Relationship Id="rId37" Type="http://schemas.openxmlformats.org/officeDocument/2006/relationships/hyperlink" Target="http://www2.assemblee-nationale.fr/deputes/fiche/OMC_PA719448" TargetMode="External"/><Relationship Id="rId36" Type="http://schemas.openxmlformats.org/officeDocument/2006/relationships/hyperlink" Target="https://www.nosdeputes.fr/buon-tan/csv" TargetMode="External"/><Relationship Id="rId39" Type="http://schemas.openxmlformats.org/officeDocument/2006/relationships/hyperlink" Target="https://www.nosdeputes.fr/annie-chapelier/csv" TargetMode="External"/><Relationship Id="rId38" Type="http://schemas.openxmlformats.org/officeDocument/2006/relationships/hyperlink" Target="https://www.nosdeputes.fr/annie-chapelier" TargetMode="External"/><Relationship Id="rId730" Type="http://schemas.openxmlformats.org/officeDocument/2006/relationships/hyperlink" Target="https://www.nosdeputes.fr/philippe-gosselin" TargetMode="External"/><Relationship Id="rId1320" Type="http://schemas.openxmlformats.org/officeDocument/2006/relationships/hyperlink" Target="http://www2.assemblee-nationale.fr/deputes/fiche/OMC_PA267585" TargetMode="External"/><Relationship Id="rId1321" Type="http://schemas.openxmlformats.org/officeDocument/2006/relationships/hyperlink" Target="https://www.nosdeputes.fr/francis-vercamer" TargetMode="External"/><Relationship Id="rId1322" Type="http://schemas.openxmlformats.org/officeDocument/2006/relationships/hyperlink" Target="https://www.nosdeputes.fr/francis-vercamer/csv" TargetMode="External"/><Relationship Id="rId1356" Type="http://schemas.openxmlformats.org/officeDocument/2006/relationships/hyperlink" Target="https://www.nosdeputes.fr/genevieve-levy/csv" TargetMode="External"/><Relationship Id="rId1357" Type="http://schemas.openxmlformats.org/officeDocument/2006/relationships/hyperlink" Target="https://twitter.com/SophieMette1" TargetMode="External"/><Relationship Id="rId20" Type="http://schemas.openxmlformats.org/officeDocument/2006/relationships/hyperlink" Target="https://www.nosdeputes.fr/jean-paul-mattei" TargetMode="External"/><Relationship Id="rId1358" Type="http://schemas.openxmlformats.org/officeDocument/2006/relationships/hyperlink" Target="http://www2.assemblee-nationale.fr/deputes/fiche/OMC_PA719640" TargetMode="External"/><Relationship Id="rId1359" Type="http://schemas.openxmlformats.org/officeDocument/2006/relationships/hyperlink" Target="https://www.nosdeputes.fr/sophie-mette" TargetMode="External"/><Relationship Id="rId22" Type="http://schemas.openxmlformats.org/officeDocument/2006/relationships/hyperlink" Target="http://www2.assemblee-nationale.fr/deputes/fiche/OMC_PA719822" TargetMode="External"/><Relationship Id="rId21" Type="http://schemas.openxmlformats.org/officeDocument/2006/relationships/hyperlink" Target="https://www.nosdeputes.fr/jean-paul-mattei/csv" TargetMode="External"/><Relationship Id="rId24" Type="http://schemas.openxmlformats.org/officeDocument/2006/relationships/hyperlink" Target="https://www.nosdeputes.fr/sabine-thillaye/csv" TargetMode="External"/><Relationship Id="rId23" Type="http://schemas.openxmlformats.org/officeDocument/2006/relationships/hyperlink" Target="https://www.nosdeputes.fr/sabine-thillaye" TargetMode="External"/><Relationship Id="rId767" Type="http://schemas.openxmlformats.org/officeDocument/2006/relationships/hyperlink" Target="https://www.nosdeputes.fr/graziella-melchior/csv" TargetMode="External"/><Relationship Id="rId766" Type="http://schemas.openxmlformats.org/officeDocument/2006/relationships/hyperlink" Target="https://www.nosdeputes.fr/graziella-melchior" TargetMode="External"/><Relationship Id="rId765" Type="http://schemas.openxmlformats.org/officeDocument/2006/relationships/hyperlink" Target="http://www2.assemblee-nationale.fr/deputes/fiche/OMC_PA719338" TargetMode="External"/><Relationship Id="rId764" Type="http://schemas.openxmlformats.org/officeDocument/2006/relationships/hyperlink" Target="https://www.nosdeputes.fr/jacques-marilossian/csv" TargetMode="External"/><Relationship Id="rId769" Type="http://schemas.openxmlformats.org/officeDocument/2006/relationships/hyperlink" Target="https://www.nosdeputes.fr/maxime-minot" TargetMode="External"/><Relationship Id="rId768" Type="http://schemas.openxmlformats.org/officeDocument/2006/relationships/hyperlink" Target="http://www2.assemblee-nationale.fr/deputes/fiche/OMC_PA720630" TargetMode="External"/><Relationship Id="rId26" Type="http://schemas.openxmlformats.org/officeDocument/2006/relationships/hyperlink" Target="https://www.nosdeputes.fr/alain-tourret" TargetMode="External"/><Relationship Id="rId25" Type="http://schemas.openxmlformats.org/officeDocument/2006/relationships/hyperlink" Target="http://www2.assemblee-nationale.fr/deputes/fiche/OMC_PA2828" TargetMode="External"/><Relationship Id="rId28" Type="http://schemas.openxmlformats.org/officeDocument/2006/relationships/hyperlink" Target="http://www2.assemblee-nationale.fr/deputes/fiche/OMC_PA712014" TargetMode="External"/><Relationship Id="rId1350" Type="http://schemas.openxmlformats.org/officeDocument/2006/relationships/hyperlink" Target="https://www.nosdeputes.fr/hubert-julien-laferriere/csv" TargetMode="External"/><Relationship Id="rId27" Type="http://schemas.openxmlformats.org/officeDocument/2006/relationships/hyperlink" Target="https://www.nosdeputes.fr/alain-tourret/csv" TargetMode="External"/><Relationship Id="rId1351" Type="http://schemas.openxmlformats.org/officeDocument/2006/relationships/hyperlink" Target="http://www2.assemblee-nationale.fr/deputes/fiche/OMC_PA719052" TargetMode="External"/><Relationship Id="rId763" Type="http://schemas.openxmlformats.org/officeDocument/2006/relationships/hyperlink" Target="https://www.nosdeputes.fr/jacques-marilossian" TargetMode="External"/><Relationship Id="rId1352" Type="http://schemas.openxmlformats.org/officeDocument/2006/relationships/hyperlink" Target="https://www.nosdeputes.fr/loic-kervran" TargetMode="External"/><Relationship Id="rId29" Type="http://schemas.openxmlformats.org/officeDocument/2006/relationships/hyperlink" Target="https://www.nosdeputes.fr/vincent-ledoux" TargetMode="External"/><Relationship Id="rId762" Type="http://schemas.openxmlformats.org/officeDocument/2006/relationships/hyperlink" Target="http://www2.assemblee-nationale.fr/deputes/fiche/OMC_PA721946" TargetMode="External"/><Relationship Id="rId1353" Type="http://schemas.openxmlformats.org/officeDocument/2006/relationships/hyperlink" Target="https://www.nosdeputes.fr/loic-kervran/csv" TargetMode="External"/><Relationship Id="rId761" Type="http://schemas.openxmlformats.org/officeDocument/2006/relationships/hyperlink" Target="https://www.nosdeputes.fr/laurence-maillart-mehaignerie/csv" TargetMode="External"/><Relationship Id="rId1354" Type="http://schemas.openxmlformats.org/officeDocument/2006/relationships/hyperlink" Target="http://www2.assemblee-nationale.fr/deputes/fiche/OMC_PA267378" TargetMode="External"/><Relationship Id="rId760" Type="http://schemas.openxmlformats.org/officeDocument/2006/relationships/hyperlink" Target="https://www.nosdeputes.fr/laurence-maillart-mehaignerie" TargetMode="External"/><Relationship Id="rId1355" Type="http://schemas.openxmlformats.org/officeDocument/2006/relationships/hyperlink" Target="https://www.nosdeputes.fr/genevieve-levy" TargetMode="External"/><Relationship Id="rId1345" Type="http://schemas.openxmlformats.org/officeDocument/2006/relationships/hyperlink" Target="http://www2.assemblee-nationale.fr/deputes/fiche/OMC_PA719700" TargetMode="External"/><Relationship Id="rId1346" Type="http://schemas.openxmlformats.org/officeDocument/2006/relationships/hyperlink" Target="https://www.nosdeputes.fr/philippe-huppe" TargetMode="External"/><Relationship Id="rId1347" Type="http://schemas.openxmlformats.org/officeDocument/2006/relationships/hyperlink" Target="https://www.nosdeputes.fr/philippe-huppe/csv" TargetMode="External"/><Relationship Id="rId1348" Type="http://schemas.openxmlformats.org/officeDocument/2006/relationships/hyperlink" Target="http://www2.assemblee-nationale.fr/deputes/fiche/OMC_PA722344" TargetMode="External"/><Relationship Id="rId11" Type="http://schemas.openxmlformats.org/officeDocument/2006/relationships/hyperlink" Target="https://www.nosdeputes.fr/monique-iborra" TargetMode="External"/><Relationship Id="rId1349" Type="http://schemas.openxmlformats.org/officeDocument/2006/relationships/hyperlink" Target="https://www.nosdeputes.fr/hubert-julien-laferriere" TargetMode="External"/><Relationship Id="rId10" Type="http://schemas.openxmlformats.org/officeDocument/2006/relationships/hyperlink" Target="http://www2.assemblee-nationale.fr/deputes/fiche/OMC_PA331835" TargetMode="External"/><Relationship Id="rId13" Type="http://schemas.openxmlformats.org/officeDocument/2006/relationships/hyperlink" Target="http://www2.assemblee-nationale.fr/deputes/fiche/OMC_PA610775" TargetMode="External"/><Relationship Id="rId12" Type="http://schemas.openxmlformats.org/officeDocument/2006/relationships/hyperlink" Target="https://www.nosdeputes.fr/monique-iborra/csv" TargetMode="External"/><Relationship Id="rId756" Type="http://schemas.openxmlformats.org/officeDocument/2006/relationships/hyperlink" Target="http://www2.assemblee-nationale.fr/deputes/fiche/OMC_PA721530" TargetMode="External"/><Relationship Id="rId755" Type="http://schemas.openxmlformats.org/officeDocument/2006/relationships/hyperlink" Target="https://www.nosdeputes.fr/marie-lebec/csv" TargetMode="External"/><Relationship Id="rId754" Type="http://schemas.openxmlformats.org/officeDocument/2006/relationships/hyperlink" Target="https://www.nosdeputes.fr/marie-lebec" TargetMode="External"/><Relationship Id="rId753" Type="http://schemas.openxmlformats.org/officeDocument/2006/relationships/hyperlink" Target="http://www2.assemblee-nationale.fr/deputes/fiche/OMC_PA721852" TargetMode="External"/><Relationship Id="rId759" Type="http://schemas.openxmlformats.org/officeDocument/2006/relationships/hyperlink" Target="http://www2.assemblee-nationale.fr/deputes/fiche/OMC_PA719718" TargetMode="External"/><Relationship Id="rId758" Type="http://schemas.openxmlformats.org/officeDocument/2006/relationships/hyperlink" Target="https://www.nosdeputes.fr/aude-luquet/csv" TargetMode="External"/><Relationship Id="rId757" Type="http://schemas.openxmlformats.org/officeDocument/2006/relationships/hyperlink" Target="https://www.nosdeputes.fr/aude-luquet" TargetMode="External"/><Relationship Id="rId15" Type="http://schemas.openxmlformats.org/officeDocument/2006/relationships/hyperlink" Target="https://www.nosdeputes.fr/philippe-gomes/csv" TargetMode="External"/><Relationship Id="rId14" Type="http://schemas.openxmlformats.org/officeDocument/2006/relationships/hyperlink" Target="https://www.nosdeputes.fr/philippe-gomes" TargetMode="External"/><Relationship Id="rId17" Type="http://schemas.openxmlformats.org/officeDocument/2006/relationships/hyperlink" Target="https://www.nosdeputes.fr/bruno-bonnell" TargetMode="External"/><Relationship Id="rId16" Type="http://schemas.openxmlformats.org/officeDocument/2006/relationships/hyperlink" Target="http://www2.assemblee-nationale.fr/deputes/fiche/OMC_PA721344" TargetMode="External"/><Relationship Id="rId1340" Type="http://schemas.openxmlformats.org/officeDocument/2006/relationships/hyperlink" Target="https://www.nosdeputes.fr/meyer-habib/csv" TargetMode="External"/><Relationship Id="rId19" Type="http://schemas.openxmlformats.org/officeDocument/2006/relationships/hyperlink" Target="http://www2.assemblee-nationale.fr/deputes/fiche/OMC_PA720728" TargetMode="External"/><Relationship Id="rId752" Type="http://schemas.openxmlformats.org/officeDocument/2006/relationships/hyperlink" Target="https://www.nosdeputes.fr/aina-kuric/csv" TargetMode="External"/><Relationship Id="rId1341" Type="http://schemas.openxmlformats.org/officeDocument/2006/relationships/hyperlink" Target="https://fr-fr.facebook.com/michel.herbillon.94/" TargetMode="External"/><Relationship Id="rId18" Type="http://schemas.openxmlformats.org/officeDocument/2006/relationships/hyperlink" Target="https://www.nosdeputes.fr/bruno-bonnell/csv" TargetMode="External"/><Relationship Id="rId751" Type="http://schemas.openxmlformats.org/officeDocument/2006/relationships/hyperlink" Target="https://www.nosdeputes.fr/aina-kuric" TargetMode="External"/><Relationship Id="rId1342" Type="http://schemas.openxmlformats.org/officeDocument/2006/relationships/hyperlink" Target="http://www2.assemblee-nationale.fr/deputes/fiche/OMC_PA1630" TargetMode="External"/><Relationship Id="rId750" Type="http://schemas.openxmlformats.org/officeDocument/2006/relationships/hyperlink" Target="http://www2.assemblee-nationale.fr/deputes/fiche/OMC_PA720214" TargetMode="External"/><Relationship Id="rId1343" Type="http://schemas.openxmlformats.org/officeDocument/2006/relationships/hyperlink" Target="https://www.nosdeputes.fr/michel-herbillon" TargetMode="External"/><Relationship Id="rId1344" Type="http://schemas.openxmlformats.org/officeDocument/2006/relationships/hyperlink" Target="https://www.nosdeputes.fr/michel-herbillon/csv" TargetMode="External"/><Relationship Id="rId84" Type="http://schemas.openxmlformats.org/officeDocument/2006/relationships/hyperlink" Target="https://www.nosdeputes.fr/eric-alauzet/csv" TargetMode="External"/><Relationship Id="rId1774" Type="http://schemas.openxmlformats.org/officeDocument/2006/relationships/hyperlink" Target="http://www2.assemblee-nationale.fr/deputes/fiche/OMC_PA334768" TargetMode="External"/><Relationship Id="rId83" Type="http://schemas.openxmlformats.org/officeDocument/2006/relationships/hyperlink" Target="https://www.nosdeputes.fr/eric-alauzet" TargetMode="External"/><Relationship Id="rId1775" Type="http://schemas.openxmlformats.org/officeDocument/2006/relationships/hyperlink" Target="https://www.nosdeputes.fr/jean-louis-touraine" TargetMode="External"/><Relationship Id="rId86" Type="http://schemas.openxmlformats.org/officeDocument/2006/relationships/hyperlink" Target="https://www.nosdeputes.fr/thibault-bazin" TargetMode="External"/><Relationship Id="rId1776" Type="http://schemas.openxmlformats.org/officeDocument/2006/relationships/hyperlink" Target="https://www.nosdeputes.fr/jean-louis-touraine/csv" TargetMode="External"/><Relationship Id="rId85" Type="http://schemas.openxmlformats.org/officeDocument/2006/relationships/hyperlink" Target="http://www2.assemblee-nationale.fr/deputes/fiche/OMC_PA642847" TargetMode="External"/><Relationship Id="rId1777" Type="http://schemas.openxmlformats.org/officeDocument/2006/relationships/hyperlink" Target="http://www2.assemblee-nationale.fr/deputes/fiche/OMC_PA720178" TargetMode="External"/><Relationship Id="rId88" Type="http://schemas.openxmlformats.org/officeDocument/2006/relationships/hyperlink" Target="http://www2.assemblee-nationale.fr/deputes/fiche/OMC_PA720430" TargetMode="External"/><Relationship Id="rId1778" Type="http://schemas.openxmlformats.org/officeDocument/2006/relationships/hyperlink" Target="https://www.nosdeputes.fr/laurent-garcia" TargetMode="External"/><Relationship Id="rId87" Type="http://schemas.openxmlformats.org/officeDocument/2006/relationships/hyperlink" Target="https://www.nosdeputes.fr/thibault-bazin/csv" TargetMode="External"/><Relationship Id="rId1779" Type="http://schemas.openxmlformats.org/officeDocument/2006/relationships/hyperlink" Target="https://www.nosdeputes.fr/laurent-garcia/csv" TargetMode="External"/><Relationship Id="rId89" Type="http://schemas.openxmlformats.org/officeDocument/2006/relationships/hyperlink" Target="https://www.nosdeputes.fr/ugo-bernalicis" TargetMode="External"/><Relationship Id="rId709" Type="http://schemas.openxmlformats.org/officeDocument/2006/relationships/hyperlink" Target="https://www.nosdeputes.fr/nicole-dubre-chirat/csv" TargetMode="External"/><Relationship Id="rId708" Type="http://schemas.openxmlformats.org/officeDocument/2006/relationships/hyperlink" Target="https://www.nosdeputes.fr/nicole-dubre-chirat" TargetMode="External"/><Relationship Id="rId707" Type="http://schemas.openxmlformats.org/officeDocument/2006/relationships/hyperlink" Target="http://www2.assemblee-nationale.fr/deputes/fiche/OMC_PA720154" TargetMode="External"/><Relationship Id="rId706" Type="http://schemas.openxmlformats.org/officeDocument/2006/relationships/hyperlink" Target="https://www.nosdeputes.fr/jeanine-dubie/csv" TargetMode="External"/><Relationship Id="rId80" Type="http://schemas.openxmlformats.org/officeDocument/2006/relationships/hyperlink" Target="https://www.nosdeputes.fr/jean-pierre-vigier" TargetMode="External"/><Relationship Id="rId82" Type="http://schemas.openxmlformats.org/officeDocument/2006/relationships/hyperlink" Target="http://www2.assemblee-nationale.fr/deputes/fiche/OMC_PA605963" TargetMode="External"/><Relationship Id="rId81" Type="http://schemas.openxmlformats.org/officeDocument/2006/relationships/hyperlink" Target="https://www.nosdeputes.fr/jean-pierre-vigier/csv" TargetMode="External"/><Relationship Id="rId701" Type="http://schemas.openxmlformats.org/officeDocument/2006/relationships/hyperlink" Target="http://www2.assemblee-nationale.fr/deputes/fiche/OMC_PA719830" TargetMode="External"/><Relationship Id="rId700" Type="http://schemas.openxmlformats.org/officeDocument/2006/relationships/hyperlink" Target="https://www.nosdeputes.fr/michel-delpon/csv" TargetMode="External"/><Relationship Id="rId705" Type="http://schemas.openxmlformats.org/officeDocument/2006/relationships/hyperlink" Target="https://www.nosdeputes.fr/jeanine-dubie" TargetMode="External"/><Relationship Id="rId704" Type="http://schemas.openxmlformats.org/officeDocument/2006/relationships/hyperlink" Target="http://www2.assemblee-nationale.fr/deputes/fiche/OMC_PA608292" TargetMode="External"/><Relationship Id="rId703" Type="http://schemas.openxmlformats.org/officeDocument/2006/relationships/hyperlink" Target="https://www.nosdeputes.fr/nicolas-demoulin/csv" TargetMode="External"/><Relationship Id="rId702" Type="http://schemas.openxmlformats.org/officeDocument/2006/relationships/hyperlink" Target="https://www.nosdeputes.fr/nicolas-demoulin" TargetMode="External"/><Relationship Id="rId1770" Type="http://schemas.openxmlformats.org/officeDocument/2006/relationships/hyperlink" Target="https://www.nosdeputes.fr/sarah-el-hairy/csv" TargetMode="External"/><Relationship Id="rId1771" Type="http://schemas.openxmlformats.org/officeDocument/2006/relationships/hyperlink" Target="http://www2.assemblee-nationale.fr/deputes/fiche/OMC_PA720916" TargetMode="External"/><Relationship Id="rId1772" Type="http://schemas.openxmlformats.org/officeDocument/2006/relationships/hyperlink" Target="https://www.nosdeputes.fr/fiona-lazaar" TargetMode="External"/><Relationship Id="rId1773" Type="http://schemas.openxmlformats.org/officeDocument/2006/relationships/hyperlink" Target="https://www.nosdeputes.fr/fiona-lazaar/csv" TargetMode="External"/><Relationship Id="rId73" Type="http://schemas.openxmlformats.org/officeDocument/2006/relationships/hyperlink" Target="http://www2.assemblee-nationale.fr/deputes/fiche/OMC_PA608172" TargetMode="External"/><Relationship Id="rId1763" Type="http://schemas.openxmlformats.org/officeDocument/2006/relationships/hyperlink" Target="https://www.nosdeputes.fr/valeria-faure-muntian" TargetMode="External"/><Relationship Id="rId72" Type="http://schemas.openxmlformats.org/officeDocument/2006/relationships/hyperlink" Target="https://www.nosdeputes.fr/jean-paul-dufregne/csv" TargetMode="External"/><Relationship Id="rId1764" Type="http://schemas.openxmlformats.org/officeDocument/2006/relationships/hyperlink" Target="https://www.nosdeputes.fr/valeria-faure-muntian/csv" TargetMode="External"/><Relationship Id="rId75" Type="http://schemas.openxmlformats.org/officeDocument/2006/relationships/hyperlink" Target="https://www.nosdeputes.fr/christine-pires-beaune/csv" TargetMode="External"/><Relationship Id="rId1765" Type="http://schemas.openxmlformats.org/officeDocument/2006/relationships/hyperlink" Target="http://www2.assemblee-nationale.fr/deputes/fiche/OMC_PA721718" TargetMode="External"/><Relationship Id="rId74" Type="http://schemas.openxmlformats.org/officeDocument/2006/relationships/hyperlink" Target="https://www.nosdeputes.fr/christine-pires-beaune" TargetMode="External"/><Relationship Id="rId1766" Type="http://schemas.openxmlformats.org/officeDocument/2006/relationships/hyperlink" Target="https://www.nosdeputes.fr/stephanie-do" TargetMode="External"/><Relationship Id="rId77" Type="http://schemas.openxmlformats.org/officeDocument/2006/relationships/hyperlink" Target="https://www.nosdeputes.fr/jean-marie-sermier" TargetMode="External"/><Relationship Id="rId1767" Type="http://schemas.openxmlformats.org/officeDocument/2006/relationships/hyperlink" Target="https://www.nosdeputes.fr/stephanie-do/csv" TargetMode="External"/><Relationship Id="rId76" Type="http://schemas.openxmlformats.org/officeDocument/2006/relationships/hyperlink" Target="http://www2.assemblee-nationale.fr/deputes/fiche/OMC_PA267204" TargetMode="External"/><Relationship Id="rId1768" Type="http://schemas.openxmlformats.org/officeDocument/2006/relationships/hyperlink" Target="http://www2.assemblee-nationale.fr/deputes/fiche/OMC_PA720002" TargetMode="External"/><Relationship Id="rId79" Type="http://schemas.openxmlformats.org/officeDocument/2006/relationships/hyperlink" Target="http://www2.assemblee-nationale.fr/deputes/fiche/OMC_PA607090" TargetMode="External"/><Relationship Id="rId1769" Type="http://schemas.openxmlformats.org/officeDocument/2006/relationships/hyperlink" Target="https://www.nosdeputes.fr/sarah-el-hairy" TargetMode="External"/><Relationship Id="rId78" Type="http://schemas.openxmlformats.org/officeDocument/2006/relationships/hyperlink" Target="https://www.nosdeputes.fr/jean-marie-sermier/csv" TargetMode="External"/><Relationship Id="rId71" Type="http://schemas.openxmlformats.org/officeDocument/2006/relationships/hyperlink" Target="https://www.nosdeputes.fr/jean-paul-dufregne" TargetMode="External"/><Relationship Id="rId70" Type="http://schemas.openxmlformats.org/officeDocument/2006/relationships/hyperlink" Target="http://www2.assemblee-nationale.fr/deputes/fiche/OMC_PA718720" TargetMode="External"/><Relationship Id="rId1760" Type="http://schemas.openxmlformats.org/officeDocument/2006/relationships/hyperlink" Target="https://www.nosdeputes.fr/sonia-krimi" TargetMode="External"/><Relationship Id="rId1761" Type="http://schemas.openxmlformats.org/officeDocument/2006/relationships/hyperlink" Target="https://www.nosdeputes.fr/sonia-krimi/csv" TargetMode="External"/><Relationship Id="rId1762" Type="http://schemas.openxmlformats.org/officeDocument/2006/relationships/hyperlink" Target="http://www2.assemblee-nationale.fr/deputes/fiche/OMC_PA719960" TargetMode="External"/><Relationship Id="rId62" Type="http://schemas.openxmlformats.org/officeDocument/2006/relationships/hyperlink" Target="https://www.nosdeputes.fr/emilie-bonnivard" TargetMode="External"/><Relationship Id="rId1312" Type="http://schemas.openxmlformats.org/officeDocument/2006/relationships/hyperlink" Target="https://www.nosdeputes.fr/jean-bernard-sempastous" TargetMode="External"/><Relationship Id="rId61" Type="http://schemas.openxmlformats.org/officeDocument/2006/relationships/hyperlink" Target="http://www2.assemblee-nationale.fr/deputes/fiche/OMC_PA721410" TargetMode="External"/><Relationship Id="rId1313" Type="http://schemas.openxmlformats.org/officeDocument/2006/relationships/hyperlink" Target="https://www.nosdeputes.fr/jean-bernard-sempastous/csv" TargetMode="External"/><Relationship Id="rId64" Type="http://schemas.openxmlformats.org/officeDocument/2006/relationships/hyperlink" Target="http://www2.assemblee-nationale.fr/deputes/fiche/OMC_PA721908" TargetMode="External"/><Relationship Id="rId1314" Type="http://schemas.openxmlformats.org/officeDocument/2006/relationships/hyperlink" Target="http://www2.assemblee-nationale.fr/deputes/fiche/OMC_PA722086" TargetMode="External"/><Relationship Id="rId63" Type="http://schemas.openxmlformats.org/officeDocument/2006/relationships/hyperlink" Target="https://www.nosdeputes.fr/emilie-bonnivard/csv" TargetMode="External"/><Relationship Id="rId1315" Type="http://schemas.openxmlformats.org/officeDocument/2006/relationships/hyperlink" Target="https://www.nosdeputes.fr/adrien-taquet" TargetMode="External"/><Relationship Id="rId66" Type="http://schemas.openxmlformats.org/officeDocument/2006/relationships/hyperlink" Target="https://www.nosdeputes.fr/yael-braun-pivet/csv" TargetMode="External"/><Relationship Id="rId1316" Type="http://schemas.openxmlformats.org/officeDocument/2006/relationships/hyperlink" Target="https://www.nosdeputes.fr/adrien-taquet/csv" TargetMode="External"/><Relationship Id="rId65" Type="http://schemas.openxmlformats.org/officeDocument/2006/relationships/hyperlink" Target="https://www.nosdeputes.fr/yael-braun-pivet" TargetMode="External"/><Relationship Id="rId1317" Type="http://schemas.openxmlformats.org/officeDocument/2006/relationships/hyperlink" Target="http://www2.assemblee-nationale.fr/deputes/fiche/OMC_PA722162" TargetMode="External"/><Relationship Id="rId68" Type="http://schemas.openxmlformats.org/officeDocument/2006/relationships/hyperlink" Target="https://www.nosdeputes.fr/xavier-breton" TargetMode="External"/><Relationship Id="rId1318" Type="http://schemas.openxmlformats.org/officeDocument/2006/relationships/hyperlink" Target="https://www.nosdeputes.fr/nicolas-turquois" TargetMode="External"/><Relationship Id="rId67" Type="http://schemas.openxmlformats.org/officeDocument/2006/relationships/hyperlink" Target="http://www2.assemblee-nationale.fr/deputes/fiche/OMC_PA330008" TargetMode="External"/><Relationship Id="rId1319" Type="http://schemas.openxmlformats.org/officeDocument/2006/relationships/hyperlink" Target="https://www.nosdeputes.fr/nicolas-turquois/csv" TargetMode="External"/><Relationship Id="rId729" Type="http://schemas.openxmlformats.org/officeDocument/2006/relationships/hyperlink" Target="http://www2.assemblee-nationale.fr/deputes/fiche/OMC_PA266797" TargetMode="External"/><Relationship Id="rId728" Type="http://schemas.openxmlformats.org/officeDocument/2006/relationships/hyperlink" Target="https://www.nosdeputes.fr/annie-genevard/csv" TargetMode="External"/><Relationship Id="rId60" Type="http://schemas.openxmlformats.org/officeDocument/2006/relationships/hyperlink" Target="https://www.nosdeputes.fr/philippe-vigier/csv" TargetMode="External"/><Relationship Id="rId723" Type="http://schemas.openxmlformats.org/officeDocument/2006/relationships/hyperlink" Target="http://www2.assemblee-nationale.fr/deputes/fiche/OMC_PA721246" TargetMode="External"/><Relationship Id="rId722" Type="http://schemas.openxmlformats.org/officeDocument/2006/relationships/hyperlink" Target="https://www.nosdeputes.fr/jean-luc-fugit/csv" TargetMode="External"/><Relationship Id="rId721" Type="http://schemas.openxmlformats.org/officeDocument/2006/relationships/hyperlink" Target="https://www.nosdeputes.fr/jean-luc-fugit" TargetMode="External"/><Relationship Id="rId720" Type="http://schemas.openxmlformats.org/officeDocument/2006/relationships/hyperlink" Target="http://www2.assemblee-nationale.fr/deputes/fiche/OMC_PA722366" TargetMode="External"/><Relationship Id="rId727" Type="http://schemas.openxmlformats.org/officeDocument/2006/relationships/hyperlink" Target="https://www.nosdeputes.fr/annie-genevard" TargetMode="External"/><Relationship Id="rId726" Type="http://schemas.openxmlformats.org/officeDocument/2006/relationships/hyperlink" Target="http://www2.assemblee-nationale.fr/deputes/fiche/OMC_PA605991" TargetMode="External"/><Relationship Id="rId725" Type="http://schemas.openxmlformats.org/officeDocument/2006/relationships/hyperlink" Target="https://www.nosdeputes.fr/albane-gaillot/csv" TargetMode="External"/><Relationship Id="rId724" Type="http://schemas.openxmlformats.org/officeDocument/2006/relationships/hyperlink" Target="https://www.nosdeputes.fr/albane-gaillot" TargetMode="External"/><Relationship Id="rId69" Type="http://schemas.openxmlformats.org/officeDocument/2006/relationships/hyperlink" Target="https://www.nosdeputes.fr/xavier-breton/csv" TargetMode="External"/><Relationship Id="rId1310" Type="http://schemas.openxmlformats.org/officeDocument/2006/relationships/hyperlink" Target="https://www.nosdeputes.fr/jacques-savatier/csv" TargetMode="External"/><Relationship Id="rId1311" Type="http://schemas.openxmlformats.org/officeDocument/2006/relationships/hyperlink" Target="http://www2.assemblee-nationale.fr/deputes/fiche/OMC_PA720780" TargetMode="External"/><Relationship Id="rId51" Type="http://schemas.openxmlformats.org/officeDocument/2006/relationships/hyperlink" Target="https://www.nosdeputes.fr/francois-michel-lambert/csv" TargetMode="External"/><Relationship Id="rId1301" Type="http://schemas.openxmlformats.org/officeDocument/2006/relationships/hyperlink" Target="https://www.nosdeputes.fr/berengere-poletti/csv" TargetMode="External"/><Relationship Id="rId50" Type="http://schemas.openxmlformats.org/officeDocument/2006/relationships/hyperlink" Target="https://www.nosdeputes.fr/francois-michel-lambert" TargetMode="External"/><Relationship Id="rId1302" Type="http://schemas.openxmlformats.org/officeDocument/2006/relationships/hyperlink" Target="http://www2.assemblee-nationale.fr/deputes/fiche/OMC_PA721888" TargetMode="External"/><Relationship Id="rId53" Type="http://schemas.openxmlformats.org/officeDocument/2006/relationships/hyperlink" Target="https://www.nosdeputes.fr/manuel-valls" TargetMode="External"/><Relationship Id="rId1303" Type="http://schemas.openxmlformats.org/officeDocument/2006/relationships/hyperlink" Target="https://www.nosdeputes.fr/pierre-alain-raphan" TargetMode="External"/><Relationship Id="rId52" Type="http://schemas.openxmlformats.org/officeDocument/2006/relationships/hyperlink" Target="http://www2.assemblee-nationale.fr/deputes/fiche/OMC_PA267622" TargetMode="External"/><Relationship Id="rId1304" Type="http://schemas.openxmlformats.org/officeDocument/2006/relationships/hyperlink" Target="https://www.nosdeputes.fr/pierre-alain-raphan/csv" TargetMode="External"/><Relationship Id="rId55" Type="http://schemas.openxmlformats.org/officeDocument/2006/relationships/hyperlink" Target="http://www2.assemblee-nationale.fr/deputes/fiche/OMC_PA267794" TargetMode="External"/><Relationship Id="rId1305" Type="http://schemas.openxmlformats.org/officeDocument/2006/relationships/hyperlink" Target="http://www2.assemblee-nationale.fr/deputes/fiche/OMC_PA720066" TargetMode="External"/><Relationship Id="rId54" Type="http://schemas.openxmlformats.org/officeDocument/2006/relationships/hyperlink" Target="https://www.nosdeputes.fr/manuel-valls/csv" TargetMode="External"/><Relationship Id="rId1306" Type="http://schemas.openxmlformats.org/officeDocument/2006/relationships/hyperlink" Target="https://www.nosdeputes.fr/stephanie-rist" TargetMode="External"/><Relationship Id="rId57" Type="http://schemas.openxmlformats.org/officeDocument/2006/relationships/hyperlink" Target="https://www.nosdeputes.fr/michele-tabarot/csv" TargetMode="External"/><Relationship Id="rId1307" Type="http://schemas.openxmlformats.org/officeDocument/2006/relationships/hyperlink" Target="https://www.nosdeputes.fr/stephanie-rist/csv" TargetMode="External"/><Relationship Id="rId56" Type="http://schemas.openxmlformats.org/officeDocument/2006/relationships/hyperlink" Target="https://www.nosdeputes.fr/michele-tabarot" TargetMode="External"/><Relationship Id="rId1308" Type="http://schemas.openxmlformats.org/officeDocument/2006/relationships/hyperlink" Target="http://www2.assemblee-nationale.fr/deputes/fiche/OMC_PA722078" TargetMode="External"/><Relationship Id="rId1309" Type="http://schemas.openxmlformats.org/officeDocument/2006/relationships/hyperlink" Target="https://www.nosdeputes.fr/jacques-savatier" TargetMode="External"/><Relationship Id="rId719" Type="http://schemas.openxmlformats.org/officeDocument/2006/relationships/hyperlink" Target="https://twitter.com/Jean_LucFUGIT" TargetMode="External"/><Relationship Id="rId718" Type="http://schemas.openxmlformats.org/officeDocument/2006/relationships/hyperlink" Target="https://www.nosdeputes.fr/christophe-euzet/csv" TargetMode="External"/><Relationship Id="rId717" Type="http://schemas.openxmlformats.org/officeDocument/2006/relationships/hyperlink" Target="https://www.nosdeputes.fr/christophe-euzet" TargetMode="External"/><Relationship Id="rId712" Type="http://schemas.openxmlformats.org/officeDocument/2006/relationships/hyperlink" Target="https://www.nosdeputes.fr/virginie-duby-muller/csv" TargetMode="External"/><Relationship Id="rId711" Type="http://schemas.openxmlformats.org/officeDocument/2006/relationships/hyperlink" Target="https://www.nosdeputes.fr/virginie-duby-muller" TargetMode="External"/><Relationship Id="rId710" Type="http://schemas.openxmlformats.org/officeDocument/2006/relationships/hyperlink" Target="http://www2.assemblee-nationale.fr/deputes/fiche/OMC_PA608826" TargetMode="External"/><Relationship Id="rId716" Type="http://schemas.openxmlformats.org/officeDocument/2006/relationships/hyperlink" Target="http://www2.assemblee-nationale.fr/deputes/fiche/OMC_PA719616" TargetMode="External"/><Relationship Id="rId715" Type="http://schemas.openxmlformats.org/officeDocument/2006/relationships/hyperlink" Target="https://www.nosdeputes.fr/bruno-duverge/csv" TargetMode="External"/><Relationship Id="rId714" Type="http://schemas.openxmlformats.org/officeDocument/2006/relationships/hyperlink" Target="https://www.nosdeputes.fr/bruno-duverge" TargetMode="External"/><Relationship Id="rId713" Type="http://schemas.openxmlformats.org/officeDocument/2006/relationships/hyperlink" Target="http://www2.assemblee-nationale.fr/deputes/fiche/OMC_PA720652" TargetMode="External"/><Relationship Id="rId59" Type="http://schemas.openxmlformats.org/officeDocument/2006/relationships/hyperlink" Target="https://www.nosdeputes.fr/philippe-vigier" TargetMode="External"/><Relationship Id="rId58" Type="http://schemas.openxmlformats.org/officeDocument/2006/relationships/hyperlink" Target="http://www2.assemblee-nationale.fr/deputes/fiche/OMC_PA331582" TargetMode="External"/><Relationship Id="rId1780" Type="http://schemas.openxmlformats.org/officeDocument/2006/relationships/hyperlink" Target="http://www2.assemblee-nationale.fr/deputes/fiche/OMC_PA340357" TargetMode="External"/><Relationship Id="rId1781" Type="http://schemas.openxmlformats.org/officeDocument/2006/relationships/hyperlink" Target="https://www.nosdeputes.fr/michele-victory" TargetMode="External"/><Relationship Id="rId1782" Type="http://schemas.openxmlformats.org/officeDocument/2006/relationships/hyperlink" Target="https://www.nosdeputes.fr/michele-victory/csv" TargetMode="External"/><Relationship Id="rId1783" Type="http://schemas.openxmlformats.org/officeDocument/2006/relationships/drawing" Target="../drawings/drawing3.xml"/><Relationship Id="rId1300" Type="http://schemas.openxmlformats.org/officeDocument/2006/relationships/hyperlink" Target="https://www.nosdeputes.fr/berengere-poletti" TargetMode="External"/><Relationship Id="rId349" Type="http://schemas.openxmlformats.org/officeDocument/2006/relationships/hyperlink" Target="https://www.nosdeputes.fr/marie-ange-magne" TargetMode="External"/><Relationship Id="rId348" Type="http://schemas.openxmlformats.org/officeDocument/2006/relationships/hyperlink" Target="http://www2.assemblee-nationale.fr/deputes/fiche/OMC_PA722244" TargetMode="External"/><Relationship Id="rId347" Type="http://schemas.openxmlformats.org/officeDocument/2006/relationships/hyperlink" Target="https://www.nosdeputes.fr/veronique-louwagie/csv" TargetMode="External"/><Relationship Id="rId346" Type="http://schemas.openxmlformats.org/officeDocument/2006/relationships/hyperlink" Target="https://www.nosdeputes.fr/veronique-louwagie" TargetMode="External"/><Relationship Id="rId341" Type="http://schemas.openxmlformats.org/officeDocument/2006/relationships/hyperlink" Target="https://www.nosdeputes.fr/roland-lescure/csv" TargetMode="External"/><Relationship Id="rId340" Type="http://schemas.openxmlformats.org/officeDocument/2006/relationships/hyperlink" Target="https://www.nosdeputes.fr/roland-lescure" TargetMode="External"/><Relationship Id="rId345" Type="http://schemas.openxmlformats.org/officeDocument/2006/relationships/hyperlink" Target="http://www2.assemblee-nationale.fr/deputes/fiche/OMC_PA608016" TargetMode="External"/><Relationship Id="rId344" Type="http://schemas.openxmlformats.org/officeDocument/2006/relationships/hyperlink" Target="https://www.nosdeputes.fr/monique-limon/csv" TargetMode="External"/><Relationship Id="rId343" Type="http://schemas.openxmlformats.org/officeDocument/2006/relationships/hyperlink" Target="https://www.nosdeputes.fr/monique-limon" TargetMode="External"/><Relationship Id="rId342" Type="http://schemas.openxmlformats.org/officeDocument/2006/relationships/hyperlink" Target="http://www2.assemblee-nationale.fr/deputes/fiche/OMC_PA719858" TargetMode="External"/><Relationship Id="rId338" Type="http://schemas.openxmlformats.org/officeDocument/2006/relationships/hyperlink" Target="https://www.nosdeputes.fr/jean-paul-lecoq/csv" TargetMode="External"/><Relationship Id="rId337" Type="http://schemas.openxmlformats.org/officeDocument/2006/relationships/hyperlink" Target="https://www.nosdeputes.fr/jean-paul-lecoq" TargetMode="External"/><Relationship Id="rId336" Type="http://schemas.openxmlformats.org/officeDocument/2006/relationships/hyperlink" Target="http://www2.assemblee-nationale.fr/deputes/fiche/OMC_PA335612" TargetMode="External"/><Relationship Id="rId335" Type="http://schemas.openxmlformats.org/officeDocument/2006/relationships/hyperlink" Target="https://www.nosdeputes.fr/jean-claude-leclabart/csv" TargetMode="External"/><Relationship Id="rId339" Type="http://schemas.openxmlformats.org/officeDocument/2006/relationships/hyperlink" Target="http://www2.assemblee-nationale.fr/deputes/fiche/OMC_PA721134" TargetMode="External"/><Relationship Id="rId330" Type="http://schemas.openxmlformats.org/officeDocument/2006/relationships/hyperlink" Target="http://www2.assemblee-nationale.fr/deputes/fiche/OMC_PA719006" TargetMode="External"/><Relationship Id="rId334" Type="http://schemas.openxmlformats.org/officeDocument/2006/relationships/hyperlink" Target="https://www.nosdeputes.fr/jean-claude-leclabart" TargetMode="External"/><Relationship Id="rId333" Type="http://schemas.openxmlformats.org/officeDocument/2006/relationships/hyperlink" Target="http://www2.assemblee-nationale.fr/deputes/fiche/OMC_PA722228" TargetMode="External"/><Relationship Id="rId332" Type="http://schemas.openxmlformats.org/officeDocument/2006/relationships/hyperlink" Target="https://www.nosdeputes.fr/fabrice-le-vigoureux/csv" TargetMode="External"/><Relationship Id="rId331" Type="http://schemas.openxmlformats.org/officeDocument/2006/relationships/hyperlink" Target="https://www.nosdeputes.fr/fabrice-le-vigoureux" TargetMode="External"/><Relationship Id="rId370" Type="http://schemas.openxmlformats.org/officeDocument/2006/relationships/hyperlink" Target="http://www2.assemblee-nationale.fr/deputes/fiche/OMC_PA719520" TargetMode="External"/><Relationship Id="rId369" Type="http://schemas.openxmlformats.org/officeDocument/2006/relationships/hyperlink" Target="https://www.nosdeputes.fr/thierry-michels/csv" TargetMode="External"/><Relationship Id="rId368" Type="http://schemas.openxmlformats.org/officeDocument/2006/relationships/hyperlink" Target="https://www.nosdeputes.fr/thierry-michels" TargetMode="External"/><Relationship Id="rId363" Type="http://schemas.openxmlformats.org/officeDocument/2006/relationships/hyperlink" Target="https://www.nosdeputes.fr/emmanuelle-menard/csv" TargetMode="External"/><Relationship Id="rId362" Type="http://schemas.openxmlformats.org/officeDocument/2006/relationships/hyperlink" Target="https://www.nosdeputes.fr/emmanuelle-menard" TargetMode="External"/><Relationship Id="rId361" Type="http://schemas.openxmlformats.org/officeDocument/2006/relationships/hyperlink" Target="http://www2.assemblee-nationale.fr/deputes/fiche/OMC_PA719608" TargetMode="External"/><Relationship Id="rId360" Type="http://schemas.openxmlformats.org/officeDocument/2006/relationships/hyperlink" Target="https://www.nosdeputes.fr/jean-louis-masson/csv" TargetMode="External"/><Relationship Id="rId367" Type="http://schemas.openxmlformats.org/officeDocument/2006/relationships/hyperlink" Target="http://www2.assemblee-nationale.fr/deputes/fiche/OMC_PA720738" TargetMode="External"/><Relationship Id="rId366" Type="http://schemas.openxmlformats.org/officeDocument/2006/relationships/hyperlink" Target="https://www.nosdeputes.fr/thomas-mesnier/csv" TargetMode="External"/><Relationship Id="rId365" Type="http://schemas.openxmlformats.org/officeDocument/2006/relationships/hyperlink" Target="https://www.nosdeputes.fr/thomas-mesnier" TargetMode="External"/><Relationship Id="rId364" Type="http://schemas.openxmlformats.org/officeDocument/2006/relationships/hyperlink" Target="http://www2.assemblee-nationale.fr/deputes/fiche/OMC_PA719072" TargetMode="External"/><Relationship Id="rId95" Type="http://schemas.openxmlformats.org/officeDocument/2006/relationships/hyperlink" Target="https://www.nosdeputes.fr/eric-coquerel" TargetMode="External"/><Relationship Id="rId94" Type="http://schemas.openxmlformats.org/officeDocument/2006/relationships/hyperlink" Target="http://www2.assemblee-nationale.fr/deputes/fiche/OMC_PA721202" TargetMode="External"/><Relationship Id="rId97" Type="http://schemas.openxmlformats.org/officeDocument/2006/relationships/hyperlink" Target="https://twitter.com/C_deCourson" TargetMode="External"/><Relationship Id="rId96" Type="http://schemas.openxmlformats.org/officeDocument/2006/relationships/hyperlink" Target="https://www.nosdeputes.fr/eric-coquerel/csv" TargetMode="External"/><Relationship Id="rId99" Type="http://schemas.openxmlformats.org/officeDocument/2006/relationships/hyperlink" Target="https://www.nosdeputes.fr/charles-de-courson" TargetMode="External"/><Relationship Id="rId98" Type="http://schemas.openxmlformats.org/officeDocument/2006/relationships/hyperlink" Target="http://www2.assemblee-nationale.fr/deputes/fiche/OMC_PA942" TargetMode="External"/><Relationship Id="rId91" Type="http://schemas.openxmlformats.org/officeDocument/2006/relationships/hyperlink" Target="http://www2.assemblee-nationale.fr/deputes/fiche/OMC_PA605069" TargetMode="External"/><Relationship Id="rId90" Type="http://schemas.openxmlformats.org/officeDocument/2006/relationships/hyperlink" Target="https://www.nosdeputes.fr/ugo-bernalicis/csv" TargetMode="External"/><Relationship Id="rId93" Type="http://schemas.openxmlformats.org/officeDocument/2006/relationships/hyperlink" Target="https://www.nosdeputes.fr/jean-louis-bricout/csv" TargetMode="External"/><Relationship Id="rId92" Type="http://schemas.openxmlformats.org/officeDocument/2006/relationships/hyperlink" Target="https://www.nosdeputes.fr/jean-louis-bricout" TargetMode="External"/><Relationship Id="rId359" Type="http://schemas.openxmlformats.org/officeDocument/2006/relationships/hyperlink" Target="https://www.nosdeputes.fr/jean-louis-masson" TargetMode="External"/><Relationship Id="rId358" Type="http://schemas.openxmlformats.org/officeDocument/2006/relationships/hyperlink" Target="http://www2.assemblee-nationale.fr/deputes/fiche/OMC_PA346218" TargetMode="External"/><Relationship Id="rId357" Type="http://schemas.openxmlformats.org/officeDocument/2006/relationships/hyperlink" Target="http://jlmasson.fr" TargetMode="External"/><Relationship Id="rId352" Type="http://schemas.openxmlformats.org/officeDocument/2006/relationships/hyperlink" Target="https://www.nosdeputes.fr/sylvain-maillard" TargetMode="External"/><Relationship Id="rId351" Type="http://schemas.openxmlformats.org/officeDocument/2006/relationships/hyperlink" Target="http://www2.assemblee-nationale.fr/deputes/fiche/OMC_PA717379" TargetMode="External"/><Relationship Id="rId350" Type="http://schemas.openxmlformats.org/officeDocument/2006/relationships/hyperlink" Target="https://www.nosdeputes.fr/marie-ange-magne/csv" TargetMode="External"/><Relationship Id="rId356" Type="http://schemas.openxmlformats.org/officeDocument/2006/relationships/hyperlink" Target="https://www.nosdeputes.fr/didier-martin/csv" TargetMode="External"/><Relationship Id="rId355" Type="http://schemas.openxmlformats.org/officeDocument/2006/relationships/hyperlink" Target="https://www.nosdeputes.fr/didier-martin" TargetMode="External"/><Relationship Id="rId354" Type="http://schemas.openxmlformats.org/officeDocument/2006/relationships/hyperlink" Target="http://www2.assemblee-nationale.fr/deputes/fiche/OMC_PA719154" TargetMode="External"/><Relationship Id="rId353" Type="http://schemas.openxmlformats.org/officeDocument/2006/relationships/hyperlink" Target="https://www.nosdeputes.fr/sylvain-maillard/csv" TargetMode="External"/><Relationship Id="rId1378" Type="http://schemas.openxmlformats.org/officeDocument/2006/relationships/hyperlink" Target="https://www.nosdeputes.fr/laurianne-rossi" TargetMode="External"/><Relationship Id="rId1379" Type="http://schemas.openxmlformats.org/officeDocument/2006/relationships/hyperlink" Target="https://www.nosdeputes.fr/laurianne-rossi/csv" TargetMode="External"/><Relationship Id="rId305" Type="http://schemas.openxmlformats.org/officeDocument/2006/relationships/hyperlink" Target="http://www2.assemblee-nationale.fr/deputes/fiche/OMC_PA722062" TargetMode="External"/><Relationship Id="rId789" Type="http://schemas.openxmlformats.org/officeDocument/2006/relationships/hyperlink" Target="http://www2.assemblee-nationale.fr/deputes/fiche/OMC_PA720590" TargetMode="External"/><Relationship Id="rId304" Type="http://schemas.openxmlformats.org/officeDocument/2006/relationships/hyperlink" Target="https://www.nosdeputes.fr/carole-grandjean/csv" TargetMode="External"/><Relationship Id="rId788" Type="http://schemas.openxmlformats.org/officeDocument/2006/relationships/hyperlink" Target="https://www.nosdeputes.fr/barbara-pompili/csv" TargetMode="External"/><Relationship Id="rId303" Type="http://schemas.openxmlformats.org/officeDocument/2006/relationships/hyperlink" Target="https://www.nosdeputes.fr/carole-grandjean" TargetMode="External"/><Relationship Id="rId787" Type="http://schemas.openxmlformats.org/officeDocument/2006/relationships/hyperlink" Target="https://www.nosdeputes.fr/barbara-pompili" TargetMode="External"/><Relationship Id="rId302" Type="http://schemas.openxmlformats.org/officeDocument/2006/relationships/hyperlink" Target="http://www2.assemblee-nationale.fr/deputes/fiche/OMC_PA720170" TargetMode="External"/><Relationship Id="rId786" Type="http://schemas.openxmlformats.org/officeDocument/2006/relationships/hyperlink" Target="http://www2.assemblee-nationale.fr/deputes/fiche/OMC_PA609520" TargetMode="External"/><Relationship Id="rId309" Type="http://schemas.openxmlformats.org/officeDocument/2006/relationships/hyperlink" Target="https://www.nosdeputes.fr/nadia-hai" TargetMode="External"/><Relationship Id="rId308" Type="http://schemas.openxmlformats.org/officeDocument/2006/relationships/hyperlink" Target="http://www2.assemblee-nationale.fr/deputes/fiche/OMC_PA722054" TargetMode="External"/><Relationship Id="rId307" Type="http://schemas.openxmlformats.org/officeDocument/2006/relationships/hyperlink" Target="https://www.nosdeputes.fr/florence-granjus/csv" TargetMode="External"/><Relationship Id="rId306" Type="http://schemas.openxmlformats.org/officeDocument/2006/relationships/hyperlink" Target="https://www.nosdeputes.fr/florence-granjus" TargetMode="External"/><Relationship Id="rId781" Type="http://schemas.openxmlformats.org/officeDocument/2006/relationships/hyperlink" Target="https://www.nosdeputes.fr/pierre-person" TargetMode="External"/><Relationship Id="rId1370" Type="http://schemas.openxmlformats.org/officeDocument/2006/relationships/hyperlink" Target="http://www.fredericreiss.net" TargetMode="External"/><Relationship Id="rId780" Type="http://schemas.openxmlformats.org/officeDocument/2006/relationships/hyperlink" Target="http://www2.assemblee-nationale.fr/deputes/fiche/OMC_PA721568" TargetMode="External"/><Relationship Id="rId1371" Type="http://schemas.openxmlformats.org/officeDocument/2006/relationships/hyperlink" Target="http://www2.assemblee-nationale.fr/deputes/fiche/OMC_PA266776" TargetMode="External"/><Relationship Id="rId1372" Type="http://schemas.openxmlformats.org/officeDocument/2006/relationships/hyperlink" Target="https://www.nosdeputes.fr/frederic-reiss" TargetMode="External"/><Relationship Id="rId1373" Type="http://schemas.openxmlformats.org/officeDocument/2006/relationships/hyperlink" Target="https://www.nosdeputes.fr/frederic-reiss/csv" TargetMode="External"/><Relationship Id="rId301" Type="http://schemas.openxmlformats.org/officeDocument/2006/relationships/hyperlink" Target="https://www.nosdeputes.fr/perrine-goulet/csv" TargetMode="External"/><Relationship Id="rId785" Type="http://schemas.openxmlformats.org/officeDocument/2006/relationships/hyperlink" Target="https://www.nosdeputes.fr/stephane-peu/csv" TargetMode="External"/><Relationship Id="rId1374" Type="http://schemas.openxmlformats.org/officeDocument/2006/relationships/hyperlink" Target="http://www2.assemblee-nationale.fr/deputes/fiche/OMC_PA719676" TargetMode="External"/><Relationship Id="rId300" Type="http://schemas.openxmlformats.org/officeDocument/2006/relationships/hyperlink" Target="https://www.nosdeputes.fr/perrine-goulet" TargetMode="External"/><Relationship Id="rId784" Type="http://schemas.openxmlformats.org/officeDocument/2006/relationships/hyperlink" Target="https://www.nosdeputes.fr/stephane-peu" TargetMode="External"/><Relationship Id="rId1375" Type="http://schemas.openxmlformats.org/officeDocument/2006/relationships/hyperlink" Target="https://www.nosdeputes.fr/muriel-ressiguier" TargetMode="External"/><Relationship Id="rId783" Type="http://schemas.openxmlformats.org/officeDocument/2006/relationships/hyperlink" Target="http://www2.assemblee-nationale.fr/deputes/fiche/OMC_PA721270" TargetMode="External"/><Relationship Id="rId1376" Type="http://schemas.openxmlformats.org/officeDocument/2006/relationships/hyperlink" Target="https://www.nosdeputes.fr/muriel-ressiguier/csv" TargetMode="External"/><Relationship Id="rId782" Type="http://schemas.openxmlformats.org/officeDocument/2006/relationships/hyperlink" Target="https://www.nosdeputes.fr/pierre-person/csv" TargetMode="External"/><Relationship Id="rId1377" Type="http://schemas.openxmlformats.org/officeDocument/2006/relationships/hyperlink" Target="http://www2.assemblee-nationale.fr/deputes/fiche/OMC_PA721600" TargetMode="External"/><Relationship Id="rId1367" Type="http://schemas.openxmlformats.org/officeDocument/2006/relationships/hyperlink" Target="http://www2.assemblee-nationale.fr/deputes/fiche/OMC_PA719528" TargetMode="External"/><Relationship Id="rId1368" Type="http://schemas.openxmlformats.org/officeDocument/2006/relationships/hyperlink" Target="https://www.nosdeputes.fr/jean-francois-portarrieu" TargetMode="External"/><Relationship Id="rId1369" Type="http://schemas.openxmlformats.org/officeDocument/2006/relationships/hyperlink" Target="https://www.nosdeputes.fr/jean-francois-portarrieu/csv" TargetMode="External"/><Relationship Id="rId778" Type="http://schemas.openxmlformats.org/officeDocument/2006/relationships/hyperlink" Target="https://www.nosdeputes.fr/zivka-park" TargetMode="External"/><Relationship Id="rId777" Type="http://schemas.openxmlformats.org/officeDocument/2006/relationships/hyperlink" Target="http://www2.assemblee-nationale.fr/deputes/fiche/OMC_PA720944" TargetMode="External"/><Relationship Id="rId776" Type="http://schemas.openxmlformats.org/officeDocument/2006/relationships/hyperlink" Target="https://www.nosdeputes.fr/ludovic-pajot/csv" TargetMode="External"/><Relationship Id="rId775" Type="http://schemas.openxmlformats.org/officeDocument/2006/relationships/hyperlink" Target="https://www.nosdeputes.fr/ludovic-pajot" TargetMode="External"/><Relationship Id="rId779" Type="http://schemas.openxmlformats.org/officeDocument/2006/relationships/hyperlink" Target="https://www.nosdeputes.fr/zivka-park/csv" TargetMode="External"/><Relationship Id="rId770" Type="http://schemas.openxmlformats.org/officeDocument/2006/relationships/hyperlink" Target="https://www.nosdeputes.fr/maxime-minot/csv" TargetMode="External"/><Relationship Id="rId1360" Type="http://schemas.openxmlformats.org/officeDocument/2006/relationships/hyperlink" Target="https://www.nosdeputes.fr/sophie-mette/csv" TargetMode="External"/><Relationship Id="rId1361" Type="http://schemas.openxmlformats.org/officeDocument/2006/relationships/hyperlink" Target="http://www2.assemblee-nationale.fr/deputes/fiche/OMC_PA719882" TargetMode="External"/><Relationship Id="rId1362" Type="http://schemas.openxmlformats.org/officeDocument/2006/relationships/hyperlink" Target="https://www.nosdeputes.fr/marjolaine-meynier-millefert" TargetMode="External"/><Relationship Id="rId774" Type="http://schemas.openxmlformats.org/officeDocument/2006/relationships/hyperlink" Target="http://www2.assemblee-nationale.fr/deputes/fiche/OMC_PA720606" TargetMode="External"/><Relationship Id="rId1363" Type="http://schemas.openxmlformats.org/officeDocument/2006/relationships/hyperlink" Target="https://www.nosdeputes.fr/marjolaine-meynier-millefert/csv" TargetMode="External"/><Relationship Id="rId773" Type="http://schemas.openxmlformats.org/officeDocument/2006/relationships/hyperlink" Target="https://www.nosdeputes.fr/pierre-morel-a-l-huissier/csv" TargetMode="External"/><Relationship Id="rId1364" Type="http://schemas.openxmlformats.org/officeDocument/2006/relationships/hyperlink" Target="http://www2.assemblee-nationale.fr/deputes/fiche/OMC_PA721372" TargetMode="External"/><Relationship Id="rId772" Type="http://schemas.openxmlformats.org/officeDocument/2006/relationships/hyperlink" Target="https://www.nosdeputes.fr/pierre-morel-a-l-huissier" TargetMode="External"/><Relationship Id="rId1365" Type="http://schemas.openxmlformats.org/officeDocument/2006/relationships/hyperlink" Target="https://www.nosdeputes.fr/damien-pichereau" TargetMode="External"/><Relationship Id="rId771" Type="http://schemas.openxmlformats.org/officeDocument/2006/relationships/hyperlink" Target="http://www2.assemblee-nationale.fr/deputes/fiche/OMC_PA266788" TargetMode="External"/><Relationship Id="rId1366" Type="http://schemas.openxmlformats.org/officeDocument/2006/relationships/hyperlink" Target="https://www.nosdeputes.fr/damien-pichereau/csv" TargetMode="External"/><Relationship Id="rId327" Type="http://schemas.openxmlformats.org/officeDocument/2006/relationships/hyperlink" Target="http://www2.assemblee-nationale.fr/deputes/fiche/OMC_PA345722" TargetMode="External"/><Relationship Id="rId326" Type="http://schemas.openxmlformats.org/officeDocument/2006/relationships/hyperlink" Target="https://twitter.com/ConstanceLeGrip" TargetMode="External"/><Relationship Id="rId325" Type="http://schemas.openxmlformats.org/officeDocument/2006/relationships/hyperlink" Target="https://www.nosdeputes.fr/didier-le-gac/csv" TargetMode="External"/><Relationship Id="rId324" Type="http://schemas.openxmlformats.org/officeDocument/2006/relationships/hyperlink" Target="https://www.nosdeputes.fr/didier-le-gac" TargetMode="External"/><Relationship Id="rId329" Type="http://schemas.openxmlformats.org/officeDocument/2006/relationships/hyperlink" Target="https://www.nosdeputes.fr/constance-le-grip/csv" TargetMode="External"/><Relationship Id="rId1390" Type="http://schemas.openxmlformats.org/officeDocument/2006/relationships/hyperlink" Target="http://www2.assemblee-nationale.fr/deputes/fiche/OMC_PA720586" TargetMode="External"/><Relationship Id="rId328" Type="http://schemas.openxmlformats.org/officeDocument/2006/relationships/hyperlink" Target="https://www.nosdeputes.fr/constance-le-grip" TargetMode="External"/><Relationship Id="rId1391" Type="http://schemas.openxmlformats.org/officeDocument/2006/relationships/hyperlink" Target="https://www.nosdeputes.fr/pierre-vatin" TargetMode="External"/><Relationship Id="rId1392" Type="http://schemas.openxmlformats.org/officeDocument/2006/relationships/hyperlink" Target="https://www.nosdeputes.fr/pierre-vatin/csv" TargetMode="External"/><Relationship Id="rId1393" Type="http://schemas.openxmlformats.org/officeDocument/2006/relationships/hyperlink" Target="http://www2.assemblee-nationale.fr/deputes/fiche/OMC_PA718768" TargetMode="External"/><Relationship Id="rId1394" Type="http://schemas.openxmlformats.org/officeDocument/2006/relationships/hyperlink" Target="https://www.nosdeputes.fr/alexandra-valetta-ardisson" TargetMode="External"/><Relationship Id="rId1395" Type="http://schemas.openxmlformats.org/officeDocument/2006/relationships/hyperlink" Target="https://www.nosdeputes.fr/alexandra-valetta-ardisson/csv" TargetMode="External"/><Relationship Id="rId323" Type="http://schemas.openxmlformats.org/officeDocument/2006/relationships/hyperlink" Target="http://www2.assemblee-nationale.fr/deputes/fiche/OMC_PA719404" TargetMode="External"/><Relationship Id="rId1396" Type="http://schemas.openxmlformats.org/officeDocument/2006/relationships/hyperlink" Target="https://fr-fr.facebook.com/jpardouin/" TargetMode="External"/><Relationship Id="rId322" Type="http://schemas.openxmlformats.org/officeDocument/2006/relationships/hyperlink" Target="https://www.nosdeputes.fr/stephanie-kerbarh/csv" TargetMode="External"/><Relationship Id="rId1397" Type="http://schemas.openxmlformats.org/officeDocument/2006/relationships/hyperlink" Target="http://www2.assemblee-nationale.fr/deputes/fiche/OMC_PA719100" TargetMode="External"/><Relationship Id="rId321" Type="http://schemas.openxmlformats.org/officeDocument/2006/relationships/hyperlink" Target="https://www.nosdeputes.fr/stephanie-kerbarh" TargetMode="External"/><Relationship Id="rId1398" Type="http://schemas.openxmlformats.org/officeDocument/2006/relationships/hyperlink" Target="https://www.nosdeputes.fr/jean-philippe-ardouin" TargetMode="External"/><Relationship Id="rId320" Type="http://schemas.openxmlformats.org/officeDocument/2006/relationships/hyperlink" Target="http://www2.assemblee-nationale.fr/deputes/fiche/OMC_PA721514" TargetMode="External"/><Relationship Id="rId1399" Type="http://schemas.openxmlformats.org/officeDocument/2006/relationships/hyperlink" Target="https://www.nosdeputes.fr/jean-philippe-ardouin/csv" TargetMode="External"/><Relationship Id="rId1389" Type="http://schemas.openxmlformats.org/officeDocument/2006/relationships/hyperlink" Target="https://fr-fr.facebook.com/pierrevatin/" TargetMode="External"/><Relationship Id="rId316" Type="http://schemas.openxmlformats.org/officeDocument/2006/relationships/hyperlink" Target="https://www.nosdeputes.fr/elodie-jacquier-laforge/csv" TargetMode="External"/><Relationship Id="rId315" Type="http://schemas.openxmlformats.org/officeDocument/2006/relationships/hyperlink" Target="https://www.nosdeputes.fr/elodie-jacquier-laforge" TargetMode="External"/><Relationship Id="rId799" Type="http://schemas.openxmlformats.org/officeDocument/2006/relationships/hyperlink" Target="https://www.nosdeputes.fr/robin-reda" TargetMode="External"/><Relationship Id="rId314" Type="http://schemas.openxmlformats.org/officeDocument/2006/relationships/hyperlink" Target="http://www2.assemblee-nationale.fr/deputes/fiche/OMC_PA719874" TargetMode="External"/><Relationship Id="rId798" Type="http://schemas.openxmlformats.org/officeDocument/2006/relationships/hyperlink" Target="http://www2.assemblee-nationale.fr/deputes/fiche/OMC_PA721678" TargetMode="External"/><Relationship Id="rId313" Type="http://schemas.openxmlformats.org/officeDocument/2006/relationships/hyperlink" Target="https://www.nosdeputes.fr/christian-jacob/csv" TargetMode="External"/><Relationship Id="rId797" Type="http://schemas.openxmlformats.org/officeDocument/2006/relationships/hyperlink" Target="https://www.nosdeputes.fr/richard-ramos/csv" TargetMode="External"/><Relationship Id="rId319" Type="http://schemas.openxmlformats.org/officeDocument/2006/relationships/hyperlink" Target="https://www.nosdeputes.fr/sebastien-jumel/csv" TargetMode="External"/><Relationship Id="rId318" Type="http://schemas.openxmlformats.org/officeDocument/2006/relationships/hyperlink" Target="https://www.nosdeputes.fr/sebastien-jumel" TargetMode="External"/><Relationship Id="rId317" Type="http://schemas.openxmlformats.org/officeDocument/2006/relationships/hyperlink" Target="http://www2.assemblee-nationale.fr/deputes/fiche/OMC_PA722202" TargetMode="External"/><Relationship Id="rId1380" Type="http://schemas.openxmlformats.org/officeDocument/2006/relationships/hyperlink" Target="http://www2.assemblee-nationale.fr/deputes/fiche/OMC_PA720190" TargetMode="External"/><Relationship Id="rId792" Type="http://schemas.openxmlformats.org/officeDocument/2006/relationships/hyperlink" Target="http://www2.assemblee-nationale.fr/deputes/fiche/OMC_PA643127" TargetMode="External"/><Relationship Id="rId1381" Type="http://schemas.openxmlformats.org/officeDocument/2006/relationships/hyperlink" Target="https://www.nosdeputes.fr/bertrand-sorre" TargetMode="External"/><Relationship Id="rId791" Type="http://schemas.openxmlformats.org/officeDocument/2006/relationships/hyperlink" Target="https://www.nosdeputes.fr/benoit-potterie/csv" TargetMode="External"/><Relationship Id="rId1382" Type="http://schemas.openxmlformats.org/officeDocument/2006/relationships/hyperlink" Target="https://www.nosdeputes.fr/bertrand-sorre/csv" TargetMode="External"/><Relationship Id="rId790" Type="http://schemas.openxmlformats.org/officeDocument/2006/relationships/hyperlink" Target="https://www.nosdeputes.fr/benoit-potterie" TargetMode="External"/><Relationship Id="rId1383" Type="http://schemas.openxmlformats.org/officeDocument/2006/relationships/hyperlink" Target="http://www2.assemblee-nationale.fr/deputes/fiche/OMC_PA719350" TargetMode="External"/><Relationship Id="rId1384" Type="http://schemas.openxmlformats.org/officeDocument/2006/relationships/hyperlink" Target="https://www.nosdeputes.fr/marie-tamarelle-verhaeghe" TargetMode="External"/><Relationship Id="rId312" Type="http://schemas.openxmlformats.org/officeDocument/2006/relationships/hyperlink" Target="https://www.nosdeputes.fr/christian-jacob" TargetMode="External"/><Relationship Id="rId796" Type="http://schemas.openxmlformats.org/officeDocument/2006/relationships/hyperlink" Target="https://www.nosdeputes.fr/richard-ramos" TargetMode="External"/><Relationship Id="rId1385" Type="http://schemas.openxmlformats.org/officeDocument/2006/relationships/hyperlink" Target="https://www.nosdeputes.fr/marie-tamarelle-verhaeghe/csv" TargetMode="External"/><Relationship Id="rId311" Type="http://schemas.openxmlformats.org/officeDocument/2006/relationships/hyperlink" Target="http://www2.assemblee-nationale.fr/deputes/fiche/OMC_PA1695" TargetMode="External"/><Relationship Id="rId795" Type="http://schemas.openxmlformats.org/officeDocument/2006/relationships/hyperlink" Target="http://www2.assemblee-nationale.fr/deputes/fiche/OMC_PA720092" TargetMode="External"/><Relationship Id="rId1386" Type="http://schemas.openxmlformats.org/officeDocument/2006/relationships/hyperlink" Target="http://www2.assemblee-nationale.fr/deputes/fiche/OMC_PA720854" TargetMode="External"/><Relationship Id="rId310" Type="http://schemas.openxmlformats.org/officeDocument/2006/relationships/hyperlink" Target="https://www.nosdeputes.fr/nadia-hai/csv" TargetMode="External"/><Relationship Id="rId794" Type="http://schemas.openxmlformats.org/officeDocument/2006/relationships/hyperlink" Target="https://www.nosdeputes.fr/bruno-questel/csv" TargetMode="External"/><Relationship Id="rId1387" Type="http://schemas.openxmlformats.org/officeDocument/2006/relationships/hyperlink" Target="https://www.nosdeputes.fr/stephane-teste" TargetMode="External"/><Relationship Id="rId793" Type="http://schemas.openxmlformats.org/officeDocument/2006/relationships/hyperlink" Target="https://www.nosdeputes.fr/bruno-questel" TargetMode="External"/><Relationship Id="rId1388" Type="http://schemas.openxmlformats.org/officeDocument/2006/relationships/hyperlink" Target="https://www.nosdeputes.fr/stephane-teste/csv" TargetMode="External"/><Relationship Id="rId297" Type="http://schemas.openxmlformats.org/officeDocument/2006/relationships/hyperlink" Target="https://www.nosdeputes.fr/joel-giraud" TargetMode="External"/><Relationship Id="rId296" Type="http://schemas.openxmlformats.org/officeDocument/2006/relationships/hyperlink" Target="http://www2.assemblee-nationale.fr/deputes/fiche/OMC_PA267336" TargetMode="External"/><Relationship Id="rId295" Type="http://schemas.openxmlformats.org/officeDocument/2006/relationships/hyperlink" Target="https://www.nosdeputes.fr/isabelle-florennes/csv" TargetMode="External"/><Relationship Id="rId294" Type="http://schemas.openxmlformats.org/officeDocument/2006/relationships/hyperlink" Target="https://www.nosdeputes.fr/isabelle-florennes" TargetMode="External"/><Relationship Id="rId299" Type="http://schemas.openxmlformats.org/officeDocument/2006/relationships/hyperlink" Target="http://www2.assemblee-nationale.fr/deputes/fiche/OMC_PA720560" TargetMode="External"/><Relationship Id="rId298" Type="http://schemas.openxmlformats.org/officeDocument/2006/relationships/hyperlink" Target="https://www.nosdeputes.fr/joel-giraud/csv" TargetMode="External"/><Relationship Id="rId271" Type="http://schemas.openxmlformats.org/officeDocument/2006/relationships/hyperlink" Target="https://www.nosdeputes.fr/alain-david/csv" TargetMode="External"/><Relationship Id="rId270" Type="http://schemas.openxmlformats.org/officeDocument/2006/relationships/hyperlink" Target="https://www.nosdeputes.fr/alain-david" TargetMode="External"/><Relationship Id="rId269" Type="http://schemas.openxmlformats.org/officeDocument/2006/relationships/hyperlink" Target="http://www2.assemblee-nationale.fr/deputes/fiche/OMC_PA1008" TargetMode="External"/><Relationship Id="rId264" Type="http://schemas.openxmlformats.org/officeDocument/2006/relationships/hyperlink" Target="https://www.nosdeputes.fr/marie-christine-dalloz" TargetMode="External"/><Relationship Id="rId263" Type="http://schemas.openxmlformats.org/officeDocument/2006/relationships/hyperlink" Target="http://www2.assemblee-nationale.fr/deputes/fiche/OMC_PA332523" TargetMode="External"/><Relationship Id="rId262" Type="http://schemas.openxmlformats.org/officeDocument/2006/relationships/hyperlink" Target="https://www.nosdeputes.fr/dominique-da-silva/csv" TargetMode="External"/><Relationship Id="rId261" Type="http://schemas.openxmlformats.org/officeDocument/2006/relationships/hyperlink" Target="https://www.nosdeputes.fr/dominique-da-silva" TargetMode="External"/><Relationship Id="rId268" Type="http://schemas.openxmlformats.org/officeDocument/2006/relationships/hyperlink" Target="https://www.nosdeputes.fr/olivier-damaisin/csv" TargetMode="External"/><Relationship Id="rId267" Type="http://schemas.openxmlformats.org/officeDocument/2006/relationships/hyperlink" Target="https://www.nosdeputes.fr/olivier-damaisin" TargetMode="External"/><Relationship Id="rId266" Type="http://schemas.openxmlformats.org/officeDocument/2006/relationships/hyperlink" Target="http://www2.assemblee-nationale.fr/deputes/fiche/OMC_PA720268" TargetMode="External"/><Relationship Id="rId265" Type="http://schemas.openxmlformats.org/officeDocument/2006/relationships/hyperlink" Target="https://www.nosdeputes.fr/marie-christine-dalloz/csv" TargetMode="External"/><Relationship Id="rId260" Type="http://schemas.openxmlformats.org/officeDocument/2006/relationships/hyperlink" Target="http://www2.assemblee-nationale.fr/deputes/fiche/OMC_PA720932" TargetMode="External"/><Relationship Id="rId259" Type="http://schemas.openxmlformats.org/officeDocument/2006/relationships/hyperlink" Target="https://twitter.com/DDasilva_LREM" TargetMode="External"/><Relationship Id="rId258" Type="http://schemas.openxmlformats.org/officeDocument/2006/relationships/hyperlink" Target="https://www.nosdeputes.fr/michele-crouzet/csv" TargetMode="External"/><Relationship Id="rId253" Type="http://schemas.openxmlformats.org/officeDocument/2006/relationships/hyperlink" Target="http://www2.assemblee-nationale.fr/deputes/fiche/OMC_PA718850" TargetMode="External"/><Relationship Id="rId252" Type="http://schemas.openxmlformats.org/officeDocument/2006/relationships/hyperlink" Target="https://twitter.com/CORDIERPierre08" TargetMode="External"/><Relationship Id="rId251" Type="http://schemas.openxmlformats.org/officeDocument/2006/relationships/hyperlink" Target="https://www.nosdeputes.fr/jean-charles-colas-roy/csv" TargetMode="External"/><Relationship Id="rId250" Type="http://schemas.openxmlformats.org/officeDocument/2006/relationships/hyperlink" Target="https://www.nosdeputes.fr/jean-charles-colas-roy" TargetMode="External"/><Relationship Id="rId257" Type="http://schemas.openxmlformats.org/officeDocument/2006/relationships/hyperlink" Target="https://www.nosdeputes.fr/michele-crouzet" TargetMode="External"/><Relationship Id="rId256" Type="http://schemas.openxmlformats.org/officeDocument/2006/relationships/hyperlink" Target="http://www2.assemblee-nationale.fr/deputes/fiche/OMC_PA721808" TargetMode="External"/><Relationship Id="rId255" Type="http://schemas.openxmlformats.org/officeDocument/2006/relationships/hyperlink" Target="https://www.nosdeputes.fr/pierre-cordier/csv" TargetMode="External"/><Relationship Id="rId254" Type="http://schemas.openxmlformats.org/officeDocument/2006/relationships/hyperlink" Target="https://www.nosdeputes.fr/pierre-cordier" TargetMode="External"/><Relationship Id="rId293" Type="http://schemas.openxmlformats.org/officeDocument/2006/relationships/hyperlink" Target="http://www2.assemblee-nationale.fr/deputes/fiche/OMC_PA721742" TargetMode="External"/><Relationship Id="rId292" Type="http://schemas.openxmlformats.org/officeDocument/2006/relationships/hyperlink" Target="https://www.nosdeputes.fr/caroline-fiat/csv" TargetMode="External"/><Relationship Id="rId291" Type="http://schemas.openxmlformats.org/officeDocument/2006/relationships/hyperlink" Target="https://www.nosdeputes.fr/caroline-fiat" TargetMode="External"/><Relationship Id="rId290" Type="http://schemas.openxmlformats.org/officeDocument/2006/relationships/hyperlink" Target="http://www2.assemblee-nationale.fr/deputes/fiche/OMC_PA720286" TargetMode="External"/><Relationship Id="rId286" Type="http://schemas.openxmlformats.org/officeDocument/2006/relationships/hyperlink" Target="https://www.nosdeputes.fr/pierre-dharreville/csv" TargetMode="External"/><Relationship Id="rId285" Type="http://schemas.openxmlformats.org/officeDocument/2006/relationships/hyperlink" Target="https://www.nosdeputes.fr/pierre-dharreville" TargetMode="External"/><Relationship Id="rId284" Type="http://schemas.openxmlformats.org/officeDocument/2006/relationships/hyperlink" Target="http://www2.assemblee-nationale.fr/deputes/fiche/OMC_PA718926" TargetMode="External"/><Relationship Id="rId283" Type="http://schemas.openxmlformats.org/officeDocument/2006/relationships/hyperlink" Target="https://www.nosdeputes.fr/marguerite-deprez-audebert/csv" TargetMode="External"/><Relationship Id="rId289" Type="http://schemas.openxmlformats.org/officeDocument/2006/relationships/hyperlink" Target="https://www.nosdeputes.fr/julien-dive/csv" TargetMode="External"/><Relationship Id="rId288" Type="http://schemas.openxmlformats.org/officeDocument/2006/relationships/hyperlink" Target="https://www.nosdeputes.fr/julien-dive" TargetMode="External"/><Relationship Id="rId287" Type="http://schemas.openxmlformats.org/officeDocument/2006/relationships/hyperlink" Target="http://www2.assemblee-nationale.fr/deputes/fiche/OMC_PA712015" TargetMode="External"/><Relationship Id="rId282" Type="http://schemas.openxmlformats.org/officeDocument/2006/relationships/hyperlink" Target="https://www.nosdeputes.fr/marguerite-deprez-audebert" TargetMode="External"/><Relationship Id="rId281" Type="http://schemas.openxmlformats.org/officeDocument/2006/relationships/hyperlink" Target="http://www2.assemblee-nationale.fr/deputes/fiche/OMC_PA720598" TargetMode="External"/><Relationship Id="rId280" Type="http://schemas.openxmlformats.org/officeDocument/2006/relationships/hyperlink" Target="https://www.nosdeputes.fr/marc-delatte/csv" TargetMode="External"/><Relationship Id="rId275" Type="http://schemas.openxmlformats.org/officeDocument/2006/relationships/hyperlink" Target="http://www2.assemblee-nationale.fr/deputes/fiche/OMC_PA721398" TargetMode="External"/><Relationship Id="rId274" Type="http://schemas.openxmlformats.org/officeDocument/2006/relationships/hyperlink" Target="https://www.nosdeputes.fr/dominique-david/csv" TargetMode="External"/><Relationship Id="rId273" Type="http://schemas.openxmlformats.org/officeDocument/2006/relationships/hyperlink" Target="https://www.nosdeputes.fr/dominique-david" TargetMode="External"/><Relationship Id="rId272" Type="http://schemas.openxmlformats.org/officeDocument/2006/relationships/hyperlink" Target="http://www2.assemblee-nationale.fr/deputes/fiche/OMC_PA719710" TargetMode="External"/><Relationship Id="rId279" Type="http://schemas.openxmlformats.org/officeDocument/2006/relationships/hyperlink" Target="https://www.nosdeputes.fr/marc-delatte" TargetMode="External"/><Relationship Id="rId278" Type="http://schemas.openxmlformats.org/officeDocument/2006/relationships/hyperlink" Target="http://www2.assemblee-nationale.fr/deputes/fiche/OMC_PA718694" TargetMode="External"/><Relationship Id="rId277" Type="http://schemas.openxmlformats.org/officeDocument/2006/relationships/hyperlink" Target="https://www.nosdeputes.fr/typhanie-degois/csv" TargetMode="External"/><Relationship Id="rId276" Type="http://schemas.openxmlformats.org/officeDocument/2006/relationships/hyperlink" Target="https://www.nosdeputes.fr/typhanie-degois" TargetMode="External"/><Relationship Id="rId1455" Type="http://schemas.openxmlformats.org/officeDocument/2006/relationships/hyperlink" Target="https://www.nosdeputes.fr/aurelien-tache/csv" TargetMode="External"/><Relationship Id="rId1456" Type="http://schemas.openxmlformats.org/officeDocument/2006/relationships/hyperlink" Target="http://www2.assemblee-nationale.fr/deputes/fiche/OMC_PA719302" TargetMode="External"/><Relationship Id="rId1457" Type="http://schemas.openxmlformats.org/officeDocument/2006/relationships/hyperlink" Target="https://www.nosdeputes.fr/alice-thourot" TargetMode="External"/><Relationship Id="rId1458" Type="http://schemas.openxmlformats.org/officeDocument/2006/relationships/hyperlink" Target="https://www.nosdeputes.fr/alice-thourot/csv" TargetMode="External"/><Relationship Id="rId1459" Type="http://schemas.openxmlformats.org/officeDocument/2006/relationships/hyperlink" Target="http://www2.assemblee-nationale.fr/deputes/fiche/OMC_PA721968" TargetMode="External"/><Relationship Id="rId629" Type="http://schemas.openxmlformats.org/officeDocument/2006/relationships/hyperlink" Target="http://www2.assemblee-nationale.fr/deputes/fiche/OMC_PA642788" TargetMode="External"/><Relationship Id="rId624" Type="http://schemas.openxmlformats.org/officeDocument/2006/relationships/hyperlink" Target="https://www.nosdeputes.fr/denis-sommer/csv" TargetMode="External"/><Relationship Id="rId623" Type="http://schemas.openxmlformats.org/officeDocument/2006/relationships/hyperlink" Target="https://www.nosdeputes.fr/denis-sommer" TargetMode="External"/><Relationship Id="rId622" Type="http://schemas.openxmlformats.org/officeDocument/2006/relationships/hyperlink" Target="http://www2.assemblee-nationale.fr/deputes/fiche/OMC_PA719420" TargetMode="External"/><Relationship Id="rId621" Type="http://schemas.openxmlformats.org/officeDocument/2006/relationships/hyperlink" Target="https://www.nosdeputes.fr/raphael-schellenberger/csv" TargetMode="External"/><Relationship Id="rId628" Type="http://schemas.openxmlformats.org/officeDocument/2006/relationships/hyperlink" Target="https://www.nosdeputes.fr/laurence-vanceunebrock-mialon/csv" TargetMode="External"/><Relationship Id="rId627" Type="http://schemas.openxmlformats.org/officeDocument/2006/relationships/hyperlink" Target="https://www.nosdeputes.fr/laurence-vanceunebrock-mialon" TargetMode="External"/><Relationship Id="rId626" Type="http://schemas.openxmlformats.org/officeDocument/2006/relationships/hyperlink" Target="http://www2.assemblee-nationale.fr/deputes/fiche/OMC_PA718728" TargetMode="External"/><Relationship Id="rId625" Type="http://schemas.openxmlformats.org/officeDocument/2006/relationships/hyperlink" Target="https://fr-fr.facebook.com/LaurenceVanceunebrockMialon/" TargetMode="External"/><Relationship Id="rId1450" Type="http://schemas.openxmlformats.org/officeDocument/2006/relationships/hyperlink" Target="http://www2.assemblee-nationale.fr/deputes/fiche/OMC_PA721956" TargetMode="External"/><Relationship Id="rId620" Type="http://schemas.openxmlformats.org/officeDocument/2006/relationships/hyperlink" Target="https://www.nosdeputes.fr/raphael-schellenberger" TargetMode="External"/><Relationship Id="rId1451" Type="http://schemas.openxmlformats.org/officeDocument/2006/relationships/hyperlink" Target="https://www.nosdeputes.fr/delphine-o" TargetMode="External"/><Relationship Id="rId1452" Type="http://schemas.openxmlformats.org/officeDocument/2006/relationships/hyperlink" Target="https://www.nosdeputes.fr/delphine-o/csv" TargetMode="External"/><Relationship Id="rId1453" Type="http://schemas.openxmlformats.org/officeDocument/2006/relationships/hyperlink" Target="http://www2.assemblee-nationale.fr/deputes/fiche/OMC_PA720952" TargetMode="External"/><Relationship Id="rId1454" Type="http://schemas.openxmlformats.org/officeDocument/2006/relationships/hyperlink" Target="https://www.nosdeputes.fr/aurelien-tache" TargetMode="External"/><Relationship Id="rId1444" Type="http://schemas.openxmlformats.org/officeDocument/2006/relationships/hyperlink" Target="http://www2.assemblee-nationale.fr/deputes/fiche/OMC_PA334116" TargetMode="External"/><Relationship Id="rId1445" Type="http://schemas.openxmlformats.org/officeDocument/2006/relationships/hyperlink" Target="https://www.nosdeputes.fr/jacqueline-maquet" TargetMode="External"/><Relationship Id="rId1446" Type="http://schemas.openxmlformats.org/officeDocument/2006/relationships/hyperlink" Target="https://www.nosdeputes.fr/jacqueline-maquet/csv" TargetMode="External"/><Relationship Id="rId1447" Type="http://schemas.openxmlformats.org/officeDocument/2006/relationships/hyperlink" Target="http://www2.assemblee-nationale.fr/deputes/fiche/OMC_PA721656" TargetMode="External"/><Relationship Id="rId1448" Type="http://schemas.openxmlformats.org/officeDocument/2006/relationships/hyperlink" Target="https://www.nosdeputes.fr/cecile-muschotti" TargetMode="External"/><Relationship Id="rId1449" Type="http://schemas.openxmlformats.org/officeDocument/2006/relationships/hyperlink" Target="https://www.nosdeputes.fr/cecile-muschotti/csv" TargetMode="External"/><Relationship Id="rId619" Type="http://schemas.openxmlformats.org/officeDocument/2006/relationships/hyperlink" Target="http://www2.assemblee-nationale.fr/deputes/fiche/OMC_PA721314" TargetMode="External"/><Relationship Id="rId618" Type="http://schemas.openxmlformats.org/officeDocument/2006/relationships/hyperlink" Target="https://twitter.com/rscactu" TargetMode="External"/><Relationship Id="rId613" Type="http://schemas.openxmlformats.org/officeDocument/2006/relationships/hyperlink" Target="https://www.nosdeputes.fr/nathalie-sarles" TargetMode="External"/><Relationship Id="rId612" Type="http://schemas.openxmlformats.org/officeDocument/2006/relationships/hyperlink" Target="http://www2.assemblee-nationale.fr/deputes/fiche/OMC_PA719972" TargetMode="External"/><Relationship Id="rId611" Type="http://schemas.openxmlformats.org/officeDocument/2006/relationships/hyperlink" Target="http://www.nathaliesarles.fr" TargetMode="External"/><Relationship Id="rId610" Type="http://schemas.openxmlformats.org/officeDocument/2006/relationships/hyperlink" Target="https://www.nosdeputes.fr/fabien-roussel/csv" TargetMode="External"/><Relationship Id="rId617" Type="http://schemas.openxmlformats.org/officeDocument/2006/relationships/hyperlink" Target="https://www.nosdeputes.fr/marielle-de-sarnez/csv" TargetMode="External"/><Relationship Id="rId616" Type="http://schemas.openxmlformats.org/officeDocument/2006/relationships/hyperlink" Target="https://www.nosdeputes.fr/marielle-de-sarnez" TargetMode="External"/><Relationship Id="rId615" Type="http://schemas.openxmlformats.org/officeDocument/2006/relationships/hyperlink" Target="http://www2.assemblee-nationale.fr/deputes/fiche/OMC_PA717151" TargetMode="External"/><Relationship Id="rId614" Type="http://schemas.openxmlformats.org/officeDocument/2006/relationships/hyperlink" Target="https://www.nosdeputes.fr/nathalie-sarles/csv" TargetMode="External"/><Relationship Id="rId1440" Type="http://schemas.openxmlformats.org/officeDocument/2006/relationships/hyperlink" Target="https://www.nosdeputes.fr/jerome-lambert/csv" TargetMode="External"/><Relationship Id="rId1441" Type="http://schemas.openxmlformats.org/officeDocument/2006/relationships/hyperlink" Target="http://www2.assemblee-nationale.fr/deputes/fiche/OMC_PA1960" TargetMode="External"/><Relationship Id="rId1442" Type="http://schemas.openxmlformats.org/officeDocument/2006/relationships/hyperlink" Target="https://www.nosdeputes.fr/maurice-leroy" TargetMode="External"/><Relationship Id="rId1443" Type="http://schemas.openxmlformats.org/officeDocument/2006/relationships/hyperlink" Target="https://www.nosdeputes.fr/maurice-leroy/csv" TargetMode="External"/><Relationship Id="rId1477" Type="http://schemas.openxmlformats.org/officeDocument/2006/relationships/hyperlink" Target="http://www2.assemblee-nationale.fr/deputes/fiche/OMC_PA1198" TargetMode="External"/><Relationship Id="rId1478" Type="http://schemas.openxmlformats.org/officeDocument/2006/relationships/hyperlink" Target="https://www.nosdeputes.fr/laurence-dumont" TargetMode="External"/><Relationship Id="rId1479" Type="http://schemas.openxmlformats.org/officeDocument/2006/relationships/hyperlink" Target="https://www.nosdeputes.fr/laurence-dumont/csv" TargetMode="External"/><Relationship Id="rId646" Type="http://schemas.openxmlformats.org/officeDocument/2006/relationships/hyperlink" Target="https://www.nosdeputes.fr/martine-wonner/csv" TargetMode="External"/><Relationship Id="rId645" Type="http://schemas.openxmlformats.org/officeDocument/2006/relationships/hyperlink" Target="https://www.nosdeputes.fr/martine-wonner" TargetMode="External"/><Relationship Id="rId644" Type="http://schemas.openxmlformats.org/officeDocument/2006/relationships/hyperlink" Target="http://www2.assemblee-nationale.fr/deputes/fiche/OMC_PA722268" TargetMode="External"/><Relationship Id="rId643" Type="http://schemas.openxmlformats.org/officeDocument/2006/relationships/hyperlink" Target="https://www.nosdeputes.fr/eric-woerth/csv" TargetMode="External"/><Relationship Id="rId649" Type="http://schemas.openxmlformats.org/officeDocument/2006/relationships/hyperlink" Target="https://www.nosdeputes.fr/jean-marc-zulesi/csv" TargetMode="External"/><Relationship Id="rId648" Type="http://schemas.openxmlformats.org/officeDocument/2006/relationships/hyperlink" Target="https://www.nosdeputes.fr/jean-marc-zulesi" TargetMode="External"/><Relationship Id="rId647" Type="http://schemas.openxmlformats.org/officeDocument/2006/relationships/hyperlink" Target="http://www2.assemblee-nationale.fr/deputes/fiche/OMC_PA718962" TargetMode="External"/><Relationship Id="rId1470" Type="http://schemas.openxmlformats.org/officeDocument/2006/relationships/hyperlink" Target="https://www.nosdeputes.fr/stephane-demilly/csv" TargetMode="External"/><Relationship Id="rId1471" Type="http://schemas.openxmlformats.org/officeDocument/2006/relationships/hyperlink" Target="http://www2.assemblee-nationale.fr/deputes/fiche/OMC_PA342935" TargetMode="External"/><Relationship Id="rId1472" Type="http://schemas.openxmlformats.org/officeDocument/2006/relationships/hyperlink" Target="https://www.nosdeputes.fr/marianne-dubois" TargetMode="External"/><Relationship Id="rId642" Type="http://schemas.openxmlformats.org/officeDocument/2006/relationships/hyperlink" Target="https://www.nosdeputes.fr/eric-woerth" TargetMode="External"/><Relationship Id="rId1473" Type="http://schemas.openxmlformats.org/officeDocument/2006/relationships/hyperlink" Target="https://www.nosdeputes.fr/marianne-dubois/csv" TargetMode="External"/><Relationship Id="rId641" Type="http://schemas.openxmlformats.org/officeDocument/2006/relationships/hyperlink" Target="http://www2.assemblee-nationale.fr/deputes/fiche/OMC_PA2960" TargetMode="External"/><Relationship Id="rId1474" Type="http://schemas.openxmlformats.org/officeDocument/2006/relationships/hyperlink" Target="http://www2.assemblee-nationale.fr/deputes/fiche/OMC_PA606202" TargetMode="External"/><Relationship Id="rId640" Type="http://schemas.openxmlformats.org/officeDocument/2006/relationships/hyperlink" Target="https://www.nosdeputes.fr/corinne-vignon/csv" TargetMode="External"/><Relationship Id="rId1475" Type="http://schemas.openxmlformats.org/officeDocument/2006/relationships/hyperlink" Target="https://www.nosdeputes.fr/francoise-dumas" TargetMode="External"/><Relationship Id="rId1476" Type="http://schemas.openxmlformats.org/officeDocument/2006/relationships/hyperlink" Target="https://www.nosdeputes.fr/francoise-dumas/csv" TargetMode="External"/><Relationship Id="rId1466" Type="http://schemas.openxmlformats.org/officeDocument/2006/relationships/hyperlink" Target="https://www.nosdeputes.fr/gisele-biemouret" TargetMode="External"/><Relationship Id="rId1467" Type="http://schemas.openxmlformats.org/officeDocument/2006/relationships/hyperlink" Target="https://www.nosdeputes.fr/gisele-biemouret/csv" TargetMode="External"/><Relationship Id="rId1468" Type="http://schemas.openxmlformats.org/officeDocument/2006/relationships/hyperlink" Target="http://www2.assemblee-nationale.fr/deputes/fiche/OMC_PA267241" TargetMode="External"/><Relationship Id="rId1469" Type="http://schemas.openxmlformats.org/officeDocument/2006/relationships/hyperlink" Target="https://www.nosdeputes.fr/stephane-demilly" TargetMode="External"/><Relationship Id="rId635" Type="http://schemas.openxmlformats.org/officeDocument/2006/relationships/hyperlink" Target="http://www2.assemblee-nationale.fr/deputes/fiche/OMC_PA722102" TargetMode="External"/><Relationship Id="rId634" Type="http://schemas.openxmlformats.org/officeDocument/2006/relationships/hyperlink" Target="https://www.nosdeputes.fr/patrice-verchere/csv" TargetMode="External"/><Relationship Id="rId633" Type="http://schemas.openxmlformats.org/officeDocument/2006/relationships/hyperlink" Target="https://www.nosdeputes.fr/patrice-verchere" TargetMode="External"/><Relationship Id="rId632" Type="http://schemas.openxmlformats.org/officeDocument/2006/relationships/hyperlink" Target="http://www2.assemblee-nationale.fr/deputes/fiche/OMC_PA334843" TargetMode="External"/><Relationship Id="rId639" Type="http://schemas.openxmlformats.org/officeDocument/2006/relationships/hyperlink" Target="https://www.nosdeputes.fr/corinne-vignon" TargetMode="External"/><Relationship Id="rId638" Type="http://schemas.openxmlformats.org/officeDocument/2006/relationships/hyperlink" Target="http://www2.assemblee-nationale.fr/deputes/fiche/OMC_PA719512" TargetMode="External"/><Relationship Id="rId637" Type="http://schemas.openxmlformats.org/officeDocument/2006/relationships/hyperlink" Target="https://www.nosdeputes.fr/annie-vidal/csv" TargetMode="External"/><Relationship Id="rId636" Type="http://schemas.openxmlformats.org/officeDocument/2006/relationships/hyperlink" Target="https://www.nosdeputes.fr/annie-vidal" TargetMode="External"/><Relationship Id="rId1460" Type="http://schemas.openxmlformats.org/officeDocument/2006/relationships/hyperlink" Target="https://www.nosdeputes.fr/michel-vialay" TargetMode="External"/><Relationship Id="rId1461" Type="http://schemas.openxmlformats.org/officeDocument/2006/relationships/hyperlink" Target="https://www.nosdeputes.fr/michel-vialay/csv" TargetMode="External"/><Relationship Id="rId631" Type="http://schemas.openxmlformats.org/officeDocument/2006/relationships/hyperlink" Target="https://www.nosdeputes.fr/olivier-veran/csv" TargetMode="External"/><Relationship Id="rId1462" Type="http://schemas.openxmlformats.org/officeDocument/2006/relationships/hyperlink" Target="http://www2.assemblee-nationale.fr/deputes/fiche/OMC_PA722260" TargetMode="External"/><Relationship Id="rId630" Type="http://schemas.openxmlformats.org/officeDocument/2006/relationships/hyperlink" Target="https://www.nosdeputes.fr/olivier-veran" TargetMode="External"/><Relationship Id="rId1463" Type="http://schemas.openxmlformats.org/officeDocument/2006/relationships/hyperlink" Target="https://www.nosdeputes.fr/cedric-villani" TargetMode="External"/><Relationship Id="rId1464" Type="http://schemas.openxmlformats.org/officeDocument/2006/relationships/hyperlink" Target="https://www.nosdeputes.fr/cedric-villani/csv" TargetMode="External"/><Relationship Id="rId1465" Type="http://schemas.openxmlformats.org/officeDocument/2006/relationships/hyperlink" Target="http://www2.assemblee-nationale.fr/deputes/fiche/OMC_PA508" TargetMode="External"/><Relationship Id="rId1411" Type="http://schemas.openxmlformats.org/officeDocument/2006/relationships/hyperlink" Target="https://www.nosdeputes.fr/luc-carvounas/csv" TargetMode="External"/><Relationship Id="rId1412" Type="http://schemas.openxmlformats.org/officeDocument/2006/relationships/hyperlink" Target="http://www2.assemblee-nationale.fr/deputes/fiche/OMC_PA606212" TargetMode="External"/><Relationship Id="rId1413" Type="http://schemas.openxmlformats.org/officeDocument/2006/relationships/hyperlink" Target="https://www.nosdeputes.fr/gilbert-collard" TargetMode="External"/><Relationship Id="rId1414" Type="http://schemas.openxmlformats.org/officeDocument/2006/relationships/hyperlink" Target="https://www.nosdeputes.fr/gilbert-collard/csv" TargetMode="External"/><Relationship Id="rId1415" Type="http://schemas.openxmlformats.org/officeDocument/2006/relationships/hyperlink" Target="https://twitter.com/pacolombani" TargetMode="External"/><Relationship Id="rId1416" Type="http://schemas.openxmlformats.org/officeDocument/2006/relationships/hyperlink" Target="http://www2.assemblee-nationale.fr/deputes/fiche/OMC_PA719286" TargetMode="External"/><Relationship Id="rId1417" Type="http://schemas.openxmlformats.org/officeDocument/2006/relationships/hyperlink" Target="https://www.nosdeputes.fr/paul-andre-colombani" TargetMode="External"/><Relationship Id="rId1418" Type="http://schemas.openxmlformats.org/officeDocument/2006/relationships/hyperlink" Target="https://www.nosdeputes.fr/paul-andre-colombani/csv" TargetMode="External"/><Relationship Id="rId1419" Type="http://schemas.openxmlformats.org/officeDocument/2006/relationships/hyperlink" Target="http://www2.assemblee-nationale.fr/deputes/fiche/OMC_PA1029" TargetMode="External"/><Relationship Id="rId1410" Type="http://schemas.openxmlformats.org/officeDocument/2006/relationships/hyperlink" Target="https://www.nosdeputes.fr/luc-carvounas" TargetMode="External"/><Relationship Id="rId1400" Type="http://schemas.openxmlformats.org/officeDocument/2006/relationships/hyperlink" Target="http://www2.assemblee-nationale.fr/deputes/fiche/OMC_PA642935" TargetMode="External"/><Relationship Id="rId1401" Type="http://schemas.openxmlformats.org/officeDocument/2006/relationships/hyperlink" Target="https://www.nosdeputes.fr/olivier-becht" TargetMode="External"/><Relationship Id="rId1402" Type="http://schemas.openxmlformats.org/officeDocument/2006/relationships/hyperlink" Target="https://www.nosdeputes.fr/olivier-becht/csv" TargetMode="External"/><Relationship Id="rId1403" Type="http://schemas.openxmlformats.org/officeDocument/2006/relationships/hyperlink" Target="http://www2.assemblee-nationale.fr/deputes/fiche/OMC_PA719024" TargetMode="External"/><Relationship Id="rId1404" Type="http://schemas.openxmlformats.org/officeDocument/2006/relationships/hyperlink" Target="https://www.nosdeputes.fr/christophe-blanchet" TargetMode="External"/><Relationship Id="rId1405" Type="http://schemas.openxmlformats.org/officeDocument/2006/relationships/hyperlink" Target="https://www.nosdeputes.fr/christophe-blanchet/csv" TargetMode="External"/><Relationship Id="rId1406" Type="http://schemas.openxmlformats.org/officeDocument/2006/relationships/hyperlink" Target="http://www2.assemblee-nationale.fr/deputes/fiche/OMC_PA713448" TargetMode="External"/><Relationship Id="rId1407" Type="http://schemas.openxmlformats.org/officeDocument/2006/relationships/hyperlink" Target="https://www.nosdeputes.fr/marine-brenier" TargetMode="External"/><Relationship Id="rId1408" Type="http://schemas.openxmlformats.org/officeDocument/2006/relationships/hyperlink" Target="https://www.nosdeputes.fr/marine-brenier/csv" TargetMode="External"/><Relationship Id="rId1409" Type="http://schemas.openxmlformats.org/officeDocument/2006/relationships/hyperlink" Target="http://www2.assemblee-nationale.fr/deputes/fiche/OMC_PA429893" TargetMode="External"/><Relationship Id="rId1433" Type="http://schemas.openxmlformats.org/officeDocument/2006/relationships/hyperlink" Target="https://www.nosdeputes.fr/emilie-guerel/csv" TargetMode="External"/><Relationship Id="rId1434" Type="http://schemas.openxmlformats.org/officeDocument/2006/relationships/hyperlink" Target="http://www2.assemblee-nationale.fr/deputes/fiche/OMC_PA722070" TargetMode="External"/><Relationship Id="rId1435" Type="http://schemas.openxmlformats.org/officeDocument/2006/relationships/hyperlink" Target="https://www.nosdeputes.fr/pierre-henriet" TargetMode="External"/><Relationship Id="rId1436" Type="http://schemas.openxmlformats.org/officeDocument/2006/relationships/hyperlink" Target="https://www.nosdeputes.fr/pierre-henriet/csv" TargetMode="External"/><Relationship Id="rId1437" Type="http://schemas.openxmlformats.org/officeDocument/2006/relationships/hyperlink" Target="https://twitter.com/jeromelambert16" TargetMode="External"/><Relationship Id="rId1438" Type="http://schemas.openxmlformats.org/officeDocument/2006/relationships/hyperlink" Target="http://www2.assemblee-nationale.fr/deputes/fiche/OMC_PA1809" TargetMode="External"/><Relationship Id="rId1439" Type="http://schemas.openxmlformats.org/officeDocument/2006/relationships/hyperlink" Target="https://www.nosdeputes.fr/jerome-lambert" TargetMode="External"/><Relationship Id="rId609" Type="http://schemas.openxmlformats.org/officeDocument/2006/relationships/hyperlink" Target="https://www.nosdeputes.fr/fabien-roussel" TargetMode="External"/><Relationship Id="rId608" Type="http://schemas.openxmlformats.org/officeDocument/2006/relationships/hyperlink" Target="http://www2.assemblee-nationale.fr/deputes/fiche/OMC_PA720692" TargetMode="External"/><Relationship Id="rId607" Type="http://schemas.openxmlformats.org/officeDocument/2006/relationships/hyperlink" Target="https://www.nosdeputes.fr/alain-ramadier/csv" TargetMode="External"/><Relationship Id="rId602" Type="http://schemas.openxmlformats.org/officeDocument/2006/relationships/hyperlink" Target="http://www2.assemblee-nationale.fr/deputes/fiche/OMC_PA2492" TargetMode="External"/><Relationship Id="rId601" Type="http://schemas.openxmlformats.org/officeDocument/2006/relationships/hyperlink" Target="https://www.nosdeputes.fr/francois-pupponi/csv" TargetMode="External"/><Relationship Id="rId600" Type="http://schemas.openxmlformats.org/officeDocument/2006/relationships/hyperlink" Target="https://www.nosdeputes.fr/francois-pupponi" TargetMode="External"/><Relationship Id="rId606" Type="http://schemas.openxmlformats.org/officeDocument/2006/relationships/hyperlink" Target="https://www.nosdeputes.fr/alain-ramadier" TargetMode="External"/><Relationship Id="rId605" Type="http://schemas.openxmlformats.org/officeDocument/2006/relationships/hyperlink" Target="http://www2.assemblee-nationale.fr/deputes/fiche/OMC_PA721286" TargetMode="External"/><Relationship Id="rId604" Type="http://schemas.openxmlformats.org/officeDocument/2006/relationships/hyperlink" Target="https://www.nosdeputes.fr/didier-quentin/csv" TargetMode="External"/><Relationship Id="rId603" Type="http://schemas.openxmlformats.org/officeDocument/2006/relationships/hyperlink" Target="https://www.nosdeputes.fr/didier-quentin" TargetMode="External"/><Relationship Id="rId1430" Type="http://schemas.openxmlformats.org/officeDocument/2006/relationships/hyperlink" Target="https://www.nosdeputes.fr/valerie-gomez-bassac/csv" TargetMode="External"/><Relationship Id="rId1431" Type="http://schemas.openxmlformats.org/officeDocument/2006/relationships/hyperlink" Target="http://www2.assemblee-nationale.fr/deputes/fiche/OMC_PA721792" TargetMode="External"/><Relationship Id="rId1432" Type="http://schemas.openxmlformats.org/officeDocument/2006/relationships/hyperlink" Target="https://www.nosdeputes.fr/emilie-guerel" TargetMode="External"/><Relationship Id="rId1422" Type="http://schemas.openxmlformats.org/officeDocument/2006/relationships/hyperlink" Target="http://www2.assemblee-nationale.fr/deputes/fiche/OMC_PA720664" TargetMode="External"/><Relationship Id="rId1423" Type="http://schemas.openxmlformats.org/officeDocument/2006/relationships/hyperlink" Target="https://www.nosdeputes.fr/jose-evrard" TargetMode="External"/><Relationship Id="rId1424" Type="http://schemas.openxmlformats.org/officeDocument/2006/relationships/hyperlink" Target="https://www.nosdeputes.fr/jose-evrard/csv" TargetMode="External"/><Relationship Id="rId1425" Type="http://schemas.openxmlformats.org/officeDocument/2006/relationships/hyperlink" Target="http://www2.assemblee-nationale.fr/deputes/fiche/OMC_PA606171" TargetMode="External"/><Relationship Id="rId1426" Type="http://schemas.openxmlformats.org/officeDocument/2006/relationships/hyperlink" Target="https://www.nosdeputes.fr/richard-ferrand" TargetMode="External"/><Relationship Id="rId1427" Type="http://schemas.openxmlformats.org/officeDocument/2006/relationships/hyperlink" Target="https://www.nosdeputes.fr/richard-ferrand/csv" TargetMode="External"/><Relationship Id="rId1428" Type="http://schemas.openxmlformats.org/officeDocument/2006/relationships/hyperlink" Target="http://www2.assemblee-nationale.fr/deputes/fiche/OMC_PA721784" TargetMode="External"/><Relationship Id="rId1429" Type="http://schemas.openxmlformats.org/officeDocument/2006/relationships/hyperlink" Target="https://www.nosdeputes.fr/valerie-gomez-bassac" TargetMode="External"/><Relationship Id="rId1420" Type="http://schemas.openxmlformats.org/officeDocument/2006/relationships/hyperlink" Target="https://www.nosdeputes.fr/bernard-deflesselles" TargetMode="External"/><Relationship Id="rId1421" Type="http://schemas.openxmlformats.org/officeDocument/2006/relationships/hyperlink" Target="https://www.nosdeputes.fr/bernard-deflesselles/csv" TargetMode="External"/><Relationship Id="rId1059" Type="http://schemas.openxmlformats.org/officeDocument/2006/relationships/hyperlink" Target="http://www2.assemblee-nationale.fr/deputes/fiche/OMC_PA722000" TargetMode="External"/><Relationship Id="rId228" Type="http://schemas.openxmlformats.org/officeDocument/2006/relationships/hyperlink" Target="https://www.nosdeputes.fr/celine-calvez" TargetMode="External"/><Relationship Id="rId227" Type="http://schemas.openxmlformats.org/officeDocument/2006/relationships/hyperlink" Target="http://www2.assemblee-nationale.fr/deputes/fiche/OMC_PA721750" TargetMode="External"/><Relationship Id="rId226" Type="http://schemas.openxmlformats.org/officeDocument/2006/relationships/hyperlink" Target="https://www.nosdeputes.fr/carole-bureau-bonnard/csv" TargetMode="External"/><Relationship Id="rId225" Type="http://schemas.openxmlformats.org/officeDocument/2006/relationships/hyperlink" Target="https://www.nosdeputes.fr/carole-bureau-bonnard" TargetMode="External"/><Relationship Id="rId229" Type="http://schemas.openxmlformats.org/officeDocument/2006/relationships/hyperlink" Target="https://www.nosdeputes.fr/celine-calvez/csv" TargetMode="External"/><Relationship Id="rId1050" Type="http://schemas.openxmlformats.org/officeDocument/2006/relationships/hyperlink" Target="http://www2.assemblee-nationale.fr/deputes/fiche/OMC_PA720576" TargetMode="External"/><Relationship Id="rId220" Type="http://schemas.openxmlformats.org/officeDocument/2006/relationships/hyperlink" Target="https://www.nosdeputes.fr/sophie-auconie/csv" TargetMode="External"/><Relationship Id="rId1051" Type="http://schemas.openxmlformats.org/officeDocument/2006/relationships/hyperlink" Target="https://www.nosdeputes.fr/pascal-bois" TargetMode="External"/><Relationship Id="rId1052" Type="http://schemas.openxmlformats.org/officeDocument/2006/relationships/hyperlink" Target="https://www.nosdeputes.fr/pascal-bois/csv" TargetMode="External"/><Relationship Id="rId1053" Type="http://schemas.openxmlformats.org/officeDocument/2006/relationships/hyperlink" Target="http://www2.assemblee-nationale.fr/deputes/fiche/OMC_PA721328" TargetMode="External"/><Relationship Id="rId1054" Type="http://schemas.openxmlformats.org/officeDocument/2006/relationships/hyperlink" Target="https://www.nosdeputes.fr/anne-brugnera" TargetMode="External"/><Relationship Id="rId224" Type="http://schemas.openxmlformats.org/officeDocument/2006/relationships/hyperlink" Target="http://www2.assemblee-nationale.fr/deputes/fiche/OMC_PA720622" TargetMode="External"/><Relationship Id="rId1055" Type="http://schemas.openxmlformats.org/officeDocument/2006/relationships/hyperlink" Target="https://www.nosdeputes.fr/anne-brugnera/csv" TargetMode="External"/><Relationship Id="rId223" Type="http://schemas.openxmlformats.org/officeDocument/2006/relationships/hyperlink" Target="https://www.nosdeputes.fr/christophe-bouillon/csv" TargetMode="External"/><Relationship Id="rId1056" Type="http://schemas.openxmlformats.org/officeDocument/2006/relationships/hyperlink" Target="http://www2.assemblee-nationale.fr/deputes/fiche/OMC_PA719890" TargetMode="External"/><Relationship Id="rId222" Type="http://schemas.openxmlformats.org/officeDocument/2006/relationships/hyperlink" Target="https://www.nosdeputes.fr/christophe-bouillon" TargetMode="External"/><Relationship Id="rId1057" Type="http://schemas.openxmlformats.org/officeDocument/2006/relationships/hyperlink" Target="https://www.nosdeputes.fr/danielle-brulebois" TargetMode="External"/><Relationship Id="rId221" Type="http://schemas.openxmlformats.org/officeDocument/2006/relationships/hyperlink" Target="http://www2.assemblee-nationale.fr/deputes/fiche/OMC_PA267233" TargetMode="External"/><Relationship Id="rId1058" Type="http://schemas.openxmlformats.org/officeDocument/2006/relationships/hyperlink" Target="https://www.nosdeputes.fr/danielle-brulebois/csv" TargetMode="External"/><Relationship Id="rId1048" Type="http://schemas.openxmlformats.org/officeDocument/2006/relationships/hyperlink" Target="https://www.nosdeputes.fr/anne-blanc" TargetMode="External"/><Relationship Id="rId1049" Type="http://schemas.openxmlformats.org/officeDocument/2006/relationships/hyperlink" Target="https://www.nosdeputes.fr/anne-blanc/csv" TargetMode="External"/><Relationship Id="rId217" Type="http://schemas.openxmlformats.org/officeDocument/2006/relationships/hyperlink" Target="https://www.nosdeputes.fr/julien-aubert/csv" TargetMode="External"/><Relationship Id="rId216" Type="http://schemas.openxmlformats.org/officeDocument/2006/relationships/hyperlink" Target="https://www.nosdeputes.fr/julien-aubert" TargetMode="External"/><Relationship Id="rId215" Type="http://schemas.openxmlformats.org/officeDocument/2006/relationships/hyperlink" Target="http://www2.assemblee-nationale.fr/deputes/fiche/OMC_PA609726" TargetMode="External"/><Relationship Id="rId699" Type="http://schemas.openxmlformats.org/officeDocument/2006/relationships/hyperlink" Target="https://www.nosdeputes.fr/michel-delpon" TargetMode="External"/><Relationship Id="rId214" Type="http://schemas.openxmlformats.org/officeDocument/2006/relationships/hyperlink" Target="https://www.nosdeputes.fr/jean-luc-warsmann/csv" TargetMode="External"/><Relationship Id="rId698" Type="http://schemas.openxmlformats.org/officeDocument/2006/relationships/hyperlink" Target="http://www2.assemblee-nationale.fr/deputes/fiche/OMC_PA719258" TargetMode="External"/><Relationship Id="rId219" Type="http://schemas.openxmlformats.org/officeDocument/2006/relationships/hyperlink" Target="https://www.nosdeputes.fr/sophie-auconie" TargetMode="External"/><Relationship Id="rId218" Type="http://schemas.openxmlformats.org/officeDocument/2006/relationships/hyperlink" Target="http://www2.assemblee-nationale.fr/deputes/fiche/OMC_PA719806" TargetMode="External"/><Relationship Id="rId693" Type="http://schemas.openxmlformats.org/officeDocument/2006/relationships/hyperlink" Target="https://www.nosdeputes.fr/josiane-corneloup" TargetMode="External"/><Relationship Id="rId1040" Type="http://schemas.openxmlformats.org/officeDocument/2006/relationships/hyperlink" Target="https://www.nosdeputes.fr/laetitia-avia/csv" TargetMode="External"/><Relationship Id="rId692" Type="http://schemas.openxmlformats.org/officeDocument/2006/relationships/hyperlink" Target="http://www2.assemblee-nationale.fr/deputes/fiche/OMC_PA722390" TargetMode="External"/><Relationship Id="rId1041" Type="http://schemas.openxmlformats.org/officeDocument/2006/relationships/hyperlink" Target="http://www2.assemblee-nationale.fr/deputes/fiche/OMC_PA642724" TargetMode="External"/><Relationship Id="rId691" Type="http://schemas.openxmlformats.org/officeDocument/2006/relationships/hyperlink" Target="http://josianecorneloup.fr" TargetMode="External"/><Relationship Id="rId1042" Type="http://schemas.openxmlformats.org/officeDocument/2006/relationships/hyperlink" Target="https://www.nosdeputes.fr/frederic-barbier" TargetMode="External"/><Relationship Id="rId690" Type="http://schemas.openxmlformats.org/officeDocument/2006/relationships/hyperlink" Target="https://www.nosdeputes.fr/francois-cormier-bouligeon/csv" TargetMode="External"/><Relationship Id="rId1043" Type="http://schemas.openxmlformats.org/officeDocument/2006/relationships/hyperlink" Target="https://www.nosdeputes.fr/frederic-barbier/csv" TargetMode="External"/><Relationship Id="rId213" Type="http://schemas.openxmlformats.org/officeDocument/2006/relationships/hyperlink" Target="https://www.nosdeputes.fr/jean-luc-warsmann" TargetMode="External"/><Relationship Id="rId697" Type="http://schemas.openxmlformats.org/officeDocument/2006/relationships/hyperlink" Target="https://www.nosdeputes.fr/berangere-couillard/csv" TargetMode="External"/><Relationship Id="rId1044" Type="http://schemas.openxmlformats.org/officeDocument/2006/relationships/hyperlink" Target="http://www2.assemblee-nationale.fr/deputes/fiche/OMC_PA720210" TargetMode="External"/><Relationship Id="rId212" Type="http://schemas.openxmlformats.org/officeDocument/2006/relationships/hyperlink" Target="http://www2.assemblee-nationale.fr/deputes/fiche/OMC_PA2952" TargetMode="External"/><Relationship Id="rId696" Type="http://schemas.openxmlformats.org/officeDocument/2006/relationships/hyperlink" Target="https://www.nosdeputes.fr/berangere-couillard" TargetMode="External"/><Relationship Id="rId1045" Type="http://schemas.openxmlformats.org/officeDocument/2006/relationships/hyperlink" Target="https://www.nosdeputes.fr/valerie-beauvais" TargetMode="External"/><Relationship Id="rId211" Type="http://schemas.openxmlformats.org/officeDocument/2006/relationships/hyperlink" Target="https://www.nosdeputes.fr/laurence-vichnievsky/csv" TargetMode="External"/><Relationship Id="rId695" Type="http://schemas.openxmlformats.org/officeDocument/2006/relationships/hyperlink" Target="http://www2.assemblee-nationale.fr/deputes/fiche/OMC_PA719624" TargetMode="External"/><Relationship Id="rId1046" Type="http://schemas.openxmlformats.org/officeDocument/2006/relationships/hyperlink" Target="https://www.nosdeputes.fr/valerie-beauvais/csv" TargetMode="External"/><Relationship Id="rId210" Type="http://schemas.openxmlformats.org/officeDocument/2006/relationships/hyperlink" Target="https://www.nosdeputes.fr/laurence-vichnievsky" TargetMode="External"/><Relationship Id="rId694" Type="http://schemas.openxmlformats.org/officeDocument/2006/relationships/hyperlink" Target="https://www.nosdeputes.fr/josiane-corneloup/csv" TargetMode="External"/><Relationship Id="rId1047" Type="http://schemas.openxmlformats.org/officeDocument/2006/relationships/hyperlink" Target="http://www2.assemblee-nationale.fr/deputes/fiche/OMC_PA718990" TargetMode="External"/><Relationship Id="rId249" Type="http://schemas.openxmlformats.org/officeDocument/2006/relationships/hyperlink" Target="http://www2.assemblee-nationale.fr/deputes/fiche/OMC_PA719740" TargetMode="External"/><Relationship Id="rId248" Type="http://schemas.openxmlformats.org/officeDocument/2006/relationships/hyperlink" Target="https://www.nosdeputes.fr/paul-christophe/csv" TargetMode="External"/><Relationship Id="rId247" Type="http://schemas.openxmlformats.org/officeDocument/2006/relationships/hyperlink" Target="https://www.nosdeputes.fr/paul-christophe" TargetMode="External"/><Relationship Id="rId1070" Type="http://schemas.openxmlformats.org/officeDocument/2006/relationships/hyperlink" Target="https://www.nosdeputes.fr/sylvie-charriere/csv" TargetMode="External"/><Relationship Id="rId1071" Type="http://schemas.openxmlformats.org/officeDocument/2006/relationships/hyperlink" Target="http://www2.assemblee-nationale.fr/deputes/fiche/OMC_PA719170" TargetMode="External"/><Relationship Id="rId1072" Type="http://schemas.openxmlformats.org/officeDocument/2006/relationships/hyperlink" Target="https://www.nosdeputes.fr/fannette-charvier" TargetMode="External"/><Relationship Id="rId242" Type="http://schemas.openxmlformats.org/officeDocument/2006/relationships/hyperlink" Target="https://www.nosdeputes.fr/jean-rene-cazeneuve/csv" TargetMode="External"/><Relationship Id="rId1073" Type="http://schemas.openxmlformats.org/officeDocument/2006/relationships/hyperlink" Target="https://www.nosdeputes.fr/fannette-charvier/csv" TargetMode="External"/><Relationship Id="rId241" Type="http://schemas.openxmlformats.org/officeDocument/2006/relationships/hyperlink" Target="https://www.nosdeputes.fr/jean-rene-cazeneuve" TargetMode="External"/><Relationship Id="rId1074" Type="http://schemas.openxmlformats.org/officeDocument/2006/relationships/hyperlink" Target="http://www2.assemblee-nationale.fr/deputes/fiche/OMC_PA856" TargetMode="External"/><Relationship Id="rId240" Type="http://schemas.openxmlformats.org/officeDocument/2006/relationships/hyperlink" Target="http://www2.assemblee-nationale.fr/deputes/fiche/OMC_PA719472" TargetMode="External"/><Relationship Id="rId1075" Type="http://schemas.openxmlformats.org/officeDocument/2006/relationships/hyperlink" Target="https://www.nosdeputes.fr/gerard-cherpion" TargetMode="External"/><Relationship Id="rId1076" Type="http://schemas.openxmlformats.org/officeDocument/2006/relationships/hyperlink" Target="https://www.nosdeputes.fr/gerard-cherpion/csv" TargetMode="External"/><Relationship Id="rId246" Type="http://schemas.openxmlformats.org/officeDocument/2006/relationships/hyperlink" Target="http://www2.assemblee-nationale.fr/deputes/fiche/OMC_PA642868" TargetMode="External"/><Relationship Id="rId1077" Type="http://schemas.openxmlformats.org/officeDocument/2006/relationships/hyperlink" Target="http://www2.assemblee-nationale.fr/deputes/fiche/OMC_PA719294" TargetMode="External"/><Relationship Id="rId245" Type="http://schemas.openxmlformats.org/officeDocument/2006/relationships/hyperlink" Target="https://www.nosdeputes.fr/sebastien-chenu/csv" TargetMode="External"/><Relationship Id="rId1078" Type="http://schemas.openxmlformats.org/officeDocument/2006/relationships/hyperlink" Target="https://www.nosdeputes.fr/mireille-clapot" TargetMode="External"/><Relationship Id="rId244" Type="http://schemas.openxmlformats.org/officeDocument/2006/relationships/hyperlink" Target="https://www.nosdeputes.fr/sebastien-chenu" TargetMode="External"/><Relationship Id="rId1079" Type="http://schemas.openxmlformats.org/officeDocument/2006/relationships/hyperlink" Target="https://www.nosdeputes.fr/mireille-clapot/csv" TargetMode="External"/><Relationship Id="rId243" Type="http://schemas.openxmlformats.org/officeDocument/2006/relationships/hyperlink" Target="http://www2.assemblee-nationale.fr/deputes/fiche/OMC_PA720468" TargetMode="External"/><Relationship Id="rId239" Type="http://schemas.openxmlformats.org/officeDocument/2006/relationships/hyperlink" Target="https://www.nosdeputes.fr/michel-castellani/csv" TargetMode="External"/><Relationship Id="rId238" Type="http://schemas.openxmlformats.org/officeDocument/2006/relationships/hyperlink" Target="https://www.nosdeputes.fr/michel-castellani" TargetMode="External"/><Relationship Id="rId237" Type="http://schemas.openxmlformats.org/officeDocument/2006/relationships/hyperlink" Target="http://www2.assemblee-nationale.fr/deputes/fiche/OMC_PA719138" TargetMode="External"/><Relationship Id="rId236" Type="http://schemas.openxmlformats.org/officeDocument/2006/relationships/hyperlink" Target="https://twitter.com/Castellani_" TargetMode="External"/><Relationship Id="rId1060" Type="http://schemas.openxmlformats.org/officeDocument/2006/relationships/hyperlink" Target="https://www.nosdeputes.fr/stephane-buchou" TargetMode="External"/><Relationship Id="rId1061" Type="http://schemas.openxmlformats.org/officeDocument/2006/relationships/hyperlink" Target="https://www.nosdeputes.fr/stephane-buchou/csv" TargetMode="External"/><Relationship Id="rId231" Type="http://schemas.openxmlformats.org/officeDocument/2006/relationships/hyperlink" Target="https://www.nosdeputes.fr/emilie-cariou" TargetMode="External"/><Relationship Id="rId1062" Type="http://schemas.openxmlformats.org/officeDocument/2006/relationships/hyperlink" Target="http://www2.assemblee-nationale.fr/deputes/fiche/OMC_PA719922" TargetMode="External"/><Relationship Id="rId230" Type="http://schemas.openxmlformats.org/officeDocument/2006/relationships/hyperlink" Target="http://www2.assemblee-nationale.fr/deputes/fiche/OMC_PA720298" TargetMode="External"/><Relationship Id="rId1063" Type="http://schemas.openxmlformats.org/officeDocument/2006/relationships/hyperlink" Target="https://www.nosdeputes.fr/lionel-causse" TargetMode="External"/><Relationship Id="rId1064" Type="http://schemas.openxmlformats.org/officeDocument/2006/relationships/hyperlink" Target="https://www.nosdeputes.fr/lionel-causse/csv" TargetMode="External"/><Relationship Id="rId1065" Type="http://schemas.openxmlformats.org/officeDocument/2006/relationships/hyperlink" Target="http://www2.assemblee-nationale.fr/deputes/fiche/OMC_PA721860" TargetMode="External"/><Relationship Id="rId235" Type="http://schemas.openxmlformats.org/officeDocument/2006/relationships/hyperlink" Target="https://www.nosdeputes.fr/gilles-carrez/csv" TargetMode="External"/><Relationship Id="rId1066" Type="http://schemas.openxmlformats.org/officeDocument/2006/relationships/hyperlink" Target="https://www.nosdeputes.fr/jean-francois-cesarini" TargetMode="External"/><Relationship Id="rId234" Type="http://schemas.openxmlformats.org/officeDocument/2006/relationships/hyperlink" Target="https://www.nosdeputes.fr/gilles-carrez" TargetMode="External"/><Relationship Id="rId1067" Type="http://schemas.openxmlformats.org/officeDocument/2006/relationships/hyperlink" Target="https://www.nosdeputes.fr/jean-francois-cesarini/csv" TargetMode="External"/><Relationship Id="rId233" Type="http://schemas.openxmlformats.org/officeDocument/2006/relationships/hyperlink" Target="http://www2.assemblee-nationale.fr/deputes/fiche/OMC_PA746" TargetMode="External"/><Relationship Id="rId1068" Type="http://schemas.openxmlformats.org/officeDocument/2006/relationships/hyperlink" Target="http://www2.assemblee-nationale.fr/deputes/fiche/OMC_PA721218" TargetMode="External"/><Relationship Id="rId232" Type="http://schemas.openxmlformats.org/officeDocument/2006/relationships/hyperlink" Target="https://www.nosdeputes.fr/emilie-cariou/csv" TargetMode="External"/><Relationship Id="rId1069" Type="http://schemas.openxmlformats.org/officeDocument/2006/relationships/hyperlink" Target="https://www.nosdeputes.fr/sylvie-charriere" TargetMode="External"/><Relationship Id="rId1015" Type="http://schemas.openxmlformats.org/officeDocument/2006/relationships/hyperlink" Target="https://www.nosdeputes.fr/martial-saddier/csv" TargetMode="External"/><Relationship Id="rId1499" Type="http://schemas.openxmlformats.org/officeDocument/2006/relationships/hyperlink" Target="http://www2.assemblee-nationale.fr/deputes/fiche/OMC_PA335758" TargetMode="External"/><Relationship Id="rId1016" Type="http://schemas.openxmlformats.org/officeDocument/2006/relationships/hyperlink" Target="http://www2.assemblee-nationale.fr/deputes/fiche/OMC_PA340343" TargetMode="External"/><Relationship Id="rId1017" Type="http://schemas.openxmlformats.org/officeDocument/2006/relationships/hyperlink" Target="https://www.nosdeputes.fr/herve-saulignac" TargetMode="External"/><Relationship Id="rId1018" Type="http://schemas.openxmlformats.org/officeDocument/2006/relationships/hyperlink" Target="https://www.nosdeputes.fr/herve-saulignac/csv" TargetMode="External"/><Relationship Id="rId1019" Type="http://schemas.openxmlformats.org/officeDocument/2006/relationships/hyperlink" Target="http://www2.assemblee-nationale.fr/deputes/fiche/OMC_PA720754" TargetMode="External"/><Relationship Id="rId668" Type="http://schemas.openxmlformats.org/officeDocument/2006/relationships/hyperlink" Target="https://twitter.com/Alain_Bruneel" TargetMode="External"/><Relationship Id="rId667" Type="http://schemas.openxmlformats.org/officeDocument/2006/relationships/hyperlink" Target="https://www.nosdeputes.fr/fabrice-brun/csv" TargetMode="External"/><Relationship Id="rId666" Type="http://schemas.openxmlformats.org/officeDocument/2006/relationships/hyperlink" Target="https://www.nosdeputes.fr/fabrice-brun" TargetMode="External"/><Relationship Id="rId665" Type="http://schemas.openxmlformats.org/officeDocument/2006/relationships/hyperlink" Target="http://www2.assemblee-nationale.fr/deputes/fiche/OMC_PA718838" TargetMode="External"/><Relationship Id="rId669" Type="http://schemas.openxmlformats.org/officeDocument/2006/relationships/hyperlink" Target="http://www2.assemblee-nationale.fr/deputes/fiche/OMC_PA720546" TargetMode="External"/><Relationship Id="rId1490" Type="http://schemas.openxmlformats.org/officeDocument/2006/relationships/hyperlink" Target="https://www.nosdeputes.fr/anne-christine-lang" TargetMode="External"/><Relationship Id="rId660" Type="http://schemas.openxmlformats.org/officeDocument/2006/relationships/hyperlink" Target="https://www.nosdeputes.fr/florent-boudie" TargetMode="External"/><Relationship Id="rId1491" Type="http://schemas.openxmlformats.org/officeDocument/2006/relationships/hyperlink" Target="https://www.nosdeputes.fr/anne-christine-lang/csv" TargetMode="External"/><Relationship Id="rId1492" Type="http://schemas.openxmlformats.org/officeDocument/2006/relationships/hyperlink" Target="http://www2.assemblee-nationale.fr/deputes/fiche/OMC_PA721418" TargetMode="External"/><Relationship Id="rId1493" Type="http://schemas.openxmlformats.org/officeDocument/2006/relationships/hyperlink" Target="https://www.nosdeputes.fr/patrick-mignola" TargetMode="External"/><Relationship Id="rId1010" Type="http://schemas.openxmlformats.org/officeDocument/2006/relationships/hyperlink" Target="http://www2.assemblee-nationale.fr/deputes/fiche/OMC_PA266808" TargetMode="External"/><Relationship Id="rId1494" Type="http://schemas.openxmlformats.org/officeDocument/2006/relationships/hyperlink" Target="https://www.nosdeputes.fr/patrick-mignola/csv" TargetMode="External"/><Relationship Id="rId664" Type="http://schemas.openxmlformats.org/officeDocument/2006/relationships/hyperlink" Target="https://www.nosdeputes.fr/pierre-yves-bournazel/csv" TargetMode="External"/><Relationship Id="rId1011" Type="http://schemas.openxmlformats.org/officeDocument/2006/relationships/hyperlink" Target="https://www.nosdeputes.fr/vincent-rolland" TargetMode="External"/><Relationship Id="rId1495" Type="http://schemas.openxmlformats.org/officeDocument/2006/relationships/hyperlink" Target="https://twitter.com/josypoueyto" TargetMode="External"/><Relationship Id="rId663" Type="http://schemas.openxmlformats.org/officeDocument/2006/relationships/hyperlink" Target="https://www.nosdeputes.fr/pierre-yves-bournazel" TargetMode="External"/><Relationship Id="rId1012" Type="http://schemas.openxmlformats.org/officeDocument/2006/relationships/hyperlink" Target="https://www.nosdeputes.fr/vincent-rolland/csv" TargetMode="External"/><Relationship Id="rId1496" Type="http://schemas.openxmlformats.org/officeDocument/2006/relationships/hyperlink" Target="http://www2.assemblee-nationale.fr/deputes/fiche/OMC_PA720720" TargetMode="External"/><Relationship Id="rId662" Type="http://schemas.openxmlformats.org/officeDocument/2006/relationships/hyperlink" Target="http://www2.assemblee-nationale.fr/deputes/fiche/OMC_PA722030" TargetMode="External"/><Relationship Id="rId1013" Type="http://schemas.openxmlformats.org/officeDocument/2006/relationships/hyperlink" Target="http://www2.assemblee-nationale.fr/deputes/fiche/OMC_PA267527" TargetMode="External"/><Relationship Id="rId1497" Type="http://schemas.openxmlformats.org/officeDocument/2006/relationships/hyperlink" Target="https://www.nosdeputes.fr/josy-poueyto" TargetMode="External"/><Relationship Id="rId661" Type="http://schemas.openxmlformats.org/officeDocument/2006/relationships/hyperlink" Target="https://www.nosdeputes.fr/florent-boudie/csv" TargetMode="External"/><Relationship Id="rId1014" Type="http://schemas.openxmlformats.org/officeDocument/2006/relationships/hyperlink" Target="https://www.nosdeputes.fr/martial-saddier" TargetMode="External"/><Relationship Id="rId1498" Type="http://schemas.openxmlformats.org/officeDocument/2006/relationships/hyperlink" Target="https://www.nosdeputes.fr/josy-poueyto/csv" TargetMode="External"/><Relationship Id="rId1004" Type="http://schemas.openxmlformats.org/officeDocument/2006/relationships/hyperlink" Target="https://www.nosdeputes.fr/eric-poulliat/csv" TargetMode="External"/><Relationship Id="rId1488" Type="http://schemas.openxmlformats.org/officeDocument/2006/relationships/hyperlink" Target="https://www.nosdeputes.fr/sandrine-josso/csv" TargetMode="External"/><Relationship Id="rId1005" Type="http://schemas.openxmlformats.org/officeDocument/2006/relationships/hyperlink" Target="https://twitter.com/huguesrenson" TargetMode="External"/><Relationship Id="rId1489" Type="http://schemas.openxmlformats.org/officeDocument/2006/relationships/hyperlink" Target="http://www2.assemblee-nationale.fr/deputes/fiche/OMC_PA643205" TargetMode="External"/><Relationship Id="rId1006" Type="http://schemas.openxmlformats.org/officeDocument/2006/relationships/hyperlink" Target="http://www2.assemblee-nationale.fr/deputes/fiche/OMC_PA721824" TargetMode="External"/><Relationship Id="rId1007" Type="http://schemas.openxmlformats.org/officeDocument/2006/relationships/hyperlink" Target="https://www.nosdeputes.fr/hugues-renson" TargetMode="External"/><Relationship Id="rId1008" Type="http://schemas.openxmlformats.org/officeDocument/2006/relationships/hyperlink" Target="https://www.nosdeputes.fr/hugues-renson/csv" TargetMode="External"/><Relationship Id="rId1009" Type="http://schemas.openxmlformats.org/officeDocument/2006/relationships/hyperlink" Target="https://twitter.com/VRolland73" TargetMode="External"/><Relationship Id="rId657" Type="http://schemas.openxmlformats.org/officeDocument/2006/relationships/hyperlink" Target="https://www.nosdeputes.fr/julien-borowczyk" TargetMode="External"/><Relationship Id="rId656" Type="http://schemas.openxmlformats.org/officeDocument/2006/relationships/hyperlink" Target="http://www2.assemblee-nationale.fr/deputes/fiche/OMC_PA719980" TargetMode="External"/><Relationship Id="rId655" Type="http://schemas.openxmlformats.org/officeDocument/2006/relationships/hyperlink" Target="https://www.nosdeputes.fr/delphine-batho/csv" TargetMode="External"/><Relationship Id="rId654" Type="http://schemas.openxmlformats.org/officeDocument/2006/relationships/hyperlink" Target="https://www.nosdeputes.fr/delphine-batho" TargetMode="External"/><Relationship Id="rId659" Type="http://schemas.openxmlformats.org/officeDocument/2006/relationships/hyperlink" Target="http://www2.assemblee-nationale.fr/deputes/fiche/OMC_PA606507" TargetMode="External"/><Relationship Id="rId658" Type="http://schemas.openxmlformats.org/officeDocument/2006/relationships/hyperlink" Target="https://www.nosdeputes.fr/julien-borowczyk/csv" TargetMode="External"/><Relationship Id="rId1480" Type="http://schemas.openxmlformats.org/officeDocument/2006/relationships/hyperlink" Target="http://www2.assemblee-nationale.fr/deputes/fiche/OMC_PA1206" TargetMode="External"/><Relationship Id="rId1481" Type="http://schemas.openxmlformats.org/officeDocument/2006/relationships/hyperlink" Target="https://www.nosdeputes.fr/nicolas-dupont-aignan" TargetMode="External"/><Relationship Id="rId1482" Type="http://schemas.openxmlformats.org/officeDocument/2006/relationships/hyperlink" Target="https://www.nosdeputes.fr/nicolas-dupont-aignan/csv" TargetMode="External"/><Relationship Id="rId1483" Type="http://schemas.openxmlformats.org/officeDocument/2006/relationships/hyperlink" Target="http://www2.assemblee-nationale.fr/deputes/fiche/OMC_PA720198" TargetMode="External"/><Relationship Id="rId653" Type="http://schemas.openxmlformats.org/officeDocument/2006/relationships/hyperlink" Target="http://www2.assemblee-nationale.fr/deputes/fiche/OMC_PA335999" TargetMode="External"/><Relationship Id="rId1000" Type="http://schemas.openxmlformats.org/officeDocument/2006/relationships/hyperlink" Target="https://www.nosdeputes.fr/sylvia-pinel/csv" TargetMode="External"/><Relationship Id="rId1484" Type="http://schemas.openxmlformats.org/officeDocument/2006/relationships/hyperlink" Target="https://www.nosdeputes.fr/gregory-galbadon" TargetMode="External"/><Relationship Id="rId652" Type="http://schemas.openxmlformats.org/officeDocument/2006/relationships/hyperlink" Target="https://www.nosdeputes.fr/pieyre-alexandre-anglade/csv" TargetMode="External"/><Relationship Id="rId1001" Type="http://schemas.openxmlformats.org/officeDocument/2006/relationships/hyperlink" Target="https://twitter.com/EPoulliat" TargetMode="External"/><Relationship Id="rId1485" Type="http://schemas.openxmlformats.org/officeDocument/2006/relationships/hyperlink" Target="https://www.nosdeputes.fr/gregory-galbadon/csv" TargetMode="External"/><Relationship Id="rId651" Type="http://schemas.openxmlformats.org/officeDocument/2006/relationships/hyperlink" Target="https://www.nosdeputes.fr/pieyre-alexandre-anglade" TargetMode="External"/><Relationship Id="rId1002" Type="http://schemas.openxmlformats.org/officeDocument/2006/relationships/hyperlink" Target="http://www2.assemblee-nationale.fr/deputes/fiche/OMC_PA719600" TargetMode="External"/><Relationship Id="rId1486" Type="http://schemas.openxmlformats.org/officeDocument/2006/relationships/hyperlink" Target="http://www2.assemblee-nationale.fr/deputes/fiche/OMC_PA720038" TargetMode="External"/><Relationship Id="rId650" Type="http://schemas.openxmlformats.org/officeDocument/2006/relationships/hyperlink" Target="http://www2.assemblee-nationale.fr/deputes/fiche/OMC_PA721158" TargetMode="External"/><Relationship Id="rId1003" Type="http://schemas.openxmlformats.org/officeDocument/2006/relationships/hyperlink" Target="https://www.nosdeputes.fr/eric-poulliat" TargetMode="External"/><Relationship Id="rId1487" Type="http://schemas.openxmlformats.org/officeDocument/2006/relationships/hyperlink" Target="https://www.nosdeputes.fr/sandrine-josso" TargetMode="External"/><Relationship Id="rId1037" Type="http://schemas.openxmlformats.org/officeDocument/2006/relationships/hyperlink" Target="https://www.nosdeputes.fr/emmanuelle-anthoine/csv" TargetMode="External"/><Relationship Id="rId1038" Type="http://schemas.openxmlformats.org/officeDocument/2006/relationships/hyperlink" Target="http://www2.assemblee-nationale.fr/deputes/fiche/OMC_PA721624" TargetMode="External"/><Relationship Id="rId1039" Type="http://schemas.openxmlformats.org/officeDocument/2006/relationships/hyperlink" Target="https://www.nosdeputes.fr/laetitia-avia" TargetMode="External"/><Relationship Id="rId206" Type="http://schemas.openxmlformats.org/officeDocument/2006/relationships/hyperlink" Target="http://www2.assemblee-nationale.fr/deputes/fiche/OMC_PA709315" TargetMode="External"/><Relationship Id="rId205" Type="http://schemas.openxmlformats.org/officeDocument/2006/relationships/hyperlink" Target="https://www.nosdeputes.fr/marie-christine-verdier-jouclas/csv" TargetMode="External"/><Relationship Id="rId689" Type="http://schemas.openxmlformats.org/officeDocument/2006/relationships/hyperlink" Target="https://www.nosdeputes.fr/francois-cormier-bouligeon" TargetMode="External"/><Relationship Id="rId204" Type="http://schemas.openxmlformats.org/officeDocument/2006/relationships/hyperlink" Target="https://www.nosdeputes.fr/marie-christine-verdier-jouclas" TargetMode="External"/><Relationship Id="rId688" Type="http://schemas.openxmlformats.org/officeDocument/2006/relationships/hyperlink" Target="http://www2.assemblee-nationale.fr/deputes/fiche/OMC_PA719118" TargetMode="External"/><Relationship Id="rId203" Type="http://schemas.openxmlformats.org/officeDocument/2006/relationships/hyperlink" Target="http://www2.assemblee-nationale.fr/deputes/fiche/OMC_PA721542" TargetMode="External"/><Relationship Id="rId687" Type="http://schemas.openxmlformats.org/officeDocument/2006/relationships/hyperlink" Target="https://fr-fr.facebook.com/francoiscormierbouligeon2017/" TargetMode="External"/><Relationship Id="rId209" Type="http://schemas.openxmlformats.org/officeDocument/2006/relationships/hyperlink" Target="http://www2.assemblee-nationale.fr/deputes/fiche/OMC_PA720704" TargetMode="External"/><Relationship Id="rId208" Type="http://schemas.openxmlformats.org/officeDocument/2006/relationships/hyperlink" Target="https://www.nosdeputes.fr/arnaud-viala/csv" TargetMode="External"/><Relationship Id="rId207" Type="http://schemas.openxmlformats.org/officeDocument/2006/relationships/hyperlink" Target="https://www.nosdeputes.fr/arnaud-viala" TargetMode="External"/><Relationship Id="rId682" Type="http://schemas.openxmlformats.org/officeDocument/2006/relationships/hyperlink" Target="https://www.nosdeputes.fr/andre-chassaigne" TargetMode="External"/><Relationship Id="rId681" Type="http://schemas.openxmlformats.org/officeDocument/2006/relationships/hyperlink" Target="http://www2.assemblee-nationale.fr/deputes/fiche/OMC_PA267306" TargetMode="External"/><Relationship Id="rId1030" Type="http://schemas.openxmlformats.org/officeDocument/2006/relationships/hyperlink" Target="https://www.nosdeputes.fr/sylvain-waserman" TargetMode="External"/><Relationship Id="rId680" Type="http://schemas.openxmlformats.org/officeDocument/2006/relationships/hyperlink" Target="https://www.nosdeputes.fr/philippe-chalumeau/csv" TargetMode="External"/><Relationship Id="rId1031" Type="http://schemas.openxmlformats.org/officeDocument/2006/relationships/hyperlink" Target="https://www.nosdeputes.fr/sylvain-waserman/csv" TargetMode="External"/><Relationship Id="rId1032" Type="http://schemas.openxmlformats.org/officeDocument/2006/relationships/hyperlink" Target="http://www2.assemblee-nationale.fr/deputes/fiche/OMC_PA720124" TargetMode="External"/><Relationship Id="rId202" Type="http://schemas.openxmlformats.org/officeDocument/2006/relationships/hyperlink" Target="https://www.nosdeputes.fr/cecile-untermaier/csv" TargetMode="External"/><Relationship Id="rId686" Type="http://schemas.openxmlformats.org/officeDocument/2006/relationships/hyperlink" Target="https://www.nosdeputes.fr/philippe-chassaing/csv" TargetMode="External"/><Relationship Id="rId1033" Type="http://schemas.openxmlformats.org/officeDocument/2006/relationships/hyperlink" Target="https://www.nosdeputes.fr/aude-amadou" TargetMode="External"/><Relationship Id="rId201" Type="http://schemas.openxmlformats.org/officeDocument/2006/relationships/hyperlink" Target="https://www.nosdeputes.fr/cecile-untermaier" TargetMode="External"/><Relationship Id="rId685" Type="http://schemas.openxmlformats.org/officeDocument/2006/relationships/hyperlink" Target="https://www.nosdeputes.fr/philippe-chassaing" TargetMode="External"/><Relationship Id="rId1034" Type="http://schemas.openxmlformats.org/officeDocument/2006/relationships/hyperlink" Target="https://www.nosdeputes.fr/aude-amadou/csv" TargetMode="External"/><Relationship Id="rId200" Type="http://schemas.openxmlformats.org/officeDocument/2006/relationships/hyperlink" Target="http://www2.assemblee-nationale.fr/deputes/fiche/OMC_PA608695" TargetMode="External"/><Relationship Id="rId684" Type="http://schemas.openxmlformats.org/officeDocument/2006/relationships/hyperlink" Target="http://www2.assemblee-nationale.fr/deputes/fiche/OMC_PA719250" TargetMode="External"/><Relationship Id="rId1035" Type="http://schemas.openxmlformats.org/officeDocument/2006/relationships/hyperlink" Target="http://www2.assemblee-nationale.fr/deputes/fiche/OMC_PA719318" TargetMode="External"/><Relationship Id="rId683" Type="http://schemas.openxmlformats.org/officeDocument/2006/relationships/hyperlink" Target="https://www.nosdeputes.fr/andre-chassaigne/csv" TargetMode="External"/><Relationship Id="rId1036" Type="http://schemas.openxmlformats.org/officeDocument/2006/relationships/hyperlink" Target="https://www.nosdeputes.fr/emmanuelle-anthoine" TargetMode="External"/><Relationship Id="rId1026" Type="http://schemas.openxmlformats.org/officeDocument/2006/relationships/hyperlink" Target="http://www2.assemblee-nationale.fr/deputes/fiche/OMC_PA720538" TargetMode="External"/><Relationship Id="rId1027" Type="http://schemas.openxmlformats.org/officeDocument/2006/relationships/hyperlink" Target="https://www.nosdeputes.fr/jennifer-de-temmerman" TargetMode="External"/><Relationship Id="rId1028" Type="http://schemas.openxmlformats.org/officeDocument/2006/relationships/hyperlink" Target="https://www.nosdeputes.fr/jennifer-de-temmerman/csv" TargetMode="External"/><Relationship Id="rId1029" Type="http://schemas.openxmlformats.org/officeDocument/2006/relationships/hyperlink" Target="http://www2.assemblee-nationale.fr/deputes/fiche/OMC_PA720746" TargetMode="External"/><Relationship Id="rId679" Type="http://schemas.openxmlformats.org/officeDocument/2006/relationships/hyperlink" Target="https://www.nosdeputes.fr/philippe-chalumeau" TargetMode="External"/><Relationship Id="rId678" Type="http://schemas.openxmlformats.org/officeDocument/2006/relationships/hyperlink" Target="http://www2.assemblee-nationale.fr/deputes/fiche/OMC_PA719790" TargetMode="External"/><Relationship Id="rId677" Type="http://schemas.openxmlformats.org/officeDocument/2006/relationships/hyperlink" Target="https://www.nosdeputes.fr/anthony-cellier/csv" TargetMode="External"/><Relationship Id="rId676" Type="http://schemas.openxmlformats.org/officeDocument/2006/relationships/hyperlink" Target="https://www.nosdeputes.fr/anthony-cellier" TargetMode="External"/><Relationship Id="rId671" Type="http://schemas.openxmlformats.org/officeDocument/2006/relationships/hyperlink" Target="https://www.nosdeputes.fr/alain-bruneel/csv" TargetMode="External"/><Relationship Id="rId670" Type="http://schemas.openxmlformats.org/officeDocument/2006/relationships/hyperlink" Target="https://www.nosdeputes.fr/alain-bruneel" TargetMode="External"/><Relationship Id="rId1020" Type="http://schemas.openxmlformats.org/officeDocument/2006/relationships/hyperlink" Target="https://www.nosdeputes.fr/bruno-studer" TargetMode="External"/><Relationship Id="rId1021" Type="http://schemas.openxmlformats.org/officeDocument/2006/relationships/hyperlink" Target="https://www.nosdeputes.fr/bruno-studer/csv" TargetMode="External"/><Relationship Id="rId675" Type="http://schemas.openxmlformats.org/officeDocument/2006/relationships/hyperlink" Target="http://www2.assemblee-nationale.fr/deputes/fiche/OMC_PA719440" TargetMode="External"/><Relationship Id="rId1022" Type="http://schemas.openxmlformats.org/officeDocument/2006/relationships/hyperlink" Target="http://www2.assemblee-nationale.fr/deputes/fiche/OMC_PA718860" TargetMode="External"/><Relationship Id="rId674" Type="http://schemas.openxmlformats.org/officeDocument/2006/relationships/hyperlink" Target="https://www.nosdeputes.fr/pierre-cabare/csv" TargetMode="External"/><Relationship Id="rId1023" Type="http://schemas.openxmlformats.org/officeDocument/2006/relationships/hyperlink" Target="https://www.nosdeputes.fr/benedicte-taurine" TargetMode="External"/><Relationship Id="rId673" Type="http://schemas.openxmlformats.org/officeDocument/2006/relationships/hyperlink" Target="https://www.nosdeputes.fr/pierre-cabare" TargetMode="External"/><Relationship Id="rId1024" Type="http://schemas.openxmlformats.org/officeDocument/2006/relationships/hyperlink" Target="https://www.nosdeputes.fr/benedicte-taurine/csv" TargetMode="External"/><Relationship Id="rId672" Type="http://schemas.openxmlformats.org/officeDocument/2006/relationships/hyperlink" Target="http://www2.assemblee-nationale.fr/deputes/fiche/OMC_PA719496" TargetMode="External"/><Relationship Id="rId1025" Type="http://schemas.openxmlformats.org/officeDocument/2006/relationships/hyperlink" Target="https://fr-fr.facebook.com/JenniferDeTemmermanXVNord/" TargetMode="External"/><Relationship Id="rId190" Type="http://schemas.openxmlformats.org/officeDocument/2006/relationships/hyperlink" Target="https://www.nosdeputes.fr/jean-michel-mis/csv" TargetMode="External"/><Relationship Id="rId194" Type="http://schemas.openxmlformats.org/officeDocument/2006/relationships/hyperlink" Target="http://www2.assemblee-nationale.fr/deputes/fiche/OMC_PA609590" TargetMode="External"/><Relationship Id="rId193" Type="http://schemas.openxmlformats.org/officeDocument/2006/relationships/hyperlink" Target="https://www.nosdeputes.fr/michele-peyron/csv" TargetMode="External"/><Relationship Id="rId192" Type="http://schemas.openxmlformats.org/officeDocument/2006/relationships/hyperlink" Target="https://www.nosdeputes.fr/michele-peyron" TargetMode="External"/><Relationship Id="rId191" Type="http://schemas.openxmlformats.org/officeDocument/2006/relationships/hyperlink" Target="http://www2.assemblee-nationale.fr/deputes/fiche/OMC_PA721710" TargetMode="External"/><Relationship Id="rId187" Type="http://schemas.openxmlformats.org/officeDocument/2006/relationships/hyperlink" Target="https://www.nosdeputes.fr/bruno-millienne/csv" TargetMode="External"/><Relationship Id="rId186" Type="http://schemas.openxmlformats.org/officeDocument/2006/relationships/hyperlink" Target="https://www.nosdeputes.fr/bruno-millienne" TargetMode="External"/><Relationship Id="rId185" Type="http://schemas.openxmlformats.org/officeDocument/2006/relationships/hyperlink" Target="http://www2.assemblee-nationale.fr/deputes/fiche/OMC_PA721976" TargetMode="External"/><Relationship Id="rId184" Type="http://schemas.openxmlformats.org/officeDocument/2006/relationships/hyperlink" Target="https://twitter.com/BrunoMillienne" TargetMode="External"/><Relationship Id="rId189" Type="http://schemas.openxmlformats.org/officeDocument/2006/relationships/hyperlink" Target="https://www.nosdeputes.fr/jean-michel-mis" TargetMode="External"/><Relationship Id="rId188" Type="http://schemas.openxmlformats.org/officeDocument/2006/relationships/hyperlink" Target="http://www2.assemblee-nationale.fr/deputes/fiche/OMC_PA719952" TargetMode="External"/><Relationship Id="rId183" Type="http://schemas.openxmlformats.org/officeDocument/2006/relationships/hyperlink" Target="https://www.nosdeputes.fr/gilles-lurton/csv" TargetMode="External"/><Relationship Id="rId182" Type="http://schemas.openxmlformats.org/officeDocument/2006/relationships/hyperlink" Target="https://www.nosdeputes.fr/gilles-lurton" TargetMode="External"/><Relationship Id="rId181" Type="http://schemas.openxmlformats.org/officeDocument/2006/relationships/hyperlink" Target="http://www2.assemblee-nationale.fr/deputes/fiche/OMC_PA606712" TargetMode="External"/><Relationship Id="rId180" Type="http://schemas.openxmlformats.org/officeDocument/2006/relationships/hyperlink" Target="https://www.nosdeputes.fr/bastien-lachaud/csv" TargetMode="External"/><Relationship Id="rId176" Type="http://schemas.openxmlformats.org/officeDocument/2006/relationships/hyperlink" Target="https://www.nosdeputes.fr/daniel-labaronne" TargetMode="External"/><Relationship Id="rId175" Type="http://schemas.openxmlformats.org/officeDocument/2006/relationships/hyperlink" Target="http://www2.assemblee-nationale.fr/deputes/fiche/OMC_PA719798" TargetMode="External"/><Relationship Id="rId174" Type="http://schemas.openxmlformats.org/officeDocument/2006/relationships/hyperlink" Target="https://www.nosdeputes.fr/regis-juanico/csv" TargetMode="External"/><Relationship Id="rId173" Type="http://schemas.openxmlformats.org/officeDocument/2006/relationships/hyperlink" Target="https://www.nosdeputes.fr/regis-juanico" TargetMode="External"/><Relationship Id="rId179" Type="http://schemas.openxmlformats.org/officeDocument/2006/relationships/hyperlink" Target="https://www.nosdeputes.fr/bastien-lachaud" TargetMode="External"/><Relationship Id="rId178" Type="http://schemas.openxmlformats.org/officeDocument/2006/relationships/hyperlink" Target="http://www2.assemblee-nationale.fr/deputes/fiche/OMC_PA720846" TargetMode="External"/><Relationship Id="rId177" Type="http://schemas.openxmlformats.org/officeDocument/2006/relationships/hyperlink" Target="https://www.nosdeputes.fr/daniel-labaronne/csv" TargetMode="External"/><Relationship Id="rId198" Type="http://schemas.openxmlformats.org/officeDocument/2006/relationships/hyperlink" Target="https://www.nosdeputes.fr/laurent-saint-martin" TargetMode="External"/><Relationship Id="rId197" Type="http://schemas.openxmlformats.org/officeDocument/2006/relationships/hyperlink" Target="http://www2.assemblee-nationale.fr/deputes/fiche/OMC_PA720878" TargetMode="External"/><Relationship Id="rId196" Type="http://schemas.openxmlformats.org/officeDocument/2006/relationships/hyperlink" Target="https://www.nosdeputes.fr/valerie-rabault/csv" TargetMode="External"/><Relationship Id="rId195" Type="http://schemas.openxmlformats.org/officeDocument/2006/relationships/hyperlink" Target="https://www.nosdeputes.fr/valerie-rabault" TargetMode="External"/><Relationship Id="rId199" Type="http://schemas.openxmlformats.org/officeDocument/2006/relationships/hyperlink" Target="https://www.nosdeputes.fr/laurent-saint-martin/csv" TargetMode="External"/><Relationship Id="rId150" Type="http://schemas.openxmlformats.org/officeDocument/2006/relationships/hyperlink" Target="https://twitter.com/ChrisCloarec" TargetMode="External"/><Relationship Id="rId149" Type="http://schemas.openxmlformats.org/officeDocument/2006/relationships/hyperlink" Target="https://www.nosdeputes.fr/eric-ciotti/csv" TargetMode="External"/><Relationship Id="rId148" Type="http://schemas.openxmlformats.org/officeDocument/2006/relationships/hyperlink" Target="https://www.nosdeputes.fr/eric-ciotti" TargetMode="External"/><Relationship Id="rId1090" Type="http://schemas.openxmlformats.org/officeDocument/2006/relationships/hyperlink" Target="https://www.nosdeputes.fr/loic-dombreval" TargetMode="External"/><Relationship Id="rId1091" Type="http://schemas.openxmlformats.org/officeDocument/2006/relationships/hyperlink" Target="https://www.nosdeputes.fr/loic-dombreval/csv" TargetMode="External"/><Relationship Id="rId1092" Type="http://schemas.openxmlformats.org/officeDocument/2006/relationships/hyperlink" Target="http://www2.assemblee-nationale.fr/deputes/fiche/OMC_PA719162" TargetMode="External"/><Relationship Id="rId1093" Type="http://schemas.openxmlformats.org/officeDocument/2006/relationships/hyperlink" Target="https://www.nosdeputes.fr/jacqueline-dubois" TargetMode="External"/><Relationship Id="rId1094" Type="http://schemas.openxmlformats.org/officeDocument/2006/relationships/hyperlink" Target="https://www.nosdeputes.fr/jacqueline-dubois/csv" TargetMode="External"/><Relationship Id="rId143" Type="http://schemas.openxmlformats.org/officeDocument/2006/relationships/hyperlink" Target="https://www.nosdeputes.fr/thierry-benoit/csv" TargetMode="External"/><Relationship Id="rId1095" Type="http://schemas.openxmlformats.org/officeDocument/2006/relationships/hyperlink" Target="http://www2.assemblee-nationale.fr/deputes/fiche/OMC_PA719684" TargetMode="External"/><Relationship Id="rId142" Type="http://schemas.openxmlformats.org/officeDocument/2006/relationships/hyperlink" Target="https://www.nosdeputes.fr/thierry-benoit" TargetMode="External"/><Relationship Id="rId1096" Type="http://schemas.openxmlformats.org/officeDocument/2006/relationships/hyperlink" Target="https://www.nosdeputes.fr/coralie-dubost" TargetMode="External"/><Relationship Id="rId141" Type="http://schemas.openxmlformats.org/officeDocument/2006/relationships/hyperlink" Target="http://www2.assemblee-nationale.fr/deputes/fiche/OMC_PA332228" TargetMode="External"/><Relationship Id="rId1097" Type="http://schemas.openxmlformats.org/officeDocument/2006/relationships/hyperlink" Target="https://www.nosdeputes.fr/coralie-dubost/csv" TargetMode="External"/><Relationship Id="rId140" Type="http://schemas.openxmlformats.org/officeDocument/2006/relationships/hyperlink" Target="https://www.nosdeputes.fr/sophie-beaudouin-hubiere/csv" TargetMode="External"/><Relationship Id="rId1098" Type="http://schemas.openxmlformats.org/officeDocument/2006/relationships/hyperlink" Target="http://www2.assemblee-nationale.fr/deputes/fiche/OMC_PA721194" TargetMode="External"/><Relationship Id="rId147" Type="http://schemas.openxmlformats.org/officeDocument/2006/relationships/hyperlink" Target="http://www2.assemblee-nationale.fr/deputes/fiche/OMC_PA330240" TargetMode="External"/><Relationship Id="rId1099" Type="http://schemas.openxmlformats.org/officeDocument/2006/relationships/hyperlink" Target="https://www.nosdeputes.fr/frederique-dumas" TargetMode="External"/><Relationship Id="rId146" Type="http://schemas.openxmlformats.org/officeDocument/2006/relationships/hyperlink" Target="https://www.nosdeputes.fr/brigitte-bourguignon/csv" TargetMode="External"/><Relationship Id="rId145" Type="http://schemas.openxmlformats.org/officeDocument/2006/relationships/hyperlink" Target="https://www.nosdeputes.fr/brigitte-bourguignon" TargetMode="External"/><Relationship Id="rId144" Type="http://schemas.openxmlformats.org/officeDocument/2006/relationships/hyperlink" Target="http://www2.assemblee-nationale.fr/deputes/fiche/OMC_PA608083" TargetMode="External"/><Relationship Id="rId139" Type="http://schemas.openxmlformats.org/officeDocument/2006/relationships/hyperlink" Target="https://www.nosdeputes.fr/sophie-beaudouin-hubiere" TargetMode="External"/><Relationship Id="rId138" Type="http://schemas.openxmlformats.org/officeDocument/2006/relationships/hyperlink" Target="http://www2.assemblee-nationale.fr/deputes/fiche/OMC_PA722170" TargetMode="External"/><Relationship Id="rId137" Type="http://schemas.openxmlformats.org/officeDocument/2006/relationships/hyperlink" Target="https://www.nosdeputes.fr/erwan-balanant/csv" TargetMode="External"/><Relationship Id="rId1080" Type="http://schemas.openxmlformats.org/officeDocument/2006/relationships/hyperlink" Target="http://www2.assemblee-nationale.fr/deputes/fiche/OMC_PA720696" TargetMode="External"/><Relationship Id="rId1081" Type="http://schemas.openxmlformats.org/officeDocument/2006/relationships/hyperlink" Target="https://www.nosdeputes.fr/beatrice-descamps" TargetMode="External"/><Relationship Id="rId1082" Type="http://schemas.openxmlformats.org/officeDocument/2006/relationships/hyperlink" Target="https://www.nosdeputes.fr/beatrice-descamps/csv" TargetMode="External"/><Relationship Id="rId1083" Type="http://schemas.openxmlformats.org/officeDocument/2006/relationships/hyperlink" Target="http://www2.assemblee-nationale.fr/deputes/fiche/OMC_PA267440" TargetMode="External"/><Relationship Id="rId132" Type="http://schemas.openxmlformats.org/officeDocument/2006/relationships/hyperlink" Target="http://www2.assemblee-nationale.fr/deputes/fiche/OMC_PA719866" TargetMode="External"/><Relationship Id="rId1084" Type="http://schemas.openxmlformats.org/officeDocument/2006/relationships/hyperlink" Target="https://www.nosdeputes.fr/eric-diard" TargetMode="External"/><Relationship Id="rId131" Type="http://schemas.openxmlformats.org/officeDocument/2006/relationships/hyperlink" Target="https://www.nosdeputes.fr/hubert-wulfranc/csv" TargetMode="External"/><Relationship Id="rId1085" Type="http://schemas.openxmlformats.org/officeDocument/2006/relationships/hyperlink" Target="https://www.nosdeputes.fr/eric-diard/csv" TargetMode="External"/><Relationship Id="rId130" Type="http://schemas.openxmlformats.org/officeDocument/2006/relationships/hyperlink" Target="https://www.nosdeputes.fr/hubert-wulfranc" TargetMode="External"/><Relationship Id="rId1086" Type="http://schemas.openxmlformats.org/officeDocument/2006/relationships/hyperlink" Target="http://www2.assemblee-nationale.fr/deputes/fiche/OMC_PA722236" TargetMode="External"/><Relationship Id="rId1087" Type="http://schemas.openxmlformats.org/officeDocument/2006/relationships/hyperlink" Target="https://www.nosdeputes.fr/jean-baptiste-djebbari" TargetMode="External"/><Relationship Id="rId136" Type="http://schemas.openxmlformats.org/officeDocument/2006/relationships/hyperlink" Target="https://www.nosdeputes.fr/erwan-balanant" TargetMode="External"/><Relationship Id="rId1088" Type="http://schemas.openxmlformats.org/officeDocument/2006/relationships/hyperlink" Target="https://www.nosdeputes.fr/jean-baptiste-djebbari/csv" TargetMode="External"/><Relationship Id="rId135" Type="http://schemas.openxmlformats.org/officeDocument/2006/relationships/hyperlink" Target="http://www2.assemblee-nationale.fr/deputes/fiche/OMC_PA719558" TargetMode="External"/><Relationship Id="rId1089" Type="http://schemas.openxmlformats.org/officeDocument/2006/relationships/hyperlink" Target="http://www2.assemblee-nationale.fr/deputes/fiche/OMC_PA718894" TargetMode="External"/><Relationship Id="rId134" Type="http://schemas.openxmlformats.org/officeDocument/2006/relationships/hyperlink" Target="https://www.nosdeputes.fr/caroline-abadie/csv" TargetMode="External"/><Relationship Id="rId133" Type="http://schemas.openxmlformats.org/officeDocument/2006/relationships/hyperlink" Target="https://www.nosdeputes.fr/caroline-abadie" TargetMode="External"/><Relationship Id="rId172" Type="http://schemas.openxmlformats.org/officeDocument/2006/relationships/hyperlink" Target="http://www2.assemblee-nationale.fr/deputes/fiche/OMC_PA332614" TargetMode="External"/><Relationship Id="rId171" Type="http://schemas.openxmlformats.org/officeDocument/2006/relationships/hyperlink" Target="https://www.nosdeputes.fr/christophe-jerretie/csv" TargetMode="External"/><Relationship Id="rId170" Type="http://schemas.openxmlformats.org/officeDocument/2006/relationships/hyperlink" Target="https://www.nosdeputes.fr/christophe-jerretie" TargetMode="External"/><Relationship Id="rId165" Type="http://schemas.openxmlformats.org/officeDocument/2006/relationships/hyperlink" Target="https://www.nosdeputes.fr/jean-michel-fauvergue/csv" TargetMode="External"/><Relationship Id="rId164" Type="http://schemas.openxmlformats.org/officeDocument/2006/relationships/hyperlink" Target="https://www.nosdeputes.fr/jean-michel-fauvergue" TargetMode="External"/><Relationship Id="rId163" Type="http://schemas.openxmlformats.org/officeDocument/2006/relationships/hyperlink" Target="http://www2.assemblee-nationale.fr/deputes/fiche/OMC_PA721702" TargetMode="External"/><Relationship Id="rId162" Type="http://schemas.openxmlformats.org/officeDocument/2006/relationships/hyperlink" Target="https://www.nosdeputes.fr/pierre-henri-dumont/csv" TargetMode="External"/><Relationship Id="rId169" Type="http://schemas.openxmlformats.org/officeDocument/2006/relationships/hyperlink" Target="http://www2.assemblee-nationale.fr/deputes/fiche/OMC_PA719060" TargetMode="External"/><Relationship Id="rId168" Type="http://schemas.openxmlformats.org/officeDocument/2006/relationships/hyperlink" Target="https://www.nosdeputes.fr/sacha-houlie/csv" TargetMode="External"/><Relationship Id="rId167" Type="http://schemas.openxmlformats.org/officeDocument/2006/relationships/hyperlink" Target="https://www.nosdeputes.fr/sacha-houlie" TargetMode="External"/><Relationship Id="rId166" Type="http://schemas.openxmlformats.org/officeDocument/2006/relationships/hyperlink" Target="http://www2.assemblee-nationale.fr/deputes/fiche/OMC_PA722150" TargetMode="External"/><Relationship Id="rId161" Type="http://schemas.openxmlformats.org/officeDocument/2006/relationships/hyperlink" Target="https://www.nosdeputes.fr/pierre-henri-dumont" TargetMode="External"/><Relationship Id="rId160" Type="http://schemas.openxmlformats.org/officeDocument/2006/relationships/hyperlink" Target="http://www2.assemblee-nationale.fr/deputes/fiche/OMC_PA720684" TargetMode="External"/><Relationship Id="rId159" Type="http://schemas.openxmlformats.org/officeDocument/2006/relationships/hyperlink" Target="https://www.nosdeputes.fr/fabien-di-filippo/csv" TargetMode="External"/><Relationship Id="rId154" Type="http://schemas.openxmlformats.org/officeDocument/2006/relationships/hyperlink" Target="http://www2.assemblee-nationale.fr/deputes/fiche/OMC_PA721210" TargetMode="External"/><Relationship Id="rId153" Type="http://schemas.openxmlformats.org/officeDocument/2006/relationships/hyperlink" Target="https://www.nosdeputes.fr/christine-cloarec/csv" TargetMode="External"/><Relationship Id="rId152" Type="http://schemas.openxmlformats.org/officeDocument/2006/relationships/hyperlink" Target="https://www.nosdeputes.fr/christine-cloarec" TargetMode="External"/><Relationship Id="rId151" Type="http://schemas.openxmlformats.org/officeDocument/2006/relationships/hyperlink" Target="http://www2.assemblee-nationale.fr/deputes/fiche/OMC_PA719756" TargetMode="External"/><Relationship Id="rId158" Type="http://schemas.openxmlformats.org/officeDocument/2006/relationships/hyperlink" Target="https://www.nosdeputes.fr/fabien-di-filippo" TargetMode="External"/><Relationship Id="rId157" Type="http://schemas.openxmlformats.org/officeDocument/2006/relationships/hyperlink" Target="http://www2.assemblee-nationale.fr/deputes/fiche/OMC_PA720386" TargetMode="External"/><Relationship Id="rId156" Type="http://schemas.openxmlformats.org/officeDocument/2006/relationships/hyperlink" Target="https://www.nosdeputes.fr/alexis-corbiere/csv" TargetMode="External"/><Relationship Id="rId155" Type="http://schemas.openxmlformats.org/officeDocument/2006/relationships/hyperlink" Target="https://www.nosdeputes.fr/alexis-corbiere" TargetMode="External"/><Relationship Id="rId1510" Type="http://schemas.openxmlformats.org/officeDocument/2006/relationships/hyperlink" Target="https://www.nosdeputes.fr/xavier-batut/csv" TargetMode="External"/><Relationship Id="rId1511" Type="http://schemas.openxmlformats.org/officeDocument/2006/relationships/hyperlink" Target="http://www2.assemblee-nationale.fr/deputes/fiche/OMC_PA720116" TargetMode="External"/><Relationship Id="rId1512" Type="http://schemas.openxmlformats.org/officeDocument/2006/relationships/hyperlink" Target="https://www.nosdeputes.fr/anne-france-brunet" TargetMode="External"/><Relationship Id="rId1513" Type="http://schemas.openxmlformats.org/officeDocument/2006/relationships/hyperlink" Target="https://www.nosdeputes.fr/anne-france-brunet/csv" TargetMode="External"/><Relationship Id="rId1514" Type="http://schemas.openxmlformats.org/officeDocument/2006/relationships/hyperlink" Target="http://www2.assemblee-nationale.fr/deputes/fiche/OMC_PA720996" TargetMode="External"/><Relationship Id="rId1515" Type="http://schemas.openxmlformats.org/officeDocument/2006/relationships/hyperlink" Target="https://www.nosdeputes.fr/m-jid-el-guerrab" TargetMode="External"/><Relationship Id="rId1516" Type="http://schemas.openxmlformats.org/officeDocument/2006/relationships/hyperlink" Target="https://www.nosdeputes.fr/m-jid-el-guerrab/csv" TargetMode="External"/><Relationship Id="rId1517" Type="http://schemas.openxmlformats.org/officeDocument/2006/relationships/hyperlink" Target="http://www2.assemblee-nationale.fr/deputes/fiche/OMC_PA720030" TargetMode="External"/><Relationship Id="rId1518" Type="http://schemas.openxmlformats.org/officeDocument/2006/relationships/hyperlink" Target="https://www.nosdeputes.fr/alexandre-freschi" TargetMode="External"/><Relationship Id="rId1519" Type="http://schemas.openxmlformats.org/officeDocument/2006/relationships/hyperlink" Target="https://www.nosdeputes.fr/alexandre-freschi/csv" TargetMode="External"/><Relationship Id="rId1500" Type="http://schemas.openxmlformats.org/officeDocument/2006/relationships/hyperlink" Target="https://www.nosdeputes.fr/franck-riester" TargetMode="External"/><Relationship Id="rId1501" Type="http://schemas.openxmlformats.org/officeDocument/2006/relationships/hyperlink" Target="https://www.nosdeputes.fr/franck-riester/csv" TargetMode="External"/><Relationship Id="rId1502" Type="http://schemas.openxmlformats.org/officeDocument/2006/relationships/hyperlink" Target="http://www2.assemblee-nationale.fr/deputes/fiche/OMC_PA343493" TargetMode="External"/><Relationship Id="rId1503" Type="http://schemas.openxmlformats.org/officeDocument/2006/relationships/hyperlink" Target="https://www.nosdeputes.fr/gwendal-rouillard" TargetMode="External"/><Relationship Id="rId1504" Type="http://schemas.openxmlformats.org/officeDocument/2006/relationships/hyperlink" Target="https://www.nosdeputes.fr/gwendal-rouillard/csv" TargetMode="External"/><Relationship Id="rId1505" Type="http://schemas.openxmlformats.org/officeDocument/2006/relationships/hyperlink" Target="http://www2.assemblee-nationale.fr/deputes/fiche/OMC_PA2792" TargetMode="External"/><Relationship Id="rId1506" Type="http://schemas.openxmlformats.org/officeDocument/2006/relationships/hyperlink" Target="https://www.nosdeputes.fr/jean-charles-taugourdeau" TargetMode="External"/><Relationship Id="rId1507" Type="http://schemas.openxmlformats.org/officeDocument/2006/relationships/hyperlink" Target="https://www.nosdeputes.fr/jean-charles-taugourdeau/csv" TargetMode="External"/><Relationship Id="rId1508" Type="http://schemas.openxmlformats.org/officeDocument/2006/relationships/hyperlink" Target="http://www2.assemblee-nationale.fr/deputes/fiche/OMC_PA721522" TargetMode="External"/><Relationship Id="rId1509" Type="http://schemas.openxmlformats.org/officeDocument/2006/relationships/hyperlink" Target="https://www.nosdeputes.fr/xavier-batut" TargetMode="External"/><Relationship Id="rId1576" Type="http://schemas.openxmlformats.org/officeDocument/2006/relationships/hyperlink" Target="http://www2.assemblee-nationale.fr/deputes/fiche/OMC_PA267324" TargetMode="External"/><Relationship Id="rId1577" Type="http://schemas.openxmlformats.org/officeDocument/2006/relationships/hyperlink" Target="https://www.nosdeputes.fr/jean-jacques-gaultier" TargetMode="External"/><Relationship Id="rId1578" Type="http://schemas.openxmlformats.org/officeDocument/2006/relationships/hyperlink" Target="https://www.nosdeputes.fr/jean-jacques-gaultier/csv" TargetMode="External"/><Relationship Id="rId1579" Type="http://schemas.openxmlformats.org/officeDocument/2006/relationships/hyperlink" Target="http://www2.assemblee-nationale.fr/deputes/fiche/OMC_PA337483" TargetMode="External"/><Relationship Id="rId509" Type="http://schemas.openxmlformats.org/officeDocument/2006/relationships/hyperlink" Target="https://www.nosdeputes.fr/marc-fesneau/csv" TargetMode="External"/><Relationship Id="rId508" Type="http://schemas.openxmlformats.org/officeDocument/2006/relationships/hyperlink" Target="https://www.nosdeputes.fr/marc-fesneau" TargetMode="External"/><Relationship Id="rId503" Type="http://schemas.openxmlformats.org/officeDocument/2006/relationships/hyperlink" Target="https://www.nosdeputes.fr/daniel-fasquelle/csv" TargetMode="External"/><Relationship Id="rId987" Type="http://schemas.openxmlformats.org/officeDocument/2006/relationships/hyperlink" Target="https://www.nosdeputes.fr/jean-francois-parigi" TargetMode="External"/><Relationship Id="rId502" Type="http://schemas.openxmlformats.org/officeDocument/2006/relationships/hyperlink" Target="https://www.nosdeputes.fr/daniel-fasquelle" TargetMode="External"/><Relationship Id="rId986" Type="http://schemas.openxmlformats.org/officeDocument/2006/relationships/hyperlink" Target="http://www2.assemblee-nationale.fr/deputes/fiche/OMC_PA721636" TargetMode="External"/><Relationship Id="rId501" Type="http://schemas.openxmlformats.org/officeDocument/2006/relationships/hyperlink" Target="http://www2.assemblee-nationale.fr/deputes/fiche/OMC_PA334149" TargetMode="External"/><Relationship Id="rId985" Type="http://schemas.openxmlformats.org/officeDocument/2006/relationships/hyperlink" Target="https://www.nosdeputes.fr/sebastien-nadot/csv" TargetMode="External"/><Relationship Id="rId500" Type="http://schemas.openxmlformats.org/officeDocument/2006/relationships/hyperlink" Target="https://www.nosdeputes.fr/catherine-fabre/csv" TargetMode="External"/><Relationship Id="rId984" Type="http://schemas.openxmlformats.org/officeDocument/2006/relationships/hyperlink" Target="https://www.nosdeputes.fr/sebastien-nadot" TargetMode="External"/><Relationship Id="rId507" Type="http://schemas.openxmlformats.org/officeDocument/2006/relationships/hyperlink" Target="http://www2.assemblee-nationale.fr/deputes/fiche/OMC_PA719938" TargetMode="External"/><Relationship Id="rId506" Type="http://schemas.openxmlformats.org/officeDocument/2006/relationships/hyperlink" Target="https://www.nosdeputes.fr/elsa-faucillon/csv" TargetMode="External"/><Relationship Id="rId505" Type="http://schemas.openxmlformats.org/officeDocument/2006/relationships/hyperlink" Target="https://www.nosdeputes.fr/elsa-faucillon" TargetMode="External"/><Relationship Id="rId989" Type="http://schemas.openxmlformats.org/officeDocument/2006/relationships/hyperlink" Target="http://www2.assemblee-nationale.fr/deputes/fiche/OMC_PA718784" TargetMode="External"/><Relationship Id="rId504" Type="http://schemas.openxmlformats.org/officeDocument/2006/relationships/hyperlink" Target="http://www2.assemblee-nationale.fr/deputes/fiche/OMC_PA721896" TargetMode="External"/><Relationship Id="rId988" Type="http://schemas.openxmlformats.org/officeDocument/2006/relationships/hyperlink" Target="https://www.nosdeputes.fr/jean-francois-parigi/csv" TargetMode="External"/><Relationship Id="rId1570" Type="http://schemas.openxmlformats.org/officeDocument/2006/relationships/hyperlink" Target="http://www2.assemblee-nationale.fr/deputes/fiche/OMC_PA610667" TargetMode="External"/><Relationship Id="rId1571" Type="http://schemas.openxmlformats.org/officeDocument/2006/relationships/hyperlink" Target="https://www.nosdeputes.fr/gabriel-serville" TargetMode="External"/><Relationship Id="rId983" Type="http://schemas.openxmlformats.org/officeDocument/2006/relationships/hyperlink" Target="http://www2.assemblee-nationale.fr/deputes/fiche/OMC_PA719464" TargetMode="External"/><Relationship Id="rId1572" Type="http://schemas.openxmlformats.org/officeDocument/2006/relationships/hyperlink" Target="https://www.nosdeputes.fr/gabriel-serville/csv" TargetMode="External"/><Relationship Id="rId982" Type="http://schemas.openxmlformats.org/officeDocument/2006/relationships/hyperlink" Target="https://www.nosdeputes.fr/sandrine-moerch/csv" TargetMode="External"/><Relationship Id="rId1573" Type="http://schemas.openxmlformats.org/officeDocument/2006/relationships/hyperlink" Target="http://www2.assemblee-nationale.fr/deputes/fiche/OMC_PA336316" TargetMode="External"/><Relationship Id="rId981" Type="http://schemas.openxmlformats.org/officeDocument/2006/relationships/hyperlink" Target="https://www.nosdeputes.fr/sandrine-moerch" TargetMode="External"/><Relationship Id="rId1574" Type="http://schemas.openxmlformats.org/officeDocument/2006/relationships/hyperlink" Target="https://www.nosdeputes.fr/jean-claude-bouchet" TargetMode="External"/><Relationship Id="rId980" Type="http://schemas.openxmlformats.org/officeDocument/2006/relationships/hyperlink" Target="http://www2.assemblee-nationale.fr/deputes/fiche/OMC_PA719456" TargetMode="External"/><Relationship Id="rId1575" Type="http://schemas.openxmlformats.org/officeDocument/2006/relationships/hyperlink" Target="https://www.nosdeputes.fr/jean-claude-bouchet/csv" TargetMode="External"/><Relationship Id="rId1565" Type="http://schemas.openxmlformats.org/officeDocument/2006/relationships/hyperlink" Target="https://www.nosdeputes.fr/guillaume-peltier" TargetMode="External"/><Relationship Id="rId1566" Type="http://schemas.openxmlformats.org/officeDocument/2006/relationships/hyperlink" Target="https://www.nosdeputes.fr/guillaume-peltier/csv" TargetMode="External"/><Relationship Id="rId1567" Type="http://schemas.openxmlformats.org/officeDocument/2006/relationships/hyperlink" Target="http://www2.assemblee-nationale.fr/deputes/fiche/OMC_PA720960" TargetMode="External"/><Relationship Id="rId1568" Type="http://schemas.openxmlformats.org/officeDocument/2006/relationships/hyperlink" Target="https://www.nosdeputes.fr/olivier-serva" TargetMode="External"/><Relationship Id="rId1569" Type="http://schemas.openxmlformats.org/officeDocument/2006/relationships/hyperlink" Target="https://www.nosdeputes.fr/olivier-serva/csv" TargetMode="External"/><Relationship Id="rId976" Type="http://schemas.openxmlformats.org/officeDocument/2006/relationships/hyperlink" Target="https://www.nosdeputes.fr/ludovic-mendes/csv" TargetMode="External"/><Relationship Id="rId975" Type="http://schemas.openxmlformats.org/officeDocument/2006/relationships/hyperlink" Target="https://www.nosdeputes.fr/ludovic-mendes" TargetMode="External"/><Relationship Id="rId974" Type="http://schemas.openxmlformats.org/officeDocument/2006/relationships/hyperlink" Target="http://www2.assemblee-nationale.fr/deputes/fiche/OMC_PA720370" TargetMode="External"/><Relationship Id="rId973" Type="http://schemas.openxmlformats.org/officeDocument/2006/relationships/hyperlink" Target="https://www.nosdeputes.fr/denis-masseglia/csv" TargetMode="External"/><Relationship Id="rId979" Type="http://schemas.openxmlformats.org/officeDocument/2006/relationships/hyperlink" Target="https://www.nosdeputes.fr/philippe-michel-kleisbauer/csv" TargetMode="External"/><Relationship Id="rId978" Type="http://schemas.openxmlformats.org/officeDocument/2006/relationships/hyperlink" Target="https://www.nosdeputes.fr/philippe-michel-kleisbauer" TargetMode="External"/><Relationship Id="rId977" Type="http://schemas.openxmlformats.org/officeDocument/2006/relationships/hyperlink" Target="http://www2.assemblee-nationale.fr/deputes/fiche/OMC_PA721734" TargetMode="External"/><Relationship Id="rId1560" Type="http://schemas.openxmlformats.org/officeDocument/2006/relationships/hyperlink" Target="https://twitter.com/fmeunier19" TargetMode="External"/><Relationship Id="rId972" Type="http://schemas.openxmlformats.org/officeDocument/2006/relationships/hyperlink" Target="https://www.nosdeputes.fr/denis-masseglia" TargetMode="External"/><Relationship Id="rId1561" Type="http://schemas.openxmlformats.org/officeDocument/2006/relationships/hyperlink" Target="http://www2.assemblee-nationale.fr/deputes/fiche/OMC_PA719272" TargetMode="External"/><Relationship Id="rId971" Type="http://schemas.openxmlformats.org/officeDocument/2006/relationships/hyperlink" Target="http://www2.assemblee-nationale.fr/deputes/fiche/OMC_PA720146" TargetMode="External"/><Relationship Id="rId1562" Type="http://schemas.openxmlformats.org/officeDocument/2006/relationships/hyperlink" Target="https://www.nosdeputes.fr/frederique-meunier" TargetMode="External"/><Relationship Id="rId970" Type="http://schemas.openxmlformats.org/officeDocument/2006/relationships/hyperlink" Target="https://www.nosdeputes.fr/emmanuel-maquet/csv" TargetMode="External"/><Relationship Id="rId1563" Type="http://schemas.openxmlformats.org/officeDocument/2006/relationships/hyperlink" Target="https://www.nosdeputes.fr/frederique-meunier/csv" TargetMode="External"/><Relationship Id="rId1564" Type="http://schemas.openxmlformats.org/officeDocument/2006/relationships/hyperlink" Target="http://www2.assemblee-nationale.fr/deputes/fiche/OMC_PA719946" TargetMode="External"/><Relationship Id="rId1114" Type="http://schemas.openxmlformats.org/officeDocument/2006/relationships/hyperlink" Target="https://www.nosdeputes.fr/emmanuelle-fontaine-domeizel" TargetMode="External"/><Relationship Id="rId1598" Type="http://schemas.openxmlformats.org/officeDocument/2006/relationships/hyperlink" Target="https://www.nosdeputes.fr/thierry-solere/csv" TargetMode="External"/><Relationship Id="rId1115" Type="http://schemas.openxmlformats.org/officeDocument/2006/relationships/hyperlink" Target="https://www.nosdeputes.fr/emmanuelle-fontaine-domeizel/csv" TargetMode="External"/><Relationship Id="rId1599" Type="http://schemas.openxmlformats.org/officeDocument/2006/relationships/hyperlink" Target="https://twitter.com/sirasylla76" TargetMode="External"/><Relationship Id="rId1116" Type="http://schemas.openxmlformats.org/officeDocument/2006/relationships/hyperlink" Target="http://www2.assemblee-nationale.fr/deputes/fiche/OMC_PA721384" TargetMode="External"/><Relationship Id="rId1117" Type="http://schemas.openxmlformats.org/officeDocument/2006/relationships/hyperlink" Target="https://www.nosdeputes.fr/pascale-fontenel-personne" TargetMode="External"/><Relationship Id="rId1118" Type="http://schemas.openxmlformats.org/officeDocument/2006/relationships/hyperlink" Target="https://www.nosdeputes.fr/pascale-fontenel-personne/csv" TargetMode="External"/><Relationship Id="rId1119" Type="http://schemas.openxmlformats.org/officeDocument/2006/relationships/hyperlink" Target="https://fr-fr.facebook.com/profile.php?id=100008830864450/%7Chttp://www.laurentfurst.fr" TargetMode="External"/><Relationship Id="rId525" Type="http://schemas.openxmlformats.org/officeDocument/2006/relationships/hyperlink" Target="https://www.nosdeputes.fr/antoine-herth/csv" TargetMode="External"/><Relationship Id="rId524" Type="http://schemas.openxmlformats.org/officeDocument/2006/relationships/hyperlink" Target="https://www.nosdeputes.fr/antoine-herth" TargetMode="External"/><Relationship Id="rId523" Type="http://schemas.openxmlformats.org/officeDocument/2006/relationships/hyperlink" Target="http://www2.assemblee-nationale.fr/deputes/fiche/OMC_PA267355" TargetMode="External"/><Relationship Id="rId522" Type="http://schemas.openxmlformats.org/officeDocument/2006/relationships/hyperlink" Target="https://www.nosdeputes.fr/yannick-haury/csv" TargetMode="External"/><Relationship Id="rId529" Type="http://schemas.openxmlformats.org/officeDocument/2006/relationships/hyperlink" Target="https://www.nosdeputes.fr/jean-michel-jacques/csv" TargetMode="External"/><Relationship Id="rId528" Type="http://schemas.openxmlformats.org/officeDocument/2006/relationships/hyperlink" Target="https://www.nosdeputes.fr/jean-michel-jacques" TargetMode="External"/><Relationship Id="rId527" Type="http://schemas.openxmlformats.org/officeDocument/2006/relationships/hyperlink" Target="http://www2.assemblee-nationale.fr/deputes/fiche/OMC_PA720354" TargetMode="External"/><Relationship Id="rId526" Type="http://schemas.openxmlformats.org/officeDocument/2006/relationships/hyperlink" Target="https://twitter.com/J_M_Jacques" TargetMode="External"/><Relationship Id="rId1590" Type="http://schemas.openxmlformats.org/officeDocument/2006/relationships/hyperlink" Target="https://www.nosdeputes.fr/philippe-folliot" TargetMode="External"/><Relationship Id="rId1591" Type="http://schemas.openxmlformats.org/officeDocument/2006/relationships/hyperlink" Target="https://www.nosdeputes.fr/philippe-folliot/csv" TargetMode="External"/><Relationship Id="rId1592" Type="http://schemas.openxmlformats.org/officeDocument/2006/relationships/hyperlink" Target="http://www.claireopetit.fr" TargetMode="External"/><Relationship Id="rId1593" Type="http://schemas.openxmlformats.org/officeDocument/2006/relationships/hyperlink" Target="http://www2.assemblee-nationale.fr/deputes/fiche/OMC_PA719364" TargetMode="External"/><Relationship Id="rId521" Type="http://schemas.openxmlformats.org/officeDocument/2006/relationships/hyperlink" Target="https://www.nosdeputes.fr/yannick-haury" TargetMode="External"/><Relationship Id="rId1110" Type="http://schemas.openxmlformats.org/officeDocument/2006/relationships/hyperlink" Target="https://www.nosdeputes.fr/agnes-firmin-le-bodo" TargetMode="External"/><Relationship Id="rId1594" Type="http://schemas.openxmlformats.org/officeDocument/2006/relationships/hyperlink" Target="https://www.nosdeputes.fr/claire-o-petit" TargetMode="External"/><Relationship Id="rId520" Type="http://schemas.openxmlformats.org/officeDocument/2006/relationships/hyperlink" Target="http://www2.assemblee-nationale.fr/deputes/fiche/OMC_PA720054" TargetMode="External"/><Relationship Id="rId1111" Type="http://schemas.openxmlformats.org/officeDocument/2006/relationships/hyperlink" Target="https://www.nosdeputes.fr/agnes-firmin-le-bodo/csv" TargetMode="External"/><Relationship Id="rId1595" Type="http://schemas.openxmlformats.org/officeDocument/2006/relationships/hyperlink" Target="https://www.nosdeputes.fr/claire-o-petit/csv" TargetMode="External"/><Relationship Id="rId1112" Type="http://schemas.openxmlformats.org/officeDocument/2006/relationships/hyperlink" Target="https://fr-fr.facebook.com/emmanuelle.fontaine.domeizel/" TargetMode="External"/><Relationship Id="rId1596" Type="http://schemas.openxmlformats.org/officeDocument/2006/relationships/hyperlink" Target="http://www2.assemblee-nationale.fr/deputes/fiche/OMC_PA346876" TargetMode="External"/><Relationship Id="rId1113" Type="http://schemas.openxmlformats.org/officeDocument/2006/relationships/hyperlink" Target="http://www2.assemblee-nationale.fr/deputes/fiche/OMC_PA718706" TargetMode="External"/><Relationship Id="rId1597" Type="http://schemas.openxmlformats.org/officeDocument/2006/relationships/hyperlink" Target="https://www.nosdeputes.fr/thierry-solere" TargetMode="External"/><Relationship Id="rId1103" Type="http://schemas.openxmlformats.org/officeDocument/2006/relationships/hyperlink" Target="https://www.nosdeputes.fr/elise-fajgeles/csv" TargetMode="External"/><Relationship Id="rId1587" Type="http://schemas.openxmlformats.org/officeDocument/2006/relationships/hyperlink" Target="https://www.nosdeputes.fr/helene-vainqueur-christophe" TargetMode="External"/><Relationship Id="rId1104" Type="http://schemas.openxmlformats.org/officeDocument/2006/relationships/hyperlink" Target="https://twitter.com/michelfanget" TargetMode="External"/><Relationship Id="rId1588" Type="http://schemas.openxmlformats.org/officeDocument/2006/relationships/hyperlink" Target="https://www.nosdeputes.fr/helene-vainqueur-christophe/csv" TargetMode="External"/><Relationship Id="rId1105" Type="http://schemas.openxmlformats.org/officeDocument/2006/relationships/hyperlink" Target="http://www2.assemblee-nationale.fr/deputes/fiche/OMC_PA1276" TargetMode="External"/><Relationship Id="rId1589" Type="http://schemas.openxmlformats.org/officeDocument/2006/relationships/hyperlink" Target="http://www2.assemblee-nationale.fr/deputes/fiche/OMC_PA267673" TargetMode="External"/><Relationship Id="rId1106" Type="http://schemas.openxmlformats.org/officeDocument/2006/relationships/hyperlink" Target="https://www.nosdeputes.fr/michel-fanget" TargetMode="External"/><Relationship Id="rId1107" Type="http://schemas.openxmlformats.org/officeDocument/2006/relationships/hyperlink" Target="https://www.nosdeputes.fr/michel-fanget/csv" TargetMode="External"/><Relationship Id="rId1108" Type="http://schemas.openxmlformats.org/officeDocument/2006/relationships/hyperlink" Target="https://twitter.com/agnesfirmin" TargetMode="External"/><Relationship Id="rId1109" Type="http://schemas.openxmlformats.org/officeDocument/2006/relationships/hyperlink" Target="http://www2.assemblee-nationale.fr/deputes/fiche/OMC_PA267780" TargetMode="External"/><Relationship Id="rId519" Type="http://schemas.openxmlformats.org/officeDocument/2006/relationships/hyperlink" Target="https://www.nosdeputes.fr/romain-grau/csv" TargetMode="External"/><Relationship Id="rId514" Type="http://schemas.openxmlformats.org/officeDocument/2006/relationships/hyperlink" Target="http://www2.assemblee-nationale.fr/deputes/fiche/OMC_PA1498" TargetMode="External"/><Relationship Id="rId998" Type="http://schemas.openxmlformats.org/officeDocument/2006/relationships/hyperlink" Target="http://www2.assemblee-nationale.fr/deputes/fiche/OMC_PA336175" TargetMode="External"/><Relationship Id="rId513" Type="http://schemas.openxmlformats.org/officeDocument/2006/relationships/hyperlink" Target="https://www.nosdeputes.fr/olivier-gaillard/csv" TargetMode="External"/><Relationship Id="rId997" Type="http://schemas.openxmlformats.org/officeDocument/2006/relationships/hyperlink" Target="https://www.nosdeputes.fr/maud-petit/csv" TargetMode="External"/><Relationship Id="rId512" Type="http://schemas.openxmlformats.org/officeDocument/2006/relationships/hyperlink" Target="https://www.nosdeputes.fr/olivier-gaillard" TargetMode="External"/><Relationship Id="rId996" Type="http://schemas.openxmlformats.org/officeDocument/2006/relationships/hyperlink" Target="https://www.nosdeputes.fr/maud-petit" TargetMode="External"/><Relationship Id="rId511" Type="http://schemas.openxmlformats.org/officeDocument/2006/relationships/hyperlink" Target="http://www2.assemblee-nationale.fr/deputes/fiche/OMC_PA719480" TargetMode="External"/><Relationship Id="rId995" Type="http://schemas.openxmlformats.org/officeDocument/2006/relationships/hyperlink" Target="http://www2.assemblee-nationale.fr/deputes/fiche/OMC_PA721234" TargetMode="External"/><Relationship Id="rId518" Type="http://schemas.openxmlformats.org/officeDocument/2006/relationships/hyperlink" Target="https://www.nosdeputes.fr/romain-grau" TargetMode="External"/><Relationship Id="rId517" Type="http://schemas.openxmlformats.org/officeDocument/2006/relationships/hyperlink" Target="http://www2.assemblee-nationale.fr/deputes/fiche/OMC_PA720790" TargetMode="External"/><Relationship Id="rId516" Type="http://schemas.openxmlformats.org/officeDocument/2006/relationships/hyperlink" Target="https://www.nosdeputes.fr/claude-goasguen/csv" TargetMode="External"/><Relationship Id="rId515" Type="http://schemas.openxmlformats.org/officeDocument/2006/relationships/hyperlink" Target="https://www.nosdeputes.fr/claude-goasguen" TargetMode="External"/><Relationship Id="rId999" Type="http://schemas.openxmlformats.org/officeDocument/2006/relationships/hyperlink" Target="https://www.nosdeputes.fr/sylvia-pinel" TargetMode="External"/><Relationship Id="rId990" Type="http://schemas.openxmlformats.org/officeDocument/2006/relationships/hyperlink" Target="https://www.nosdeputes.fr/eric-pauget" TargetMode="External"/><Relationship Id="rId1580" Type="http://schemas.openxmlformats.org/officeDocument/2006/relationships/hyperlink" Target="https://www.nosdeputes.fr/serge-letchimy" TargetMode="External"/><Relationship Id="rId1581" Type="http://schemas.openxmlformats.org/officeDocument/2006/relationships/hyperlink" Target="https://www.nosdeputes.fr/serge-letchimy/csv" TargetMode="External"/><Relationship Id="rId1582" Type="http://schemas.openxmlformats.org/officeDocument/2006/relationships/hyperlink" Target="http://www2.assemblee-nationale.fr/deputes/fiche/OMC_PA2796" TargetMode="External"/><Relationship Id="rId510" Type="http://schemas.openxmlformats.org/officeDocument/2006/relationships/hyperlink" Target="https://twitter.com/Gaillard2017" TargetMode="External"/><Relationship Id="rId994" Type="http://schemas.openxmlformats.org/officeDocument/2006/relationships/hyperlink" Target="https://www.nosdeputes.fr/alain-perea/csv" TargetMode="External"/><Relationship Id="rId1583" Type="http://schemas.openxmlformats.org/officeDocument/2006/relationships/hyperlink" Target="https://www.nosdeputes.fr/guy-teissier" TargetMode="External"/><Relationship Id="rId993" Type="http://schemas.openxmlformats.org/officeDocument/2006/relationships/hyperlink" Target="https://www.nosdeputes.fr/alain-perea" TargetMode="External"/><Relationship Id="rId1100" Type="http://schemas.openxmlformats.org/officeDocument/2006/relationships/hyperlink" Target="https://www.nosdeputes.fr/frederique-dumas/csv" TargetMode="External"/><Relationship Id="rId1584" Type="http://schemas.openxmlformats.org/officeDocument/2006/relationships/hyperlink" Target="https://www.nosdeputes.fr/guy-teissier/csv" TargetMode="External"/><Relationship Id="rId992" Type="http://schemas.openxmlformats.org/officeDocument/2006/relationships/hyperlink" Target="http://www2.assemblee-nationale.fr/deputes/fiche/OMC_PA718802" TargetMode="External"/><Relationship Id="rId1101" Type="http://schemas.openxmlformats.org/officeDocument/2006/relationships/hyperlink" Target="http://www2.assemblee-nationale.fr/deputes/fiche/OMC_PA721564" TargetMode="External"/><Relationship Id="rId1585" Type="http://schemas.openxmlformats.org/officeDocument/2006/relationships/hyperlink" Target="https://twitter.com/hvchristophe" TargetMode="External"/><Relationship Id="rId991" Type="http://schemas.openxmlformats.org/officeDocument/2006/relationships/hyperlink" Target="https://www.nosdeputes.fr/eric-pauget/csv" TargetMode="External"/><Relationship Id="rId1102" Type="http://schemas.openxmlformats.org/officeDocument/2006/relationships/hyperlink" Target="https://www.nosdeputes.fr/elise-fajgeles" TargetMode="External"/><Relationship Id="rId1586" Type="http://schemas.openxmlformats.org/officeDocument/2006/relationships/hyperlink" Target="http://www2.assemblee-nationale.fr/deputes/fiche/OMC_PA643145" TargetMode="External"/><Relationship Id="rId1532" Type="http://schemas.openxmlformats.org/officeDocument/2006/relationships/hyperlink" Target="http://www2.assemblee-nationale.fr/deputes/fiche/OMC_PA720988" TargetMode="External"/><Relationship Id="rId1533" Type="http://schemas.openxmlformats.org/officeDocument/2006/relationships/hyperlink" Target="https://www.nosdeputes.fr/josette-manin" TargetMode="External"/><Relationship Id="rId1534" Type="http://schemas.openxmlformats.org/officeDocument/2006/relationships/hyperlink" Target="https://www.nosdeputes.fr/josette-manin/csv" TargetMode="External"/><Relationship Id="rId1535" Type="http://schemas.openxmlformats.org/officeDocument/2006/relationships/hyperlink" Target="http://www2.assemblee-nationale.fr/deputes/fiche/OMC_PA719668" TargetMode="External"/><Relationship Id="rId1536" Type="http://schemas.openxmlformats.org/officeDocument/2006/relationships/hyperlink" Target="https://www.nosdeputes.fr/patricia-miralles" TargetMode="External"/><Relationship Id="rId1537" Type="http://schemas.openxmlformats.org/officeDocument/2006/relationships/hyperlink" Target="https://www.nosdeputes.fr/patricia-miralles/csv" TargetMode="External"/><Relationship Id="rId1538" Type="http://schemas.openxmlformats.org/officeDocument/2006/relationships/hyperlink" Target="https://fr-fr.facebook.com/profile.php?id=100011273400352/%7Chttps://twitter.com/S_Trompille%7Chttps://en-marche.fr%7Chttps://www.instagram.com/stephane.trompille/?hl=fr" TargetMode="External"/><Relationship Id="rId1539" Type="http://schemas.openxmlformats.org/officeDocument/2006/relationships/hyperlink" Target="http://www2.assemblee-nationale.fr/deputes/fiche/OMC_PA718682" TargetMode="External"/><Relationship Id="rId949" Type="http://schemas.openxmlformats.org/officeDocument/2006/relationships/hyperlink" Target="https://www.nosdeputes.fr/jean-luc-lagleize/csv" TargetMode="External"/><Relationship Id="rId948" Type="http://schemas.openxmlformats.org/officeDocument/2006/relationships/hyperlink" Target="https://www.nosdeputes.fr/jean-luc-lagleize" TargetMode="External"/><Relationship Id="rId943" Type="http://schemas.openxmlformats.org/officeDocument/2006/relationships/hyperlink" Target="https://www.nosdeputes.fr/charles-de-la-verpilliere/csv" TargetMode="External"/><Relationship Id="rId942" Type="http://schemas.openxmlformats.org/officeDocument/2006/relationships/hyperlink" Target="https://www.nosdeputes.fr/charles-de-la-verpilliere" TargetMode="External"/><Relationship Id="rId941" Type="http://schemas.openxmlformats.org/officeDocument/2006/relationships/hyperlink" Target="http://www2.assemblee-nationale.fr/deputes/fiche/OMC_PA1012" TargetMode="External"/><Relationship Id="rId940" Type="http://schemas.openxmlformats.org/officeDocument/2006/relationships/hyperlink" Target="https://www.nosdeputes.fr/brigitte-kuster/csv" TargetMode="External"/><Relationship Id="rId947" Type="http://schemas.openxmlformats.org/officeDocument/2006/relationships/hyperlink" Target="http://www2.assemblee-nationale.fr/deputes/fiche/OMC_PA719504" TargetMode="External"/><Relationship Id="rId946" Type="http://schemas.openxmlformats.org/officeDocument/2006/relationships/hyperlink" Target="https://www.nosdeputes.fr/valerie-lacroute/csv" TargetMode="External"/><Relationship Id="rId945" Type="http://schemas.openxmlformats.org/officeDocument/2006/relationships/hyperlink" Target="https://www.nosdeputes.fr/valerie-lacroute" TargetMode="External"/><Relationship Id="rId944" Type="http://schemas.openxmlformats.org/officeDocument/2006/relationships/hyperlink" Target="http://www2.assemblee-nationale.fr/deputes/fiche/OMC_PA609245" TargetMode="External"/><Relationship Id="rId1530" Type="http://schemas.openxmlformats.org/officeDocument/2006/relationships/hyperlink" Target="https://www.nosdeputes.fr/marie-france-lorho" TargetMode="External"/><Relationship Id="rId1531" Type="http://schemas.openxmlformats.org/officeDocument/2006/relationships/hyperlink" Target="https://www.nosdeputes.fr/marie-france-lorho/csv" TargetMode="External"/><Relationship Id="rId1521" Type="http://schemas.openxmlformats.org/officeDocument/2006/relationships/hyperlink" Target="https://www.nosdeputes.fr/yves-jego" TargetMode="External"/><Relationship Id="rId1522" Type="http://schemas.openxmlformats.org/officeDocument/2006/relationships/hyperlink" Target="https://www.nosdeputes.fr/yves-jego/csv" TargetMode="External"/><Relationship Id="rId1523" Type="http://schemas.openxmlformats.org/officeDocument/2006/relationships/hyperlink" Target="http://www2.assemblee-nationale.fr/deputes/fiche/OMC_PA268019" TargetMode="External"/><Relationship Id="rId1524" Type="http://schemas.openxmlformats.org/officeDocument/2006/relationships/hyperlink" Target="https://www.nosdeputes.fr/jean-christophe-lagarde" TargetMode="External"/><Relationship Id="rId1525" Type="http://schemas.openxmlformats.org/officeDocument/2006/relationships/hyperlink" Target="https://www.nosdeputes.fr/jean-christophe-lagarde/csv" TargetMode="External"/><Relationship Id="rId1526" Type="http://schemas.openxmlformats.org/officeDocument/2006/relationships/hyperlink" Target="http://www2.assemblee-nationale.fr/deputes/fiche/OMC_PA719396" TargetMode="External"/><Relationship Id="rId1527" Type="http://schemas.openxmlformats.org/officeDocument/2006/relationships/hyperlink" Target="https://www.nosdeputes.fr/jean-charles-larsonneur" TargetMode="External"/><Relationship Id="rId1528" Type="http://schemas.openxmlformats.org/officeDocument/2006/relationships/hyperlink" Target="https://www.nosdeputes.fr/jean-charles-larsonneur/csv" TargetMode="External"/><Relationship Id="rId1529" Type="http://schemas.openxmlformats.org/officeDocument/2006/relationships/hyperlink" Target="http://www2.assemblee-nationale.fr/deputes/fiche/OMC_PA721932" TargetMode="External"/><Relationship Id="rId939" Type="http://schemas.openxmlformats.org/officeDocument/2006/relationships/hyperlink" Target="https://www.nosdeputes.fr/brigitte-kuster" TargetMode="External"/><Relationship Id="rId938" Type="http://schemas.openxmlformats.org/officeDocument/2006/relationships/hyperlink" Target="http://www2.assemblee-nationale.fr/deputes/fiche/OMC_PA721506" TargetMode="External"/><Relationship Id="rId937" Type="http://schemas.openxmlformats.org/officeDocument/2006/relationships/hyperlink" Target="https://www.nosdeputes.fr/yannick-kerlogot/csv" TargetMode="External"/><Relationship Id="rId932" Type="http://schemas.openxmlformats.org/officeDocument/2006/relationships/hyperlink" Target="http://www2.assemblee-nationale.fr/deputes/fiche/OMC_PA267200" TargetMode="External"/><Relationship Id="rId931" Type="http://schemas.openxmlformats.org/officeDocument/2006/relationships/hyperlink" Target="https://www.nosdeputes.fr/christian-hutin/csv" TargetMode="External"/><Relationship Id="rId930" Type="http://schemas.openxmlformats.org/officeDocument/2006/relationships/hyperlink" Target="https://www.nosdeputes.fr/christian-hutin" TargetMode="External"/><Relationship Id="rId936" Type="http://schemas.openxmlformats.org/officeDocument/2006/relationships/hyperlink" Target="https://www.nosdeputes.fr/yannick-kerlogot" TargetMode="External"/><Relationship Id="rId935" Type="http://schemas.openxmlformats.org/officeDocument/2006/relationships/hyperlink" Target="http://www2.assemblee-nationale.fr/deputes/fiche/OMC_PA719230" TargetMode="External"/><Relationship Id="rId934" Type="http://schemas.openxmlformats.org/officeDocument/2006/relationships/hyperlink" Target="https://www.nosdeputes.fr/sebastien-huyghe/csv" TargetMode="External"/><Relationship Id="rId933" Type="http://schemas.openxmlformats.org/officeDocument/2006/relationships/hyperlink" Target="https://www.nosdeputes.fr/sebastien-huyghe" TargetMode="External"/><Relationship Id="rId1520" Type="http://schemas.openxmlformats.org/officeDocument/2006/relationships/hyperlink" Target="http://www2.assemblee-nationale.fr/deputes/fiche/OMC_PA267801" TargetMode="External"/><Relationship Id="rId1554" Type="http://schemas.openxmlformats.org/officeDocument/2006/relationships/hyperlink" Target="http://www2.assemblee-nationale.fr/deputes/fiche/OMC_PA336439" TargetMode="External"/><Relationship Id="rId1555" Type="http://schemas.openxmlformats.org/officeDocument/2006/relationships/hyperlink" Target="https://www.nosdeputes.fr/jean-michel-clement" TargetMode="External"/><Relationship Id="rId1556" Type="http://schemas.openxmlformats.org/officeDocument/2006/relationships/hyperlink" Target="https://www.nosdeputes.fr/jean-michel-clement/csv" TargetMode="External"/><Relationship Id="rId1557" Type="http://schemas.openxmlformats.org/officeDocument/2006/relationships/hyperlink" Target="http://www2.assemblee-nationale.fr/deputes/fiche/OMC_PA719918" TargetMode="External"/><Relationship Id="rId1558" Type="http://schemas.openxmlformats.org/officeDocument/2006/relationships/hyperlink" Target="https://www.nosdeputes.fr/fabien-laine" TargetMode="External"/><Relationship Id="rId1559" Type="http://schemas.openxmlformats.org/officeDocument/2006/relationships/hyperlink" Target="https://www.nosdeputes.fr/fabien-laine/csv" TargetMode="External"/><Relationship Id="rId965" Type="http://schemas.openxmlformats.org/officeDocument/2006/relationships/hyperlink" Target="http://www2.assemblee-nationale.fr/deputes/fiche/OMC_PA722178" TargetMode="External"/><Relationship Id="rId964" Type="http://schemas.openxmlformats.org/officeDocument/2006/relationships/hyperlink" Target="https://www.nosdeputes.fr/richard-lioger/csv" TargetMode="External"/><Relationship Id="rId963" Type="http://schemas.openxmlformats.org/officeDocument/2006/relationships/hyperlink" Target="https://www.nosdeputes.fr/richard-lioger" TargetMode="External"/><Relationship Id="rId962" Type="http://schemas.openxmlformats.org/officeDocument/2006/relationships/hyperlink" Target="http://www2.assemblee-nationale.fr/deputes/fiche/OMC_PA720378" TargetMode="External"/><Relationship Id="rId969" Type="http://schemas.openxmlformats.org/officeDocument/2006/relationships/hyperlink" Target="https://www.nosdeputes.fr/emmanuel-maquet" TargetMode="External"/><Relationship Id="rId968" Type="http://schemas.openxmlformats.org/officeDocument/2006/relationships/hyperlink" Target="http://www2.assemblee-nationale.fr/deputes/fiche/OMC_PA346054" TargetMode="External"/><Relationship Id="rId967" Type="http://schemas.openxmlformats.org/officeDocument/2006/relationships/hyperlink" Target="https://www.nosdeputes.fr/jacques-maire/csv" TargetMode="External"/><Relationship Id="rId966" Type="http://schemas.openxmlformats.org/officeDocument/2006/relationships/hyperlink" Target="https://www.nosdeputes.fr/jacques-maire" TargetMode="External"/><Relationship Id="rId961" Type="http://schemas.openxmlformats.org/officeDocument/2006/relationships/hyperlink" Target="https://www.nosdeputes.fr/martine-leguille-balloy/csv" TargetMode="External"/><Relationship Id="rId1550" Type="http://schemas.openxmlformats.org/officeDocument/2006/relationships/hyperlink" Target="https://www.nosdeputes.fr/florian-bachelier/csv" TargetMode="External"/><Relationship Id="rId960" Type="http://schemas.openxmlformats.org/officeDocument/2006/relationships/hyperlink" Target="https://www.nosdeputes.fr/martine-leguille-balloy" TargetMode="External"/><Relationship Id="rId1551" Type="http://schemas.openxmlformats.org/officeDocument/2006/relationships/hyperlink" Target="http://www2.assemblee-nationale.fr/deputes/fiche/OMC_PA267429" TargetMode="External"/><Relationship Id="rId1552" Type="http://schemas.openxmlformats.org/officeDocument/2006/relationships/hyperlink" Target="https://www.nosdeputes.fr/dino-cinieri" TargetMode="External"/><Relationship Id="rId1553" Type="http://schemas.openxmlformats.org/officeDocument/2006/relationships/hyperlink" Target="https://www.nosdeputes.fr/dino-cinieri/csv" TargetMode="External"/><Relationship Id="rId1543" Type="http://schemas.openxmlformats.org/officeDocument/2006/relationships/hyperlink" Target="https://www.nosdeputes.fr/patrick-vignal" TargetMode="External"/><Relationship Id="rId1544" Type="http://schemas.openxmlformats.org/officeDocument/2006/relationships/hyperlink" Target="https://www.nosdeputes.fr/patrick-vignal/csv" TargetMode="External"/><Relationship Id="rId1545" Type="http://schemas.openxmlformats.org/officeDocument/2006/relationships/hyperlink" Target="http://www2.assemblee-nationale.fr/deputes/fiche/OMC_PA720242" TargetMode="External"/><Relationship Id="rId1546" Type="http://schemas.openxmlformats.org/officeDocument/2006/relationships/hyperlink" Target="https://www.nosdeputes.fr/berangere-abba" TargetMode="External"/><Relationship Id="rId1547" Type="http://schemas.openxmlformats.org/officeDocument/2006/relationships/hyperlink" Target="https://www.nosdeputes.fr/berangere-abba/csv" TargetMode="External"/><Relationship Id="rId1548" Type="http://schemas.openxmlformats.org/officeDocument/2006/relationships/hyperlink" Target="http://www2.assemblee-nationale.fr/deputes/fiche/OMC_PA719770" TargetMode="External"/><Relationship Id="rId1549" Type="http://schemas.openxmlformats.org/officeDocument/2006/relationships/hyperlink" Target="https://www.nosdeputes.fr/florian-bachelier" TargetMode="External"/><Relationship Id="rId959" Type="http://schemas.openxmlformats.org/officeDocument/2006/relationships/hyperlink" Target="http://www2.assemblee-nationale.fr/deputes/fiche/OMC_PA722008" TargetMode="External"/><Relationship Id="rId954" Type="http://schemas.openxmlformats.org/officeDocument/2006/relationships/hyperlink" Target="https://www.nosdeputes.fr/michel-larive" TargetMode="External"/><Relationship Id="rId953" Type="http://schemas.openxmlformats.org/officeDocument/2006/relationships/hyperlink" Target="http://www2.assemblee-nationale.fr/deputes/fiche/OMC_PA718868" TargetMode="External"/><Relationship Id="rId952" Type="http://schemas.openxmlformats.org/officeDocument/2006/relationships/hyperlink" Target="https://www.nosdeputes.fr/frederique-lardet/csv" TargetMode="External"/><Relationship Id="rId951" Type="http://schemas.openxmlformats.org/officeDocument/2006/relationships/hyperlink" Target="https://www.nosdeputes.fr/frederique-lardet" TargetMode="External"/><Relationship Id="rId958" Type="http://schemas.openxmlformats.org/officeDocument/2006/relationships/hyperlink" Target="https://www.nosdeputes.fr/stephane-le-foll/csv" TargetMode="External"/><Relationship Id="rId957" Type="http://schemas.openxmlformats.org/officeDocument/2006/relationships/hyperlink" Target="https://www.nosdeputes.fr/stephane-le-foll" TargetMode="External"/><Relationship Id="rId956" Type="http://schemas.openxmlformats.org/officeDocument/2006/relationships/hyperlink" Target="http://www2.assemblee-nationale.fr/deputes/fiche/OMC_PA588886" TargetMode="External"/><Relationship Id="rId955" Type="http://schemas.openxmlformats.org/officeDocument/2006/relationships/hyperlink" Target="https://www.nosdeputes.fr/michel-larive/csv" TargetMode="External"/><Relationship Id="rId950" Type="http://schemas.openxmlformats.org/officeDocument/2006/relationships/hyperlink" Target="http://www2.assemblee-nationale.fr/deputes/fiche/OMC_PA721434" TargetMode="External"/><Relationship Id="rId1540" Type="http://schemas.openxmlformats.org/officeDocument/2006/relationships/hyperlink" Target="https://www.nosdeputes.fr/stephane-trompille" TargetMode="External"/><Relationship Id="rId1541" Type="http://schemas.openxmlformats.org/officeDocument/2006/relationships/hyperlink" Target="https://www.nosdeputes.fr/stephane-trompille/csv" TargetMode="External"/><Relationship Id="rId1542" Type="http://schemas.openxmlformats.org/officeDocument/2006/relationships/hyperlink" Target="http://www2.assemblee-nationale.fr/deputes/fiche/OMC_PA606639" TargetMode="External"/><Relationship Id="rId590" Type="http://schemas.openxmlformats.org/officeDocument/2006/relationships/hyperlink" Target="http://www2.assemblee-nationale.fr/deputes/fiche/OMC_PA719632" TargetMode="External"/><Relationship Id="rId107" Type="http://schemas.openxmlformats.org/officeDocument/2006/relationships/hyperlink" Target="http://www2.assemblee-nationale.fr/deputes/fiche/OMC_PA608416" TargetMode="External"/><Relationship Id="rId106" Type="http://schemas.openxmlformats.org/officeDocument/2006/relationships/hyperlink" Target="https://www.nosdeputes.fr/stanislas-guerini/csv" TargetMode="External"/><Relationship Id="rId105" Type="http://schemas.openxmlformats.org/officeDocument/2006/relationships/hyperlink" Target="https://www.nosdeputes.fr/stanislas-guerini" TargetMode="External"/><Relationship Id="rId589" Type="http://schemas.openxmlformats.org/officeDocument/2006/relationships/hyperlink" Target="https://twitter.com/SPanonacle" TargetMode="External"/><Relationship Id="rId104" Type="http://schemas.openxmlformats.org/officeDocument/2006/relationships/hyperlink" Target="http://www2.assemblee-nationale.fr/deputes/fiche/OMC_PA721498" TargetMode="External"/><Relationship Id="rId588" Type="http://schemas.openxmlformats.org/officeDocument/2006/relationships/hyperlink" Target="https://www.nosdeputes.fr/jimmy-pahun/csv" TargetMode="External"/><Relationship Id="rId109" Type="http://schemas.openxmlformats.org/officeDocument/2006/relationships/hyperlink" Target="https://www.nosdeputes.fr/patrick-hetzel/csv" TargetMode="External"/><Relationship Id="rId1170" Type="http://schemas.openxmlformats.org/officeDocument/2006/relationships/hyperlink" Target="http://www2.assemblee-nationale.fr/deputes/fiche/OMC_PA718930" TargetMode="External"/><Relationship Id="rId108" Type="http://schemas.openxmlformats.org/officeDocument/2006/relationships/hyperlink" Target="https://www.nosdeputes.fr/patrick-hetzel" TargetMode="External"/><Relationship Id="rId1171" Type="http://schemas.openxmlformats.org/officeDocument/2006/relationships/hyperlink" Target="https://www.nosdeputes.fr/anne-laurence-petel" TargetMode="External"/><Relationship Id="rId583" Type="http://schemas.openxmlformats.org/officeDocument/2006/relationships/hyperlink" Target="http://www2.assemblee-nationale.fr/deputes/fiche/OMC_PA721486" TargetMode="External"/><Relationship Id="rId1172" Type="http://schemas.openxmlformats.org/officeDocument/2006/relationships/hyperlink" Target="https://www.nosdeputes.fr/anne-laurence-petel/csv" TargetMode="External"/><Relationship Id="rId582" Type="http://schemas.openxmlformats.org/officeDocument/2006/relationships/hyperlink" Target="https://www.nosdeputes.fr/jean-baptiste-moreau/csv" TargetMode="External"/><Relationship Id="rId1173" Type="http://schemas.openxmlformats.org/officeDocument/2006/relationships/hyperlink" Target="http://www2.assemblee-nationale.fr/deputes/fiche/OMC_PA718910" TargetMode="External"/><Relationship Id="rId581" Type="http://schemas.openxmlformats.org/officeDocument/2006/relationships/hyperlink" Target="https://www.nosdeputes.fr/jean-baptiste-moreau" TargetMode="External"/><Relationship Id="rId1174" Type="http://schemas.openxmlformats.org/officeDocument/2006/relationships/hyperlink" Target="https://www.nosdeputes.fr/claire-pitollat" TargetMode="External"/><Relationship Id="rId580" Type="http://schemas.openxmlformats.org/officeDocument/2006/relationships/hyperlink" Target="http://www2.assemblee-nationale.fr/deputes/fiche/OMC_PA719242" TargetMode="External"/><Relationship Id="rId1175" Type="http://schemas.openxmlformats.org/officeDocument/2006/relationships/hyperlink" Target="https://www.nosdeputes.fr/claire-pitollat/csv" TargetMode="External"/><Relationship Id="rId103" Type="http://schemas.openxmlformats.org/officeDocument/2006/relationships/hyperlink" Target="https://www.nosdeputes.fr/stella-dupont/csv" TargetMode="External"/><Relationship Id="rId587" Type="http://schemas.openxmlformats.org/officeDocument/2006/relationships/hyperlink" Target="https://www.nosdeputes.fr/jimmy-pahun" TargetMode="External"/><Relationship Id="rId1176" Type="http://schemas.openxmlformats.org/officeDocument/2006/relationships/hyperlink" Target="http://www2.assemblee-nationale.fr/deputes/fiche/OMC_PA718944" TargetMode="External"/><Relationship Id="rId102" Type="http://schemas.openxmlformats.org/officeDocument/2006/relationships/hyperlink" Target="https://www.nosdeputes.fr/stella-dupont" TargetMode="External"/><Relationship Id="rId586" Type="http://schemas.openxmlformats.org/officeDocument/2006/relationships/hyperlink" Target="http://www2.assemblee-nationale.fr/deputes/fiche/OMC_PA720334" TargetMode="External"/><Relationship Id="rId1177" Type="http://schemas.openxmlformats.org/officeDocument/2006/relationships/hyperlink" Target="https://www.nosdeputes.fr/cathy-racon-bouzon" TargetMode="External"/><Relationship Id="rId101" Type="http://schemas.openxmlformats.org/officeDocument/2006/relationships/hyperlink" Target="http://www2.assemblee-nationale.fr/deputes/fiche/OMC_PA643175" TargetMode="External"/><Relationship Id="rId585" Type="http://schemas.openxmlformats.org/officeDocument/2006/relationships/hyperlink" Target="https://www.nosdeputes.fr/christophe-naegelen/csv" TargetMode="External"/><Relationship Id="rId1178" Type="http://schemas.openxmlformats.org/officeDocument/2006/relationships/hyperlink" Target="https://www.nosdeputes.fr/cathy-racon-bouzon/csv" TargetMode="External"/><Relationship Id="rId100" Type="http://schemas.openxmlformats.org/officeDocument/2006/relationships/hyperlink" Target="https://www.nosdeputes.fr/charles-de-courson/csv" TargetMode="External"/><Relationship Id="rId584" Type="http://schemas.openxmlformats.org/officeDocument/2006/relationships/hyperlink" Target="https://www.nosdeputes.fr/christophe-naegelen" TargetMode="External"/><Relationship Id="rId1179" Type="http://schemas.openxmlformats.org/officeDocument/2006/relationships/hyperlink" Target="https://twitter.com/isabelle_rauch" TargetMode="External"/><Relationship Id="rId1169" Type="http://schemas.openxmlformats.org/officeDocument/2006/relationships/hyperlink" Target="https://www.nosdeputes.fr/george-pau-langevin/csv" TargetMode="External"/><Relationship Id="rId579" Type="http://schemas.openxmlformats.org/officeDocument/2006/relationships/hyperlink" Target="https://www.nosdeputes.fr/paul-molac/csv" TargetMode="External"/><Relationship Id="rId578" Type="http://schemas.openxmlformats.org/officeDocument/2006/relationships/hyperlink" Target="https://www.nosdeputes.fr/paul-molac" TargetMode="External"/><Relationship Id="rId577" Type="http://schemas.openxmlformats.org/officeDocument/2006/relationships/hyperlink" Target="http://www2.assemblee-nationale.fr/deputes/fiche/OMC_PA607619" TargetMode="External"/><Relationship Id="rId1160" Type="http://schemas.openxmlformats.org/officeDocument/2006/relationships/hyperlink" Target="https://www.nosdeputes.fr/sebastien-leclerc/csv" TargetMode="External"/><Relationship Id="rId572" Type="http://schemas.openxmlformats.org/officeDocument/2006/relationships/hyperlink" Target="https://www.nosdeputes.fr/stephane-mazars" TargetMode="External"/><Relationship Id="rId1161" Type="http://schemas.openxmlformats.org/officeDocument/2006/relationships/hyperlink" Target="http://www2.assemblee-nationale.fr/deputes/fiche/OMC_PA721726" TargetMode="External"/><Relationship Id="rId571" Type="http://schemas.openxmlformats.org/officeDocument/2006/relationships/hyperlink" Target="http://www2.assemblee-nationale.fr/deputes/fiche/OMC_PA677483" TargetMode="External"/><Relationship Id="rId1162" Type="http://schemas.openxmlformats.org/officeDocument/2006/relationships/hyperlink" Target="https://www.nosdeputes.fr/sereine-mauborgne" TargetMode="External"/><Relationship Id="rId570" Type="http://schemas.openxmlformats.org/officeDocument/2006/relationships/hyperlink" Target="https://www.nosdeputes.fr/olivier-marleix/csv" TargetMode="External"/><Relationship Id="rId1163" Type="http://schemas.openxmlformats.org/officeDocument/2006/relationships/hyperlink" Target="https://www.nosdeputes.fr/sereine-mauborgne/csv" TargetMode="External"/><Relationship Id="rId1164" Type="http://schemas.openxmlformats.org/officeDocument/2006/relationships/hyperlink" Target="http://www2.assemblee-nationale.fr/deputes/fiche/OMC_PA720644" TargetMode="External"/><Relationship Id="rId576" Type="http://schemas.openxmlformats.org/officeDocument/2006/relationships/hyperlink" Target="https://www.nosdeputes.fr/gerard-menuel/csv" TargetMode="External"/><Relationship Id="rId1165" Type="http://schemas.openxmlformats.org/officeDocument/2006/relationships/hyperlink" Target="https://www.nosdeputes.fr/jerome-nury" TargetMode="External"/><Relationship Id="rId575" Type="http://schemas.openxmlformats.org/officeDocument/2006/relationships/hyperlink" Target="https://www.nosdeputes.fr/gerard-menuel" TargetMode="External"/><Relationship Id="rId1166" Type="http://schemas.openxmlformats.org/officeDocument/2006/relationships/hyperlink" Target="https://www.nosdeputes.fr/jerome-nury/csv" TargetMode="External"/><Relationship Id="rId574" Type="http://schemas.openxmlformats.org/officeDocument/2006/relationships/hyperlink" Target="http://www2.assemblee-nationale.fr/deputes/fiche/OMC_PA2155" TargetMode="External"/><Relationship Id="rId1167" Type="http://schemas.openxmlformats.org/officeDocument/2006/relationships/hyperlink" Target="http://www2.assemblee-nationale.fr/deputes/fiche/OMC_PA335532" TargetMode="External"/><Relationship Id="rId573" Type="http://schemas.openxmlformats.org/officeDocument/2006/relationships/hyperlink" Target="https://www.nosdeputes.fr/stephane-mazars/csv" TargetMode="External"/><Relationship Id="rId1168" Type="http://schemas.openxmlformats.org/officeDocument/2006/relationships/hyperlink" Target="https://www.nosdeputes.fr/george-pau-langevin" TargetMode="External"/><Relationship Id="rId129" Type="http://schemas.openxmlformats.org/officeDocument/2006/relationships/hyperlink" Target="http://www2.assemblee-nationale.fr/deputes/fiche/OMC_PA722110" TargetMode="External"/><Relationship Id="rId128" Type="http://schemas.openxmlformats.org/officeDocument/2006/relationships/hyperlink" Target="https://fr-fr.facebook.com/hwulfranc/" TargetMode="External"/><Relationship Id="rId127" Type="http://schemas.openxmlformats.org/officeDocument/2006/relationships/hyperlink" Target="https://www.nosdeputes.fr/benoit-simian/csv" TargetMode="External"/><Relationship Id="rId126" Type="http://schemas.openxmlformats.org/officeDocument/2006/relationships/hyperlink" Target="https://www.nosdeputes.fr/benoit-simian" TargetMode="External"/><Relationship Id="rId1190" Type="http://schemas.openxmlformats.org/officeDocument/2006/relationships/hyperlink" Target="http://www2.assemblee-nationale.fr/deputes/fiche/OMC_PA720394" TargetMode="External"/><Relationship Id="rId1191" Type="http://schemas.openxmlformats.org/officeDocument/2006/relationships/hyperlink" Target="https://www.nosdeputes.fr/nicole-trisse" TargetMode="External"/><Relationship Id="rId1192" Type="http://schemas.openxmlformats.org/officeDocument/2006/relationships/hyperlink" Target="https://www.nosdeputes.fr/nicole-trisse/csv" TargetMode="External"/><Relationship Id="rId1193" Type="http://schemas.openxmlformats.org/officeDocument/2006/relationships/hyperlink" Target="http://www2.assemblee-nationale.fr/deputes/fiche/OMC_PA719092" TargetMode="External"/><Relationship Id="rId121" Type="http://schemas.openxmlformats.org/officeDocument/2006/relationships/hyperlink" Target="https://www.nosdeputes.fr/aurelien-pradie/csv" TargetMode="External"/><Relationship Id="rId1194" Type="http://schemas.openxmlformats.org/officeDocument/2006/relationships/hyperlink" Target="https://www.nosdeputes.fr/frederique-tuffnell" TargetMode="External"/><Relationship Id="rId120" Type="http://schemas.openxmlformats.org/officeDocument/2006/relationships/hyperlink" Target="https://www.nosdeputes.fr/aurelien-pradie" TargetMode="External"/><Relationship Id="rId1195" Type="http://schemas.openxmlformats.org/officeDocument/2006/relationships/hyperlink" Target="https://www.nosdeputes.fr/frederique-tuffnell/csv" TargetMode="External"/><Relationship Id="rId1196" Type="http://schemas.openxmlformats.org/officeDocument/2006/relationships/hyperlink" Target="http://www2.assemblee-nationale.fr/deputes/fiche/OMC_PA421348" TargetMode="External"/><Relationship Id="rId1197" Type="http://schemas.openxmlformats.org/officeDocument/2006/relationships/hyperlink" Target="https://www.nosdeputes.fr/andre-villiers" TargetMode="External"/><Relationship Id="rId125" Type="http://schemas.openxmlformats.org/officeDocument/2006/relationships/hyperlink" Target="http://www2.assemblee-nationale.fr/deputes/fiche/OMC_PA719592" TargetMode="External"/><Relationship Id="rId1198" Type="http://schemas.openxmlformats.org/officeDocument/2006/relationships/hyperlink" Target="https://www.nosdeputes.fr/andre-villiers/csv" TargetMode="External"/><Relationship Id="rId124" Type="http://schemas.openxmlformats.org/officeDocument/2006/relationships/hyperlink" Target="https://www.nosdeputes.fr/remy-rebeyrotte/csv" TargetMode="External"/><Relationship Id="rId1199" Type="http://schemas.openxmlformats.org/officeDocument/2006/relationships/hyperlink" Target="http://www2.assemblee-nationale.fr/deputes/fiche/OMC_PA719146" TargetMode="External"/><Relationship Id="rId123" Type="http://schemas.openxmlformats.org/officeDocument/2006/relationships/hyperlink" Target="https://www.nosdeputes.fr/remy-rebeyrotte" TargetMode="External"/><Relationship Id="rId122" Type="http://schemas.openxmlformats.org/officeDocument/2006/relationships/hyperlink" Target="http://www2.assemblee-nationale.fr/deputes/fiche/OMC_PA722398" TargetMode="External"/><Relationship Id="rId118" Type="http://schemas.openxmlformats.org/officeDocument/2006/relationships/hyperlink" Target="https://www.nosdeputes.fr/naima-moutchou/csv" TargetMode="External"/><Relationship Id="rId117" Type="http://schemas.openxmlformats.org/officeDocument/2006/relationships/hyperlink" Target="https://www.nosdeputes.fr/naima-moutchou" TargetMode="External"/><Relationship Id="rId116" Type="http://schemas.openxmlformats.org/officeDocument/2006/relationships/hyperlink" Target="http://www2.assemblee-nationale.fr/deputes/fiche/OMC_PA720908" TargetMode="External"/><Relationship Id="rId115" Type="http://schemas.openxmlformats.org/officeDocument/2006/relationships/hyperlink" Target="https://www.nosdeputes.fr/cendra-motin/csv" TargetMode="External"/><Relationship Id="rId599" Type="http://schemas.openxmlformats.org/officeDocument/2006/relationships/hyperlink" Target="http://www2.assemblee-nationale.fr/deputes/fiche/OMC_PA405480" TargetMode="External"/><Relationship Id="rId1180" Type="http://schemas.openxmlformats.org/officeDocument/2006/relationships/hyperlink" Target="http://www2.assemblee-nationale.fr/deputes/fiche/OMC_PA720552" TargetMode="External"/><Relationship Id="rId1181" Type="http://schemas.openxmlformats.org/officeDocument/2006/relationships/hyperlink" Target="https://www.nosdeputes.fr/isabelle-rauch" TargetMode="External"/><Relationship Id="rId119" Type="http://schemas.openxmlformats.org/officeDocument/2006/relationships/hyperlink" Target="http://www2.assemblee-nationale.fr/deputes/fiche/OMC_PA720100" TargetMode="External"/><Relationship Id="rId1182" Type="http://schemas.openxmlformats.org/officeDocument/2006/relationships/hyperlink" Target="https://www.nosdeputes.fr/isabelle-rauch/csv" TargetMode="External"/><Relationship Id="rId110" Type="http://schemas.openxmlformats.org/officeDocument/2006/relationships/hyperlink" Target="http://www2.assemblee-nationale.fr/deputes/fiche/OMC_PA719994" TargetMode="External"/><Relationship Id="rId594" Type="http://schemas.openxmlformats.org/officeDocument/2006/relationships/hyperlink" Target="https://www.nosdeputes.fr/jean-pierre-pont" TargetMode="External"/><Relationship Id="rId1183" Type="http://schemas.openxmlformats.org/officeDocument/2006/relationships/hyperlink" Target="http://laetitiasaintpaul.enmarche.fr" TargetMode="External"/><Relationship Id="rId593" Type="http://schemas.openxmlformats.org/officeDocument/2006/relationships/hyperlink" Target="http://www2.assemblee-nationale.fr/deputes/fiche/OMC_PA2449" TargetMode="External"/><Relationship Id="rId1184" Type="http://schemas.openxmlformats.org/officeDocument/2006/relationships/hyperlink" Target="http://www2.assemblee-nationale.fr/deputes/fiche/OMC_PA720138" TargetMode="External"/><Relationship Id="rId592" Type="http://schemas.openxmlformats.org/officeDocument/2006/relationships/hyperlink" Target="https://www.nosdeputes.fr/sophie-panonacle/csv" TargetMode="External"/><Relationship Id="rId1185" Type="http://schemas.openxmlformats.org/officeDocument/2006/relationships/hyperlink" Target="https://www.nosdeputes.fr/laetitia-saint-paul" TargetMode="External"/><Relationship Id="rId591" Type="http://schemas.openxmlformats.org/officeDocument/2006/relationships/hyperlink" Target="https://www.nosdeputes.fr/sophie-panonacle" TargetMode="External"/><Relationship Id="rId1186" Type="http://schemas.openxmlformats.org/officeDocument/2006/relationships/hyperlink" Target="https://www.nosdeputes.fr/laetitia-saint-paul/csv" TargetMode="External"/><Relationship Id="rId114" Type="http://schemas.openxmlformats.org/officeDocument/2006/relationships/hyperlink" Target="https://www.nosdeputes.fr/cendra-motin" TargetMode="External"/><Relationship Id="rId598" Type="http://schemas.openxmlformats.org/officeDocument/2006/relationships/hyperlink" Target="https://www.nosdeputes.fr/joaquim-pueyo/csv" TargetMode="External"/><Relationship Id="rId1187" Type="http://schemas.openxmlformats.org/officeDocument/2006/relationships/hyperlink" Target="http://www2.assemblee-nationale.fr/deputes/fiche/OMC_PA720830" TargetMode="External"/><Relationship Id="rId113" Type="http://schemas.openxmlformats.org/officeDocument/2006/relationships/hyperlink" Target="http://www2.assemblee-nationale.fr/deputes/fiche/OMC_PA719850" TargetMode="External"/><Relationship Id="rId597" Type="http://schemas.openxmlformats.org/officeDocument/2006/relationships/hyperlink" Target="https://www.nosdeputes.fr/joaquim-pueyo" TargetMode="External"/><Relationship Id="rId1188" Type="http://schemas.openxmlformats.org/officeDocument/2006/relationships/hyperlink" Target="https://www.nosdeputes.fr/valerie-thomas" TargetMode="External"/><Relationship Id="rId112" Type="http://schemas.openxmlformats.org/officeDocument/2006/relationships/hyperlink" Target="https://www.nosdeputes.fr/catherine-kamowski/csv" TargetMode="External"/><Relationship Id="rId596" Type="http://schemas.openxmlformats.org/officeDocument/2006/relationships/hyperlink" Target="http://www2.assemblee-nationale.fr/deputes/fiche/OMC_PA608011" TargetMode="External"/><Relationship Id="rId1189" Type="http://schemas.openxmlformats.org/officeDocument/2006/relationships/hyperlink" Target="https://www.nosdeputes.fr/valerie-thomas/csv" TargetMode="External"/><Relationship Id="rId111" Type="http://schemas.openxmlformats.org/officeDocument/2006/relationships/hyperlink" Target="https://www.nosdeputes.fr/catherine-kamowski" TargetMode="External"/><Relationship Id="rId595" Type="http://schemas.openxmlformats.org/officeDocument/2006/relationships/hyperlink" Target="https://www.nosdeputes.fr/jean-pierre-pont/csv" TargetMode="External"/><Relationship Id="rId1136" Type="http://schemas.openxmlformats.org/officeDocument/2006/relationships/hyperlink" Target="http://www2.assemblee-nationale.fr/deputes/fiche/OMC_PA719330" TargetMode="External"/><Relationship Id="rId1137" Type="http://schemas.openxmlformats.org/officeDocument/2006/relationships/hyperlink" Target="https://www.nosdeputes.fr/fabien-gouttefarde" TargetMode="External"/><Relationship Id="rId1138" Type="http://schemas.openxmlformats.org/officeDocument/2006/relationships/hyperlink" Target="https://www.nosdeputes.fr/fabien-gouttefarde/csv" TargetMode="External"/><Relationship Id="rId1139" Type="http://schemas.openxmlformats.org/officeDocument/2006/relationships/hyperlink" Target="http://www2.assemblee-nationale.fr/deputes/fiche/OMC_PA605084" TargetMode="External"/><Relationship Id="rId547" Type="http://schemas.openxmlformats.org/officeDocument/2006/relationships/hyperlink" Target="http://www2.assemblee-nationale.fr/deputes/fiche/OMC_PA720022" TargetMode="External"/><Relationship Id="rId546" Type="http://schemas.openxmlformats.org/officeDocument/2006/relationships/hyperlink" Target="https://twitter.com/lauzzanamichel" TargetMode="External"/><Relationship Id="rId545" Type="http://schemas.openxmlformats.org/officeDocument/2006/relationships/hyperlink" Target="https://www.nosdeputes.fr/philippe-latombe/csv" TargetMode="External"/><Relationship Id="rId544" Type="http://schemas.openxmlformats.org/officeDocument/2006/relationships/hyperlink" Target="https://www.nosdeputes.fr/philippe-latombe" TargetMode="External"/><Relationship Id="rId549" Type="http://schemas.openxmlformats.org/officeDocument/2006/relationships/hyperlink" Target="https://www.nosdeputes.fr/michel-lauzzana/csv" TargetMode="External"/><Relationship Id="rId548" Type="http://schemas.openxmlformats.org/officeDocument/2006/relationships/hyperlink" Target="https://www.nosdeputes.fr/michel-lauzzana" TargetMode="External"/><Relationship Id="rId1130" Type="http://schemas.openxmlformats.org/officeDocument/2006/relationships/hyperlink" Target="http://www2.assemblee-nationale.fr/deputes/fiche/OMC_PA720222" TargetMode="External"/><Relationship Id="rId1131" Type="http://schemas.openxmlformats.org/officeDocument/2006/relationships/hyperlink" Target="https://www.nosdeputes.fr/eric-girardin" TargetMode="External"/><Relationship Id="rId543" Type="http://schemas.openxmlformats.org/officeDocument/2006/relationships/hyperlink" Target="http://www2.assemblee-nationale.fr/deputes/fiche/OMC_PA721984" TargetMode="External"/><Relationship Id="rId1132" Type="http://schemas.openxmlformats.org/officeDocument/2006/relationships/hyperlink" Target="https://www.nosdeputes.fr/eric-girardin/csv" TargetMode="External"/><Relationship Id="rId542" Type="http://schemas.openxmlformats.org/officeDocument/2006/relationships/hyperlink" Target="https://twitter.com/platombe" TargetMode="External"/><Relationship Id="rId1133" Type="http://schemas.openxmlformats.org/officeDocument/2006/relationships/hyperlink" Target="http://www2.assemblee-nationale.fr/deputes/fiche/OMC_PA721296" TargetMode="External"/><Relationship Id="rId541" Type="http://schemas.openxmlformats.org/officeDocument/2006/relationships/hyperlink" Target="https://www.nosdeputes.fr/guillaume-larrive/csv" TargetMode="External"/><Relationship Id="rId1134" Type="http://schemas.openxmlformats.org/officeDocument/2006/relationships/hyperlink" Target="https://www.nosdeputes.fr/guillaume-gouffier-cha" TargetMode="External"/><Relationship Id="rId540" Type="http://schemas.openxmlformats.org/officeDocument/2006/relationships/hyperlink" Target="https://www.nosdeputes.fr/guillaume-larrive" TargetMode="External"/><Relationship Id="rId1135" Type="http://schemas.openxmlformats.org/officeDocument/2006/relationships/hyperlink" Target="https://www.nosdeputes.fr/guillaume-gouffier-cha/csv" TargetMode="External"/><Relationship Id="rId1125" Type="http://schemas.openxmlformats.org/officeDocument/2006/relationships/hyperlink" Target="https://www.nosdeputes.fr/claude-de-ganay/csv" TargetMode="External"/><Relationship Id="rId1126" Type="http://schemas.openxmlformats.org/officeDocument/2006/relationships/hyperlink" Target="http://www2.assemblee-nationale.fr/deputes/fiche/OMC_PA720806" TargetMode="External"/><Relationship Id="rId1127" Type="http://schemas.openxmlformats.org/officeDocument/2006/relationships/hyperlink" Target="https://www.nosdeputes.fr/laurence-gayte" TargetMode="External"/><Relationship Id="rId1128" Type="http://schemas.openxmlformats.org/officeDocument/2006/relationships/hyperlink" Target="https://www.nosdeputes.fr/laurence-gayte/csv" TargetMode="External"/><Relationship Id="rId1129" Type="http://schemas.openxmlformats.org/officeDocument/2006/relationships/hyperlink" Target="https://twitter.com/GirardinEric" TargetMode="External"/><Relationship Id="rId536" Type="http://schemas.openxmlformats.org/officeDocument/2006/relationships/hyperlink" Target="http://www2.assemblee-nationale.fr/deputes/fiche/OMC_PA719186" TargetMode="External"/><Relationship Id="rId535" Type="http://schemas.openxmlformats.org/officeDocument/2006/relationships/hyperlink" Target="https://www.nosdeputes.fr/guillaume-kasbarian/csv" TargetMode="External"/><Relationship Id="rId534" Type="http://schemas.openxmlformats.org/officeDocument/2006/relationships/hyperlink" Target="https://www.nosdeputes.fr/guillaume-kasbarian" TargetMode="External"/><Relationship Id="rId533" Type="http://schemas.openxmlformats.org/officeDocument/2006/relationships/hyperlink" Target="http://www2.assemblee-nationale.fr/deputes/fiche/OMC_PA719372" TargetMode="External"/><Relationship Id="rId539" Type="http://schemas.openxmlformats.org/officeDocument/2006/relationships/hyperlink" Target="http://www2.assemblee-nationale.fr/deputes/fiche/OMC_PA267785" TargetMode="External"/><Relationship Id="rId538" Type="http://schemas.openxmlformats.org/officeDocument/2006/relationships/hyperlink" Target="https://www.nosdeputes.fr/fadila-khattabi/csv" TargetMode="External"/><Relationship Id="rId537" Type="http://schemas.openxmlformats.org/officeDocument/2006/relationships/hyperlink" Target="https://www.nosdeputes.fr/fadila-khattabi" TargetMode="External"/><Relationship Id="rId1120" Type="http://schemas.openxmlformats.org/officeDocument/2006/relationships/hyperlink" Target="http://www2.assemblee-nationale.fr/deputes/fiche/OMC_PA266774" TargetMode="External"/><Relationship Id="rId532" Type="http://schemas.openxmlformats.org/officeDocument/2006/relationships/hyperlink" Target="https://www.nosdeputes.fr/francois-jolivet/csv" TargetMode="External"/><Relationship Id="rId1121" Type="http://schemas.openxmlformats.org/officeDocument/2006/relationships/hyperlink" Target="https://www.nosdeputes.fr/laurent-furst" TargetMode="External"/><Relationship Id="rId531" Type="http://schemas.openxmlformats.org/officeDocument/2006/relationships/hyperlink" Target="https://www.nosdeputes.fr/francois-jolivet" TargetMode="External"/><Relationship Id="rId1122" Type="http://schemas.openxmlformats.org/officeDocument/2006/relationships/hyperlink" Target="https://www.nosdeputes.fr/laurent-furst/csv" TargetMode="External"/><Relationship Id="rId530" Type="http://schemas.openxmlformats.org/officeDocument/2006/relationships/hyperlink" Target="http://www2.assemblee-nationale.fr/deputes/fiche/OMC_PA719778" TargetMode="External"/><Relationship Id="rId1123" Type="http://schemas.openxmlformats.org/officeDocument/2006/relationships/hyperlink" Target="http://www2.assemblee-nationale.fr/deputes/fiche/OMC_PA267735" TargetMode="External"/><Relationship Id="rId1124" Type="http://schemas.openxmlformats.org/officeDocument/2006/relationships/hyperlink" Target="https://www.nosdeputes.fr/claude-de-ganay" TargetMode="External"/><Relationship Id="rId1158" Type="http://schemas.openxmlformats.org/officeDocument/2006/relationships/hyperlink" Target="http://www2.assemblee-nationale.fr/deputes/fiche/OMC_PA340853" TargetMode="External"/><Relationship Id="rId1159" Type="http://schemas.openxmlformats.org/officeDocument/2006/relationships/hyperlink" Target="https://www.nosdeputes.fr/sebastien-leclerc" TargetMode="External"/><Relationship Id="rId569" Type="http://schemas.openxmlformats.org/officeDocument/2006/relationships/hyperlink" Target="https://www.nosdeputes.fr/olivier-marleix" TargetMode="External"/><Relationship Id="rId568" Type="http://schemas.openxmlformats.org/officeDocument/2006/relationships/hyperlink" Target="http://www2.assemblee-nationale.fr/deputes/fiche/OMC_PA606098" TargetMode="External"/><Relationship Id="rId567" Type="http://schemas.openxmlformats.org/officeDocument/2006/relationships/hyperlink" Target="https://www.nosdeputes.fr/lise-magnier/csv" TargetMode="External"/><Relationship Id="rId566" Type="http://schemas.openxmlformats.org/officeDocument/2006/relationships/hyperlink" Target="https://www.nosdeputes.fr/lise-magnier" TargetMode="External"/><Relationship Id="rId561" Type="http://schemas.openxmlformats.org/officeDocument/2006/relationships/hyperlink" Target="https://www.nosdeputes.fr/charlotte-lecocq/csv" TargetMode="External"/><Relationship Id="rId1150" Type="http://schemas.openxmlformats.org/officeDocument/2006/relationships/hyperlink" Target="https://www.nosdeputes.fr/sandrine-le-feur" TargetMode="External"/><Relationship Id="rId560" Type="http://schemas.openxmlformats.org/officeDocument/2006/relationships/hyperlink" Target="https://www.nosdeputes.fr/charlotte-lecocq" TargetMode="External"/><Relationship Id="rId1151" Type="http://schemas.openxmlformats.org/officeDocument/2006/relationships/hyperlink" Target="https://www.nosdeputes.fr/sandrine-le-feur/csv" TargetMode="External"/><Relationship Id="rId1152" Type="http://schemas.openxmlformats.org/officeDocument/2006/relationships/hyperlink" Target="http://www2.assemblee-nationale.fr/deputes/fiche/OMC_PA719388" TargetMode="External"/><Relationship Id="rId1153" Type="http://schemas.openxmlformats.org/officeDocument/2006/relationships/hyperlink" Target="https://www.nosdeputes.fr/annaig-le-meur" TargetMode="External"/><Relationship Id="rId565" Type="http://schemas.openxmlformats.org/officeDocument/2006/relationships/hyperlink" Target="http://www2.assemblee-nationale.fr/deputes/fiche/OMC_PA720230" TargetMode="External"/><Relationship Id="rId1154" Type="http://schemas.openxmlformats.org/officeDocument/2006/relationships/hyperlink" Target="https://www.nosdeputes.fr/annaig-le-meur/csv" TargetMode="External"/><Relationship Id="rId564" Type="http://schemas.openxmlformats.org/officeDocument/2006/relationships/hyperlink" Target="https://www.nosdeputes.fr/alexandra-louis/csv" TargetMode="External"/><Relationship Id="rId1155" Type="http://schemas.openxmlformats.org/officeDocument/2006/relationships/hyperlink" Target="http://www2.assemblee-nationale.fr/deputes/fiche/OMC_PA720614" TargetMode="External"/><Relationship Id="rId563" Type="http://schemas.openxmlformats.org/officeDocument/2006/relationships/hyperlink" Target="https://www.nosdeputes.fr/alexandra-louis" TargetMode="External"/><Relationship Id="rId1156" Type="http://schemas.openxmlformats.org/officeDocument/2006/relationships/hyperlink" Target="https://www.nosdeputes.fr/marine-le-pen" TargetMode="External"/><Relationship Id="rId562" Type="http://schemas.openxmlformats.org/officeDocument/2006/relationships/hyperlink" Target="http://www2.assemblee-nationale.fr/deputes/fiche/OMC_PA718918" TargetMode="External"/><Relationship Id="rId1157" Type="http://schemas.openxmlformats.org/officeDocument/2006/relationships/hyperlink" Target="https://www.nosdeputes.fr/marine-le-pen/csv" TargetMode="External"/><Relationship Id="rId1147" Type="http://schemas.openxmlformats.org/officeDocument/2006/relationships/hyperlink" Target="https://www.nosdeputes.fr/gael-le-bohec/csv" TargetMode="External"/><Relationship Id="rId1148" Type="http://schemas.openxmlformats.org/officeDocument/2006/relationships/hyperlink" Target="https://twitter.com/SandrineLeFeur" TargetMode="External"/><Relationship Id="rId1149" Type="http://schemas.openxmlformats.org/officeDocument/2006/relationships/hyperlink" Target="http://www2.assemblee-nationale.fr/deputes/fiche/OMC_PA719412" TargetMode="External"/><Relationship Id="rId558" Type="http://schemas.openxmlformats.org/officeDocument/2006/relationships/hyperlink" Target="https://www.nosdeputes.fr/nicole-le-peih/csv" TargetMode="External"/><Relationship Id="rId557" Type="http://schemas.openxmlformats.org/officeDocument/2006/relationships/hyperlink" Target="https://www.nosdeputes.fr/nicole-le-peih" TargetMode="External"/><Relationship Id="rId556" Type="http://schemas.openxmlformats.org/officeDocument/2006/relationships/hyperlink" Target="http://www2.assemblee-nationale.fr/deputes/fiche/OMC_PA720342" TargetMode="External"/><Relationship Id="rId555" Type="http://schemas.openxmlformats.org/officeDocument/2006/relationships/hyperlink" Target="https://www.nosdeputes.fr/gilles-le-gendre/csv" TargetMode="External"/><Relationship Id="rId559" Type="http://schemas.openxmlformats.org/officeDocument/2006/relationships/hyperlink" Target="http://www2.assemblee-nationale.fr/deputes/fiche/OMC_PA720480" TargetMode="External"/><Relationship Id="rId550" Type="http://schemas.openxmlformats.org/officeDocument/2006/relationships/hyperlink" Target="http://www2.assemblee-nationale.fr/deputes/fiche/OMC_PA719310" TargetMode="External"/><Relationship Id="rId1140" Type="http://schemas.openxmlformats.org/officeDocument/2006/relationships/hyperlink" Target="https://www.nosdeputes.fr/jacques-krabal" TargetMode="External"/><Relationship Id="rId1141" Type="http://schemas.openxmlformats.org/officeDocument/2006/relationships/hyperlink" Target="https://www.nosdeputes.fr/jacques-krabal/csv" TargetMode="External"/><Relationship Id="rId1142" Type="http://schemas.openxmlformats.org/officeDocument/2006/relationships/hyperlink" Target="http://www2.assemblee-nationale.fr/deputes/fiche/OMC_PA719842" TargetMode="External"/><Relationship Id="rId554" Type="http://schemas.openxmlformats.org/officeDocument/2006/relationships/hyperlink" Target="https://www.nosdeputes.fr/gilles-le-gendre" TargetMode="External"/><Relationship Id="rId1143" Type="http://schemas.openxmlformats.org/officeDocument/2006/relationships/hyperlink" Target="https://www.nosdeputes.fr/mustapha-laabid" TargetMode="External"/><Relationship Id="rId553" Type="http://schemas.openxmlformats.org/officeDocument/2006/relationships/hyperlink" Target="http://www2.assemblee-nationale.fr/deputes/fiche/OMC_PA721466" TargetMode="External"/><Relationship Id="rId1144" Type="http://schemas.openxmlformats.org/officeDocument/2006/relationships/hyperlink" Target="https://www.nosdeputes.fr/mustapha-laabid/csv" TargetMode="External"/><Relationship Id="rId552" Type="http://schemas.openxmlformats.org/officeDocument/2006/relationships/hyperlink" Target="https://www.nosdeputes.fr/celia-de-lavergne/csv" TargetMode="External"/><Relationship Id="rId1145" Type="http://schemas.openxmlformats.org/officeDocument/2006/relationships/hyperlink" Target="http://www2.assemblee-nationale.fr/deputes/fiche/OMC_PA719728" TargetMode="External"/><Relationship Id="rId551" Type="http://schemas.openxmlformats.org/officeDocument/2006/relationships/hyperlink" Target="https://www.nosdeputes.fr/celia-de-lavergne" TargetMode="External"/><Relationship Id="rId1146" Type="http://schemas.openxmlformats.org/officeDocument/2006/relationships/hyperlink" Target="https://www.nosdeputes.fr/gael-le-bohec" TargetMode="External"/><Relationship Id="rId495" Type="http://schemas.openxmlformats.org/officeDocument/2006/relationships/hyperlink" Target="http://www2.assemblee-nationale.fr/deputes/fiche/OMC_PA607193" TargetMode="External"/><Relationship Id="rId494" Type="http://schemas.openxmlformats.org/officeDocument/2006/relationships/hyperlink" Target="https://www.nosdeputes.fr/nathalie-elimas/csv" TargetMode="External"/><Relationship Id="rId493" Type="http://schemas.openxmlformats.org/officeDocument/2006/relationships/hyperlink" Target="https://www.nosdeputes.fr/nathalie-elimas" TargetMode="External"/><Relationship Id="rId492" Type="http://schemas.openxmlformats.org/officeDocument/2006/relationships/hyperlink" Target="http://www2.assemblee-nationale.fr/deputes/fiche/OMC_PA720924" TargetMode="External"/><Relationship Id="rId499" Type="http://schemas.openxmlformats.org/officeDocument/2006/relationships/hyperlink" Target="https://www.nosdeputes.fr/catherine-fabre" TargetMode="External"/><Relationship Id="rId498" Type="http://schemas.openxmlformats.org/officeDocument/2006/relationships/hyperlink" Target="http://www2.assemblee-nationale.fr/deputes/fiche/OMC_PA719570" TargetMode="External"/><Relationship Id="rId497" Type="http://schemas.openxmlformats.org/officeDocument/2006/relationships/hyperlink" Target="https://www.nosdeputes.fr/sophie-errante/csv" TargetMode="External"/><Relationship Id="rId496" Type="http://schemas.openxmlformats.org/officeDocument/2006/relationships/hyperlink" Target="https://www.nosdeputes.fr/sophie-errante" TargetMode="External"/><Relationship Id="rId1610" Type="http://schemas.openxmlformats.org/officeDocument/2006/relationships/hyperlink" Target="https://twitter.com/MaxMathiasin" TargetMode="External"/><Relationship Id="rId1611" Type="http://schemas.openxmlformats.org/officeDocument/2006/relationships/hyperlink" Target="http://www2.assemblee-nationale.fr/deputes/fiche/OMC_PA720976" TargetMode="External"/><Relationship Id="rId1612" Type="http://schemas.openxmlformats.org/officeDocument/2006/relationships/hyperlink" Target="https://www.nosdeputes.fr/max-mathiasin" TargetMode="External"/><Relationship Id="rId1613" Type="http://schemas.openxmlformats.org/officeDocument/2006/relationships/hyperlink" Target="https://www.nosdeputes.fr/max-mathiasin/csv" TargetMode="External"/><Relationship Id="rId1614" Type="http://schemas.openxmlformats.org/officeDocument/2006/relationships/hyperlink" Target="http://www2.assemblee-nationale.fr/deputes/fiche/OMC_PA998" TargetMode="External"/><Relationship Id="rId1615" Type="http://schemas.openxmlformats.org/officeDocument/2006/relationships/hyperlink" Target="https://www.nosdeputes.fr/olivier-dassault" TargetMode="External"/><Relationship Id="rId1616" Type="http://schemas.openxmlformats.org/officeDocument/2006/relationships/hyperlink" Target="https://www.nosdeputes.fr/olivier-dassault/csv" TargetMode="External"/><Relationship Id="rId907" Type="http://schemas.openxmlformats.org/officeDocument/2006/relationships/hyperlink" Target="http://www2.assemblee-nationale.fr/deputes/fiche/OMC_PA721992" TargetMode="External"/><Relationship Id="rId1617" Type="http://schemas.openxmlformats.org/officeDocument/2006/relationships/hyperlink" Target="http://www2.assemblee-nationale.fr/deputes/fiche/OMC_PA610654" TargetMode="External"/><Relationship Id="rId906" Type="http://schemas.openxmlformats.org/officeDocument/2006/relationships/hyperlink" Target="https://www.nosdeputes.fr/bruno-fuchs/csv" TargetMode="External"/><Relationship Id="rId1618" Type="http://schemas.openxmlformats.org/officeDocument/2006/relationships/hyperlink" Target="https://www.nosdeputes.fr/jean-philippe-nilor" TargetMode="External"/><Relationship Id="rId905" Type="http://schemas.openxmlformats.org/officeDocument/2006/relationships/hyperlink" Target="https://www.nosdeputes.fr/bruno-fuchs" TargetMode="External"/><Relationship Id="rId1619" Type="http://schemas.openxmlformats.org/officeDocument/2006/relationships/hyperlink" Target="https://www.nosdeputes.fr/jean-philippe-nilor/csv" TargetMode="External"/><Relationship Id="rId904" Type="http://schemas.openxmlformats.org/officeDocument/2006/relationships/hyperlink" Target="http://www2.assemblee-nationale.fr/deputes/fiche/OMC_PA722284" TargetMode="External"/><Relationship Id="rId909" Type="http://schemas.openxmlformats.org/officeDocument/2006/relationships/hyperlink" Target="https://www.nosdeputes.fr/patricia-gallerneau/csv" TargetMode="External"/><Relationship Id="rId908" Type="http://schemas.openxmlformats.org/officeDocument/2006/relationships/hyperlink" Target="https://www.nosdeputes.fr/patricia-gallerneau" TargetMode="External"/><Relationship Id="rId903" Type="http://schemas.openxmlformats.org/officeDocument/2006/relationships/hyperlink" Target="https://www.nosdeputes.fr/paula-forteza/csv" TargetMode="External"/><Relationship Id="rId902" Type="http://schemas.openxmlformats.org/officeDocument/2006/relationships/hyperlink" Target="https://www.nosdeputes.fr/paula-forteza" TargetMode="External"/><Relationship Id="rId901" Type="http://schemas.openxmlformats.org/officeDocument/2006/relationships/hyperlink" Target="http://www2.assemblee-nationale.fr/deputes/fiche/OMC_PA721142" TargetMode="External"/><Relationship Id="rId900" Type="http://schemas.openxmlformats.org/officeDocument/2006/relationships/hyperlink" Target="https://www.nosdeputes.fr/olivier-falorni/csv" TargetMode="External"/><Relationship Id="rId1600" Type="http://schemas.openxmlformats.org/officeDocument/2006/relationships/hyperlink" Target="http://www2.assemblee-nationale.fr/deputes/fiche/OMC_PA722118" TargetMode="External"/><Relationship Id="rId1601" Type="http://schemas.openxmlformats.org/officeDocument/2006/relationships/hyperlink" Target="https://www.nosdeputes.fr/sira-sylla" TargetMode="External"/><Relationship Id="rId1602" Type="http://schemas.openxmlformats.org/officeDocument/2006/relationships/hyperlink" Target="https://www.nosdeputes.fr/sira-sylla/csv" TargetMode="External"/><Relationship Id="rId1603" Type="http://schemas.openxmlformats.org/officeDocument/2006/relationships/hyperlink" Target="http://www2.assemblee-nationale.fr/deputes/fiche/OMC_PA267901" TargetMode="External"/><Relationship Id="rId1604" Type="http://schemas.openxmlformats.org/officeDocument/2006/relationships/hyperlink" Target="https://www.nosdeputes.fr/mansour-kamardine" TargetMode="External"/><Relationship Id="rId1605" Type="http://schemas.openxmlformats.org/officeDocument/2006/relationships/hyperlink" Target="https://www.nosdeputes.fr/mansour-kamardine/csv" TargetMode="External"/><Relationship Id="rId1606" Type="http://schemas.openxmlformats.org/officeDocument/2006/relationships/hyperlink" Target="https://fr-fr.facebook.com/justinebenin2/" TargetMode="External"/><Relationship Id="rId1607" Type="http://schemas.openxmlformats.org/officeDocument/2006/relationships/hyperlink" Target="http://www2.assemblee-nationale.fr/deputes/fiche/OMC_PA720968" TargetMode="External"/><Relationship Id="rId1608" Type="http://schemas.openxmlformats.org/officeDocument/2006/relationships/hyperlink" Target="https://www.nosdeputes.fr/justine-benin" TargetMode="External"/><Relationship Id="rId1609" Type="http://schemas.openxmlformats.org/officeDocument/2006/relationships/hyperlink" Target="https://www.nosdeputes.fr/justine-benin/csv" TargetMode="External"/><Relationship Id="rId1631" Type="http://schemas.openxmlformats.org/officeDocument/2006/relationships/hyperlink" Target="https://www.nosdeputes.fr/antoine-savignat/csv" TargetMode="External"/><Relationship Id="rId1632" Type="http://schemas.openxmlformats.org/officeDocument/2006/relationships/hyperlink" Target="https://twitter.com/Deputee_Obono" TargetMode="External"/><Relationship Id="rId1633" Type="http://schemas.openxmlformats.org/officeDocument/2006/relationships/hyperlink" Target="http://www2.assemblee-nationale.fr/deputes/fiche/OMC_PA721960" TargetMode="External"/><Relationship Id="rId1634" Type="http://schemas.openxmlformats.org/officeDocument/2006/relationships/hyperlink" Target="https://www.nosdeputes.fr/daniele-obono" TargetMode="External"/><Relationship Id="rId1635" Type="http://schemas.openxmlformats.org/officeDocument/2006/relationships/hyperlink" Target="https://www.nosdeputes.fr/daniele-obono/csv" TargetMode="External"/><Relationship Id="rId1636" Type="http://schemas.openxmlformats.org/officeDocument/2006/relationships/hyperlink" Target="http://www2.assemblee-nationale.fr/deputes/fiche/OMC_PA335054" TargetMode="External"/><Relationship Id="rId1637" Type="http://schemas.openxmlformats.org/officeDocument/2006/relationships/hyperlink" Target="https://www.nosdeputes.fr/marietta-karamanli" TargetMode="External"/><Relationship Id="rId1638" Type="http://schemas.openxmlformats.org/officeDocument/2006/relationships/hyperlink" Target="https://www.nosdeputes.fr/marietta-karamanli/csv" TargetMode="External"/><Relationship Id="rId929" Type="http://schemas.openxmlformats.org/officeDocument/2006/relationships/hyperlink" Target="http://www2.assemblee-nationale.fr/deputes/fiche/OMC_PA333818" TargetMode="External"/><Relationship Id="rId1639" Type="http://schemas.openxmlformats.org/officeDocument/2006/relationships/hyperlink" Target="http://www2.assemblee-nationale.fr/deputes/fiche/OMC_PA719930" TargetMode="External"/><Relationship Id="rId928" Type="http://schemas.openxmlformats.org/officeDocument/2006/relationships/hyperlink" Target="https://twitter.com/ChristianHutin" TargetMode="External"/><Relationship Id="rId927" Type="http://schemas.openxmlformats.org/officeDocument/2006/relationships/hyperlink" Target="https://www.nosdeputes.fr/daniele-herin/csv" TargetMode="External"/><Relationship Id="rId926" Type="http://schemas.openxmlformats.org/officeDocument/2006/relationships/hyperlink" Target="https://www.nosdeputes.fr/daniele-herin" TargetMode="External"/><Relationship Id="rId921" Type="http://schemas.openxmlformats.org/officeDocument/2006/relationships/hyperlink" Target="https://www.nosdeputes.fr/david-habib/csv" TargetMode="External"/><Relationship Id="rId920" Type="http://schemas.openxmlformats.org/officeDocument/2006/relationships/hyperlink" Target="https://www.nosdeputes.fr/david-habib" TargetMode="External"/><Relationship Id="rId925" Type="http://schemas.openxmlformats.org/officeDocument/2006/relationships/hyperlink" Target="http://www2.assemblee-nationale.fr/deputes/fiche/OMC_PA718794" TargetMode="External"/><Relationship Id="rId924" Type="http://schemas.openxmlformats.org/officeDocument/2006/relationships/hyperlink" Target="https://www.nosdeputes.fr/veronique-hammerer/csv" TargetMode="External"/><Relationship Id="rId923" Type="http://schemas.openxmlformats.org/officeDocument/2006/relationships/hyperlink" Target="https://www.nosdeputes.fr/veronique-hammerer" TargetMode="External"/><Relationship Id="rId922" Type="http://schemas.openxmlformats.org/officeDocument/2006/relationships/hyperlink" Target="http://www2.assemblee-nationale.fr/deputes/fiche/OMC_PA719652" TargetMode="External"/><Relationship Id="rId1630" Type="http://schemas.openxmlformats.org/officeDocument/2006/relationships/hyperlink" Target="https://www.nosdeputes.fr/antoine-savignat" TargetMode="External"/><Relationship Id="rId1620" Type="http://schemas.openxmlformats.org/officeDocument/2006/relationships/hyperlink" Target="http://www2.assemblee-nationale.fr/deputes/fiche/OMC_PA223837" TargetMode="External"/><Relationship Id="rId1621" Type="http://schemas.openxmlformats.org/officeDocument/2006/relationships/hyperlink" Target="https://www.nosdeputes.fr/bernard-brochand" TargetMode="External"/><Relationship Id="rId1622" Type="http://schemas.openxmlformats.org/officeDocument/2006/relationships/hyperlink" Target="https://www.nosdeputes.fr/bernard-brochand/csv" TargetMode="External"/><Relationship Id="rId1623" Type="http://schemas.openxmlformats.org/officeDocument/2006/relationships/hyperlink" Target="http://www2.assemblee-nationale.fr/deputes/fiche/OMC_PA2086" TargetMode="External"/><Relationship Id="rId1624" Type="http://schemas.openxmlformats.org/officeDocument/2006/relationships/hyperlink" Target="https://www.nosdeputes.fr/franck-marlin" TargetMode="External"/><Relationship Id="rId1625" Type="http://schemas.openxmlformats.org/officeDocument/2006/relationships/hyperlink" Target="https://www.nosdeputes.fr/franck-marlin/csv" TargetMode="External"/><Relationship Id="rId1626" Type="http://schemas.openxmlformats.org/officeDocument/2006/relationships/hyperlink" Target="http://www2.assemblee-nationale.fr/deputes/fiche/OMC_PA610634" TargetMode="External"/><Relationship Id="rId1627" Type="http://schemas.openxmlformats.org/officeDocument/2006/relationships/hyperlink" Target="https://www.nosdeputes.fr/bruno-nestor-azerot" TargetMode="External"/><Relationship Id="rId918" Type="http://schemas.openxmlformats.org/officeDocument/2006/relationships/hyperlink" Target="https://www.nosdeputes.fr/olga-givernet/csv" TargetMode="External"/><Relationship Id="rId1628" Type="http://schemas.openxmlformats.org/officeDocument/2006/relationships/hyperlink" Target="https://www.nosdeputes.fr/bruno-nestor-azerot/csv" TargetMode="External"/><Relationship Id="rId917" Type="http://schemas.openxmlformats.org/officeDocument/2006/relationships/hyperlink" Target="https://www.nosdeputes.fr/olga-givernet" TargetMode="External"/><Relationship Id="rId1629" Type="http://schemas.openxmlformats.org/officeDocument/2006/relationships/hyperlink" Target="http://www2.assemblee-nationale.fr/deputes/fiche/OMC_PA748954" TargetMode="External"/><Relationship Id="rId916" Type="http://schemas.openxmlformats.org/officeDocument/2006/relationships/hyperlink" Target="http://www2.assemblee-nationale.fr/deputes/fiche/OMC_PA718674" TargetMode="External"/><Relationship Id="rId915" Type="http://schemas.openxmlformats.org/officeDocument/2006/relationships/hyperlink" Target="https://www.nosdeputes.fr/raphael-gerard/csv" TargetMode="External"/><Relationship Id="rId919" Type="http://schemas.openxmlformats.org/officeDocument/2006/relationships/hyperlink" Target="http://www2.assemblee-nationale.fr/deputes/fiche/OMC_PA1592" TargetMode="External"/><Relationship Id="rId910" Type="http://schemas.openxmlformats.org/officeDocument/2006/relationships/hyperlink" Target="http://www2.assemblee-nationale.fr/deputes/fiche/OMC_PA721364" TargetMode="External"/><Relationship Id="rId914" Type="http://schemas.openxmlformats.org/officeDocument/2006/relationships/hyperlink" Target="https://www.nosdeputes.fr/raphael-gerard" TargetMode="External"/><Relationship Id="rId913" Type="http://schemas.openxmlformats.org/officeDocument/2006/relationships/hyperlink" Target="http://www2.assemblee-nationale.fr/deputes/fiche/OMC_PA719108" TargetMode="External"/><Relationship Id="rId912" Type="http://schemas.openxmlformats.org/officeDocument/2006/relationships/hyperlink" Target="https://www.nosdeputes.fr/raphael-gauvain/csv" TargetMode="External"/><Relationship Id="rId911" Type="http://schemas.openxmlformats.org/officeDocument/2006/relationships/hyperlink" Target="https://www.nosdeputes.fr/raphael-gauvain" TargetMode="External"/><Relationship Id="rId1213" Type="http://schemas.openxmlformats.org/officeDocument/2006/relationships/hyperlink" Target="https://www.nosdeputes.fr/valerie-boyer" TargetMode="External"/><Relationship Id="rId1697" Type="http://schemas.openxmlformats.org/officeDocument/2006/relationships/hyperlink" Target="https://www.nosdeputes.fr/delphine-bagarry/csv" TargetMode="External"/><Relationship Id="rId1214" Type="http://schemas.openxmlformats.org/officeDocument/2006/relationships/hyperlink" Target="https://www.nosdeputes.fr/valerie-boyer/csv" TargetMode="External"/><Relationship Id="rId1698" Type="http://schemas.openxmlformats.org/officeDocument/2006/relationships/hyperlink" Target="http://www2.assemblee-nationale.fr/deputes/fiche/OMC_PA2377" TargetMode="External"/><Relationship Id="rId1215" Type="http://schemas.openxmlformats.org/officeDocument/2006/relationships/hyperlink" Target="http://www2.assemblee-nationale.fr/deputes/fiche/OMC_PA672" TargetMode="External"/><Relationship Id="rId1699" Type="http://schemas.openxmlformats.org/officeDocument/2006/relationships/hyperlink" Target="https://www.nosdeputes.fr/bernard-perrut" TargetMode="External"/><Relationship Id="rId1216" Type="http://schemas.openxmlformats.org/officeDocument/2006/relationships/hyperlink" Target="https://www.nosdeputes.fr/jean-jacques-bridey" TargetMode="External"/><Relationship Id="rId1217" Type="http://schemas.openxmlformats.org/officeDocument/2006/relationships/hyperlink" Target="https://www.nosdeputes.fr/jean-jacques-bridey/csv" TargetMode="External"/><Relationship Id="rId1218" Type="http://schemas.openxmlformats.org/officeDocument/2006/relationships/hyperlink" Target="http://www2.assemblee-nationale.fr/deputes/fiche/OMC_PA721336" TargetMode="External"/><Relationship Id="rId1219" Type="http://schemas.openxmlformats.org/officeDocument/2006/relationships/hyperlink" Target="https://www.nosdeputes.fr/blandine-brocard" TargetMode="External"/><Relationship Id="rId866" Type="http://schemas.openxmlformats.org/officeDocument/2006/relationships/hyperlink" Target="https://www.nosdeputes.fr/bruno-bilde/csv" TargetMode="External"/><Relationship Id="rId865" Type="http://schemas.openxmlformats.org/officeDocument/2006/relationships/hyperlink" Target="https://www.nosdeputes.fr/bruno-bilde" TargetMode="External"/><Relationship Id="rId864" Type="http://schemas.openxmlformats.org/officeDocument/2006/relationships/hyperlink" Target="http://www2.assemblee-nationale.fr/deputes/fiche/OMC_PA720822" TargetMode="External"/><Relationship Id="rId863" Type="http://schemas.openxmlformats.org/officeDocument/2006/relationships/hyperlink" Target="https://www.nosdeputes.fr/barbara-bessot-ballot/csv" TargetMode="External"/><Relationship Id="rId869" Type="http://schemas.openxmlformats.org/officeDocument/2006/relationships/hyperlink" Target="https://www.nosdeputes.fr/aude-bono-vandorme/csv" TargetMode="External"/><Relationship Id="rId868" Type="http://schemas.openxmlformats.org/officeDocument/2006/relationships/hyperlink" Target="https://www.nosdeputes.fr/aude-bono-vandorme" TargetMode="External"/><Relationship Id="rId867" Type="http://schemas.openxmlformats.org/officeDocument/2006/relationships/hyperlink" Target="http://www2.assemblee-nationale.fr/deputes/fiche/OMC_PA718756" TargetMode="External"/><Relationship Id="rId1690" Type="http://schemas.openxmlformats.org/officeDocument/2006/relationships/hyperlink" Target="https://www.nosdeputes.fr/huguette-bello" TargetMode="External"/><Relationship Id="rId1691" Type="http://schemas.openxmlformats.org/officeDocument/2006/relationships/hyperlink" Target="https://www.nosdeputes.fr/huguette-bello/csv" TargetMode="External"/><Relationship Id="rId1692" Type="http://schemas.openxmlformats.org/officeDocument/2006/relationships/hyperlink" Target="http://www2.assemblee-nationale.fr/deputes/fiche/OMC_PA721670" TargetMode="External"/><Relationship Id="rId862" Type="http://schemas.openxmlformats.org/officeDocument/2006/relationships/hyperlink" Target="https://www.nosdeputes.fr/barbara-bessot-ballot" TargetMode="External"/><Relationship Id="rId1693" Type="http://schemas.openxmlformats.org/officeDocument/2006/relationships/hyperlink" Target="https://www.nosdeputes.fr/amelie-de-montchalin" TargetMode="External"/><Relationship Id="rId861" Type="http://schemas.openxmlformats.org/officeDocument/2006/relationships/hyperlink" Target="http://www2.assemblee-nationale.fr/deputes/fiche/OMC_PA722312" TargetMode="External"/><Relationship Id="rId1210" Type="http://schemas.openxmlformats.org/officeDocument/2006/relationships/hyperlink" Target="https://www.nosdeputes.fr/jean-yves-bony" TargetMode="External"/><Relationship Id="rId1694" Type="http://schemas.openxmlformats.org/officeDocument/2006/relationships/hyperlink" Target="https://www.nosdeputes.fr/amelie-de-montchalin/csv" TargetMode="External"/><Relationship Id="rId860" Type="http://schemas.openxmlformats.org/officeDocument/2006/relationships/hyperlink" Target="https://www.nosdeputes.fr/gregory-besson-moreau/csv" TargetMode="External"/><Relationship Id="rId1211" Type="http://schemas.openxmlformats.org/officeDocument/2006/relationships/hyperlink" Target="https://www.nosdeputes.fr/jean-yves-bony/csv" TargetMode="External"/><Relationship Id="rId1695" Type="http://schemas.openxmlformats.org/officeDocument/2006/relationships/hyperlink" Target="http://www2.assemblee-nationale.fr/deputes/fiche/OMC_PA718744" TargetMode="External"/><Relationship Id="rId1212" Type="http://schemas.openxmlformats.org/officeDocument/2006/relationships/hyperlink" Target="http://www2.assemblee-nationale.fr/deputes/fiche/OMC_PA330684" TargetMode="External"/><Relationship Id="rId1696" Type="http://schemas.openxmlformats.org/officeDocument/2006/relationships/hyperlink" Target="https://www.nosdeputes.fr/delphine-bagarry" TargetMode="External"/><Relationship Id="rId1202" Type="http://schemas.openxmlformats.org/officeDocument/2006/relationships/hyperlink" Target="http://www2.assemblee-nationale.fr/deputes/fiche/OMC_PA606675" TargetMode="External"/><Relationship Id="rId1686" Type="http://schemas.openxmlformats.org/officeDocument/2006/relationships/hyperlink" Target="http://www2.assemblee-nationale.fr/deputes/fiche/OMC_PA610733" TargetMode="External"/><Relationship Id="rId1203" Type="http://schemas.openxmlformats.org/officeDocument/2006/relationships/hyperlink" Target="https://www.nosdeputes.fr/francois-andre" TargetMode="External"/><Relationship Id="rId1687" Type="http://schemas.openxmlformats.org/officeDocument/2006/relationships/hyperlink" Target="https://www.nosdeputes.fr/thierry-robert" TargetMode="External"/><Relationship Id="rId1204" Type="http://schemas.openxmlformats.org/officeDocument/2006/relationships/hyperlink" Target="https://www.nosdeputes.fr/francois-andre/csv" TargetMode="External"/><Relationship Id="rId1688" Type="http://schemas.openxmlformats.org/officeDocument/2006/relationships/hyperlink" Target="https://www.nosdeputes.fr/thierry-robert/csv" TargetMode="External"/><Relationship Id="rId1205" Type="http://schemas.openxmlformats.org/officeDocument/2006/relationships/hyperlink" Target="https://twitter.com/vbazinmalgras" TargetMode="External"/><Relationship Id="rId1689" Type="http://schemas.openxmlformats.org/officeDocument/2006/relationships/hyperlink" Target="http://www2.assemblee-nationale.fr/deputes/fiche/OMC_PA441" TargetMode="External"/><Relationship Id="rId1206" Type="http://schemas.openxmlformats.org/officeDocument/2006/relationships/hyperlink" Target="http://www2.assemblee-nationale.fr/deputes/fiche/OMC_PA718884" TargetMode="External"/><Relationship Id="rId1207" Type="http://schemas.openxmlformats.org/officeDocument/2006/relationships/hyperlink" Target="https://www.nosdeputes.fr/valerie-bazin-malgras" TargetMode="External"/><Relationship Id="rId1208" Type="http://schemas.openxmlformats.org/officeDocument/2006/relationships/hyperlink" Target="https://www.nosdeputes.fr/valerie-bazin-malgras/csv" TargetMode="External"/><Relationship Id="rId1209" Type="http://schemas.openxmlformats.org/officeDocument/2006/relationships/hyperlink" Target="http://www2.assemblee-nationale.fr/deputes/fiche/OMC_PA266793" TargetMode="External"/><Relationship Id="rId855" Type="http://schemas.openxmlformats.org/officeDocument/2006/relationships/hyperlink" Target="http://www2.assemblee-nationale.fr/deputes/fiche/OMC_PA719488" TargetMode="External"/><Relationship Id="rId854" Type="http://schemas.openxmlformats.org/officeDocument/2006/relationships/hyperlink" Target="https://www.nosdeputes.fr/aurore-berge/csv" TargetMode="External"/><Relationship Id="rId853" Type="http://schemas.openxmlformats.org/officeDocument/2006/relationships/hyperlink" Target="https://www.nosdeputes.fr/aurore-berge" TargetMode="External"/><Relationship Id="rId852" Type="http://schemas.openxmlformats.org/officeDocument/2006/relationships/hyperlink" Target="http://www2.assemblee-nationale.fr/deputes/fiche/OMC_PA722046" TargetMode="External"/><Relationship Id="rId859" Type="http://schemas.openxmlformats.org/officeDocument/2006/relationships/hyperlink" Target="https://www.nosdeputes.fr/gregory-besson-moreau" TargetMode="External"/><Relationship Id="rId858" Type="http://schemas.openxmlformats.org/officeDocument/2006/relationships/hyperlink" Target="http://www2.assemblee-nationale.fr/deputes/fiche/OMC_PA718876" TargetMode="External"/><Relationship Id="rId857" Type="http://schemas.openxmlformats.org/officeDocument/2006/relationships/hyperlink" Target="https://www.nosdeputes.fr/philippe-berta/csv" TargetMode="External"/><Relationship Id="rId856" Type="http://schemas.openxmlformats.org/officeDocument/2006/relationships/hyperlink" Target="https://www.nosdeputes.fr/philippe-berta" TargetMode="External"/><Relationship Id="rId1680" Type="http://schemas.openxmlformats.org/officeDocument/2006/relationships/hyperlink" Target="http://www2.assemblee-nationale.fr/deputes/fiche/OMC_PA721046" TargetMode="External"/><Relationship Id="rId1681" Type="http://schemas.openxmlformats.org/officeDocument/2006/relationships/hyperlink" Target="https://www.nosdeputes.fr/nathalie-bassire" TargetMode="External"/><Relationship Id="rId851" Type="http://schemas.openxmlformats.org/officeDocument/2006/relationships/hyperlink" Target="https://www.nosdeputes.fr/geraldine-bannier/csv" TargetMode="External"/><Relationship Id="rId1682" Type="http://schemas.openxmlformats.org/officeDocument/2006/relationships/hyperlink" Target="https://www.nosdeputes.fr/nathalie-bassire/csv" TargetMode="External"/><Relationship Id="rId850" Type="http://schemas.openxmlformats.org/officeDocument/2006/relationships/hyperlink" Target="https://www.nosdeputes.fr/geraldine-bannier" TargetMode="External"/><Relationship Id="rId1683" Type="http://schemas.openxmlformats.org/officeDocument/2006/relationships/hyperlink" Target="http://www2.assemblee-nationale.fr/deputes/fiche/OMC_PA721054" TargetMode="External"/><Relationship Id="rId1200" Type="http://schemas.openxmlformats.org/officeDocument/2006/relationships/hyperlink" Target="https://www.nosdeputes.fr/jean-felix-acquaviva" TargetMode="External"/><Relationship Id="rId1684" Type="http://schemas.openxmlformats.org/officeDocument/2006/relationships/hyperlink" Target="https://www.nosdeputes.fr/david-lorion" TargetMode="External"/><Relationship Id="rId1201" Type="http://schemas.openxmlformats.org/officeDocument/2006/relationships/hyperlink" Target="https://www.nosdeputes.fr/jean-felix-acquaviva/csv" TargetMode="External"/><Relationship Id="rId1685" Type="http://schemas.openxmlformats.org/officeDocument/2006/relationships/hyperlink" Target="https://www.nosdeputes.fr/david-lorion/csv" TargetMode="External"/><Relationship Id="rId1235" Type="http://schemas.openxmlformats.org/officeDocument/2006/relationships/hyperlink" Target="https://www.nosdeputes.fr/remi-delatte" TargetMode="External"/><Relationship Id="rId1236" Type="http://schemas.openxmlformats.org/officeDocument/2006/relationships/hyperlink" Target="https://www.nosdeputes.fr/remi-delatte/csv" TargetMode="External"/><Relationship Id="rId1237" Type="http://schemas.openxmlformats.org/officeDocument/2006/relationships/hyperlink" Target="https://twitter.com/DipompeoChrist" TargetMode="External"/><Relationship Id="rId1238" Type="http://schemas.openxmlformats.org/officeDocument/2006/relationships/hyperlink" Target="http://www2.assemblee-nationale.fr/deputes/fiche/OMC_PA720438" TargetMode="External"/><Relationship Id="rId1239" Type="http://schemas.openxmlformats.org/officeDocument/2006/relationships/hyperlink" Target="https://www.nosdeputes.fr/christophe-di-pompeo" TargetMode="External"/><Relationship Id="rId409" Type="http://schemas.openxmlformats.org/officeDocument/2006/relationships/hyperlink" Target="http://www2.assemblee-nationale.fr/deputes/fiche/OMC_PA721916" TargetMode="External"/><Relationship Id="rId404" Type="http://schemas.openxmlformats.org/officeDocument/2006/relationships/hyperlink" Target="https://www.nosdeputes.fr/laurent-pietraszewski" TargetMode="External"/><Relationship Id="rId888" Type="http://schemas.openxmlformats.org/officeDocument/2006/relationships/hyperlink" Target="https://twitter.com/ydecourson" TargetMode="External"/><Relationship Id="rId403" Type="http://schemas.openxmlformats.org/officeDocument/2006/relationships/hyperlink" Target="http://www2.assemblee-nationale.fr/deputes/fiche/OMC_PA720512" TargetMode="External"/><Relationship Id="rId887" Type="http://schemas.openxmlformats.org/officeDocument/2006/relationships/hyperlink" Target="https://www.nosdeputes.fr/francois-cornut-gentille/csv" TargetMode="External"/><Relationship Id="rId402" Type="http://schemas.openxmlformats.org/officeDocument/2006/relationships/hyperlink" Target="https://www.nosdeputes.fr/benedicte-peyrol/csv" TargetMode="External"/><Relationship Id="rId886" Type="http://schemas.openxmlformats.org/officeDocument/2006/relationships/hyperlink" Target="https://www.nosdeputes.fr/francois-cornut-gentille" TargetMode="External"/><Relationship Id="rId401" Type="http://schemas.openxmlformats.org/officeDocument/2006/relationships/hyperlink" Target="https://www.nosdeputes.fr/benedicte-peyrol" TargetMode="External"/><Relationship Id="rId885" Type="http://schemas.openxmlformats.org/officeDocument/2006/relationships/hyperlink" Target="http://www2.assemblee-nationale.fr/deputes/fiche/OMC_PA923" TargetMode="External"/><Relationship Id="rId408" Type="http://schemas.openxmlformats.org/officeDocument/2006/relationships/hyperlink" Target="https://www.nosdeputes.fr/dominique-potier/csv" TargetMode="External"/><Relationship Id="rId407" Type="http://schemas.openxmlformats.org/officeDocument/2006/relationships/hyperlink" Target="https://www.nosdeputes.fr/dominique-potier" TargetMode="External"/><Relationship Id="rId406" Type="http://schemas.openxmlformats.org/officeDocument/2006/relationships/hyperlink" Target="http://www2.assemblee-nationale.fr/deputes/fiche/OMC_PA607553" TargetMode="External"/><Relationship Id="rId405" Type="http://schemas.openxmlformats.org/officeDocument/2006/relationships/hyperlink" Target="https://www.nosdeputes.fr/laurent-pietraszewski/csv" TargetMode="External"/><Relationship Id="rId889" Type="http://schemas.openxmlformats.org/officeDocument/2006/relationships/hyperlink" Target="http://www2.assemblee-nationale.fr/deputes/fiche/OMC_PA719194" TargetMode="External"/><Relationship Id="rId880" Type="http://schemas.openxmlformats.org/officeDocument/2006/relationships/hyperlink" Target="https://www.nosdeputes.fr/sebastien-cazenove" TargetMode="External"/><Relationship Id="rId1230" Type="http://schemas.openxmlformats.org/officeDocument/2006/relationships/hyperlink" Target="https://fr-fr.facebook.com/jeanpierre.cubertafon/" TargetMode="External"/><Relationship Id="rId400" Type="http://schemas.openxmlformats.org/officeDocument/2006/relationships/hyperlink" Target="http://www2.assemblee-nationale.fr/deputes/fiche/OMC_PA718736" TargetMode="External"/><Relationship Id="rId884" Type="http://schemas.openxmlformats.org/officeDocument/2006/relationships/hyperlink" Target="https://www.nosdeputes.fr/emilie-chalas/csv" TargetMode="External"/><Relationship Id="rId1231" Type="http://schemas.openxmlformats.org/officeDocument/2006/relationships/hyperlink" Target="http://www2.assemblee-nationale.fr/deputes/fiche/OMC_PA719266" TargetMode="External"/><Relationship Id="rId883" Type="http://schemas.openxmlformats.org/officeDocument/2006/relationships/hyperlink" Target="https://www.nosdeputes.fr/emilie-chalas" TargetMode="External"/><Relationship Id="rId1232" Type="http://schemas.openxmlformats.org/officeDocument/2006/relationships/hyperlink" Target="https://www.nosdeputes.fr/jean-pierre-cubertafon" TargetMode="External"/><Relationship Id="rId882" Type="http://schemas.openxmlformats.org/officeDocument/2006/relationships/hyperlink" Target="http://www2.assemblee-nationale.fr/deputes/fiche/OMC_PA719748" TargetMode="External"/><Relationship Id="rId1233" Type="http://schemas.openxmlformats.org/officeDocument/2006/relationships/hyperlink" Target="https://www.nosdeputes.fr/jean-pierre-cubertafon/csv" TargetMode="External"/><Relationship Id="rId881" Type="http://schemas.openxmlformats.org/officeDocument/2006/relationships/hyperlink" Target="https://www.nosdeputes.fr/sebastien-cazenove/csv" TargetMode="External"/><Relationship Id="rId1234" Type="http://schemas.openxmlformats.org/officeDocument/2006/relationships/hyperlink" Target="http://www2.assemblee-nationale.fr/deputes/fiche/OMC_PA267450" TargetMode="External"/><Relationship Id="rId1224" Type="http://schemas.openxmlformats.org/officeDocument/2006/relationships/hyperlink" Target="http://www2.assemblee-nationale.fr/deputes/fiche/OMC_PA722126" TargetMode="External"/><Relationship Id="rId1225" Type="http://schemas.openxmlformats.org/officeDocument/2006/relationships/hyperlink" Target="https://www.nosdeputes.fr/guillaume-chiche" TargetMode="External"/><Relationship Id="rId1226" Type="http://schemas.openxmlformats.org/officeDocument/2006/relationships/hyperlink" Target="https://www.nosdeputes.fr/guillaume-chiche/csv" TargetMode="External"/><Relationship Id="rId1227" Type="http://schemas.openxmlformats.org/officeDocument/2006/relationships/hyperlink" Target="http://www2.assemblee-nationale.fr/deputes/fiche/OMC_PA719814" TargetMode="External"/><Relationship Id="rId1228" Type="http://schemas.openxmlformats.org/officeDocument/2006/relationships/hyperlink" Target="https://www.nosdeputes.fr/fabienne-colboc" TargetMode="External"/><Relationship Id="rId1229" Type="http://schemas.openxmlformats.org/officeDocument/2006/relationships/hyperlink" Target="https://www.nosdeputes.fr/fabienne-colboc/csv" TargetMode="External"/><Relationship Id="rId877" Type="http://schemas.openxmlformats.org/officeDocument/2006/relationships/hyperlink" Target="https://www.nosdeputes.fr/guy-bricout" TargetMode="External"/><Relationship Id="rId876" Type="http://schemas.openxmlformats.org/officeDocument/2006/relationships/hyperlink" Target="http://www2.assemblee-nationale.fr/deputes/fiche/OMC_PA267766" TargetMode="External"/><Relationship Id="rId875" Type="http://schemas.openxmlformats.org/officeDocument/2006/relationships/hyperlink" Target="https://www.nosdeputes.fr/bertrand-bouyx/csv" TargetMode="External"/><Relationship Id="rId874" Type="http://schemas.openxmlformats.org/officeDocument/2006/relationships/hyperlink" Target="https://www.nosdeputes.fr/bertrand-bouyx" TargetMode="External"/><Relationship Id="rId879" Type="http://schemas.openxmlformats.org/officeDocument/2006/relationships/hyperlink" Target="http://www2.assemblee-nationale.fr/deputes/fiche/OMC_PA720814" TargetMode="External"/><Relationship Id="rId878" Type="http://schemas.openxmlformats.org/officeDocument/2006/relationships/hyperlink" Target="https://www.nosdeputes.fr/guy-bricout/csv" TargetMode="External"/><Relationship Id="rId873" Type="http://schemas.openxmlformats.org/officeDocument/2006/relationships/hyperlink" Target="http://www2.assemblee-nationale.fr/deputes/fiche/OMC_PA719032" TargetMode="External"/><Relationship Id="rId1220" Type="http://schemas.openxmlformats.org/officeDocument/2006/relationships/hyperlink" Target="https://www.nosdeputes.fr/blandine-brocard/csv" TargetMode="External"/><Relationship Id="rId872" Type="http://schemas.openxmlformats.org/officeDocument/2006/relationships/hyperlink" Target="https://www.nosdeputes.fr/eric-bothorel/csv" TargetMode="External"/><Relationship Id="rId1221" Type="http://schemas.openxmlformats.org/officeDocument/2006/relationships/hyperlink" Target="http://www2.assemblee-nationale.fr/deputes/fiche/OMC_PA767" TargetMode="External"/><Relationship Id="rId871" Type="http://schemas.openxmlformats.org/officeDocument/2006/relationships/hyperlink" Target="https://www.nosdeputes.fr/eric-bothorel" TargetMode="External"/><Relationship Id="rId1222" Type="http://schemas.openxmlformats.org/officeDocument/2006/relationships/hyperlink" Target="https://www.nosdeputes.fr/jacques-cattin" TargetMode="External"/><Relationship Id="rId870" Type="http://schemas.openxmlformats.org/officeDocument/2006/relationships/hyperlink" Target="http://www2.assemblee-nationale.fr/deputes/fiche/OMC_PA642695" TargetMode="External"/><Relationship Id="rId1223" Type="http://schemas.openxmlformats.org/officeDocument/2006/relationships/hyperlink" Target="https://www.nosdeputes.fr/jacques-cattin/csv" TargetMode="External"/><Relationship Id="rId1653" Type="http://schemas.openxmlformats.org/officeDocument/2006/relationships/hyperlink" Target="https://www.nosdeputes.fr/amal-amelia-lakrafi/csv" TargetMode="External"/><Relationship Id="rId1654" Type="http://schemas.openxmlformats.org/officeDocument/2006/relationships/hyperlink" Target="http://www2.assemblee-nationale.fr/deputes/fiche/OMC_PA721094" TargetMode="External"/><Relationship Id="rId1655" Type="http://schemas.openxmlformats.org/officeDocument/2006/relationships/hyperlink" Target="https://www.nosdeputes.fr/philippe-dunoyer" TargetMode="External"/><Relationship Id="rId1656" Type="http://schemas.openxmlformats.org/officeDocument/2006/relationships/hyperlink" Target="https://www.nosdeputes.fr/philippe-dunoyer/csv" TargetMode="External"/><Relationship Id="rId1657" Type="http://schemas.openxmlformats.org/officeDocument/2006/relationships/hyperlink" Target="http://www2.assemblee-nationale.fr/deputes/fiche/OMC_PA702052" TargetMode="External"/><Relationship Id="rId1658" Type="http://schemas.openxmlformats.org/officeDocument/2006/relationships/hyperlink" Target="https://www.nosdeputes.fr/maina-sage" TargetMode="External"/><Relationship Id="rId1659" Type="http://schemas.openxmlformats.org/officeDocument/2006/relationships/hyperlink" Target="https://www.nosdeputes.fr/maina-sage/csv" TargetMode="External"/><Relationship Id="rId829" Type="http://schemas.openxmlformats.org/officeDocument/2006/relationships/hyperlink" Target="https://www.nosdeputes.fr/agnes-thill" TargetMode="External"/><Relationship Id="rId828" Type="http://schemas.openxmlformats.org/officeDocument/2006/relationships/hyperlink" Target="http://www2.assemblee-nationale.fr/deputes/fiche/OMC_PA720568" TargetMode="External"/><Relationship Id="rId827" Type="http://schemas.openxmlformats.org/officeDocument/2006/relationships/hyperlink" Target="https://twitter.com/ThillAgnes" TargetMode="External"/><Relationship Id="rId822" Type="http://schemas.openxmlformats.org/officeDocument/2006/relationships/hyperlink" Target="https://www.nosdeputes.fr/pacome-rupin" TargetMode="External"/><Relationship Id="rId821" Type="http://schemas.openxmlformats.org/officeDocument/2006/relationships/hyperlink" Target="http://www2.assemblee-nationale.fr/deputes/fiche/OMC_PA721616" TargetMode="External"/><Relationship Id="rId820" Type="http://schemas.openxmlformats.org/officeDocument/2006/relationships/hyperlink" Target="https://www.nosdeputes.fr/francois-ruffin/csv" TargetMode="External"/><Relationship Id="rId826" Type="http://schemas.openxmlformats.org/officeDocument/2006/relationships/hyperlink" Target="https://www.nosdeputes.fr/jean-terlier/csv" TargetMode="External"/><Relationship Id="rId825" Type="http://schemas.openxmlformats.org/officeDocument/2006/relationships/hyperlink" Target="https://www.nosdeputes.fr/jean-terlier" TargetMode="External"/><Relationship Id="rId824" Type="http://schemas.openxmlformats.org/officeDocument/2006/relationships/hyperlink" Target="http://www2.assemblee-nationale.fr/deputes/fiche/OMC_PA721584" TargetMode="External"/><Relationship Id="rId823" Type="http://schemas.openxmlformats.org/officeDocument/2006/relationships/hyperlink" Target="https://www.nosdeputes.fr/pacome-rupin/csv" TargetMode="External"/><Relationship Id="rId1650" Type="http://schemas.openxmlformats.org/officeDocument/2006/relationships/hyperlink" Target="https://www.nosdeputes.fr/bernard-reynes/csv" TargetMode="External"/><Relationship Id="rId1651" Type="http://schemas.openxmlformats.org/officeDocument/2006/relationships/hyperlink" Target="http://www2.assemblee-nationale.fr/deputes/fiche/OMC_PA721004" TargetMode="External"/><Relationship Id="rId1652" Type="http://schemas.openxmlformats.org/officeDocument/2006/relationships/hyperlink" Target="https://www.nosdeputes.fr/amal-amelia-lakrafi" TargetMode="External"/><Relationship Id="rId1642" Type="http://schemas.openxmlformats.org/officeDocument/2006/relationships/hyperlink" Target="http://www2.assemblee-nationale.fr/deputes/fiche/OMC_PA718978" TargetMode="External"/><Relationship Id="rId1643" Type="http://schemas.openxmlformats.org/officeDocument/2006/relationships/hyperlink" Target="https://www.nosdeputes.fr/mohamed-laqhila" TargetMode="External"/><Relationship Id="rId1644" Type="http://schemas.openxmlformats.org/officeDocument/2006/relationships/hyperlink" Target="https://www.nosdeputes.fr/mohamed-laqhila/csv" TargetMode="External"/><Relationship Id="rId1645" Type="http://schemas.openxmlformats.org/officeDocument/2006/relationships/hyperlink" Target="http://www2.assemblee-nationale.fr/deputes/fiche/OMC_PA2150" TargetMode="External"/><Relationship Id="rId1646" Type="http://schemas.openxmlformats.org/officeDocument/2006/relationships/hyperlink" Target="https://www.nosdeputes.fr/jean-luc-melenchon" TargetMode="External"/><Relationship Id="rId1647" Type="http://schemas.openxmlformats.org/officeDocument/2006/relationships/hyperlink" Target="https://www.nosdeputes.fr/jean-luc-melenchon/csv" TargetMode="External"/><Relationship Id="rId1648" Type="http://schemas.openxmlformats.org/officeDocument/2006/relationships/hyperlink" Target="http://www2.assemblee-nationale.fr/deputes/fiche/OMC_PA330788" TargetMode="External"/><Relationship Id="rId1649" Type="http://schemas.openxmlformats.org/officeDocument/2006/relationships/hyperlink" Target="https://www.nosdeputes.fr/bernard-reynes" TargetMode="External"/><Relationship Id="rId819" Type="http://schemas.openxmlformats.org/officeDocument/2006/relationships/hyperlink" Target="https://www.nosdeputes.fr/francois-ruffin" TargetMode="External"/><Relationship Id="rId818" Type="http://schemas.openxmlformats.org/officeDocument/2006/relationships/hyperlink" Target="http://www2.assemblee-nationale.fr/deputes/fiche/OMC_PA722142" TargetMode="External"/><Relationship Id="rId817" Type="http://schemas.openxmlformats.org/officeDocument/2006/relationships/hyperlink" Target="https://www.nosdeputes.fr/cedric-roussel/csv" TargetMode="External"/><Relationship Id="rId816" Type="http://schemas.openxmlformats.org/officeDocument/2006/relationships/hyperlink" Target="https://www.nosdeputes.fr/cedric-roussel" TargetMode="External"/><Relationship Id="rId811" Type="http://schemas.openxmlformats.org/officeDocument/2006/relationships/hyperlink" Target="https://www.nosdeputes.fr/marie-pierre-rixain/csv" TargetMode="External"/><Relationship Id="rId810" Type="http://schemas.openxmlformats.org/officeDocument/2006/relationships/hyperlink" Target="https://www.nosdeputes.fr/marie-pierre-rixain" TargetMode="External"/><Relationship Id="rId815" Type="http://schemas.openxmlformats.org/officeDocument/2006/relationships/hyperlink" Target="http://www2.assemblee-nationale.fr/deputes/fiche/OMC_PA718902" TargetMode="External"/><Relationship Id="rId814" Type="http://schemas.openxmlformats.org/officeDocument/2006/relationships/hyperlink" Target="https://www.nosdeputes.fr/laetitia-romeiro-dias/csv" TargetMode="External"/><Relationship Id="rId813" Type="http://schemas.openxmlformats.org/officeDocument/2006/relationships/hyperlink" Target="https://www.nosdeputes.fr/laetitia-romeiro-dias" TargetMode="External"/><Relationship Id="rId812" Type="http://schemas.openxmlformats.org/officeDocument/2006/relationships/hyperlink" Target="http://www2.assemblee-nationale.fr/deputes/fiche/OMC_PA722022" TargetMode="External"/><Relationship Id="rId1640" Type="http://schemas.openxmlformats.org/officeDocument/2006/relationships/hyperlink" Target="https://www.nosdeputes.fr/boris-vallaud" TargetMode="External"/><Relationship Id="rId1641" Type="http://schemas.openxmlformats.org/officeDocument/2006/relationships/hyperlink" Target="https://www.nosdeputes.fr/boris-vallaud/csv" TargetMode="External"/><Relationship Id="rId1675" Type="http://schemas.openxmlformats.org/officeDocument/2006/relationships/hyperlink" Target="https://www.nosdeputes.fr/ericka-bareigts" TargetMode="External"/><Relationship Id="rId1676" Type="http://schemas.openxmlformats.org/officeDocument/2006/relationships/hyperlink" Target="https://www.nosdeputes.fr/ericka-bareigts/csv" TargetMode="External"/><Relationship Id="rId1677" Type="http://schemas.openxmlformats.org/officeDocument/2006/relationships/hyperlink" Target="http://www2.assemblee-nationale.fr/deputes/fiche/OMC_PA721070" TargetMode="External"/><Relationship Id="rId1678" Type="http://schemas.openxmlformats.org/officeDocument/2006/relationships/hyperlink" Target="https://www.nosdeputes.fr/nadia-ramassamy" TargetMode="External"/><Relationship Id="rId1679" Type="http://schemas.openxmlformats.org/officeDocument/2006/relationships/hyperlink" Target="https://www.nosdeputes.fr/nadia-ramassamy/csv" TargetMode="External"/><Relationship Id="rId849" Type="http://schemas.openxmlformats.org/officeDocument/2006/relationships/hyperlink" Target="http://www2.assemblee-nationale.fr/deputes/fiche/OMC_PA720256" TargetMode="External"/><Relationship Id="rId844" Type="http://schemas.openxmlformats.org/officeDocument/2006/relationships/hyperlink" Target="https://www.nosdeputes.fr/christophe-arend" TargetMode="External"/><Relationship Id="rId843" Type="http://schemas.openxmlformats.org/officeDocument/2006/relationships/hyperlink" Target="http://www2.assemblee-nationale.fr/deputes/fiche/OMC_PA720310" TargetMode="External"/><Relationship Id="rId842" Type="http://schemas.openxmlformats.org/officeDocument/2006/relationships/hyperlink" Target="https://www.nosdeputes.fr/louis-aliot/csv" TargetMode="External"/><Relationship Id="rId841" Type="http://schemas.openxmlformats.org/officeDocument/2006/relationships/hyperlink" Target="https://www.nosdeputes.fr/louis-aliot" TargetMode="External"/><Relationship Id="rId848" Type="http://schemas.openxmlformats.org/officeDocument/2006/relationships/hyperlink" Target="https://www.nosdeputes.fr/gabriel-attal/csv" TargetMode="External"/><Relationship Id="rId847" Type="http://schemas.openxmlformats.org/officeDocument/2006/relationships/hyperlink" Target="https://www.nosdeputes.fr/gabriel-attal" TargetMode="External"/><Relationship Id="rId846" Type="http://schemas.openxmlformats.org/officeDocument/2006/relationships/hyperlink" Target="http://www2.assemblee-nationale.fr/deputes/fiche/OMC_PA722190" TargetMode="External"/><Relationship Id="rId845" Type="http://schemas.openxmlformats.org/officeDocument/2006/relationships/hyperlink" Target="https://www.nosdeputes.fr/christophe-arend/csv" TargetMode="External"/><Relationship Id="rId1670" Type="http://schemas.openxmlformats.org/officeDocument/2006/relationships/hyperlink" Target="https://twitter.com/JhRatenon" TargetMode="External"/><Relationship Id="rId840" Type="http://schemas.openxmlformats.org/officeDocument/2006/relationships/hyperlink" Target="http://www2.assemblee-nationale.fr/deputes/fiche/OMC_PA720798" TargetMode="External"/><Relationship Id="rId1671" Type="http://schemas.openxmlformats.org/officeDocument/2006/relationships/hyperlink" Target="http://www2.assemblee-nationale.fr/deputes/fiche/OMC_PA721062" TargetMode="External"/><Relationship Id="rId1672" Type="http://schemas.openxmlformats.org/officeDocument/2006/relationships/hyperlink" Target="https://www.nosdeputes.fr/jean-hugues-ratenon" TargetMode="External"/><Relationship Id="rId1673" Type="http://schemas.openxmlformats.org/officeDocument/2006/relationships/hyperlink" Target="https://www.nosdeputes.fr/jean-hugues-ratenon/csv" TargetMode="External"/><Relationship Id="rId1674" Type="http://schemas.openxmlformats.org/officeDocument/2006/relationships/hyperlink" Target="http://www2.assemblee-nationale.fr/deputes/fiche/OMC_PA610681" TargetMode="External"/><Relationship Id="rId1664" Type="http://schemas.openxmlformats.org/officeDocument/2006/relationships/hyperlink" Target="http://www2.assemblee-nationale.fr/deputes/fiche/OMC_PA721110" TargetMode="External"/><Relationship Id="rId1665" Type="http://schemas.openxmlformats.org/officeDocument/2006/relationships/hyperlink" Target="https://www.nosdeputes.fr/nicole-sanquer" TargetMode="External"/><Relationship Id="rId1666" Type="http://schemas.openxmlformats.org/officeDocument/2006/relationships/hyperlink" Target="https://www.nosdeputes.fr/nicole-sanquer/csv" TargetMode="External"/><Relationship Id="rId1667" Type="http://schemas.openxmlformats.org/officeDocument/2006/relationships/hyperlink" Target="http://www2.assemblee-nationale.fr/deputes/fiche/OMC_PA718954" TargetMode="External"/><Relationship Id="rId1668" Type="http://schemas.openxmlformats.org/officeDocument/2006/relationships/hyperlink" Target="https://www.nosdeputes.fr/said-ahamada" TargetMode="External"/><Relationship Id="rId1669" Type="http://schemas.openxmlformats.org/officeDocument/2006/relationships/hyperlink" Target="https://www.nosdeputes.fr/said-ahamada/csv" TargetMode="External"/><Relationship Id="rId839" Type="http://schemas.openxmlformats.org/officeDocument/2006/relationships/hyperlink" Target="https://www.nosdeputes.fr/damien-adam/csv" TargetMode="External"/><Relationship Id="rId838" Type="http://schemas.openxmlformats.org/officeDocument/2006/relationships/hyperlink" Target="https://www.nosdeputes.fr/damien-adam" TargetMode="External"/><Relationship Id="rId833" Type="http://schemas.openxmlformats.org/officeDocument/2006/relationships/hyperlink" Target="https://www.nosdeputes.fr/laurence-trastour-isnart/csv" TargetMode="External"/><Relationship Id="rId832" Type="http://schemas.openxmlformats.org/officeDocument/2006/relationships/hyperlink" Target="https://www.nosdeputes.fr/laurence-trastour-isnart" TargetMode="External"/><Relationship Id="rId831" Type="http://schemas.openxmlformats.org/officeDocument/2006/relationships/hyperlink" Target="http://www2.assemblee-nationale.fr/deputes/fiche/OMC_PA718780" TargetMode="External"/><Relationship Id="rId830" Type="http://schemas.openxmlformats.org/officeDocument/2006/relationships/hyperlink" Target="https://www.nosdeputes.fr/agnes-thill/csv" TargetMode="External"/><Relationship Id="rId837" Type="http://schemas.openxmlformats.org/officeDocument/2006/relationships/hyperlink" Target="http://www2.assemblee-nationale.fr/deputes/fiche/OMC_PA722038" TargetMode="External"/><Relationship Id="rId836" Type="http://schemas.openxmlformats.org/officeDocument/2006/relationships/hyperlink" Target="https://www.nosdeputes.fr/guillaume-vuilletet/csv" TargetMode="External"/><Relationship Id="rId835" Type="http://schemas.openxmlformats.org/officeDocument/2006/relationships/hyperlink" Target="https://www.nosdeputes.fr/guillaume-vuilletet" TargetMode="External"/><Relationship Id="rId834" Type="http://schemas.openxmlformats.org/officeDocument/2006/relationships/hyperlink" Target="http://www2.assemblee-nationale.fr/deputes/fiche/OMC_PA721262" TargetMode="External"/><Relationship Id="rId1660" Type="http://schemas.openxmlformats.org/officeDocument/2006/relationships/hyperlink" Target="http://www2.assemblee-nationale.fr/deputes/fiche/OMC_PA721118" TargetMode="External"/><Relationship Id="rId1661" Type="http://schemas.openxmlformats.org/officeDocument/2006/relationships/hyperlink" Target="https://www.nosdeputes.fr/moetai-brotherson" TargetMode="External"/><Relationship Id="rId1662" Type="http://schemas.openxmlformats.org/officeDocument/2006/relationships/hyperlink" Target="https://www.nosdeputes.fr/moetai-brotherson/csv" TargetMode="External"/><Relationship Id="rId1663" Type="http://schemas.openxmlformats.org/officeDocument/2006/relationships/hyperlink" Target="https://fr-fr.facebook.com/nicolesanquerfareata/" TargetMode="External"/><Relationship Id="rId469" Type="http://schemas.openxmlformats.org/officeDocument/2006/relationships/hyperlink" Target="https://www.nosdeputes.fr/jean-louis-bourlanges/csv" TargetMode="External"/><Relationship Id="rId468" Type="http://schemas.openxmlformats.org/officeDocument/2006/relationships/hyperlink" Target="https://www.nosdeputes.fr/jean-louis-bourlanges" TargetMode="External"/><Relationship Id="rId467" Type="http://schemas.openxmlformats.org/officeDocument/2006/relationships/hyperlink" Target="http://www2.assemblee-nationale.fr/deputes/fiche/OMC_PA721608" TargetMode="External"/><Relationship Id="rId1290" Type="http://schemas.openxmlformats.org/officeDocument/2006/relationships/hyperlink" Target="http://www2.assemblee-nationale.fr/deputes/fiche/OMC_PA719202" TargetMode="External"/><Relationship Id="rId1291" Type="http://schemas.openxmlformats.org/officeDocument/2006/relationships/hyperlink" Target="https://www.nosdeputes.fr/didier-paris" TargetMode="External"/><Relationship Id="rId1292" Type="http://schemas.openxmlformats.org/officeDocument/2006/relationships/hyperlink" Target="https://www.nosdeputes.fr/didier-paris/csv" TargetMode="External"/><Relationship Id="rId462" Type="http://schemas.openxmlformats.org/officeDocument/2006/relationships/hyperlink" Target="https://www.nosdeputes.fr/marie-noelle-battistel" TargetMode="External"/><Relationship Id="rId1293" Type="http://schemas.openxmlformats.org/officeDocument/2006/relationships/hyperlink" Target="http://www2.assemblee-nationale.fr/deputes/fiche/OMC_PA721182" TargetMode="External"/><Relationship Id="rId461" Type="http://schemas.openxmlformats.org/officeDocument/2006/relationships/hyperlink" Target="http://www2.assemblee-nationale.fr/deputes/fiche/OMC_PA342415" TargetMode="External"/><Relationship Id="rId1294" Type="http://schemas.openxmlformats.org/officeDocument/2006/relationships/hyperlink" Target="https://www.nosdeputes.fr/frederic-petit" TargetMode="External"/><Relationship Id="rId460" Type="http://schemas.openxmlformats.org/officeDocument/2006/relationships/hyperlink" Target="https://www.nosdeputes.fr/jean-noel-barrot/csv" TargetMode="External"/><Relationship Id="rId1295" Type="http://schemas.openxmlformats.org/officeDocument/2006/relationships/hyperlink" Target="https://www.nosdeputes.fr/frederic-petit/csv" TargetMode="External"/><Relationship Id="rId1296" Type="http://schemas.openxmlformats.org/officeDocument/2006/relationships/hyperlink" Target="http://www2.assemblee-nationale.fr/deputes/fiche/OMC_PA721844" TargetMode="External"/><Relationship Id="rId466" Type="http://schemas.openxmlformats.org/officeDocument/2006/relationships/hyperlink" Target="https://www.nosdeputes.fr/philippe-bolo/csv" TargetMode="External"/><Relationship Id="rId1297" Type="http://schemas.openxmlformats.org/officeDocument/2006/relationships/hyperlink" Target="https://www.nosdeputes.fr/beatrice-piron" TargetMode="External"/><Relationship Id="rId465" Type="http://schemas.openxmlformats.org/officeDocument/2006/relationships/hyperlink" Target="https://www.nosdeputes.fr/philippe-bolo" TargetMode="External"/><Relationship Id="rId1298" Type="http://schemas.openxmlformats.org/officeDocument/2006/relationships/hyperlink" Target="https://www.nosdeputes.fr/beatrice-piron/csv" TargetMode="External"/><Relationship Id="rId464" Type="http://schemas.openxmlformats.org/officeDocument/2006/relationships/hyperlink" Target="http://www2.assemblee-nationale.fr/deputes/fiche/OMC_PA720162" TargetMode="External"/><Relationship Id="rId1299" Type="http://schemas.openxmlformats.org/officeDocument/2006/relationships/hyperlink" Target="http://www2.assemblee-nationale.fr/deputes/fiche/OMC_PA267260" TargetMode="External"/><Relationship Id="rId463" Type="http://schemas.openxmlformats.org/officeDocument/2006/relationships/hyperlink" Target="https://www.nosdeputes.fr/marie-noelle-battistel/csv" TargetMode="External"/><Relationship Id="rId459" Type="http://schemas.openxmlformats.org/officeDocument/2006/relationships/hyperlink" Target="https://www.nosdeputes.fr/jean-noel-barrot" TargetMode="External"/><Relationship Id="rId458" Type="http://schemas.openxmlformats.org/officeDocument/2006/relationships/hyperlink" Target="http://www2.assemblee-nationale.fr/deputes/fiche/OMC_PA721836" TargetMode="External"/><Relationship Id="rId457" Type="http://schemas.openxmlformats.org/officeDocument/2006/relationships/hyperlink" Target="https://www.nosdeputes.fr/clementine-autain/csv" TargetMode="External"/><Relationship Id="rId456" Type="http://schemas.openxmlformats.org/officeDocument/2006/relationships/hyperlink" Target="https://www.nosdeputes.fr/clementine-autain" TargetMode="External"/><Relationship Id="rId1280" Type="http://schemas.openxmlformats.org/officeDocument/2006/relationships/hyperlink" Target="http://www2.assemblee-nationale.fr/deputes/fiche/OMC_PA721800" TargetMode="External"/><Relationship Id="rId1281" Type="http://schemas.openxmlformats.org/officeDocument/2006/relationships/hyperlink" Target="https://www.nosdeputes.fr/fabien-matras" TargetMode="External"/><Relationship Id="rId451" Type="http://schemas.openxmlformats.org/officeDocument/2006/relationships/hyperlink" Target="https://www.nosdeputes.fr/helene-zannier/csv" TargetMode="External"/><Relationship Id="rId1282" Type="http://schemas.openxmlformats.org/officeDocument/2006/relationships/hyperlink" Target="https://www.nosdeputes.fr/fabien-matras/csv" TargetMode="External"/><Relationship Id="rId450" Type="http://schemas.openxmlformats.org/officeDocument/2006/relationships/hyperlink" Target="https://www.nosdeputes.fr/helene-zannier" TargetMode="External"/><Relationship Id="rId1283" Type="http://schemas.openxmlformats.org/officeDocument/2006/relationships/hyperlink" Target="http://www2.assemblee-nationale.fr/deputes/fiche/OMC_PA721876" TargetMode="External"/><Relationship Id="rId1284" Type="http://schemas.openxmlformats.org/officeDocument/2006/relationships/hyperlink" Target="https://www.nosdeputes.fr/adrien-morenas" TargetMode="External"/><Relationship Id="rId1285" Type="http://schemas.openxmlformats.org/officeDocument/2006/relationships/hyperlink" Target="https://www.nosdeputes.fr/adrien-morenas/csv" TargetMode="External"/><Relationship Id="rId455" Type="http://schemas.openxmlformats.org/officeDocument/2006/relationships/hyperlink" Target="http://www2.assemblee-nationale.fr/deputes/fiche/OMC_PA588884" TargetMode="External"/><Relationship Id="rId1286" Type="http://schemas.openxmlformats.org/officeDocument/2006/relationships/hyperlink" Target="http://www2.assemblee-nationale.fr/deputes/fiche/OMC_PA333421" TargetMode="External"/><Relationship Id="rId454" Type="http://schemas.openxmlformats.org/officeDocument/2006/relationships/hyperlink" Target="https://www.nosdeputes.fr/damien-abad/csv" TargetMode="External"/><Relationship Id="rId1287" Type="http://schemas.openxmlformats.org/officeDocument/2006/relationships/hyperlink" Target="https://www.nosdeputes.fr/bertrand-pancher" TargetMode="External"/><Relationship Id="rId453" Type="http://schemas.openxmlformats.org/officeDocument/2006/relationships/hyperlink" Target="https://www.nosdeputes.fr/damien-abad" TargetMode="External"/><Relationship Id="rId1288" Type="http://schemas.openxmlformats.org/officeDocument/2006/relationships/hyperlink" Target="https://www.nosdeputes.fr/bertrand-pancher/csv" TargetMode="External"/><Relationship Id="rId452" Type="http://schemas.openxmlformats.org/officeDocument/2006/relationships/hyperlink" Target="http://www2.assemblee-nationale.fr/deputes/fiche/OMC_PA605036" TargetMode="External"/><Relationship Id="rId1289" Type="http://schemas.openxmlformats.org/officeDocument/2006/relationships/hyperlink" Target="https://fr-fr.facebook.com/didierparis2017/" TargetMode="External"/><Relationship Id="rId491" Type="http://schemas.openxmlformats.org/officeDocument/2006/relationships/hyperlink" Target="https://www.nosdeputes.fr/audrey-dufeu-schubert/csv" TargetMode="External"/><Relationship Id="rId490" Type="http://schemas.openxmlformats.org/officeDocument/2006/relationships/hyperlink" Target="https://www.nosdeputes.fr/audrey-dufeu-schubert" TargetMode="External"/><Relationship Id="rId489" Type="http://schemas.openxmlformats.org/officeDocument/2006/relationships/hyperlink" Target="http://www2.assemblee-nationale.fr/deputes/fiche/OMC_PA720046" TargetMode="External"/><Relationship Id="rId484" Type="http://schemas.openxmlformats.org/officeDocument/2006/relationships/hyperlink" Target="https://www.nosdeputes.fr/vincent-descoeur" TargetMode="External"/><Relationship Id="rId483" Type="http://schemas.openxmlformats.org/officeDocument/2006/relationships/hyperlink" Target="http://www2.assemblee-nationale.fr/deputes/fiche/OMC_PA330909" TargetMode="External"/><Relationship Id="rId482" Type="http://schemas.openxmlformats.org/officeDocument/2006/relationships/hyperlink" Target="https://www.nosdeputes.fr/yves-daniel/csv" TargetMode="External"/><Relationship Id="rId481" Type="http://schemas.openxmlformats.org/officeDocument/2006/relationships/hyperlink" Target="https://www.nosdeputes.fr/yves-daniel" TargetMode="External"/><Relationship Id="rId488" Type="http://schemas.openxmlformats.org/officeDocument/2006/relationships/hyperlink" Target="https://www.nosdeputes.fr/christelle-dubos/csv" TargetMode="External"/><Relationship Id="rId487" Type="http://schemas.openxmlformats.org/officeDocument/2006/relationships/hyperlink" Target="https://www.nosdeputes.fr/christelle-dubos" TargetMode="External"/><Relationship Id="rId486" Type="http://schemas.openxmlformats.org/officeDocument/2006/relationships/hyperlink" Target="http://www2.assemblee-nationale.fr/deputes/fiche/OMC_PA719660" TargetMode="External"/><Relationship Id="rId485" Type="http://schemas.openxmlformats.org/officeDocument/2006/relationships/hyperlink" Target="https://www.nosdeputes.fr/vincent-descoeur/csv" TargetMode="External"/><Relationship Id="rId480" Type="http://schemas.openxmlformats.org/officeDocument/2006/relationships/hyperlink" Target="http://www2.assemblee-nationale.fr/deputes/fiche/OMC_PA607155" TargetMode="External"/><Relationship Id="rId479" Type="http://schemas.openxmlformats.org/officeDocument/2006/relationships/hyperlink" Target="https://www.nosdeputes.fr/anne-laure-cattelot/csv" TargetMode="External"/><Relationship Id="rId478" Type="http://schemas.openxmlformats.org/officeDocument/2006/relationships/hyperlink" Target="https://www.nosdeputes.fr/anne-laure-cattelot" TargetMode="External"/><Relationship Id="rId473" Type="http://schemas.openxmlformats.org/officeDocument/2006/relationships/hyperlink" Target="https://www.nosdeputes.fr/pascale-boyer/csv" TargetMode="External"/><Relationship Id="rId472" Type="http://schemas.openxmlformats.org/officeDocument/2006/relationships/hyperlink" Target="https://www.nosdeputes.fr/pascale-boyer" TargetMode="External"/><Relationship Id="rId471" Type="http://schemas.openxmlformats.org/officeDocument/2006/relationships/hyperlink" Target="http://www2.assemblee-nationale.fr/deputes/fiche/OMC_PA718710" TargetMode="External"/><Relationship Id="rId470" Type="http://schemas.openxmlformats.org/officeDocument/2006/relationships/hyperlink" Target="https://twitter.com/pascaleboyer05" TargetMode="External"/><Relationship Id="rId477" Type="http://schemas.openxmlformats.org/officeDocument/2006/relationships/hyperlink" Target="http://www2.assemblee-nationale.fr/deputes/fiche/OMC_PA720520" TargetMode="External"/><Relationship Id="rId476" Type="http://schemas.openxmlformats.org/officeDocument/2006/relationships/hyperlink" Target="https://www.nosdeputes.fr/vincent-bru/csv" TargetMode="External"/><Relationship Id="rId475" Type="http://schemas.openxmlformats.org/officeDocument/2006/relationships/hyperlink" Target="https://www.nosdeputes.fr/vincent-bru" TargetMode="External"/><Relationship Id="rId474" Type="http://schemas.openxmlformats.org/officeDocument/2006/relationships/hyperlink" Target="http://www2.assemblee-nationale.fr/deputes/fiche/OMC_PA720772" TargetMode="External"/><Relationship Id="rId1257" Type="http://schemas.openxmlformats.org/officeDocument/2006/relationships/hyperlink" Target="http://www2.assemblee-nationale.fr/deputes/fiche/OMC_PA331567" TargetMode="External"/><Relationship Id="rId1258" Type="http://schemas.openxmlformats.org/officeDocument/2006/relationships/hyperlink" Target="https://www.nosdeputes.fr/laure-de-la-raudiere" TargetMode="External"/><Relationship Id="rId1259" Type="http://schemas.openxmlformats.org/officeDocument/2006/relationships/hyperlink" Target="https://www.nosdeputes.fr/laure-de-la-raudiere/csv" TargetMode="External"/><Relationship Id="rId426" Type="http://schemas.openxmlformats.org/officeDocument/2006/relationships/hyperlink" Target="https://www.nosdeputes.fr/xavier-roseren/csv" TargetMode="External"/><Relationship Id="rId425" Type="http://schemas.openxmlformats.org/officeDocument/2006/relationships/hyperlink" Target="https://www.nosdeputes.fr/xavier-roseren" TargetMode="External"/><Relationship Id="rId424" Type="http://schemas.openxmlformats.org/officeDocument/2006/relationships/hyperlink" Target="http://www2.assemblee-nationale.fr/deputes/fiche/OMC_PA721458" TargetMode="External"/><Relationship Id="rId423" Type="http://schemas.openxmlformats.org/officeDocument/2006/relationships/hyperlink" Target="https://www.nosdeputes.fr/mireille-robert/csv" TargetMode="External"/><Relationship Id="rId429" Type="http://schemas.openxmlformats.org/officeDocument/2006/relationships/hyperlink" Target="https://www.nosdeputes.fr/sabine-rubin/csv" TargetMode="External"/><Relationship Id="rId428" Type="http://schemas.openxmlformats.org/officeDocument/2006/relationships/hyperlink" Target="https://www.nosdeputes.fr/sabine-rubin" TargetMode="External"/><Relationship Id="rId427" Type="http://schemas.openxmlformats.org/officeDocument/2006/relationships/hyperlink" Target="http://www2.assemblee-nationale.fr/deputes/fiche/OMC_PA721226" TargetMode="External"/><Relationship Id="rId1250" Type="http://schemas.openxmlformats.org/officeDocument/2006/relationships/hyperlink" Target="http://www2.assemblee-nationale.fr/deputes/fiche/OMC_PA333285" TargetMode="External"/><Relationship Id="rId1251" Type="http://schemas.openxmlformats.org/officeDocument/2006/relationships/hyperlink" Target="https://www.nosdeputes.fr/guillaume-garot" TargetMode="External"/><Relationship Id="rId1252" Type="http://schemas.openxmlformats.org/officeDocument/2006/relationships/hyperlink" Target="https://www.nosdeputes.fr/guillaume-garot/csv" TargetMode="External"/><Relationship Id="rId422" Type="http://schemas.openxmlformats.org/officeDocument/2006/relationships/hyperlink" Target="https://www.nosdeputes.fr/mireille-robert" TargetMode="External"/><Relationship Id="rId1253" Type="http://schemas.openxmlformats.org/officeDocument/2006/relationships/hyperlink" Target="https://twitter.com/severine_gipson" TargetMode="External"/><Relationship Id="rId421" Type="http://schemas.openxmlformats.org/officeDocument/2006/relationships/hyperlink" Target="http://www2.assemblee-nationale.fr/deputes/fiche/OMC_PA718810" TargetMode="External"/><Relationship Id="rId1254" Type="http://schemas.openxmlformats.org/officeDocument/2006/relationships/hyperlink" Target="http://www2.assemblee-nationale.fr/deputes/fiche/OMC_PA719326" TargetMode="External"/><Relationship Id="rId420" Type="http://schemas.openxmlformats.org/officeDocument/2006/relationships/hyperlink" Target="https://www.nosdeputes.fr/veronique-riotton/csv" TargetMode="External"/><Relationship Id="rId1255" Type="http://schemas.openxmlformats.org/officeDocument/2006/relationships/hyperlink" Target="https://www.nosdeputes.fr/severine-gipson" TargetMode="External"/><Relationship Id="rId1256" Type="http://schemas.openxmlformats.org/officeDocument/2006/relationships/hyperlink" Target="https://www.nosdeputes.fr/severine-gipson/csv" TargetMode="External"/><Relationship Id="rId1246" Type="http://schemas.openxmlformats.org/officeDocument/2006/relationships/hyperlink" Target="https://www.nosdeputes.fr/yannick-favennec-becot/csv" TargetMode="External"/><Relationship Id="rId1247" Type="http://schemas.openxmlformats.org/officeDocument/2006/relationships/hyperlink" Target="http://www2.assemblee-nationale.fr/deputes/fiche/OMC_PA643103" TargetMode="External"/><Relationship Id="rId1248" Type="http://schemas.openxmlformats.org/officeDocument/2006/relationships/hyperlink" Target="https://www.nosdeputes.fr/jean-jacques-ferrara" TargetMode="External"/><Relationship Id="rId1249" Type="http://schemas.openxmlformats.org/officeDocument/2006/relationships/hyperlink" Target="https://www.nosdeputes.fr/jean-jacques-ferrara/csv" TargetMode="External"/><Relationship Id="rId415" Type="http://schemas.openxmlformats.org/officeDocument/2006/relationships/hyperlink" Target="http://www2.assemblee-nationale.fr/deputes/fiche/OMC_PA720422" TargetMode="External"/><Relationship Id="rId899" Type="http://schemas.openxmlformats.org/officeDocument/2006/relationships/hyperlink" Target="https://www.nosdeputes.fr/olivier-falorni" TargetMode="External"/><Relationship Id="rId414" Type="http://schemas.openxmlformats.org/officeDocument/2006/relationships/hyperlink" Target="https://www.nosdeputes.fr/loic-prud-homme/csv" TargetMode="External"/><Relationship Id="rId898" Type="http://schemas.openxmlformats.org/officeDocument/2006/relationships/hyperlink" Target="http://www2.assemblee-nationale.fr/deputes/fiche/OMC_PA605694" TargetMode="External"/><Relationship Id="rId413" Type="http://schemas.openxmlformats.org/officeDocument/2006/relationships/hyperlink" Target="https://www.nosdeputes.fr/loic-prud-homme" TargetMode="External"/><Relationship Id="rId897" Type="http://schemas.openxmlformats.org/officeDocument/2006/relationships/hyperlink" Target="https://www.nosdeputes.fr/jean-francois-eliaou/csv" TargetMode="External"/><Relationship Id="rId412" Type="http://schemas.openxmlformats.org/officeDocument/2006/relationships/hyperlink" Target="http://www2.assemblee-nationale.fr/deputes/fiche/OMC_PA719578" TargetMode="External"/><Relationship Id="rId896" Type="http://schemas.openxmlformats.org/officeDocument/2006/relationships/hyperlink" Target="https://www.nosdeputes.fr/jean-francois-eliaou" TargetMode="External"/><Relationship Id="rId419" Type="http://schemas.openxmlformats.org/officeDocument/2006/relationships/hyperlink" Target="https://www.nosdeputes.fr/veronique-riotton" TargetMode="External"/><Relationship Id="rId418" Type="http://schemas.openxmlformats.org/officeDocument/2006/relationships/hyperlink" Target="http://www2.assemblee-nationale.fr/deputes/fiche/OMC_PA721426" TargetMode="External"/><Relationship Id="rId417" Type="http://schemas.openxmlformats.org/officeDocument/2006/relationships/hyperlink" Target="https://www.nosdeputes.fr/adrien-quatennens/csv" TargetMode="External"/><Relationship Id="rId416" Type="http://schemas.openxmlformats.org/officeDocument/2006/relationships/hyperlink" Target="https://www.nosdeputes.fr/adrien-quatennens" TargetMode="External"/><Relationship Id="rId891" Type="http://schemas.openxmlformats.org/officeDocument/2006/relationships/hyperlink" Target="https://www.nosdeputes.fr/yolaine-de-courson/csv" TargetMode="External"/><Relationship Id="rId890" Type="http://schemas.openxmlformats.org/officeDocument/2006/relationships/hyperlink" Target="https://www.nosdeputes.fr/yolaine-de-courson" TargetMode="External"/><Relationship Id="rId1240" Type="http://schemas.openxmlformats.org/officeDocument/2006/relationships/hyperlink" Target="https://www.nosdeputes.fr/christophe-di-pompeo/csv" TargetMode="External"/><Relationship Id="rId1241" Type="http://schemas.openxmlformats.org/officeDocument/2006/relationships/hyperlink" Target="http://www2.assemblee-nationale.fr/deputes/fiche/OMC_PA609332" TargetMode="External"/><Relationship Id="rId411" Type="http://schemas.openxmlformats.org/officeDocument/2006/relationships/hyperlink" Target="https://www.nosdeputes.fr/natalia-pouzyreff/csv" TargetMode="External"/><Relationship Id="rId895" Type="http://schemas.openxmlformats.org/officeDocument/2006/relationships/hyperlink" Target="http://www2.assemblee-nationale.fr/deputes/fiche/OMC_PA719692" TargetMode="External"/><Relationship Id="rId1242" Type="http://schemas.openxmlformats.org/officeDocument/2006/relationships/hyperlink" Target="https://www.nosdeputes.fr/olivier-faure" TargetMode="External"/><Relationship Id="rId410" Type="http://schemas.openxmlformats.org/officeDocument/2006/relationships/hyperlink" Target="https://www.nosdeputes.fr/natalia-pouzyreff" TargetMode="External"/><Relationship Id="rId894" Type="http://schemas.openxmlformats.org/officeDocument/2006/relationships/hyperlink" Target="https://www.nosdeputes.fr/frederic-descrozaille/csv" TargetMode="External"/><Relationship Id="rId1243" Type="http://schemas.openxmlformats.org/officeDocument/2006/relationships/hyperlink" Target="https://www.nosdeputes.fr/olivier-faure/csv" TargetMode="External"/><Relationship Id="rId893" Type="http://schemas.openxmlformats.org/officeDocument/2006/relationships/hyperlink" Target="https://www.nosdeputes.fr/frederic-descrozaille" TargetMode="External"/><Relationship Id="rId1244" Type="http://schemas.openxmlformats.org/officeDocument/2006/relationships/hyperlink" Target="http://www2.assemblee-nationale.fr/deputes/fiche/OMC_PA267042" TargetMode="External"/><Relationship Id="rId892" Type="http://schemas.openxmlformats.org/officeDocument/2006/relationships/hyperlink" Target="http://www2.assemblee-nationale.fr/deputes/fiche/OMC_PA720862" TargetMode="External"/><Relationship Id="rId1245" Type="http://schemas.openxmlformats.org/officeDocument/2006/relationships/hyperlink" Target="https://www.nosdeputes.fr/yannick-favennec-becot" TargetMode="External"/><Relationship Id="rId1279" Type="http://schemas.openxmlformats.org/officeDocument/2006/relationships/hyperlink" Target="https://www.nosdeputes.fr/sandra-marsaud/csv" TargetMode="External"/><Relationship Id="rId448" Type="http://schemas.openxmlformats.org/officeDocument/2006/relationships/hyperlink" Target="https://www.nosdeputes.fr/stephane-viry/csv" TargetMode="External"/><Relationship Id="rId447" Type="http://schemas.openxmlformats.org/officeDocument/2006/relationships/hyperlink" Target="https://www.nosdeputes.fr/stephane-viry" TargetMode="External"/><Relationship Id="rId446" Type="http://schemas.openxmlformats.org/officeDocument/2006/relationships/hyperlink" Target="http://www2.assemblee-nationale.fr/deputes/fiche/OMC_PA721474" TargetMode="External"/><Relationship Id="rId445" Type="http://schemas.openxmlformats.org/officeDocument/2006/relationships/hyperlink" Target="https://www.nosdeputes.fr/michele-de-vaucouleurs/csv" TargetMode="External"/><Relationship Id="rId449" Type="http://schemas.openxmlformats.org/officeDocument/2006/relationships/hyperlink" Target="http://www2.assemblee-nationale.fr/deputes/fiche/OMC_PA720318" TargetMode="External"/><Relationship Id="rId1270" Type="http://schemas.openxmlformats.org/officeDocument/2006/relationships/hyperlink" Target="https://www.nosdeputes.fr/christophe-lejeune/csv" TargetMode="External"/><Relationship Id="rId440" Type="http://schemas.openxmlformats.org/officeDocument/2006/relationships/hyperlink" Target="http://www2.assemblee-nationale.fr/deputes/fiche/OMC_PA643134" TargetMode="External"/><Relationship Id="rId1271" Type="http://schemas.openxmlformats.org/officeDocument/2006/relationships/hyperlink" Target="http://www2.assemblee-nationale.fr/deputes/fiche/OMC_PA721450" TargetMode="External"/><Relationship Id="rId1272" Type="http://schemas.openxmlformats.org/officeDocument/2006/relationships/hyperlink" Target="https://www.nosdeputes.fr/marion-lenne" TargetMode="External"/><Relationship Id="rId1273" Type="http://schemas.openxmlformats.org/officeDocument/2006/relationships/hyperlink" Target="https://www.nosdeputes.fr/marion-lenne/csv" TargetMode="External"/><Relationship Id="rId1274" Type="http://schemas.openxmlformats.org/officeDocument/2006/relationships/hyperlink" Target="http://www2.assemblee-nationale.fr/deputes/fiche/OMC_PA720446" TargetMode="External"/><Relationship Id="rId444" Type="http://schemas.openxmlformats.org/officeDocument/2006/relationships/hyperlink" Target="https://www.nosdeputes.fr/michele-de-vaucouleurs" TargetMode="External"/><Relationship Id="rId1275" Type="http://schemas.openxmlformats.org/officeDocument/2006/relationships/hyperlink" Target="https://www.nosdeputes.fr/brigitte-liso" TargetMode="External"/><Relationship Id="rId443" Type="http://schemas.openxmlformats.org/officeDocument/2006/relationships/hyperlink" Target="http://www2.assemblee-nationale.fr/deputes/fiche/OMC_PA721924" TargetMode="External"/><Relationship Id="rId1276" Type="http://schemas.openxmlformats.org/officeDocument/2006/relationships/hyperlink" Target="https://www.nosdeputes.fr/brigitte-liso/csv" TargetMode="External"/><Relationship Id="rId442" Type="http://schemas.openxmlformats.org/officeDocument/2006/relationships/hyperlink" Target="https://www.nosdeputes.fr/isabelle-valentin/csv" TargetMode="External"/><Relationship Id="rId1277" Type="http://schemas.openxmlformats.org/officeDocument/2006/relationships/hyperlink" Target="http://www2.assemblee-nationale.fr/deputes/fiche/OMC_PA719080" TargetMode="External"/><Relationship Id="rId441" Type="http://schemas.openxmlformats.org/officeDocument/2006/relationships/hyperlink" Target="https://www.nosdeputes.fr/isabelle-valentin" TargetMode="External"/><Relationship Id="rId1278" Type="http://schemas.openxmlformats.org/officeDocument/2006/relationships/hyperlink" Target="https://www.nosdeputes.fr/sandra-marsaud" TargetMode="External"/><Relationship Id="rId1268" Type="http://schemas.openxmlformats.org/officeDocument/2006/relationships/hyperlink" Target="http://www2.assemblee-nationale.fr/deputes/fiche/OMC_PA722320" TargetMode="External"/><Relationship Id="rId1269" Type="http://schemas.openxmlformats.org/officeDocument/2006/relationships/hyperlink" Target="https://www.nosdeputes.fr/christophe-lejeune" TargetMode="External"/><Relationship Id="rId437" Type="http://schemas.openxmlformats.org/officeDocument/2006/relationships/hyperlink" Target="https://www.nosdeputes.fr/vincent-thiebaut" TargetMode="External"/><Relationship Id="rId436" Type="http://schemas.openxmlformats.org/officeDocument/2006/relationships/hyperlink" Target="http://www2.assemblee-nationale.fr/deputes/fiche/OMC_PA722336" TargetMode="External"/><Relationship Id="rId435" Type="http://schemas.openxmlformats.org/officeDocument/2006/relationships/hyperlink" Target="https://www.nosdeputes.fr/eric-straumann/csv" TargetMode="External"/><Relationship Id="rId434" Type="http://schemas.openxmlformats.org/officeDocument/2006/relationships/hyperlink" Target="https://www.nosdeputes.fr/eric-straumann" TargetMode="External"/><Relationship Id="rId439" Type="http://schemas.openxmlformats.org/officeDocument/2006/relationships/hyperlink" Target="https://twitter.com/isavalentin43" TargetMode="External"/><Relationship Id="rId438" Type="http://schemas.openxmlformats.org/officeDocument/2006/relationships/hyperlink" Target="https://www.nosdeputes.fr/vincent-thiebaut/csv" TargetMode="External"/><Relationship Id="rId1260" Type="http://schemas.openxmlformats.org/officeDocument/2006/relationships/hyperlink" Target="http://www2.assemblee-nationale.fr/deputes/fiche/OMC_PA1838" TargetMode="External"/><Relationship Id="rId1261" Type="http://schemas.openxmlformats.org/officeDocument/2006/relationships/hyperlink" Target="https://www.nosdeputes.fr/jean-lassalle" TargetMode="External"/><Relationship Id="rId1262" Type="http://schemas.openxmlformats.org/officeDocument/2006/relationships/hyperlink" Target="https://www.nosdeputes.fr/jean-lassalle/csv" TargetMode="External"/><Relationship Id="rId1263" Type="http://schemas.openxmlformats.org/officeDocument/2006/relationships/hyperlink" Target="http://www.florence-lasserre-david.fr" TargetMode="External"/><Relationship Id="rId433" Type="http://schemas.openxmlformats.org/officeDocument/2006/relationships/hyperlink" Target="http://www2.assemblee-nationale.fr/deputes/fiche/OMC_PA334654" TargetMode="External"/><Relationship Id="rId1264" Type="http://schemas.openxmlformats.org/officeDocument/2006/relationships/hyperlink" Target="http://www2.assemblee-nationale.fr/deputes/fiche/OMC_PA720764" TargetMode="External"/><Relationship Id="rId432" Type="http://schemas.openxmlformats.org/officeDocument/2006/relationships/hyperlink" Target="https://www.nosdeputes.fr/francois-de-rugy/csv" TargetMode="External"/><Relationship Id="rId1265" Type="http://schemas.openxmlformats.org/officeDocument/2006/relationships/hyperlink" Target="https://www.nosdeputes.fr/florence-lasserre-david" TargetMode="External"/><Relationship Id="rId431" Type="http://schemas.openxmlformats.org/officeDocument/2006/relationships/hyperlink" Target="https://www.nosdeputes.fr/francois-de-rugy" TargetMode="External"/><Relationship Id="rId1266" Type="http://schemas.openxmlformats.org/officeDocument/2006/relationships/hyperlink" Target="https://www.nosdeputes.fr/florence-lasserre-david/csv" TargetMode="External"/><Relationship Id="rId430" Type="http://schemas.openxmlformats.org/officeDocument/2006/relationships/hyperlink" Target="http://www2.assemblee-nationale.fr/deputes/fiche/OMC_PA332747" TargetMode="External"/><Relationship Id="rId1267" Type="http://schemas.openxmlformats.org/officeDocument/2006/relationships/hyperlink" Target="http://www.christophe-lejeune-depute.f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2.assemblee-nationale.fr/deputes/fiche/OMC_PA721174" TargetMode="External"/><Relationship Id="rId2" Type="http://schemas.openxmlformats.org/officeDocument/2006/relationships/hyperlink" Target="https://www.nosdeputes.fr/joachim-son-forget" TargetMode="External"/><Relationship Id="rId3" Type="http://schemas.openxmlformats.org/officeDocument/2006/relationships/hyperlink" Target="https://www.nosdeputes.fr/joachim-son-forget/csv" TargetMode="External"/><Relationship Id="rId4" Type="http://schemas.openxmlformats.org/officeDocument/2006/relationships/hyperlink" Target="http://www2.assemblee-nationale.fr/deputes/fiche/OMC_PA721134" TargetMode="External"/><Relationship Id="rId9" Type="http://schemas.openxmlformats.org/officeDocument/2006/relationships/hyperlink" Target="https://www.nosdeputes.fr/pieyre-alexandre-anglade/csv" TargetMode="External"/><Relationship Id="rId5" Type="http://schemas.openxmlformats.org/officeDocument/2006/relationships/hyperlink" Target="https://www.nosdeputes.fr/roland-lescure" TargetMode="External"/><Relationship Id="rId6" Type="http://schemas.openxmlformats.org/officeDocument/2006/relationships/hyperlink" Target="https://www.nosdeputes.fr/roland-lescure/csv" TargetMode="External"/><Relationship Id="rId7" Type="http://schemas.openxmlformats.org/officeDocument/2006/relationships/hyperlink" Target="http://www2.assemblee-nationale.fr/deputes/fiche/OMC_PA721158" TargetMode="External"/><Relationship Id="rId8" Type="http://schemas.openxmlformats.org/officeDocument/2006/relationships/hyperlink" Target="https://www.nosdeputes.fr/pieyre-alexandre-anglade" TargetMode="External"/><Relationship Id="rId31" Type="http://schemas.openxmlformats.org/officeDocument/2006/relationships/drawing" Target="../drawings/drawing4.xml"/><Relationship Id="rId30" Type="http://schemas.openxmlformats.org/officeDocument/2006/relationships/hyperlink" Target="https://www.nosdeputes.fr/alexandre-holroyd/csv" TargetMode="External"/><Relationship Id="rId20" Type="http://schemas.openxmlformats.org/officeDocument/2006/relationships/hyperlink" Target="https://www.nosdeputes.fr/meyer-habib" TargetMode="External"/><Relationship Id="rId22" Type="http://schemas.openxmlformats.org/officeDocument/2006/relationships/hyperlink" Target="http://www2.assemblee-nationale.fr/deputes/fiche/OMC_PA720996" TargetMode="External"/><Relationship Id="rId21" Type="http://schemas.openxmlformats.org/officeDocument/2006/relationships/hyperlink" Target="https://www.nosdeputes.fr/meyer-habib/csv" TargetMode="External"/><Relationship Id="rId24" Type="http://schemas.openxmlformats.org/officeDocument/2006/relationships/hyperlink" Target="https://www.nosdeputes.fr/m-jid-el-guerrab/csv" TargetMode="External"/><Relationship Id="rId23" Type="http://schemas.openxmlformats.org/officeDocument/2006/relationships/hyperlink" Target="https://www.nosdeputes.fr/m-jid-el-guerrab" TargetMode="External"/><Relationship Id="rId26" Type="http://schemas.openxmlformats.org/officeDocument/2006/relationships/hyperlink" Target="https://www.nosdeputes.fr/amal-amelia-lakrafi" TargetMode="External"/><Relationship Id="rId25" Type="http://schemas.openxmlformats.org/officeDocument/2006/relationships/hyperlink" Target="http://www2.assemblee-nationale.fr/deputes/fiche/OMC_PA721004" TargetMode="External"/><Relationship Id="rId28" Type="http://schemas.openxmlformats.org/officeDocument/2006/relationships/hyperlink" Target="http://www2.assemblee-nationale.fr/deputes/fiche/OMC_PA721150" TargetMode="External"/><Relationship Id="rId27" Type="http://schemas.openxmlformats.org/officeDocument/2006/relationships/hyperlink" Target="https://www.nosdeputes.fr/amal-amelia-lakrafi/csv" TargetMode="External"/><Relationship Id="rId29" Type="http://schemas.openxmlformats.org/officeDocument/2006/relationships/hyperlink" Target="https://www.nosdeputes.fr/alexandre-holroyd" TargetMode="External"/><Relationship Id="rId11" Type="http://schemas.openxmlformats.org/officeDocument/2006/relationships/hyperlink" Target="https://www.nosdeputes.fr/paula-forteza" TargetMode="External"/><Relationship Id="rId10" Type="http://schemas.openxmlformats.org/officeDocument/2006/relationships/hyperlink" Target="http://www2.assemblee-nationale.fr/deputes/fiche/OMC_PA721142" TargetMode="External"/><Relationship Id="rId13" Type="http://schemas.openxmlformats.org/officeDocument/2006/relationships/hyperlink" Target="http://www2.assemblee-nationale.fr/deputes/fiche/OMC_PA721182" TargetMode="External"/><Relationship Id="rId12" Type="http://schemas.openxmlformats.org/officeDocument/2006/relationships/hyperlink" Target="https://www.nosdeputes.fr/paula-forteza/csv" TargetMode="External"/><Relationship Id="rId15" Type="http://schemas.openxmlformats.org/officeDocument/2006/relationships/hyperlink" Target="https://www.nosdeputes.fr/frederic-petit/csv" TargetMode="External"/><Relationship Id="rId14" Type="http://schemas.openxmlformats.org/officeDocument/2006/relationships/hyperlink" Target="https://www.nosdeputes.fr/frederic-petit" TargetMode="External"/><Relationship Id="rId17" Type="http://schemas.openxmlformats.org/officeDocument/2006/relationships/hyperlink" Target="https://www.nosdeputes.fr/anne-genetet" TargetMode="External"/><Relationship Id="rId16" Type="http://schemas.openxmlformats.org/officeDocument/2006/relationships/hyperlink" Target="http://www2.assemblee-nationale.fr/deputes/fiche/OMC_PA721024" TargetMode="External"/><Relationship Id="rId19" Type="http://schemas.openxmlformats.org/officeDocument/2006/relationships/hyperlink" Target="http://www2.assemblee-nationale.fr/deputes/fiche/OMC_PA695100" TargetMode="External"/><Relationship Id="rId18" Type="http://schemas.openxmlformats.org/officeDocument/2006/relationships/hyperlink" Target="https://www.nosdeputes.fr/anne-genetet/csv"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2.assemblee-nationale.fr/deputes/fiche/OMC_PA719540" TargetMode="External"/><Relationship Id="rId2" Type="http://schemas.openxmlformats.org/officeDocument/2006/relationships/hyperlink" Target="https://www.nosdeputes.fr/elisabeth-toutut-picard" TargetMode="External"/><Relationship Id="rId3" Type="http://schemas.openxmlformats.org/officeDocument/2006/relationships/hyperlink" Target="https://www.nosdeputes.fr/elisabeth-toutut-picard/csv" TargetMode="External"/><Relationship Id="rId4" Type="http://schemas.openxmlformats.org/officeDocument/2006/relationships/hyperlink" Target="http://www2.assemblee-nationale.fr/deputes/fiche/OMC_PA720362" TargetMode="External"/><Relationship Id="rId9" Type="http://schemas.openxmlformats.org/officeDocument/2006/relationships/hyperlink" Target="https://www.nosdeputes.fr/brahim-hammouche/csv" TargetMode="External"/><Relationship Id="rId5" Type="http://schemas.openxmlformats.org/officeDocument/2006/relationships/hyperlink" Target="https://www.nosdeputes.fr/belkhir-belhaddad" TargetMode="External"/><Relationship Id="rId6" Type="http://schemas.openxmlformats.org/officeDocument/2006/relationships/hyperlink" Target="https://www.nosdeputes.fr/belkhir-belhaddad/csv" TargetMode="External"/><Relationship Id="rId7" Type="http://schemas.openxmlformats.org/officeDocument/2006/relationships/hyperlink" Target="http://www2.assemblee-nationale.fr/deputes/fiche/OMC_PA720326" TargetMode="External"/><Relationship Id="rId8" Type="http://schemas.openxmlformats.org/officeDocument/2006/relationships/hyperlink" Target="https://www.nosdeputes.fr/brahim-hammouche" TargetMode="External"/><Relationship Id="rId40" Type="http://schemas.openxmlformats.org/officeDocument/2006/relationships/hyperlink" Target="http://www2.assemblee-nationale.fr/deputes/fiche/OMC_PA721644" TargetMode="External"/><Relationship Id="rId42" Type="http://schemas.openxmlformats.org/officeDocument/2006/relationships/hyperlink" Target="https://www.nosdeputes.fr/rodrigue-kokouendo/csv" TargetMode="External"/><Relationship Id="rId41" Type="http://schemas.openxmlformats.org/officeDocument/2006/relationships/hyperlink" Target="https://www.nosdeputes.fr/rodrigue-kokouendo" TargetMode="External"/><Relationship Id="rId44" Type="http://schemas.openxmlformats.org/officeDocument/2006/relationships/hyperlink" Target="https://www.nosdeputes.fr/joachim-son-forget" TargetMode="External"/><Relationship Id="rId43" Type="http://schemas.openxmlformats.org/officeDocument/2006/relationships/hyperlink" Target="http://www2.assemblee-nationale.fr/deputes/fiche/OMC_PA721174" TargetMode="External"/><Relationship Id="rId46" Type="http://schemas.openxmlformats.org/officeDocument/2006/relationships/hyperlink" Target="http://www2.assemblee-nationale.fr/deputes/fiche/OMC_PA719044" TargetMode="External"/><Relationship Id="rId45" Type="http://schemas.openxmlformats.org/officeDocument/2006/relationships/hyperlink" Target="https://www.nosdeputes.fr/joachim-son-forget/csv" TargetMode="External"/><Relationship Id="rId48" Type="http://schemas.openxmlformats.org/officeDocument/2006/relationships/hyperlink" Target="https://www.nosdeputes.fr/nadia-essayan/csv" TargetMode="External"/><Relationship Id="rId47" Type="http://schemas.openxmlformats.org/officeDocument/2006/relationships/hyperlink" Target="https://www.nosdeputes.fr/nadia-essayan" TargetMode="External"/><Relationship Id="rId49" Type="http://schemas.openxmlformats.org/officeDocument/2006/relationships/hyperlink" Target="http://www2.assemblee-nationale.fr/deputes/fiche/OMC_PA605518" TargetMode="External"/><Relationship Id="rId31" Type="http://schemas.openxmlformats.org/officeDocument/2006/relationships/hyperlink" Target="http://www2.assemblee-nationale.fr/deputes/fiche/OMC_PA720014" TargetMode="External"/><Relationship Id="rId30" Type="http://schemas.openxmlformats.org/officeDocument/2006/relationships/hyperlink" Target="https://www.nosdeputes.fr/vincent-ledoux/csv" TargetMode="External"/><Relationship Id="rId33" Type="http://schemas.openxmlformats.org/officeDocument/2006/relationships/hyperlink" Target="https://www.nosdeputes.fr/huguette-tiegna/csv" TargetMode="External"/><Relationship Id="rId32" Type="http://schemas.openxmlformats.org/officeDocument/2006/relationships/hyperlink" Target="https://www.nosdeputes.fr/huguette-tiegna" TargetMode="External"/><Relationship Id="rId35" Type="http://schemas.openxmlformats.org/officeDocument/2006/relationships/hyperlink" Target="https://www.nosdeputes.fr/buon-tan" TargetMode="External"/><Relationship Id="rId34" Type="http://schemas.openxmlformats.org/officeDocument/2006/relationships/hyperlink" Target="http://www2.assemblee-nationale.fr/deputes/fiche/OMC_PA721690" TargetMode="External"/><Relationship Id="rId37" Type="http://schemas.openxmlformats.org/officeDocument/2006/relationships/hyperlink" Target="http://www2.assemblee-nationale.fr/deputes/fiche/OMC_PA719448" TargetMode="External"/><Relationship Id="rId36" Type="http://schemas.openxmlformats.org/officeDocument/2006/relationships/hyperlink" Target="https://www.nosdeputes.fr/buon-tan/csv" TargetMode="External"/><Relationship Id="rId39" Type="http://schemas.openxmlformats.org/officeDocument/2006/relationships/hyperlink" Target="https://www.nosdeputes.fr/annie-chapelier/csv" TargetMode="External"/><Relationship Id="rId38" Type="http://schemas.openxmlformats.org/officeDocument/2006/relationships/hyperlink" Target="https://www.nosdeputes.fr/annie-chapelier" TargetMode="External"/><Relationship Id="rId20" Type="http://schemas.openxmlformats.org/officeDocument/2006/relationships/hyperlink" Target="https://www.nosdeputes.fr/jean-paul-mattei" TargetMode="External"/><Relationship Id="rId22" Type="http://schemas.openxmlformats.org/officeDocument/2006/relationships/hyperlink" Target="http://www2.assemblee-nationale.fr/deputes/fiche/OMC_PA719822" TargetMode="External"/><Relationship Id="rId21" Type="http://schemas.openxmlformats.org/officeDocument/2006/relationships/hyperlink" Target="https://www.nosdeputes.fr/jean-paul-mattei/csv" TargetMode="External"/><Relationship Id="rId24" Type="http://schemas.openxmlformats.org/officeDocument/2006/relationships/hyperlink" Target="https://www.nosdeputes.fr/sabine-thillaye/csv" TargetMode="External"/><Relationship Id="rId23" Type="http://schemas.openxmlformats.org/officeDocument/2006/relationships/hyperlink" Target="https://www.nosdeputes.fr/sabine-thillaye" TargetMode="External"/><Relationship Id="rId26" Type="http://schemas.openxmlformats.org/officeDocument/2006/relationships/hyperlink" Target="https://www.nosdeputes.fr/alain-tourret" TargetMode="External"/><Relationship Id="rId25" Type="http://schemas.openxmlformats.org/officeDocument/2006/relationships/hyperlink" Target="http://www2.assemblee-nationale.fr/deputes/fiche/OMC_PA2828" TargetMode="External"/><Relationship Id="rId28" Type="http://schemas.openxmlformats.org/officeDocument/2006/relationships/hyperlink" Target="http://www2.assemblee-nationale.fr/deputes/fiche/OMC_PA712014" TargetMode="External"/><Relationship Id="rId27" Type="http://schemas.openxmlformats.org/officeDocument/2006/relationships/hyperlink" Target="https://www.nosdeputes.fr/alain-tourret/csv" TargetMode="External"/><Relationship Id="rId29" Type="http://schemas.openxmlformats.org/officeDocument/2006/relationships/hyperlink" Target="https://www.nosdeputes.fr/vincent-ledoux" TargetMode="External"/><Relationship Id="rId11" Type="http://schemas.openxmlformats.org/officeDocument/2006/relationships/hyperlink" Target="https://www.nosdeputes.fr/monique-iborra" TargetMode="External"/><Relationship Id="rId10" Type="http://schemas.openxmlformats.org/officeDocument/2006/relationships/hyperlink" Target="http://www2.assemblee-nationale.fr/deputes/fiche/OMC_PA331835" TargetMode="External"/><Relationship Id="rId13" Type="http://schemas.openxmlformats.org/officeDocument/2006/relationships/hyperlink" Target="http://www2.assemblee-nationale.fr/deputes/fiche/OMC_PA610775" TargetMode="External"/><Relationship Id="rId12" Type="http://schemas.openxmlformats.org/officeDocument/2006/relationships/hyperlink" Target="https://www.nosdeputes.fr/monique-iborra/csv" TargetMode="External"/><Relationship Id="rId15" Type="http://schemas.openxmlformats.org/officeDocument/2006/relationships/hyperlink" Target="https://www.nosdeputes.fr/philippe-gomes/csv" TargetMode="External"/><Relationship Id="rId14" Type="http://schemas.openxmlformats.org/officeDocument/2006/relationships/hyperlink" Target="https://www.nosdeputes.fr/philippe-gomes" TargetMode="External"/><Relationship Id="rId17" Type="http://schemas.openxmlformats.org/officeDocument/2006/relationships/hyperlink" Target="https://www.nosdeputes.fr/bruno-bonnell" TargetMode="External"/><Relationship Id="rId16" Type="http://schemas.openxmlformats.org/officeDocument/2006/relationships/hyperlink" Target="http://www2.assemblee-nationale.fr/deputes/fiche/OMC_PA721344" TargetMode="External"/><Relationship Id="rId19" Type="http://schemas.openxmlformats.org/officeDocument/2006/relationships/hyperlink" Target="http://www2.assemblee-nationale.fr/deputes/fiche/OMC_PA720728" TargetMode="External"/><Relationship Id="rId18" Type="http://schemas.openxmlformats.org/officeDocument/2006/relationships/hyperlink" Target="https://www.nosdeputes.fr/bruno-bonnell/csv" TargetMode="External"/><Relationship Id="rId84" Type="http://schemas.openxmlformats.org/officeDocument/2006/relationships/hyperlink" Target="https://www.nosdeputes.fr/maina-sage" TargetMode="External"/><Relationship Id="rId83" Type="http://schemas.openxmlformats.org/officeDocument/2006/relationships/hyperlink" Target="http://www2.assemblee-nationale.fr/deputes/fiche/OMC_PA702052" TargetMode="External"/><Relationship Id="rId86" Type="http://schemas.openxmlformats.org/officeDocument/2006/relationships/hyperlink" Target="http://www2.assemblee-nationale.fr/deputes/fiche/OMC_PA721118" TargetMode="External"/><Relationship Id="rId85" Type="http://schemas.openxmlformats.org/officeDocument/2006/relationships/hyperlink" Target="https://www.nosdeputes.fr/maina-sage/csv" TargetMode="External"/><Relationship Id="rId88" Type="http://schemas.openxmlformats.org/officeDocument/2006/relationships/hyperlink" Target="https://www.nosdeputes.fr/moetai-brotherson/csv" TargetMode="External"/><Relationship Id="rId87" Type="http://schemas.openxmlformats.org/officeDocument/2006/relationships/hyperlink" Target="https://www.nosdeputes.fr/moetai-brotherson" TargetMode="External"/><Relationship Id="rId89" Type="http://schemas.openxmlformats.org/officeDocument/2006/relationships/hyperlink" Target="https://fr-fr.facebook.com/nicolesanquerfareata/" TargetMode="External"/><Relationship Id="rId80" Type="http://schemas.openxmlformats.org/officeDocument/2006/relationships/hyperlink" Target="http://www2.assemblee-nationale.fr/deputes/fiche/OMC_PA721094" TargetMode="External"/><Relationship Id="rId82" Type="http://schemas.openxmlformats.org/officeDocument/2006/relationships/hyperlink" Target="https://www.nosdeputes.fr/philippe-dunoyer/csv" TargetMode="External"/><Relationship Id="rId81" Type="http://schemas.openxmlformats.org/officeDocument/2006/relationships/hyperlink" Target="https://www.nosdeputes.fr/philippe-dunoyer" TargetMode="External"/><Relationship Id="rId73" Type="http://schemas.openxmlformats.org/officeDocument/2006/relationships/hyperlink" Target="https://www.nosdeputes.fr/jean-luc-melenchon/csv" TargetMode="External"/><Relationship Id="rId72" Type="http://schemas.openxmlformats.org/officeDocument/2006/relationships/hyperlink" Target="https://www.nosdeputes.fr/jean-luc-melenchon" TargetMode="External"/><Relationship Id="rId75" Type="http://schemas.openxmlformats.org/officeDocument/2006/relationships/hyperlink" Target="https://www.nosdeputes.fr/bernard-reynes" TargetMode="External"/><Relationship Id="rId74" Type="http://schemas.openxmlformats.org/officeDocument/2006/relationships/hyperlink" Target="http://www2.assemblee-nationale.fr/deputes/fiche/OMC_PA330788" TargetMode="External"/><Relationship Id="rId77" Type="http://schemas.openxmlformats.org/officeDocument/2006/relationships/hyperlink" Target="http://www2.assemblee-nationale.fr/deputes/fiche/OMC_PA721004" TargetMode="External"/><Relationship Id="rId76" Type="http://schemas.openxmlformats.org/officeDocument/2006/relationships/hyperlink" Target="https://www.nosdeputes.fr/bernard-reynes/csv" TargetMode="External"/><Relationship Id="rId79" Type="http://schemas.openxmlformats.org/officeDocument/2006/relationships/hyperlink" Target="https://www.nosdeputes.fr/amal-amelia-lakrafi/csv" TargetMode="External"/><Relationship Id="rId78" Type="http://schemas.openxmlformats.org/officeDocument/2006/relationships/hyperlink" Target="https://www.nosdeputes.fr/amal-amelia-lakrafi" TargetMode="External"/><Relationship Id="rId71" Type="http://schemas.openxmlformats.org/officeDocument/2006/relationships/hyperlink" Target="http://www2.assemblee-nationale.fr/deputes/fiche/OMC_PA2150" TargetMode="External"/><Relationship Id="rId70" Type="http://schemas.openxmlformats.org/officeDocument/2006/relationships/hyperlink" Target="https://www.nosdeputes.fr/mohamed-laqhila/csv" TargetMode="External"/><Relationship Id="rId62" Type="http://schemas.openxmlformats.org/officeDocument/2006/relationships/hyperlink" Target="http://www2.assemblee-nationale.fr/deputes/fiche/OMC_PA335054" TargetMode="External"/><Relationship Id="rId61" Type="http://schemas.openxmlformats.org/officeDocument/2006/relationships/hyperlink" Target="https://www.nosdeputes.fr/daniele-obono/csv" TargetMode="External"/><Relationship Id="rId64" Type="http://schemas.openxmlformats.org/officeDocument/2006/relationships/hyperlink" Target="https://www.nosdeputes.fr/marietta-karamanli/csv" TargetMode="External"/><Relationship Id="rId63" Type="http://schemas.openxmlformats.org/officeDocument/2006/relationships/hyperlink" Target="https://www.nosdeputes.fr/marietta-karamanli" TargetMode="External"/><Relationship Id="rId66" Type="http://schemas.openxmlformats.org/officeDocument/2006/relationships/hyperlink" Target="https://www.nosdeputes.fr/boris-vallaud" TargetMode="External"/><Relationship Id="rId65" Type="http://schemas.openxmlformats.org/officeDocument/2006/relationships/hyperlink" Target="http://www2.assemblee-nationale.fr/deputes/fiche/OMC_PA719930" TargetMode="External"/><Relationship Id="rId68" Type="http://schemas.openxmlformats.org/officeDocument/2006/relationships/hyperlink" Target="http://www2.assemblee-nationale.fr/deputes/fiche/OMC_PA718978" TargetMode="External"/><Relationship Id="rId67" Type="http://schemas.openxmlformats.org/officeDocument/2006/relationships/hyperlink" Target="https://www.nosdeputes.fr/boris-vallaud/csv" TargetMode="External"/><Relationship Id="rId60" Type="http://schemas.openxmlformats.org/officeDocument/2006/relationships/hyperlink" Target="https://www.nosdeputes.fr/daniele-obono" TargetMode="External"/><Relationship Id="rId69" Type="http://schemas.openxmlformats.org/officeDocument/2006/relationships/hyperlink" Target="https://www.nosdeputes.fr/mohamed-laqhila" TargetMode="External"/><Relationship Id="rId51" Type="http://schemas.openxmlformats.org/officeDocument/2006/relationships/hyperlink" Target="https://www.nosdeputes.fr/francois-michel-lambert/csv" TargetMode="External"/><Relationship Id="rId50" Type="http://schemas.openxmlformats.org/officeDocument/2006/relationships/hyperlink" Target="https://www.nosdeputes.fr/francois-michel-lambert" TargetMode="External"/><Relationship Id="rId53" Type="http://schemas.openxmlformats.org/officeDocument/2006/relationships/hyperlink" Target="https://www.nosdeputes.fr/manuel-valls" TargetMode="External"/><Relationship Id="rId52" Type="http://schemas.openxmlformats.org/officeDocument/2006/relationships/hyperlink" Target="http://www2.assemblee-nationale.fr/deputes/fiche/OMC_PA267622" TargetMode="External"/><Relationship Id="rId55" Type="http://schemas.openxmlformats.org/officeDocument/2006/relationships/hyperlink" Target="http://www2.assemblee-nationale.fr/deputes/fiche/OMC_PA267794" TargetMode="External"/><Relationship Id="rId54" Type="http://schemas.openxmlformats.org/officeDocument/2006/relationships/hyperlink" Target="https://www.nosdeputes.fr/manuel-valls/csv" TargetMode="External"/><Relationship Id="rId57" Type="http://schemas.openxmlformats.org/officeDocument/2006/relationships/hyperlink" Target="https://www.nosdeputes.fr/michele-tabarot/csv" TargetMode="External"/><Relationship Id="rId56" Type="http://schemas.openxmlformats.org/officeDocument/2006/relationships/hyperlink" Target="https://www.nosdeputes.fr/michele-tabarot" TargetMode="External"/><Relationship Id="rId59" Type="http://schemas.openxmlformats.org/officeDocument/2006/relationships/hyperlink" Target="http://www2.assemblee-nationale.fr/deputes/fiche/OMC_PA721960" TargetMode="External"/><Relationship Id="rId58" Type="http://schemas.openxmlformats.org/officeDocument/2006/relationships/hyperlink" Target="https://twitter.com/Deputee_Obono" TargetMode="External"/><Relationship Id="rId95" Type="http://schemas.openxmlformats.org/officeDocument/2006/relationships/hyperlink" Target="https://www.nosdeputes.fr/said-ahamada/csv" TargetMode="External"/><Relationship Id="rId94" Type="http://schemas.openxmlformats.org/officeDocument/2006/relationships/hyperlink" Target="https://www.nosdeputes.fr/said-ahamada" TargetMode="External"/><Relationship Id="rId97" Type="http://schemas.openxmlformats.org/officeDocument/2006/relationships/hyperlink" Target="http://www2.assemblee-nationale.fr/deputes/fiche/OMC_PA721062" TargetMode="External"/><Relationship Id="rId96" Type="http://schemas.openxmlformats.org/officeDocument/2006/relationships/hyperlink" Target="https://twitter.com/JhRatenon" TargetMode="External"/><Relationship Id="rId99" Type="http://schemas.openxmlformats.org/officeDocument/2006/relationships/hyperlink" Target="https://www.nosdeputes.fr/jean-hugues-ratenon/csv" TargetMode="External"/><Relationship Id="rId98" Type="http://schemas.openxmlformats.org/officeDocument/2006/relationships/hyperlink" Target="https://www.nosdeputes.fr/jean-hugues-ratenon" TargetMode="External"/><Relationship Id="rId91" Type="http://schemas.openxmlformats.org/officeDocument/2006/relationships/hyperlink" Target="https://www.nosdeputes.fr/nicole-sanquer" TargetMode="External"/><Relationship Id="rId90" Type="http://schemas.openxmlformats.org/officeDocument/2006/relationships/hyperlink" Target="http://www2.assemblee-nationale.fr/deputes/fiche/OMC_PA721110" TargetMode="External"/><Relationship Id="rId93" Type="http://schemas.openxmlformats.org/officeDocument/2006/relationships/hyperlink" Target="http://www2.assemblee-nationale.fr/deputes/fiche/OMC_PA718954" TargetMode="External"/><Relationship Id="rId92" Type="http://schemas.openxmlformats.org/officeDocument/2006/relationships/hyperlink" Target="https://www.nosdeputes.fr/nicole-sanquer/csv" TargetMode="External"/><Relationship Id="rId190" Type="http://schemas.openxmlformats.org/officeDocument/2006/relationships/hyperlink" Target="https://www.nosdeputes.fr/valeria-faure-muntian/csv" TargetMode="External"/><Relationship Id="rId194" Type="http://schemas.openxmlformats.org/officeDocument/2006/relationships/drawing" Target="../drawings/drawing9.xml"/><Relationship Id="rId193" Type="http://schemas.openxmlformats.org/officeDocument/2006/relationships/hyperlink" Target="https://www.nosdeputes.fr/stephanie-do/csv" TargetMode="External"/><Relationship Id="rId192" Type="http://schemas.openxmlformats.org/officeDocument/2006/relationships/hyperlink" Target="https://www.nosdeputes.fr/stephanie-do" TargetMode="External"/><Relationship Id="rId191" Type="http://schemas.openxmlformats.org/officeDocument/2006/relationships/hyperlink" Target="http://www2.assemblee-nationale.fr/deputes/fiche/OMC_PA721718" TargetMode="External"/><Relationship Id="rId187" Type="http://schemas.openxmlformats.org/officeDocument/2006/relationships/hyperlink" Target="https://www.nosdeputes.fr/sonia-krimi/csv" TargetMode="External"/><Relationship Id="rId186" Type="http://schemas.openxmlformats.org/officeDocument/2006/relationships/hyperlink" Target="https://www.nosdeputes.fr/sonia-krimi" TargetMode="External"/><Relationship Id="rId185" Type="http://schemas.openxmlformats.org/officeDocument/2006/relationships/hyperlink" Target="http://www2.assemblee-nationale.fr/deputes/fiche/OMC_PA720202" TargetMode="External"/><Relationship Id="rId184" Type="http://schemas.openxmlformats.org/officeDocument/2006/relationships/hyperlink" Target="https://www.nosdeputes.fr/bruno-joncour/csv" TargetMode="External"/><Relationship Id="rId189" Type="http://schemas.openxmlformats.org/officeDocument/2006/relationships/hyperlink" Target="https://www.nosdeputes.fr/valeria-faure-muntian" TargetMode="External"/><Relationship Id="rId188" Type="http://schemas.openxmlformats.org/officeDocument/2006/relationships/hyperlink" Target="http://www2.assemblee-nationale.fr/deputes/fiche/OMC_PA719960" TargetMode="External"/><Relationship Id="rId183" Type="http://schemas.openxmlformats.org/officeDocument/2006/relationships/hyperlink" Target="https://www.nosdeputes.fr/bruno-joncour" TargetMode="External"/><Relationship Id="rId182" Type="http://schemas.openxmlformats.org/officeDocument/2006/relationships/hyperlink" Target="http://www2.assemblee-nationale.fr/deputes/fiche/OMC_PA719210" TargetMode="External"/><Relationship Id="rId181" Type="http://schemas.openxmlformats.org/officeDocument/2006/relationships/hyperlink" Target="https://www.nosdeputes.fr/patrice-anato/csv" TargetMode="External"/><Relationship Id="rId180" Type="http://schemas.openxmlformats.org/officeDocument/2006/relationships/hyperlink" Target="https://www.nosdeputes.fr/patrice-anato" TargetMode="External"/><Relationship Id="rId176" Type="http://schemas.openxmlformats.org/officeDocument/2006/relationships/hyperlink" Target="http://www2.assemblee-nationale.fr/deputes/fiche/OMC_PA721816" TargetMode="External"/><Relationship Id="rId175" Type="http://schemas.openxmlformats.org/officeDocument/2006/relationships/hyperlink" Target="https://www.nosdeputes.fr/michel-zumkeller/csv" TargetMode="External"/><Relationship Id="rId174" Type="http://schemas.openxmlformats.org/officeDocument/2006/relationships/hyperlink" Target="https://www.nosdeputes.fr/michel-zumkeller" TargetMode="External"/><Relationship Id="rId173" Type="http://schemas.openxmlformats.org/officeDocument/2006/relationships/hyperlink" Target="http://www2.assemblee-nationale.fr/deputes/fiche/OMC_PA267330" TargetMode="External"/><Relationship Id="rId179" Type="http://schemas.openxmlformats.org/officeDocument/2006/relationships/hyperlink" Target="http://www2.assemblee-nationale.fr/deputes/fiche/OMC_PA721278" TargetMode="External"/><Relationship Id="rId178" Type="http://schemas.openxmlformats.org/officeDocument/2006/relationships/hyperlink" Target="https://www.nosdeputes.fr/ian-boucard/csv" TargetMode="External"/><Relationship Id="rId177" Type="http://schemas.openxmlformats.org/officeDocument/2006/relationships/hyperlink" Target="https://www.nosdeputes.fr/ian-boucard" TargetMode="External"/><Relationship Id="rId150" Type="http://schemas.openxmlformats.org/officeDocument/2006/relationships/hyperlink" Target="https://www.nosdeputes.fr/herve-berville" TargetMode="External"/><Relationship Id="rId149" Type="http://schemas.openxmlformats.org/officeDocument/2006/relationships/hyperlink" Target="http://www2.assemblee-nationale.fr/deputes/fiche/OMC_PA719218" TargetMode="External"/><Relationship Id="rId148" Type="http://schemas.openxmlformats.org/officeDocument/2006/relationships/hyperlink" Target="https://www.nosdeputes.fr/daniele-cazarian/csv" TargetMode="External"/><Relationship Id="rId143" Type="http://schemas.openxmlformats.org/officeDocument/2006/relationships/hyperlink" Target="http://www2.assemblee-nationale.fr/deputes/fiche/OMC_PA722300" TargetMode="External"/><Relationship Id="rId142" Type="http://schemas.openxmlformats.org/officeDocument/2006/relationships/hyperlink" Target="https://www.nosdeputes.fr/thomas-gassilloud/csv" TargetMode="External"/><Relationship Id="rId141" Type="http://schemas.openxmlformats.org/officeDocument/2006/relationships/hyperlink" Target="https://www.nosdeputes.fr/thomas-gassilloud" TargetMode="External"/><Relationship Id="rId140" Type="http://schemas.openxmlformats.org/officeDocument/2006/relationships/hyperlink" Target="http://www2.assemblee-nationale.fr/deputes/fiche/OMC_PA722358" TargetMode="External"/><Relationship Id="rId147" Type="http://schemas.openxmlformats.org/officeDocument/2006/relationships/hyperlink" Target="https://www.nosdeputes.fr/daniele-cazarian" TargetMode="External"/><Relationship Id="rId146" Type="http://schemas.openxmlformats.org/officeDocument/2006/relationships/hyperlink" Target="http://www2.assemblee-nationale.fr/deputes/fiche/OMC_PA721352" TargetMode="External"/><Relationship Id="rId145" Type="http://schemas.openxmlformats.org/officeDocument/2006/relationships/hyperlink" Target="https://www.nosdeputes.fr/anissa-khedher/csv" TargetMode="External"/><Relationship Id="rId144" Type="http://schemas.openxmlformats.org/officeDocument/2006/relationships/hyperlink" Target="https://www.nosdeputes.fr/anissa-khedher" TargetMode="External"/><Relationship Id="rId139" Type="http://schemas.openxmlformats.org/officeDocument/2006/relationships/hyperlink" Target="https://www.nosdeputes.fr/cyrille-isaac-sibille/csv" TargetMode="External"/><Relationship Id="rId138" Type="http://schemas.openxmlformats.org/officeDocument/2006/relationships/hyperlink" Target="https://www.nosdeputes.fr/cyrille-isaac-sibille" TargetMode="External"/><Relationship Id="rId137" Type="http://schemas.openxmlformats.org/officeDocument/2006/relationships/hyperlink" Target="http://www2.assemblee-nationale.fr/deputes/fiche/OMC_PA722374" TargetMode="External"/><Relationship Id="rId132" Type="http://schemas.openxmlformats.org/officeDocument/2006/relationships/hyperlink" Target="https://www.nosdeputes.fr/benjamin-dirx" TargetMode="External"/><Relationship Id="rId131" Type="http://schemas.openxmlformats.org/officeDocument/2006/relationships/hyperlink" Target="http://www2.assemblee-nationale.fr/deputes/fiche/OMC_PA722382" TargetMode="External"/><Relationship Id="rId130" Type="http://schemas.openxmlformats.org/officeDocument/2006/relationships/hyperlink" Target="https://twitter.com/BenjaminDirx" TargetMode="External"/><Relationship Id="rId136" Type="http://schemas.openxmlformats.org/officeDocument/2006/relationships/hyperlink" Target="https://www.nosdeputes.fr/yves-blein/csv" TargetMode="External"/><Relationship Id="rId135" Type="http://schemas.openxmlformats.org/officeDocument/2006/relationships/hyperlink" Target="https://www.nosdeputes.fr/yves-blein" TargetMode="External"/><Relationship Id="rId134" Type="http://schemas.openxmlformats.org/officeDocument/2006/relationships/hyperlink" Target="http://www2.assemblee-nationale.fr/deputes/fiche/OMC_PA608641" TargetMode="External"/><Relationship Id="rId133" Type="http://schemas.openxmlformats.org/officeDocument/2006/relationships/hyperlink" Target="https://www.nosdeputes.fr/benjamin-dirx/csv" TargetMode="External"/><Relationship Id="rId172" Type="http://schemas.openxmlformats.org/officeDocument/2006/relationships/hyperlink" Target="https://www.nosdeputes.fr/alexandre-holroyd/csv" TargetMode="External"/><Relationship Id="rId171" Type="http://schemas.openxmlformats.org/officeDocument/2006/relationships/hyperlink" Target="https://www.nosdeputes.fr/alexandre-holroyd" TargetMode="External"/><Relationship Id="rId170" Type="http://schemas.openxmlformats.org/officeDocument/2006/relationships/hyperlink" Target="http://www2.assemblee-nationale.fr/deputes/fiche/OMC_PA721150" TargetMode="External"/><Relationship Id="rId165" Type="http://schemas.openxmlformats.org/officeDocument/2006/relationships/hyperlink" Target="https://www.nosdeputes.fr/liliana-tanguy" TargetMode="External"/><Relationship Id="rId164" Type="http://schemas.openxmlformats.org/officeDocument/2006/relationships/hyperlink" Target="http://www2.assemblee-nationale.fr/deputes/fiche/OMC_PA719550" TargetMode="External"/><Relationship Id="rId163" Type="http://schemas.openxmlformats.org/officeDocument/2006/relationships/hyperlink" Target="https://www.nosdeputes.fr/marc-le-fur/csv" TargetMode="External"/><Relationship Id="rId162" Type="http://schemas.openxmlformats.org/officeDocument/2006/relationships/hyperlink" Target="https://www.nosdeputes.fr/marc-le-fur" TargetMode="External"/><Relationship Id="rId169" Type="http://schemas.openxmlformats.org/officeDocument/2006/relationships/hyperlink" Target="https://www.nosdeputes.fr/monica-michel/csv" TargetMode="External"/><Relationship Id="rId168" Type="http://schemas.openxmlformats.org/officeDocument/2006/relationships/hyperlink" Target="https://www.nosdeputes.fr/monica-michel" TargetMode="External"/><Relationship Id="rId167" Type="http://schemas.openxmlformats.org/officeDocument/2006/relationships/hyperlink" Target="http://www2.assemblee-nationale.fr/deputes/fiche/OMC_PA719130" TargetMode="External"/><Relationship Id="rId166" Type="http://schemas.openxmlformats.org/officeDocument/2006/relationships/hyperlink" Target="https://www.nosdeputes.fr/liliana-tanguy/csv" TargetMode="External"/><Relationship Id="rId161" Type="http://schemas.openxmlformats.org/officeDocument/2006/relationships/hyperlink" Target="http://www2.assemblee-nationale.fr/deputes/fiche/OMC_PA1874" TargetMode="External"/><Relationship Id="rId160" Type="http://schemas.openxmlformats.org/officeDocument/2006/relationships/hyperlink" Target="https://www.nosdeputes.fr/jean-francois-mbaye/csv" TargetMode="External"/><Relationship Id="rId159" Type="http://schemas.openxmlformats.org/officeDocument/2006/relationships/hyperlink" Target="https://www.nosdeputes.fr/jean-francois-mbaye" TargetMode="External"/><Relationship Id="rId154" Type="http://schemas.openxmlformats.org/officeDocument/2006/relationships/hyperlink" Target="https://www.nosdeputes.fr/claire-guion-firmin/csv" TargetMode="External"/><Relationship Id="rId153" Type="http://schemas.openxmlformats.org/officeDocument/2006/relationships/hyperlink" Target="https://www.nosdeputes.fr/claire-guion-firmin" TargetMode="External"/><Relationship Id="rId152" Type="http://schemas.openxmlformats.org/officeDocument/2006/relationships/hyperlink" Target="http://www2.assemblee-nationale.fr/deputes/fiche/OMC_PA721126" TargetMode="External"/><Relationship Id="rId151" Type="http://schemas.openxmlformats.org/officeDocument/2006/relationships/hyperlink" Target="https://www.nosdeputes.fr/herve-berville/csv" TargetMode="External"/><Relationship Id="rId158" Type="http://schemas.openxmlformats.org/officeDocument/2006/relationships/hyperlink" Target="http://www2.assemblee-nationale.fr/deputes/fiche/OMC_PA720870" TargetMode="External"/><Relationship Id="rId157" Type="http://schemas.openxmlformats.org/officeDocument/2006/relationships/hyperlink" Target="https://www.nosdeputes.fr/stephane-claireaux/csv" TargetMode="External"/><Relationship Id="rId156" Type="http://schemas.openxmlformats.org/officeDocument/2006/relationships/hyperlink" Target="https://www.nosdeputes.fr/stephane-claireaux" TargetMode="External"/><Relationship Id="rId155" Type="http://schemas.openxmlformats.org/officeDocument/2006/relationships/hyperlink" Target="http://www2.assemblee-nationale.fr/deputes/fiche/OMC_PA702054" TargetMode="External"/><Relationship Id="rId107" Type="http://schemas.openxmlformats.org/officeDocument/2006/relationships/hyperlink" Target="https://www.nosdeputes.fr/nathalie-bassire" TargetMode="External"/><Relationship Id="rId106" Type="http://schemas.openxmlformats.org/officeDocument/2006/relationships/hyperlink" Target="http://www2.assemblee-nationale.fr/deputes/fiche/OMC_PA721046" TargetMode="External"/><Relationship Id="rId105" Type="http://schemas.openxmlformats.org/officeDocument/2006/relationships/hyperlink" Target="https://www.nosdeputes.fr/nadia-ramassamy/csv" TargetMode="External"/><Relationship Id="rId104" Type="http://schemas.openxmlformats.org/officeDocument/2006/relationships/hyperlink" Target="https://www.nosdeputes.fr/nadia-ramassamy" TargetMode="External"/><Relationship Id="rId109" Type="http://schemas.openxmlformats.org/officeDocument/2006/relationships/hyperlink" Target="http://www2.assemblee-nationale.fr/deputes/fiche/OMC_PA721054" TargetMode="External"/><Relationship Id="rId108" Type="http://schemas.openxmlformats.org/officeDocument/2006/relationships/hyperlink" Target="https://www.nosdeputes.fr/nathalie-bassire/csv" TargetMode="External"/><Relationship Id="rId103" Type="http://schemas.openxmlformats.org/officeDocument/2006/relationships/hyperlink" Target="http://www2.assemblee-nationale.fr/deputes/fiche/OMC_PA721070" TargetMode="External"/><Relationship Id="rId102" Type="http://schemas.openxmlformats.org/officeDocument/2006/relationships/hyperlink" Target="https://www.nosdeputes.fr/ericka-bareigts/csv" TargetMode="External"/><Relationship Id="rId101" Type="http://schemas.openxmlformats.org/officeDocument/2006/relationships/hyperlink" Target="https://www.nosdeputes.fr/ericka-bareigts" TargetMode="External"/><Relationship Id="rId100" Type="http://schemas.openxmlformats.org/officeDocument/2006/relationships/hyperlink" Target="http://www2.assemblee-nationale.fr/deputes/fiche/OMC_PA610681" TargetMode="External"/><Relationship Id="rId129" Type="http://schemas.openxmlformats.org/officeDocument/2006/relationships/hyperlink" Target="https://www.nosdeputes.fr/thomas-rudigoz/csv" TargetMode="External"/><Relationship Id="rId128" Type="http://schemas.openxmlformats.org/officeDocument/2006/relationships/hyperlink" Target="https://www.nosdeputes.fr/thomas-rudigoz" TargetMode="External"/><Relationship Id="rId127" Type="http://schemas.openxmlformats.org/officeDocument/2006/relationships/hyperlink" Target="http://www2.assemblee-nationale.fr/deputes/fiche/OMC_PA722292" TargetMode="External"/><Relationship Id="rId126" Type="http://schemas.openxmlformats.org/officeDocument/2006/relationships/hyperlink" Target="https://www.nosdeputes.fr/bernard-perrut/csv" TargetMode="External"/><Relationship Id="rId121" Type="http://schemas.openxmlformats.org/officeDocument/2006/relationships/hyperlink" Target="http://www2.assemblee-nationale.fr/deputes/fiche/OMC_PA718744" TargetMode="External"/><Relationship Id="rId120" Type="http://schemas.openxmlformats.org/officeDocument/2006/relationships/hyperlink" Target="https://www.nosdeputes.fr/amelie-de-montchalin/csv" TargetMode="External"/><Relationship Id="rId125" Type="http://schemas.openxmlformats.org/officeDocument/2006/relationships/hyperlink" Target="https://www.nosdeputes.fr/bernard-perrut" TargetMode="External"/><Relationship Id="rId124" Type="http://schemas.openxmlformats.org/officeDocument/2006/relationships/hyperlink" Target="http://www2.assemblee-nationale.fr/deputes/fiche/OMC_PA2377" TargetMode="External"/><Relationship Id="rId123" Type="http://schemas.openxmlformats.org/officeDocument/2006/relationships/hyperlink" Target="https://www.nosdeputes.fr/delphine-bagarry/csv" TargetMode="External"/><Relationship Id="rId122" Type="http://schemas.openxmlformats.org/officeDocument/2006/relationships/hyperlink" Target="https://www.nosdeputes.fr/delphine-bagarry" TargetMode="External"/><Relationship Id="rId118" Type="http://schemas.openxmlformats.org/officeDocument/2006/relationships/hyperlink" Target="http://www2.assemblee-nationale.fr/deputes/fiche/OMC_PA721670" TargetMode="External"/><Relationship Id="rId117" Type="http://schemas.openxmlformats.org/officeDocument/2006/relationships/hyperlink" Target="https://www.nosdeputes.fr/huguette-bello/csv" TargetMode="External"/><Relationship Id="rId116" Type="http://schemas.openxmlformats.org/officeDocument/2006/relationships/hyperlink" Target="https://www.nosdeputes.fr/huguette-bello" TargetMode="External"/><Relationship Id="rId115" Type="http://schemas.openxmlformats.org/officeDocument/2006/relationships/hyperlink" Target="http://www2.assemblee-nationale.fr/deputes/fiche/OMC_PA441" TargetMode="External"/><Relationship Id="rId119" Type="http://schemas.openxmlformats.org/officeDocument/2006/relationships/hyperlink" Target="https://www.nosdeputes.fr/amelie-de-montchalin" TargetMode="External"/><Relationship Id="rId110" Type="http://schemas.openxmlformats.org/officeDocument/2006/relationships/hyperlink" Target="https://www.nosdeputes.fr/david-lorion" TargetMode="External"/><Relationship Id="rId114" Type="http://schemas.openxmlformats.org/officeDocument/2006/relationships/hyperlink" Target="https://www.nosdeputes.fr/thierry-robert/csv" TargetMode="External"/><Relationship Id="rId113" Type="http://schemas.openxmlformats.org/officeDocument/2006/relationships/hyperlink" Target="https://www.nosdeputes.fr/thierry-robert" TargetMode="External"/><Relationship Id="rId112" Type="http://schemas.openxmlformats.org/officeDocument/2006/relationships/hyperlink" Target="http://www2.assemblee-nationale.fr/deputes/fiche/OMC_PA610733" TargetMode="External"/><Relationship Id="rId111" Type="http://schemas.openxmlformats.org/officeDocument/2006/relationships/hyperlink" Target="https://www.nosdeputes.fr/david-lorion/csv"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24.38"/>
    <col customWidth="1" min="15" max="15" width="22.13"/>
    <col customWidth="1" min="19" max="19" width="2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v>116.0</v>
      </c>
      <c r="B2" s="1" t="s">
        <v>40</v>
      </c>
      <c r="C2" s="1" t="s">
        <v>41</v>
      </c>
      <c r="D2" s="1" t="s">
        <v>42</v>
      </c>
      <c r="E2" s="1" t="s">
        <v>43</v>
      </c>
      <c r="F2" s="2">
        <v>21219.0</v>
      </c>
      <c r="G2" s="1" t="s">
        <v>44</v>
      </c>
      <c r="H2" s="1">
        <v>28.0</v>
      </c>
      <c r="I2" s="1" t="s">
        <v>45</v>
      </c>
      <c r="J2" s="1">
        <v>4.0</v>
      </c>
      <c r="K2" s="2">
        <v>42907.0</v>
      </c>
      <c r="M2" s="1">
        <v>0.0</v>
      </c>
      <c r="N2" s="1" t="s">
        <v>46</v>
      </c>
      <c r="O2" s="1" t="s">
        <v>47</v>
      </c>
      <c r="P2" s="1" t="s">
        <v>48</v>
      </c>
      <c r="S2" s="1" t="s">
        <v>49</v>
      </c>
      <c r="T2" s="1">
        <v>114.0</v>
      </c>
      <c r="U2" s="3" t="s">
        <v>50</v>
      </c>
      <c r="V2" s="1">
        <v>331582.0</v>
      </c>
      <c r="W2" s="1" t="s">
        <v>51</v>
      </c>
      <c r="X2" s="3" t="s">
        <v>52</v>
      </c>
      <c r="Y2" s="3" t="s">
        <v>53</v>
      </c>
      <c r="Z2" s="1">
        <v>2.0</v>
      </c>
      <c r="AA2" s="1" t="s">
        <v>54</v>
      </c>
      <c r="AB2" s="1">
        <v>27.0</v>
      </c>
      <c r="AC2" s="1">
        <v>54.0</v>
      </c>
      <c r="AD2" s="1">
        <v>58.0</v>
      </c>
      <c r="AE2" s="1">
        <v>257.0</v>
      </c>
      <c r="AF2" s="1">
        <v>283.0</v>
      </c>
      <c r="AG2" s="1">
        <v>88.0</v>
      </c>
      <c r="AH2" s="1">
        <v>442.0</v>
      </c>
      <c r="AI2" s="1">
        <v>19.0</v>
      </c>
      <c r="AJ2" s="1">
        <v>2.0</v>
      </c>
      <c r="AK2" s="1">
        <v>1.0</v>
      </c>
      <c r="AL2" s="1">
        <v>10.0</v>
      </c>
      <c r="AM2" s="1">
        <v>9.0</v>
      </c>
      <c r="AN2" s="1">
        <v>3.0</v>
      </c>
    </row>
    <row r="3">
      <c r="A3" s="1">
        <v>541.0</v>
      </c>
      <c r="B3" s="1" t="s">
        <v>55</v>
      </c>
      <c r="C3" s="1" t="s">
        <v>56</v>
      </c>
      <c r="D3" s="1" t="s">
        <v>57</v>
      </c>
      <c r="E3" s="1" t="s">
        <v>58</v>
      </c>
      <c r="F3" s="2">
        <v>29435.0</v>
      </c>
      <c r="G3" s="1" t="s">
        <v>59</v>
      </c>
      <c r="H3" s="1">
        <v>73.0</v>
      </c>
      <c r="I3" s="1" t="s">
        <v>60</v>
      </c>
      <c r="J3" s="1">
        <v>3.0</v>
      </c>
      <c r="K3" s="2">
        <v>42907.0</v>
      </c>
      <c r="M3" s="1">
        <v>0.0</v>
      </c>
      <c r="N3" s="1" t="s">
        <v>61</v>
      </c>
      <c r="O3" s="1" t="s">
        <v>62</v>
      </c>
      <c r="P3" s="1" t="s">
        <v>63</v>
      </c>
      <c r="S3" s="1" t="s">
        <v>64</v>
      </c>
      <c r="T3" s="1">
        <v>9.0</v>
      </c>
      <c r="U3" s="3" t="s">
        <v>65</v>
      </c>
      <c r="V3" s="1">
        <v>721410.0</v>
      </c>
      <c r="W3" s="1" t="s">
        <v>66</v>
      </c>
      <c r="X3" s="3" t="s">
        <v>67</v>
      </c>
      <c r="Y3" s="3" t="s">
        <v>68</v>
      </c>
      <c r="Z3" s="1">
        <v>2.0</v>
      </c>
      <c r="AA3" s="1" t="s">
        <v>69</v>
      </c>
      <c r="AB3" s="1">
        <v>26.0</v>
      </c>
      <c r="AC3" s="1">
        <v>50.0</v>
      </c>
      <c r="AD3" s="1">
        <v>33.0</v>
      </c>
      <c r="AE3" s="1">
        <v>74.0</v>
      </c>
      <c r="AF3" s="1">
        <v>195.0</v>
      </c>
      <c r="AG3" s="1">
        <v>77.0</v>
      </c>
      <c r="AH3" s="1">
        <v>738.0</v>
      </c>
      <c r="AI3" s="1">
        <v>36.0</v>
      </c>
      <c r="AJ3" s="1">
        <v>1.0</v>
      </c>
      <c r="AK3" s="1">
        <v>0.0</v>
      </c>
      <c r="AL3" s="1">
        <v>17.0</v>
      </c>
      <c r="AM3" s="1">
        <v>14.0</v>
      </c>
      <c r="AN3" s="1">
        <v>1.0</v>
      </c>
    </row>
    <row r="4">
      <c r="A4" s="1">
        <v>296.0</v>
      </c>
      <c r="B4" s="1" t="s">
        <v>70</v>
      </c>
      <c r="C4" s="1" t="s">
        <v>71</v>
      </c>
      <c r="D4" s="1" t="s">
        <v>72</v>
      </c>
      <c r="E4" s="1" t="s">
        <v>58</v>
      </c>
      <c r="F4" s="2">
        <v>25909.0</v>
      </c>
      <c r="G4" s="1" t="s">
        <v>73</v>
      </c>
      <c r="H4" s="1">
        <v>78.0</v>
      </c>
      <c r="I4" s="1" t="s">
        <v>74</v>
      </c>
      <c r="J4" s="1">
        <v>5.0</v>
      </c>
      <c r="K4" s="2">
        <v>42907.0</v>
      </c>
      <c r="M4" s="1">
        <v>0.0</v>
      </c>
      <c r="N4" s="1" t="s">
        <v>75</v>
      </c>
      <c r="O4" s="1" t="s">
        <v>76</v>
      </c>
      <c r="P4" s="1" t="s">
        <v>77</v>
      </c>
      <c r="S4" s="1" t="s">
        <v>78</v>
      </c>
      <c r="T4" s="1">
        <v>481.0</v>
      </c>
      <c r="U4" s="3" t="s">
        <v>79</v>
      </c>
      <c r="V4" s="1">
        <v>721908.0</v>
      </c>
      <c r="W4" s="1" t="s">
        <v>80</v>
      </c>
      <c r="X4" s="3" t="s">
        <v>81</v>
      </c>
      <c r="Y4" s="3" t="s">
        <v>82</v>
      </c>
      <c r="Z4" s="1">
        <v>1.0</v>
      </c>
      <c r="AA4" s="1" t="s">
        <v>83</v>
      </c>
      <c r="AB4" s="1">
        <v>26.0</v>
      </c>
      <c r="AC4" s="1">
        <v>75.0</v>
      </c>
      <c r="AD4" s="1">
        <v>392.0</v>
      </c>
      <c r="AE4" s="1">
        <v>363.0</v>
      </c>
      <c r="AF4" s="1">
        <v>251.0</v>
      </c>
      <c r="AG4" s="1">
        <v>178.0</v>
      </c>
      <c r="AH4" s="1">
        <v>242.0</v>
      </c>
      <c r="AI4" s="1">
        <v>189.0</v>
      </c>
      <c r="AJ4" s="1">
        <v>7.0</v>
      </c>
      <c r="AK4" s="1">
        <v>0.0</v>
      </c>
      <c r="AL4" s="1">
        <v>5.0</v>
      </c>
      <c r="AM4" s="1">
        <v>6.0</v>
      </c>
      <c r="AN4" s="1">
        <v>1.0</v>
      </c>
    </row>
    <row r="5">
      <c r="A5" s="1">
        <v>42.0</v>
      </c>
      <c r="B5" s="1" t="s">
        <v>84</v>
      </c>
      <c r="C5" s="1" t="s">
        <v>85</v>
      </c>
      <c r="D5" s="1" t="s">
        <v>86</v>
      </c>
      <c r="E5" s="1" t="s">
        <v>43</v>
      </c>
      <c r="F5" s="2">
        <v>22975.0</v>
      </c>
      <c r="G5" s="1" t="s">
        <v>87</v>
      </c>
      <c r="H5" s="1">
        <v>1.0</v>
      </c>
      <c r="I5" s="1" t="s">
        <v>88</v>
      </c>
      <c r="J5" s="1">
        <v>1.0</v>
      </c>
      <c r="K5" s="2">
        <v>42907.0</v>
      </c>
      <c r="M5" s="1">
        <v>0.0</v>
      </c>
      <c r="N5" s="1" t="s">
        <v>61</v>
      </c>
      <c r="O5" s="1" t="s">
        <v>62</v>
      </c>
      <c r="P5" s="1" t="s">
        <v>89</v>
      </c>
      <c r="S5" s="1" t="s">
        <v>90</v>
      </c>
      <c r="T5" s="1">
        <v>41.0</v>
      </c>
      <c r="U5" s="3" t="s">
        <v>91</v>
      </c>
      <c r="V5" s="1">
        <v>330008.0</v>
      </c>
      <c r="W5" s="1" t="s">
        <v>92</v>
      </c>
      <c r="X5" s="3" t="s">
        <v>93</v>
      </c>
      <c r="Y5" s="3" t="s">
        <v>94</v>
      </c>
      <c r="Z5" s="1">
        <v>1.0</v>
      </c>
      <c r="AA5" s="1" t="s">
        <v>95</v>
      </c>
      <c r="AB5" s="1">
        <v>26.0</v>
      </c>
      <c r="AC5" s="1">
        <v>44.0</v>
      </c>
      <c r="AD5" s="1">
        <v>49.0</v>
      </c>
      <c r="AE5" s="1">
        <v>62.0</v>
      </c>
      <c r="AF5" s="1">
        <v>144.0</v>
      </c>
      <c r="AG5" s="1">
        <v>112.0</v>
      </c>
      <c r="AH5" s="1">
        <v>693.0</v>
      </c>
      <c r="AI5" s="1">
        <v>19.0</v>
      </c>
      <c r="AJ5" s="1">
        <v>0.0</v>
      </c>
      <c r="AK5" s="1">
        <v>1.0</v>
      </c>
      <c r="AL5" s="1">
        <v>30.0</v>
      </c>
      <c r="AM5" s="1">
        <v>19.0</v>
      </c>
      <c r="AN5" s="1">
        <v>1.0</v>
      </c>
    </row>
    <row r="6">
      <c r="A6" s="1">
        <v>523.0</v>
      </c>
      <c r="B6" s="1" t="s">
        <v>96</v>
      </c>
      <c r="C6" s="1" t="s">
        <v>97</v>
      </c>
      <c r="D6" s="1" t="s">
        <v>98</v>
      </c>
      <c r="E6" s="1" t="s">
        <v>43</v>
      </c>
      <c r="F6" s="2">
        <v>21272.0</v>
      </c>
      <c r="G6" s="1" t="s">
        <v>99</v>
      </c>
      <c r="H6" s="1">
        <v>3.0</v>
      </c>
      <c r="I6" s="1" t="s">
        <v>100</v>
      </c>
      <c r="J6" s="1">
        <v>1.0</v>
      </c>
      <c r="K6" s="2">
        <v>42907.0</v>
      </c>
      <c r="M6" s="1">
        <v>0.0</v>
      </c>
      <c r="N6" s="1" t="s">
        <v>101</v>
      </c>
      <c r="O6" s="1" t="s">
        <v>102</v>
      </c>
      <c r="P6" s="1" t="s">
        <v>103</v>
      </c>
      <c r="S6" s="1" t="s">
        <v>104</v>
      </c>
      <c r="T6" s="1">
        <v>591.0</v>
      </c>
      <c r="U6" s="3" t="s">
        <v>105</v>
      </c>
      <c r="V6" s="1">
        <v>718720.0</v>
      </c>
      <c r="W6" s="1" t="s">
        <v>106</v>
      </c>
      <c r="X6" s="3" t="s">
        <v>107</v>
      </c>
      <c r="Y6" s="3" t="s">
        <v>108</v>
      </c>
      <c r="Z6" s="1">
        <v>1.0</v>
      </c>
      <c r="AA6" s="1" t="s">
        <v>109</v>
      </c>
      <c r="AB6" s="1">
        <v>26.0</v>
      </c>
      <c r="AC6" s="1">
        <v>55.0</v>
      </c>
      <c r="AD6" s="1">
        <v>59.0</v>
      </c>
      <c r="AE6" s="1">
        <v>170.0</v>
      </c>
      <c r="AF6" s="1">
        <v>204.0</v>
      </c>
      <c r="AG6" s="1">
        <v>84.0</v>
      </c>
      <c r="AH6" s="1">
        <v>718.0</v>
      </c>
      <c r="AI6" s="1">
        <v>28.0</v>
      </c>
      <c r="AJ6" s="1">
        <v>0.0</v>
      </c>
      <c r="AK6" s="1">
        <v>1.0</v>
      </c>
      <c r="AL6" s="1">
        <v>19.0</v>
      </c>
      <c r="AM6" s="1">
        <v>10.0</v>
      </c>
      <c r="AN6" s="1">
        <v>3.0</v>
      </c>
    </row>
    <row r="7">
      <c r="A7" s="1">
        <v>350.0</v>
      </c>
      <c r="B7" s="1" t="s">
        <v>110</v>
      </c>
      <c r="C7" s="1" t="s">
        <v>111</v>
      </c>
      <c r="D7" s="1" t="s">
        <v>112</v>
      </c>
      <c r="E7" s="1" t="s">
        <v>58</v>
      </c>
      <c r="F7" s="2">
        <v>23656.0</v>
      </c>
      <c r="G7" s="1" t="s">
        <v>113</v>
      </c>
      <c r="H7" s="1">
        <v>63.0</v>
      </c>
      <c r="I7" s="1" t="s">
        <v>114</v>
      </c>
      <c r="J7" s="1">
        <v>2.0</v>
      </c>
      <c r="K7" s="2">
        <v>42907.0</v>
      </c>
      <c r="M7" s="1">
        <v>0.0</v>
      </c>
      <c r="N7" s="1" t="s">
        <v>115</v>
      </c>
      <c r="O7" s="1" t="s">
        <v>116</v>
      </c>
      <c r="P7" s="1" t="s">
        <v>117</v>
      </c>
      <c r="S7" s="1" t="s">
        <v>118</v>
      </c>
      <c r="T7" s="1">
        <v>507.0</v>
      </c>
      <c r="U7" s="3" t="s">
        <v>119</v>
      </c>
      <c r="V7" s="1">
        <v>608172.0</v>
      </c>
      <c r="W7" s="1" t="s">
        <v>120</v>
      </c>
      <c r="X7" s="3" t="s">
        <v>121</v>
      </c>
      <c r="Y7" s="3" t="s">
        <v>122</v>
      </c>
      <c r="Z7" s="1">
        <v>1.0</v>
      </c>
      <c r="AA7" s="1" t="s">
        <v>123</v>
      </c>
      <c r="AB7" s="1">
        <v>26.0</v>
      </c>
      <c r="AC7" s="1">
        <v>54.0</v>
      </c>
      <c r="AD7" s="1">
        <v>94.0</v>
      </c>
      <c r="AE7" s="1">
        <v>212.0</v>
      </c>
      <c r="AF7" s="1">
        <v>88.0</v>
      </c>
      <c r="AG7" s="1">
        <v>74.0</v>
      </c>
      <c r="AH7" s="1">
        <v>1230.0</v>
      </c>
      <c r="AI7" s="1">
        <v>94.0</v>
      </c>
      <c r="AJ7" s="1">
        <v>1.0</v>
      </c>
      <c r="AK7" s="1">
        <v>0.0</v>
      </c>
      <c r="AL7" s="1">
        <v>6.0</v>
      </c>
      <c r="AM7" s="1">
        <v>25.0</v>
      </c>
      <c r="AN7" s="1">
        <v>6.0</v>
      </c>
    </row>
    <row r="8">
      <c r="A8" s="1">
        <v>266.0</v>
      </c>
      <c r="B8" s="1" t="s">
        <v>124</v>
      </c>
      <c r="C8" s="1" t="s">
        <v>125</v>
      </c>
      <c r="D8" s="1" t="s">
        <v>126</v>
      </c>
      <c r="E8" s="1" t="s">
        <v>43</v>
      </c>
      <c r="F8" s="2">
        <v>22345.0</v>
      </c>
      <c r="G8" s="1" t="s">
        <v>127</v>
      </c>
      <c r="H8" s="1">
        <v>39.0</v>
      </c>
      <c r="I8" s="1" t="s">
        <v>128</v>
      </c>
      <c r="J8" s="1">
        <v>3.0</v>
      </c>
      <c r="K8" s="2">
        <v>42907.0</v>
      </c>
      <c r="M8" s="1">
        <v>0.0</v>
      </c>
      <c r="N8" s="1" t="s">
        <v>61</v>
      </c>
      <c r="O8" s="1" t="s">
        <v>62</v>
      </c>
      <c r="P8" s="1" t="s">
        <v>129</v>
      </c>
      <c r="S8" s="1" t="s">
        <v>130</v>
      </c>
      <c r="T8" s="1">
        <v>86.0</v>
      </c>
      <c r="U8" s="3" t="s">
        <v>131</v>
      </c>
      <c r="V8" s="1">
        <v>267204.0</v>
      </c>
      <c r="W8" s="1" t="s">
        <v>132</v>
      </c>
      <c r="X8" s="3" t="s">
        <v>133</v>
      </c>
      <c r="Y8" s="3" t="s">
        <v>134</v>
      </c>
      <c r="Z8" s="1">
        <v>1.0</v>
      </c>
      <c r="AA8" s="1" t="s">
        <v>135</v>
      </c>
      <c r="AB8" s="1">
        <v>26.0</v>
      </c>
      <c r="AC8" s="1">
        <v>41.0</v>
      </c>
      <c r="AD8" s="1">
        <v>50.0</v>
      </c>
      <c r="AE8" s="1">
        <v>35.0</v>
      </c>
      <c r="AF8" s="1">
        <v>41.0</v>
      </c>
      <c r="AG8" s="1">
        <v>23.0</v>
      </c>
      <c r="AH8" s="1">
        <v>1127.0</v>
      </c>
      <c r="AI8" s="1">
        <v>30.0</v>
      </c>
      <c r="AJ8" s="1">
        <v>0.0</v>
      </c>
      <c r="AK8" s="1">
        <v>1.0</v>
      </c>
      <c r="AL8" s="1">
        <v>76.0</v>
      </c>
      <c r="AM8" s="1">
        <v>16.0</v>
      </c>
      <c r="AN8" s="1">
        <v>2.0</v>
      </c>
    </row>
    <row r="9">
      <c r="A9" s="1">
        <v>202.0</v>
      </c>
      <c r="B9" s="1" t="s">
        <v>136</v>
      </c>
      <c r="C9" s="1" t="s">
        <v>41</v>
      </c>
      <c r="D9" s="1" t="s">
        <v>137</v>
      </c>
      <c r="E9" s="1" t="s">
        <v>43</v>
      </c>
      <c r="F9" s="2">
        <v>25498.0</v>
      </c>
      <c r="G9" s="1" t="s">
        <v>138</v>
      </c>
      <c r="H9" s="1">
        <v>43.0</v>
      </c>
      <c r="I9" s="1" t="s">
        <v>139</v>
      </c>
      <c r="J9" s="1">
        <v>2.0</v>
      </c>
      <c r="K9" s="2">
        <v>42907.0</v>
      </c>
      <c r="M9" s="1">
        <v>0.0</v>
      </c>
      <c r="N9" s="1" t="s">
        <v>61</v>
      </c>
      <c r="O9" s="1" t="s">
        <v>62</v>
      </c>
      <c r="P9" s="1" t="s">
        <v>140</v>
      </c>
      <c r="S9" s="1" t="s">
        <v>118</v>
      </c>
      <c r="T9" s="1">
        <v>54.0</v>
      </c>
      <c r="U9" s="3" t="s">
        <v>141</v>
      </c>
      <c r="V9" s="1">
        <v>607090.0</v>
      </c>
      <c r="W9" s="1" t="s">
        <v>142</v>
      </c>
      <c r="X9" s="3" t="s">
        <v>143</v>
      </c>
      <c r="Y9" s="3" t="s">
        <v>144</v>
      </c>
      <c r="Z9" s="1">
        <v>2.0</v>
      </c>
      <c r="AA9" s="1" t="s">
        <v>145</v>
      </c>
      <c r="AB9" s="1">
        <v>26.0</v>
      </c>
      <c r="AC9" s="1">
        <v>46.0</v>
      </c>
      <c r="AD9" s="1">
        <v>43.0</v>
      </c>
      <c r="AE9" s="1">
        <v>54.0</v>
      </c>
      <c r="AF9" s="1">
        <v>112.0</v>
      </c>
      <c r="AG9" s="1">
        <v>21.0</v>
      </c>
      <c r="AH9" s="1">
        <v>1062.0</v>
      </c>
      <c r="AI9" s="1">
        <v>39.0</v>
      </c>
      <c r="AJ9" s="1">
        <v>0.0</v>
      </c>
      <c r="AK9" s="1">
        <v>0.0</v>
      </c>
      <c r="AL9" s="1">
        <v>34.0</v>
      </c>
      <c r="AM9" s="1">
        <v>13.0</v>
      </c>
      <c r="AN9" s="1">
        <v>2.0</v>
      </c>
    </row>
    <row r="10">
      <c r="A10" s="1">
        <v>508.0</v>
      </c>
      <c r="B10" s="1" t="s">
        <v>146</v>
      </c>
      <c r="C10" s="1" t="s">
        <v>147</v>
      </c>
      <c r="D10" s="1" t="s">
        <v>148</v>
      </c>
      <c r="E10" s="1" t="s">
        <v>43</v>
      </c>
      <c r="F10" s="2">
        <v>21343.0</v>
      </c>
      <c r="G10" s="1" t="s">
        <v>73</v>
      </c>
      <c r="H10" s="1">
        <v>25.0</v>
      </c>
      <c r="I10" s="1" t="s">
        <v>149</v>
      </c>
      <c r="J10" s="1">
        <v>2.0</v>
      </c>
      <c r="K10" s="2">
        <v>42907.0</v>
      </c>
      <c r="M10" s="1">
        <v>0.0</v>
      </c>
      <c r="N10" s="1" t="s">
        <v>75</v>
      </c>
      <c r="O10" s="1" t="s">
        <v>76</v>
      </c>
      <c r="P10" s="1" t="s">
        <v>150</v>
      </c>
      <c r="S10" s="1" t="s">
        <v>151</v>
      </c>
      <c r="T10" s="1">
        <v>464.0</v>
      </c>
      <c r="U10" s="3" t="s">
        <v>152</v>
      </c>
      <c r="V10" s="1">
        <v>605963.0</v>
      </c>
      <c r="W10" s="1" t="s">
        <v>153</v>
      </c>
      <c r="X10" s="3" t="s">
        <v>154</v>
      </c>
      <c r="Y10" s="3" t="s">
        <v>155</v>
      </c>
      <c r="Z10" s="1">
        <v>1.0</v>
      </c>
      <c r="AA10" s="1" t="s">
        <v>156</v>
      </c>
      <c r="AB10" s="1">
        <v>25.0</v>
      </c>
      <c r="AC10" s="1">
        <v>65.0</v>
      </c>
      <c r="AD10" s="1">
        <v>124.0</v>
      </c>
      <c r="AE10" s="1">
        <v>91.0</v>
      </c>
      <c r="AF10" s="1">
        <v>61.0</v>
      </c>
      <c r="AG10" s="1">
        <v>165.0</v>
      </c>
      <c r="AH10" s="1">
        <v>338.0</v>
      </c>
      <c r="AI10" s="1">
        <v>109.0</v>
      </c>
      <c r="AJ10" s="1">
        <v>1.0</v>
      </c>
      <c r="AK10" s="1">
        <v>0.0</v>
      </c>
      <c r="AL10" s="1">
        <v>5.0</v>
      </c>
      <c r="AM10" s="1">
        <v>28.0</v>
      </c>
      <c r="AN10" s="1">
        <v>1.0</v>
      </c>
    </row>
    <row r="11">
      <c r="A11" s="1">
        <v>58.0</v>
      </c>
      <c r="B11" s="1" t="s">
        <v>157</v>
      </c>
      <c r="C11" s="1" t="s">
        <v>158</v>
      </c>
      <c r="D11" s="1" t="s">
        <v>159</v>
      </c>
      <c r="E11" s="1" t="s">
        <v>43</v>
      </c>
      <c r="F11" s="2">
        <v>30982.0</v>
      </c>
      <c r="G11" s="1" t="s">
        <v>73</v>
      </c>
      <c r="H11" s="1">
        <v>54.0</v>
      </c>
      <c r="I11" s="1" t="s">
        <v>160</v>
      </c>
      <c r="J11" s="1">
        <v>4.0</v>
      </c>
      <c r="K11" s="2">
        <v>42907.0</v>
      </c>
      <c r="M11" s="1">
        <v>0.0</v>
      </c>
      <c r="N11" s="1" t="s">
        <v>61</v>
      </c>
      <c r="O11" s="1" t="s">
        <v>62</v>
      </c>
      <c r="P11" s="1" t="s">
        <v>161</v>
      </c>
      <c r="S11" s="1" t="s">
        <v>162</v>
      </c>
      <c r="T11" s="1">
        <v>12.0</v>
      </c>
      <c r="U11" s="3" t="s">
        <v>163</v>
      </c>
      <c r="V11" s="1">
        <v>642847.0</v>
      </c>
      <c r="W11" s="1" t="s">
        <v>164</v>
      </c>
      <c r="X11" s="3" t="s">
        <v>165</v>
      </c>
      <c r="Y11" s="3" t="s">
        <v>166</v>
      </c>
      <c r="Z11" s="1">
        <v>1.0</v>
      </c>
      <c r="AA11" s="1" t="s">
        <v>167</v>
      </c>
      <c r="AB11" s="1">
        <v>25.0</v>
      </c>
      <c r="AC11" s="1">
        <v>67.0</v>
      </c>
      <c r="AD11" s="1">
        <v>132.0</v>
      </c>
      <c r="AE11" s="1">
        <v>275.0</v>
      </c>
      <c r="AF11" s="1">
        <v>760.0</v>
      </c>
      <c r="AG11" s="1">
        <v>144.0</v>
      </c>
      <c r="AH11" s="1">
        <v>2215.0</v>
      </c>
      <c r="AI11" s="1">
        <v>66.0</v>
      </c>
      <c r="AJ11" s="1">
        <v>0.0</v>
      </c>
      <c r="AK11" s="1">
        <v>5.0</v>
      </c>
      <c r="AL11" s="1">
        <v>115.0</v>
      </c>
      <c r="AM11" s="1">
        <v>30.0</v>
      </c>
      <c r="AN11" s="1">
        <v>2.0</v>
      </c>
    </row>
    <row r="12">
      <c r="A12" s="1">
        <v>260.0</v>
      </c>
      <c r="B12" s="1" t="s">
        <v>168</v>
      </c>
      <c r="C12" s="1" t="s">
        <v>169</v>
      </c>
      <c r="D12" s="1" t="s">
        <v>170</v>
      </c>
      <c r="E12" s="1" t="s">
        <v>43</v>
      </c>
      <c r="F12" s="2">
        <v>32776.0</v>
      </c>
      <c r="G12" s="1" t="s">
        <v>171</v>
      </c>
      <c r="H12" s="1">
        <v>59.0</v>
      </c>
      <c r="I12" s="1" t="s">
        <v>172</v>
      </c>
      <c r="J12" s="1">
        <v>2.0</v>
      </c>
      <c r="K12" s="2">
        <v>42907.0</v>
      </c>
      <c r="M12" s="1">
        <v>0.0</v>
      </c>
      <c r="N12" s="1" t="s">
        <v>173</v>
      </c>
      <c r="O12" s="1" t="s">
        <v>174</v>
      </c>
      <c r="P12" s="1" t="s">
        <v>175</v>
      </c>
      <c r="S12" s="1" t="s">
        <v>118</v>
      </c>
      <c r="T12" s="1">
        <v>629.0</v>
      </c>
      <c r="U12" s="3" t="s">
        <v>176</v>
      </c>
      <c r="V12" s="1">
        <v>720430.0</v>
      </c>
      <c r="W12" s="1" t="s">
        <v>177</v>
      </c>
      <c r="X12" s="3" t="s">
        <v>178</v>
      </c>
      <c r="Y12" s="3" t="s">
        <v>179</v>
      </c>
      <c r="Z12" s="1">
        <v>1.0</v>
      </c>
      <c r="AA12" s="1" t="s">
        <v>180</v>
      </c>
      <c r="AB12" s="1">
        <v>25.0</v>
      </c>
      <c r="AC12" s="1">
        <v>45.0</v>
      </c>
      <c r="AD12" s="1">
        <v>228.0</v>
      </c>
      <c r="AE12" s="1">
        <v>466.0</v>
      </c>
      <c r="AF12" s="1">
        <v>538.0</v>
      </c>
      <c r="AG12" s="1">
        <v>334.0</v>
      </c>
      <c r="AH12" s="1">
        <v>2062.0</v>
      </c>
      <c r="AI12" s="1">
        <v>32.0</v>
      </c>
      <c r="AJ12" s="1">
        <v>0.0</v>
      </c>
      <c r="AK12" s="1">
        <v>0.0</v>
      </c>
      <c r="AL12" s="1">
        <v>13.0</v>
      </c>
      <c r="AM12" s="1">
        <v>10.0</v>
      </c>
      <c r="AN12" s="1">
        <v>3.0</v>
      </c>
    </row>
    <row r="13">
      <c r="A13" s="1">
        <v>262.0</v>
      </c>
      <c r="B13" s="1" t="s">
        <v>181</v>
      </c>
      <c r="C13" s="1" t="s">
        <v>182</v>
      </c>
      <c r="D13" s="1" t="s">
        <v>183</v>
      </c>
      <c r="E13" s="1" t="s">
        <v>43</v>
      </c>
      <c r="F13" s="2">
        <v>21181.0</v>
      </c>
      <c r="G13" s="1" t="s">
        <v>184</v>
      </c>
      <c r="H13" s="1">
        <v>2.0</v>
      </c>
      <c r="I13" s="1" t="s">
        <v>185</v>
      </c>
      <c r="J13" s="1">
        <v>3.0</v>
      </c>
      <c r="K13" s="2">
        <v>42907.0</v>
      </c>
      <c r="M13" s="1">
        <v>0.0</v>
      </c>
      <c r="N13" s="1" t="s">
        <v>115</v>
      </c>
      <c r="O13" s="1" t="s">
        <v>116</v>
      </c>
      <c r="P13" s="1" t="s">
        <v>186</v>
      </c>
      <c r="S13" s="1" t="s">
        <v>187</v>
      </c>
      <c r="T13" s="1">
        <v>498.0</v>
      </c>
      <c r="U13" s="3" t="s">
        <v>188</v>
      </c>
      <c r="V13" s="1">
        <v>605069.0</v>
      </c>
      <c r="W13" s="1" t="s">
        <v>189</v>
      </c>
      <c r="X13" s="3" t="s">
        <v>190</v>
      </c>
      <c r="Y13" s="3" t="s">
        <v>191</v>
      </c>
      <c r="Z13" s="1">
        <v>1.0</v>
      </c>
      <c r="AA13" s="1" t="s">
        <v>192</v>
      </c>
      <c r="AB13" s="1">
        <v>25.0</v>
      </c>
      <c r="AC13" s="1">
        <v>61.0</v>
      </c>
      <c r="AD13" s="1">
        <v>82.0</v>
      </c>
      <c r="AE13" s="1">
        <v>161.0</v>
      </c>
      <c r="AF13" s="1">
        <v>187.0</v>
      </c>
      <c r="AG13" s="1">
        <v>13.0</v>
      </c>
      <c r="AH13" s="1">
        <v>1170.0</v>
      </c>
      <c r="AI13" s="1">
        <v>88.0</v>
      </c>
      <c r="AJ13" s="1">
        <v>0.0</v>
      </c>
      <c r="AK13" s="1">
        <v>0.0</v>
      </c>
      <c r="AL13" s="1">
        <v>5.0</v>
      </c>
      <c r="AM13" s="1">
        <v>25.0</v>
      </c>
      <c r="AN13" s="1">
        <v>3.0</v>
      </c>
    </row>
    <row r="14">
      <c r="A14" s="1">
        <v>316.0</v>
      </c>
      <c r="B14" s="1" t="s">
        <v>193</v>
      </c>
      <c r="C14" s="1" t="s">
        <v>194</v>
      </c>
      <c r="D14" s="1" t="s">
        <v>148</v>
      </c>
      <c r="E14" s="1" t="s">
        <v>43</v>
      </c>
      <c r="F14" s="2">
        <v>21549.0</v>
      </c>
      <c r="G14" s="1" t="s">
        <v>195</v>
      </c>
      <c r="H14" s="1">
        <v>93.0</v>
      </c>
      <c r="I14" s="1" t="s">
        <v>196</v>
      </c>
      <c r="J14" s="1">
        <v>1.0</v>
      </c>
      <c r="K14" s="2">
        <v>42907.0</v>
      </c>
      <c r="M14" s="1">
        <v>0.0</v>
      </c>
      <c r="N14" s="1" t="s">
        <v>173</v>
      </c>
      <c r="O14" s="1" t="s">
        <v>174</v>
      </c>
      <c r="P14" s="1" t="s">
        <v>197</v>
      </c>
      <c r="S14" s="1" t="s">
        <v>198</v>
      </c>
      <c r="T14" s="1">
        <v>610.0</v>
      </c>
      <c r="U14" s="3" t="s">
        <v>199</v>
      </c>
      <c r="V14" s="1">
        <v>721202.0</v>
      </c>
      <c r="W14" s="1" t="s">
        <v>200</v>
      </c>
      <c r="X14" s="3" t="s">
        <v>201</v>
      </c>
      <c r="Y14" s="3" t="s">
        <v>202</v>
      </c>
      <c r="Z14" s="1">
        <v>1.0</v>
      </c>
      <c r="AA14" s="1" t="s">
        <v>203</v>
      </c>
      <c r="AB14" s="1">
        <v>25.0</v>
      </c>
      <c r="AC14" s="1">
        <v>67.0</v>
      </c>
      <c r="AD14" s="1">
        <v>169.0</v>
      </c>
      <c r="AE14" s="1">
        <v>514.0</v>
      </c>
      <c r="AF14" s="1">
        <v>370.0</v>
      </c>
      <c r="AG14" s="1">
        <v>220.0</v>
      </c>
      <c r="AH14" s="1">
        <v>2065.0</v>
      </c>
      <c r="AI14" s="1">
        <v>33.0</v>
      </c>
      <c r="AJ14" s="1">
        <v>2.0</v>
      </c>
      <c r="AK14" s="1">
        <v>2.0</v>
      </c>
      <c r="AL14" s="1">
        <v>14.0</v>
      </c>
      <c r="AM14" s="1">
        <v>5.0</v>
      </c>
      <c r="AN14" s="1">
        <v>3.0</v>
      </c>
    </row>
    <row r="15">
      <c r="A15" s="1">
        <v>553.0</v>
      </c>
      <c r="B15" s="1" t="s">
        <v>204</v>
      </c>
      <c r="C15" s="1" t="s">
        <v>205</v>
      </c>
      <c r="D15" s="1" t="s">
        <v>206</v>
      </c>
      <c r="E15" s="1" t="s">
        <v>43</v>
      </c>
      <c r="F15" s="2">
        <v>19086.0</v>
      </c>
      <c r="G15" s="1" t="s">
        <v>207</v>
      </c>
      <c r="H15" s="1">
        <v>51.0</v>
      </c>
      <c r="I15" s="1" t="s">
        <v>208</v>
      </c>
      <c r="J15" s="1">
        <v>5.0</v>
      </c>
      <c r="K15" s="2">
        <v>42907.0</v>
      </c>
      <c r="M15" s="1">
        <v>0.0</v>
      </c>
      <c r="N15" s="1" t="s">
        <v>46</v>
      </c>
      <c r="O15" s="1" t="s">
        <v>47</v>
      </c>
      <c r="P15" s="3" t="s">
        <v>209</v>
      </c>
      <c r="S15" s="1" t="s">
        <v>210</v>
      </c>
      <c r="T15" s="1">
        <v>147.0</v>
      </c>
      <c r="U15" s="3" t="s">
        <v>211</v>
      </c>
      <c r="V15" s="1">
        <v>942.0</v>
      </c>
      <c r="W15" s="1" t="s">
        <v>212</v>
      </c>
      <c r="X15" s="3" t="s">
        <v>213</v>
      </c>
      <c r="Y15" s="3" t="s">
        <v>214</v>
      </c>
      <c r="Z15" s="1">
        <v>3.0</v>
      </c>
      <c r="AA15" s="1" t="s">
        <v>215</v>
      </c>
      <c r="AB15" s="1">
        <v>25.0</v>
      </c>
      <c r="AC15" s="1">
        <v>69.0</v>
      </c>
      <c r="AD15" s="1">
        <v>323.0</v>
      </c>
      <c r="AE15" s="1">
        <v>670.0</v>
      </c>
      <c r="AF15" s="1">
        <v>332.0</v>
      </c>
      <c r="AG15" s="1">
        <v>336.0</v>
      </c>
      <c r="AH15" s="1">
        <v>770.0</v>
      </c>
      <c r="AI15" s="1">
        <v>40.0</v>
      </c>
      <c r="AJ15" s="1">
        <v>0.0</v>
      </c>
      <c r="AK15" s="1">
        <v>1.0</v>
      </c>
      <c r="AL15" s="1">
        <v>7.0</v>
      </c>
      <c r="AM15" s="1">
        <v>2.0</v>
      </c>
      <c r="AN15" s="1">
        <v>5.0</v>
      </c>
    </row>
    <row r="16">
      <c r="A16" s="1">
        <v>519.0</v>
      </c>
      <c r="B16" s="1" t="s">
        <v>216</v>
      </c>
      <c r="C16" s="1" t="s">
        <v>217</v>
      </c>
      <c r="D16" s="1" t="s">
        <v>218</v>
      </c>
      <c r="E16" s="1" t="s">
        <v>58</v>
      </c>
      <c r="F16" s="2">
        <v>26971.0</v>
      </c>
      <c r="G16" s="1" t="s">
        <v>219</v>
      </c>
      <c r="H16" s="1">
        <v>49.0</v>
      </c>
      <c r="I16" s="1" t="s">
        <v>220</v>
      </c>
      <c r="J16" s="1">
        <v>2.0</v>
      </c>
      <c r="K16" s="2">
        <v>42907.0</v>
      </c>
      <c r="M16" s="1">
        <v>0.0</v>
      </c>
      <c r="N16" s="1" t="s">
        <v>75</v>
      </c>
      <c r="O16" s="1" t="s">
        <v>76</v>
      </c>
      <c r="P16" s="1" t="s">
        <v>221</v>
      </c>
      <c r="S16" s="1" t="s">
        <v>222</v>
      </c>
      <c r="T16" s="1">
        <v>527.0</v>
      </c>
      <c r="U16" s="3" t="s">
        <v>223</v>
      </c>
      <c r="V16" s="1">
        <v>643175.0</v>
      </c>
      <c r="W16" s="1" t="s">
        <v>224</v>
      </c>
      <c r="X16" s="3" t="s">
        <v>225</v>
      </c>
      <c r="Y16" s="3" t="s">
        <v>226</v>
      </c>
      <c r="Z16" s="1">
        <v>2.0</v>
      </c>
      <c r="AA16" s="1" t="s">
        <v>227</v>
      </c>
      <c r="AB16" s="1">
        <v>25.0</v>
      </c>
      <c r="AC16" s="1">
        <v>60.0</v>
      </c>
      <c r="AD16" s="1">
        <v>12.0</v>
      </c>
      <c r="AE16" s="1">
        <v>41.0</v>
      </c>
      <c r="AF16" s="1">
        <v>23.0</v>
      </c>
      <c r="AG16" s="1">
        <v>3.0</v>
      </c>
      <c r="AH16" s="1">
        <v>162.0</v>
      </c>
      <c r="AI16" s="1">
        <v>109.0</v>
      </c>
      <c r="AJ16" s="1">
        <v>1.0</v>
      </c>
      <c r="AK16" s="1">
        <v>0.0</v>
      </c>
      <c r="AL16" s="1">
        <v>5.0</v>
      </c>
      <c r="AM16" s="1">
        <v>0.0</v>
      </c>
      <c r="AN16" s="1">
        <v>0.0</v>
      </c>
    </row>
    <row r="17">
      <c r="A17" s="1">
        <v>143.0</v>
      </c>
      <c r="B17" s="1" t="s">
        <v>228</v>
      </c>
      <c r="C17" s="1" t="s">
        <v>229</v>
      </c>
      <c r="D17" s="1" t="s">
        <v>230</v>
      </c>
      <c r="E17" s="1" t="s">
        <v>43</v>
      </c>
      <c r="F17" s="2">
        <v>30085.0</v>
      </c>
      <c r="G17" s="1" t="s">
        <v>231</v>
      </c>
      <c r="H17" s="1">
        <v>75.0</v>
      </c>
      <c r="I17" s="1" t="s">
        <v>232</v>
      </c>
      <c r="J17" s="1">
        <v>3.0</v>
      </c>
      <c r="K17" s="2">
        <v>42907.0</v>
      </c>
      <c r="M17" s="1">
        <v>0.0</v>
      </c>
      <c r="N17" s="1" t="s">
        <v>75</v>
      </c>
      <c r="O17" s="1" t="s">
        <v>76</v>
      </c>
      <c r="P17" s="1" t="s">
        <v>233</v>
      </c>
      <c r="S17" s="1" t="s">
        <v>234</v>
      </c>
      <c r="T17" s="1">
        <v>293.0</v>
      </c>
      <c r="U17" s="3" t="s">
        <v>235</v>
      </c>
      <c r="V17" s="1">
        <v>721498.0</v>
      </c>
      <c r="W17" s="1" t="s">
        <v>236</v>
      </c>
      <c r="X17" s="3" t="s">
        <v>237</v>
      </c>
      <c r="Y17" s="3" t="s">
        <v>238</v>
      </c>
      <c r="Z17" s="1">
        <v>1.0</v>
      </c>
      <c r="AA17" s="1" t="s">
        <v>239</v>
      </c>
      <c r="AB17" s="1">
        <v>25.0</v>
      </c>
      <c r="AC17" s="1">
        <v>69.0</v>
      </c>
      <c r="AD17" s="1">
        <v>393.0</v>
      </c>
      <c r="AE17" s="1">
        <v>326.0</v>
      </c>
      <c r="AF17" s="1">
        <v>137.0</v>
      </c>
      <c r="AG17" s="1">
        <v>167.0</v>
      </c>
      <c r="AH17" s="1">
        <v>321.0</v>
      </c>
      <c r="AI17" s="1">
        <v>256.0</v>
      </c>
      <c r="AJ17" s="1">
        <v>2.0</v>
      </c>
      <c r="AK17" s="1">
        <v>0.0</v>
      </c>
      <c r="AL17" s="1">
        <v>5.0</v>
      </c>
      <c r="AM17" s="1">
        <v>1.0</v>
      </c>
      <c r="AN17" s="1">
        <v>1.0</v>
      </c>
    </row>
    <row r="18">
      <c r="A18" s="1">
        <v>570.0</v>
      </c>
      <c r="B18" s="1" t="s">
        <v>240</v>
      </c>
      <c r="C18" s="1" t="s">
        <v>241</v>
      </c>
      <c r="D18" s="1" t="s">
        <v>242</v>
      </c>
      <c r="E18" s="1" t="s">
        <v>43</v>
      </c>
      <c r="F18" s="2">
        <v>23560.0</v>
      </c>
      <c r="G18" s="1" t="s">
        <v>243</v>
      </c>
      <c r="H18" s="1">
        <v>67.0</v>
      </c>
      <c r="I18" s="1" t="s">
        <v>244</v>
      </c>
      <c r="J18" s="1">
        <v>7.0</v>
      </c>
      <c r="K18" s="2">
        <v>42907.0</v>
      </c>
      <c r="M18" s="1">
        <v>0.0</v>
      </c>
      <c r="N18" s="1" t="s">
        <v>61</v>
      </c>
      <c r="O18" s="1" t="s">
        <v>62</v>
      </c>
      <c r="P18" s="1" t="s">
        <v>245</v>
      </c>
      <c r="S18" s="1" t="s">
        <v>246</v>
      </c>
      <c r="T18" s="1">
        <v>79.0</v>
      </c>
      <c r="U18" s="3" t="s">
        <v>247</v>
      </c>
      <c r="V18" s="1">
        <v>608416.0</v>
      </c>
      <c r="W18" s="1" t="s">
        <v>248</v>
      </c>
      <c r="X18" s="3" t="s">
        <v>249</v>
      </c>
      <c r="Y18" s="3" t="s">
        <v>250</v>
      </c>
      <c r="Z18" s="1">
        <v>1.0</v>
      </c>
      <c r="AA18" s="1" t="s">
        <v>251</v>
      </c>
      <c r="AB18" s="1">
        <v>25.0</v>
      </c>
      <c r="AC18" s="1">
        <v>47.0</v>
      </c>
      <c r="AD18" s="1">
        <v>121.0</v>
      </c>
      <c r="AE18" s="1">
        <v>162.0</v>
      </c>
      <c r="AF18" s="1">
        <v>223.0</v>
      </c>
      <c r="AG18" s="1">
        <v>309.0</v>
      </c>
      <c r="AH18" s="1">
        <v>2140.0</v>
      </c>
      <c r="AI18" s="1">
        <v>71.0</v>
      </c>
      <c r="AJ18" s="1">
        <v>1.0</v>
      </c>
      <c r="AK18" s="1">
        <v>3.0</v>
      </c>
      <c r="AL18" s="1">
        <v>94.0</v>
      </c>
      <c r="AM18" s="1">
        <v>28.0</v>
      </c>
      <c r="AN18" s="1">
        <v>2.0</v>
      </c>
    </row>
    <row r="19">
      <c r="A19" s="1">
        <v>352.0</v>
      </c>
      <c r="B19" s="1" t="s">
        <v>252</v>
      </c>
      <c r="C19" s="1" t="s">
        <v>253</v>
      </c>
      <c r="D19" s="1" t="s">
        <v>254</v>
      </c>
      <c r="E19" s="1" t="s">
        <v>43</v>
      </c>
      <c r="F19" s="2">
        <v>31914.0</v>
      </c>
      <c r="G19" s="1" t="s">
        <v>255</v>
      </c>
      <c r="H19" s="1">
        <v>999.0</v>
      </c>
      <c r="I19" s="1" t="s">
        <v>256</v>
      </c>
      <c r="J19" s="1">
        <v>3.0</v>
      </c>
      <c r="K19" s="2">
        <v>42907.0</v>
      </c>
      <c r="M19" s="1">
        <v>0.0</v>
      </c>
      <c r="N19" s="1" t="s">
        <v>75</v>
      </c>
      <c r="O19" s="1" t="s">
        <v>76</v>
      </c>
      <c r="P19" s="1" t="s">
        <v>257</v>
      </c>
      <c r="S19" s="1">
        <v>0.0</v>
      </c>
      <c r="T19" s="1">
        <v>298.0</v>
      </c>
      <c r="U19" s="3" t="s">
        <v>258</v>
      </c>
      <c r="V19" s="1">
        <v>721150.0</v>
      </c>
      <c r="W19" s="1" t="s">
        <v>259</v>
      </c>
      <c r="X19" s="3" t="s">
        <v>260</v>
      </c>
      <c r="Y19" s="3" t="s">
        <v>261</v>
      </c>
      <c r="Z19" s="1">
        <v>1.0</v>
      </c>
      <c r="AA19" s="1" t="s">
        <v>262</v>
      </c>
      <c r="AB19" s="1">
        <v>25.0</v>
      </c>
      <c r="AC19" s="1">
        <v>62.0</v>
      </c>
      <c r="AD19" s="1">
        <v>21.0</v>
      </c>
      <c r="AE19" s="1">
        <v>13.0</v>
      </c>
      <c r="AF19" s="1">
        <v>2.0</v>
      </c>
      <c r="AG19" s="1">
        <v>10.0</v>
      </c>
      <c r="AH19" s="1">
        <v>169.0</v>
      </c>
      <c r="AI19" s="1">
        <v>107.0</v>
      </c>
      <c r="AJ19" s="1">
        <v>1.0</v>
      </c>
      <c r="AK19" s="1">
        <v>0.0</v>
      </c>
      <c r="AL19" s="1">
        <v>5.0</v>
      </c>
      <c r="AM19" s="1">
        <v>5.0</v>
      </c>
      <c r="AN19" s="1">
        <v>1.0</v>
      </c>
    </row>
    <row r="20">
      <c r="A20" s="1">
        <v>245.0</v>
      </c>
      <c r="B20" s="1" t="s">
        <v>263</v>
      </c>
      <c r="C20" s="1" t="s">
        <v>264</v>
      </c>
      <c r="D20" s="1" t="s">
        <v>265</v>
      </c>
      <c r="E20" s="1" t="s">
        <v>58</v>
      </c>
      <c r="F20" s="2">
        <v>21283.0</v>
      </c>
      <c r="G20" s="1" t="s">
        <v>266</v>
      </c>
      <c r="H20" s="1">
        <v>38.0</v>
      </c>
      <c r="I20" s="1" t="s">
        <v>267</v>
      </c>
      <c r="J20" s="1">
        <v>5.0</v>
      </c>
      <c r="K20" s="2">
        <v>42907.0</v>
      </c>
      <c r="M20" s="1">
        <v>0.0</v>
      </c>
      <c r="N20" s="1" t="s">
        <v>75</v>
      </c>
      <c r="O20" s="1" t="s">
        <v>76</v>
      </c>
      <c r="P20" s="1" t="s">
        <v>268</v>
      </c>
      <c r="S20" s="1" t="s">
        <v>269</v>
      </c>
      <c r="T20" s="1">
        <v>335.0</v>
      </c>
      <c r="U20" s="3" t="s">
        <v>270</v>
      </c>
      <c r="V20" s="1">
        <v>719994.0</v>
      </c>
      <c r="W20" s="1" t="s">
        <v>271</v>
      </c>
      <c r="X20" s="3" t="s">
        <v>272</v>
      </c>
      <c r="Y20" s="3" t="s">
        <v>273</v>
      </c>
      <c r="Z20" s="1">
        <v>2.0</v>
      </c>
      <c r="AA20" s="1" t="s">
        <v>274</v>
      </c>
      <c r="AB20" s="1">
        <v>25.0</v>
      </c>
      <c r="AC20" s="1">
        <v>55.0</v>
      </c>
      <c r="AD20" s="1">
        <v>29.0</v>
      </c>
      <c r="AE20" s="1">
        <v>62.0</v>
      </c>
      <c r="AF20" s="1">
        <v>30.0</v>
      </c>
      <c r="AG20" s="1">
        <v>5.0</v>
      </c>
      <c r="AH20" s="1">
        <v>64.0</v>
      </c>
      <c r="AI20" s="1">
        <v>26.0</v>
      </c>
      <c r="AJ20" s="1">
        <v>0.0</v>
      </c>
      <c r="AK20" s="1">
        <v>0.0</v>
      </c>
      <c r="AL20" s="1">
        <v>5.0</v>
      </c>
      <c r="AM20" s="1">
        <v>0.0</v>
      </c>
      <c r="AN20" s="1">
        <v>0.0</v>
      </c>
    </row>
    <row r="21">
      <c r="A21" s="1">
        <v>36.0</v>
      </c>
      <c r="B21" s="1" t="s">
        <v>275</v>
      </c>
      <c r="C21" s="1" t="s">
        <v>276</v>
      </c>
      <c r="D21" s="1" t="s">
        <v>277</v>
      </c>
      <c r="E21" s="1" t="s">
        <v>43</v>
      </c>
      <c r="F21" s="2">
        <v>21765.0</v>
      </c>
      <c r="G21" s="1" t="s">
        <v>278</v>
      </c>
      <c r="H21" s="1">
        <v>13.0</v>
      </c>
      <c r="I21" s="1" t="s">
        <v>279</v>
      </c>
      <c r="J21" s="1">
        <v>11.0</v>
      </c>
      <c r="K21" s="2">
        <v>42907.0</v>
      </c>
      <c r="M21" s="1">
        <v>0.0</v>
      </c>
      <c r="N21" s="1" t="s">
        <v>280</v>
      </c>
      <c r="O21" s="1" t="s">
        <v>281</v>
      </c>
      <c r="P21" s="1" t="s">
        <v>282</v>
      </c>
      <c r="S21" s="1" t="s">
        <v>283</v>
      </c>
      <c r="T21" s="1">
        <v>250.0</v>
      </c>
      <c r="U21" s="3" t="s">
        <v>284</v>
      </c>
      <c r="V21" s="1">
        <v>718978.0</v>
      </c>
      <c r="W21" s="1" t="s">
        <v>285</v>
      </c>
      <c r="X21" s="3" t="s">
        <v>286</v>
      </c>
      <c r="Y21" s="3" t="s">
        <v>287</v>
      </c>
      <c r="Z21" s="1">
        <v>1.0</v>
      </c>
      <c r="AA21" s="1" t="s">
        <v>288</v>
      </c>
      <c r="AB21" s="1">
        <v>25.0</v>
      </c>
      <c r="AC21" s="1">
        <v>73.0</v>
      </c>
      <c r="AD21" s="1">
        <v>101.0</v>
      </c>
      <c r="AE21" s="1">
        <v>69.0</v>
      </c>
      <c r="AF21" s="1">
        <v>54.0</v>
      </c>
      <c r="AG21" s="1">
        <v>110.0</v>
      </c>
      <c r="AH21" s="1">
        <v>424.0</v>
      </c>
      <c r="AI21" s="1">
        <v>60.0</v>
      </c>
      <c r="AJ21" s="1">
        <v>1.0</v>
      </c>
      <c r="AK21" s="1">
        <v>0.0</v>
      </c>
      <c r="AL21" s="1">
        <v>5.0</v>
      </c>
      <c r="AM21" s="1">
        <v>4.0</v>
      </c>
      <c r="AN21" s="1">
        <v>2.0</v>
      </c>
    </row>
    <row r="22">
      <c r="A22" s="1">
        <v>562.0</v>
      </c>
      <c r="B22" s="1" t="s">
        <v>289</v>
      </c>
      <c r="C22" s="1" t="s">
        <v>290</v>
      </c>
      <c r="D22" s="1" t="s">
        <v>291</v>
      </c>
      <c r="E22" s="1" t="s">
        <v>58</v>
      </c>
      <c r="F22" s="2">
        <v>27423.0</v>
      </c>
      <c r="G22" s="1" t="s">
        <v>292</v>
      </c>
      <c r="H22" s="1">
        <v>38.0</v>
      </c>
      <c r="I22" s="1" t="s">
        <v>267</v>
      </c>
      <c r="J22" s="1">
        <v>6.0</v>
      </c>
      <c r="K22" s="2">
        <v>42907.0</v>
      </c>
      <c r="M22" s="1">
        <v>0.0</v>
      </c>
      <c r="N22" s="1" t="s">
        <v>75</v>
      </c>
      <c r="O22" s="1" t="s">
        <v>76</v>
      </c>
      <c r="S22" s="1" t="s">
        <v>293</v>
      </c>
      <c r="T22" s="1">
        <v>385.0</v>
      </c>
      <c r="U22" s="3" t="s">
        <v>294</v>
      </c>
      <c r="V22" s="1">
        <v>719850.0</v>
      </c>
      <c r="W22" s="1" t="s">
        <v>295</v>
      </c>
      <c r="X22" s="3" t="s">
        <v>296</v>
      </c>
      <c r="Y22" s="3" t="s">
        <v>297</v>
      </c>
      <c r="Z22" s="1">
        <v>1.0</v>
      </c>
      <c r="AB22" s="1">
        <v>25.0</v>
      </c>
      <c r="AC22" s="1">
        <v>84.0</v>
      </c>
      <c r="AD22" s="1">
        <v>51.0</v>
      </c>
      <c r="AE22" s="1">
        <v>414.0</v>
      </c>
      <c r="AF22" s="1">
        <v>1822.0</v>
      </c>
      <c r="AG22" s="1">
        <v>13.0</v>
      </c>
      <c r="AH22" s="1">
        <v>231.0</v>
      </c>
      <c r="AI22" s="1">
        <v>138.0</v>
      </c>
      <c r="AJ22" s="1">
        <v>1.0</v>
      </c>
      <c r="AK22" s="1">
        <v>0.0</v>
      </c>
      <c r="AL22" s="1">
        <v>5.0</v>
      </c>
      <c r="AM22" s="1">
        <v>0.0</v>
      </c>
      <c r="AN22" s="1">
        <v>1.0</v>
      </c>
    </row>
    <row r="23">
      <c r="A23" s="1">
        <v>390.0</v>
      </c>
      <c r="B23" s="1" t="s">
        <v>298</v>
      </c>
      <c r="C23" s="1" t="s">
        <v>299</v>
      </c>
      <c r="D23" s="1" t="s">
        <v>300</v>
      </c>
      <c r="E23" s="1" t="s">
        <v>58</v>
      </c>
      <c r="F23" s="2">
        <v>29529.0</v>
      </c>
      <c r="G23" s="1" t="s">
        <v>301</v>
      </c>
      <c r="H23" s="1">
        <v>95.0</v>
      </c>
      <c r="I23" s="1" t="s">
        <v>302</v>
      </c>
      <c r="J23" s="1">
        <v>4.0</v>
      </c>
      <c r="K23" s="2">
        <v>42907.0</v>
      </c>
      <c r="M23" s="1">
        <v>0.0</v>
      </c>
      <c r="N23" s="1" t="s">
        <v>75</v>
      </c>
      <c r="O23" s="1" t="s">
        <v>76</v>
      </c>
      <c r="P23" s="1" t="s">
        <v>303</v>
      </c>
      <c r="S23" s="1" t="s">
        <v>304</v>
      </c>
      <c r="T23" s="1">
        <v>329.0</v>
      </c>
      <c r="U23" s="3" t="s">
        <v>305</v>
      </c>
      <c r="V23" s="1">
        <v>720908.0</v>
      </c>
      <c r="W23" s="1" t="s">
        <v>306</v>
      </c>
      <c r="X23" s="3" t="s">
        <v>307</v>
      </c>
      <c r="Y23" s="3" t="s">
        <v>308</v>
      </c>
      <c r="Z23" s="1">
        <v>1.0</v>
      </c>
      <c r="AA23" s="1" t="s">
        <v>309</v>
      </c>
      <c r="AB23" s="1">
        <v>25.0</v>
      </c>
      <c r="AC23" s="1">
        <v>66.0</v>
      </c>
      <c r="AD23" s="1">
        <v>17.0</v>
      </c>
      <c r="AE23" s="1">
        <v>42.0</v>
      </c>
      <c r="AF23" s="1">
        <v>9.0</v>
      </c>
      <c r="AG23" s="1">
        <v>0.0</v>
      </c>
      <c r="AH23" s="1">
        <v>94.0</v>
      </c>
      <c r="AI23" s="1">
        <v>45.0</v>
      </c>
      <c r="AJ23" s="1">
        <v>0.0</v>
      </c>
      <c r="AK23" s="1">
        <v>0.0</v>
      </c>
      <c r="AL23" s="1">
        <v>5.0</v>
      </c>
      <c r="AM23" s="1">
        <v>3.0</v>
      </c>
      <c r="AN23" s="1">
        <v>0.0</v>
      </c>
    </row>
    <row r="24">
      <c r="A24" s="1">
        <v>431.0</v>
      </c>
      <c r="B24" s="1" t="s">
        <v>310</v>
      </c>
      <c r="C24" s="1" t="s">
        <v>311</v>
      </c>
      <c r="D24" s="1" t="s">
        <v>312</v>
      </c>
      <c r="E24" s="1" t="s">
        <v>58</v>
      </c>
      <c r="F24" s="2">
        <v>29414.0</v>
      </c>
      <c r="G24" s="1" t="s">
        <v>313</v>
      </c>
      <c r="H24" s="1">
        <v>75.0</v>
      </c>
      <c r="I24" s="1" t="s">
        <v>232</v>
      </c>
      <c r="J24" s="1">
        <v>17.0</v>
      </c>
      <c r="K24" s="2">
        <v>42907.0</v>
      </c>
      <c r="M24" s="1">
        <v>0.0</v>
      </c>
      <c r="N24" s="1" t="s">
        <v>173</v>
      </c>
      <c r="O24" s="1" t="s">
        <v>174</v>
      </c>
      <c r="P24" s="3" t="s">
        <v>314</v>
      </c>
      <c r="S24" s="1" t="s">
        <v>315</v>
      </c>
      <c r="T24" s="1">
        <v>611.0</v>
      </c>
      <c r="U24" s="3" t="s">
        <v>316</v>
      </c>
      <c r="V24" s="1">
        <v>721960.0</v>
      </c>
      <c r="W24" s="1" t="s">
        <v>317</v>
      </c>
      <c r="X24" s="3" t="s">
        <v>318</v>
      </c>
      <c r="Y24" s="3" t="s">
        <v>319</v>
      </c>
      <c r="Z24" s="1">
        <v>1.0</v>
      </c>
      <c r="AA24" s="1" t="s">
        <v>320</v>
      </c>
      <c r="AB24" s="1">
        <v>25.0</v>
      </c>
      <c r="AC24" s="1">
        <v>59.0</v>
      </c>
      <c r="AD24" s="1">
        <v>161.0</v>
      </c>
      <c r="AE24" s="1">
        <v>363.0</v>
      </c>
      <c r="AF24" s="1">
        <v>374.0</v>
      </c>
      <c r="AG24" s="1">
        <v>345.0</v>
      </c>
      <c r="AH24" s="1">
        <v>2064.0</v>
      </c>
      <c r="AI24" s="1">
        <v>32.0</v>
      </c>
      <c r="AJ24" s="1">
        <v>0.0</v>
      </c>
      <c r="AK24" s="1">
        <v>0.0</v>
      </c>
      <c r="AL24" s="1">
        <v>14.0</v>
      </c>
      <c r="AM24" s="1">
        <v>6.0</v>
      </c>
      <c r="AN24" s="1">
        <v>3.0</v>
      </c>
    </row>
    <row r="25">
      <c r="A25" s="1">
        <v>375.0</v>
      </c>
      <c r="B25" s="1" t="s">
        <v>321</v>
      </c>
      <c r="C25" s="1" t="s">
        <v>322</v>
      </c>
      <c r="D25" s="1" t="s">
        <v>323</v>
      </c>
      <c r="E25" s="1" t="s">
        <v>43</v>
      </c>
      <c r="F25" s="2">
        <v>31485.0</v>
      </c>
      <c r="G25" s="1" t="s">
        <v>324</v>
      </c>
      <c r="H25" s="1">
        <v>46.0</v>
      </c>
      <c r="I25" s="1" t="s">
        <v>325</v>
      </c>
      <c r="J25" s="1">
        <v>1.0</v>
      </c>
      <c r="K25" s="2">
        <v>42907.0</v>
      </c>
      <c r="M25" s="1">
        <v>0.0</v>
      </c>
      <c r="N25" s="1" t="s">
        <v>61</v>
      </c>
      <c r="O25" s="1" t="s">
        <v>62</v>
      </c>
      <c r="P25" s="1" t="s">
        <v>326</v>
      </c>
      <c r="S25" s="1" t="s">
        <v>234</v>
      </c>
      <c r="T25" s="1">
        <v>38.0</v>
      </c>
      <c r="U25" s="3" t="s">
        <v>327</v>
      </c>
      <c r="V25" s="1">
        <v>720100.0</v>
      </c>
      <c r="W25" s="1" t="s">
        <v>328</v>
      </c>
      <c r="X25" s="3" t="s">
        <v>329</v>
      </c>
      <c r="Y25" s="3" t="s">
        <v>330</v>
      </c>
      <c r="Z25" s="1">
        <v>1.0</v>
      </c>
      <c r="AA25" s="1" t="s">
        <v>331</v>
      </c>
      <c r="AB25" s="1">
        <v>25.0</v>
      </c>
      <c r="AC25" s="1">
        <v>26.0</v>
      </c>
      <c r="AD25" s="1">
        <v>30.0</v>
      </c>
      <c r="AE25" s="1">
        <v>65.0</v>
      </c>
      <c r="AF25" s="1">
        <v>328.0</v>
      </c>
      <c r="AG25" s="1">
        <v>40.0</v>
      </c>
      <c r="AH25" s="1">
        <v>477.0</v>
      </c>
      <c r="AI25" s="1">
        <v>23.0</v>
      </c>
      <c r="AJ25" s="1">
        <v>0.0</v>
      </c>
      <c r="AK25" s="1">
        <v>0.0</v>
      </c>
      <c r="AL25" s="1">
        <v>38.0</v>
      </c>
      <c r="AM25" s="1">
        <v>16.0</v>
      </c>
      <c r="AN25" s="1">
        <v>4.0</v>
      </c>
    </row>
    <row r="26">
      <c r="A26" s="1">
        <v>573.0</v>
      </c>
      <c r="B26" s="1" t="s">
        <v>332</v>
      </c>
      <c r="C26" s="1" t="s">
        <v>333</v>
      </c>
      <c r="D26" s="1" t="s">
        <v>334</v>
      </c>
      <c r="E26" s="1" t="s">
        <v>43</v>
      </c>
      <c r="F26" s="2">
        <v>24193.0</v>
      </c>
      <c r="G26" s="1" t="s">
        <v>335</v>
      </c>
      <c r="H26" s="1">
        <v>71.0</v>
      </c>
      <c r="I26" s="1" t="s">
        <v>336</v>
      </c>
      <c r="J26" s="1">
        <v>3.0</v>
      </c>
      <c r="K26" s="2">
        <v>42907.0</v>
      </c>
      <c r="M26" s="1">
        <v>0.0</v>
      </c>
      <c r="N26" s="1" t="s">
        <v>75</v>
      </c>
      <c r="O26" s="1" t="s">
        <v>76</v>
      </c>
      <c r="P26" s="1" t="s">
        <v>337</v>
      </c>
      <c r="S26" s="1" t="s">
        <v>338</v>
      </c>
      <c r="T26" s="1">
        <v>332.0</v>
      </c>
      <c r="U26" s="3" t="s">
        <v>339</v>
      </c>
      <c r="V26" s="1">
        <v>722398.0</v>
      </c>
      <c r="W26" s="1" t="s">
        <v>340</v>
      </c>
      <c r="X26" s="3" t="s">
        <v>341</v>
      </c>
      <c r="Y26" s="3" t="s">
        <v>342</v>
      </c>
      <c r="Z26" s="1">
        <v>2.0</v>
      </c>
      <c r="AA26" s="1" t="s">
        <v>343</v>
      </c>
      <c r="AB26" s="1">
        <v>25.0</v>
      </c>
      <c r="AC26" s="1">
        <v>45.0</v>
      </c>
      <c r="AD26" s="1">
        <v>36.0</v>
      </c>
      <c r="AE26" s="1">
        <v>63.0</v>
      </c>
      <c r="AF26" s="1">
        <v>20.0</v>
      </c>
      <c r="AG26" s="1">
        <v>17.0</v>
      </c>
      <c r="AH26" s="1">
        <v>111.0</v>
      </c>
      <c r="AI26" s="1">
        <v>45.0</v>
      </c>
      <c r="AJ26" s="1">
        <v>0.0</v>
      </c>
      <c r="AK26" s="1">
        <v>0.0</v>
      </c>
      <c r="AL26" s="1">
        <v>6.0</v>
      </c>
      <c r="AM26" s="1">
        <v>21.0</v>
      </c>
      <c r="AN26" s="1">
        <v>2.0</v>
      </c>
    </row>
    <row r="27">
      <c r="A27" s="1">
        <v>343.0</v>
      </c>
      <c r="B27" s="1" t="s">
        <v>344</v>
      </c>
      <c r="C27" s="1" t="s">
        <v>345</v>
      </c>
      <c r="D27" s="1" t="s">
        <v>346</v>
      </c>
      <c r="E27" s="1" t="s">
        <v>43</v>
      </c>
      <c r="F27" s="2">
        <v>30463.0</v>
      </c>
      <c r="G27" s="1" t="s">
        <v>347</v>
      </c>
      <c r="H27" s="1">
        <v>33.0</v>
      </c>
      <c r="I27" s="1" t="s">
        <v>348</v>
      </c>
      <c r="J27" s="1">
        <v>5.0</v>
      </c>
      <c r="K27" s="2">
        <v>42907.0</v>
      </c>
      <c r="M27" s="1">
        <v>0.0</v>
      </c>
      <c r="N27" s="1" t="s">
        <v>75</v>
      </c>
      <c r="O27" s="1" t="s">
        <v>76</v>
      </c>
      <c r="P27" s="1" t="s">
        <v>349</v>
      </c>
      <c r="S27" s="1" t="s">
        <v>350</v>
      </c>
      <c r="T27" s="1">
        <v>416.0</v>
      </c>
      <c r="U27" s="3" t="s">
        <v>351</v>
      </c>
      <c r="V27" s="1">
        <v>719592.0</v>
      </c>
      <c r="W27" s="1" t="s">
        <v>352</v>
      </c>
      <c r="X27" s="3" t="s">
        <v>353</v>
      </c>
      <c r="Y27" s="3" t="s">
        <v>354</v>
      </c>
      <c r="Z27" s="1">
        <v>2.0</v>
      </c>
      <c r="AA27" s="1" t="s">
        <v>355</v>
      </c>
      <c r="AB27" s="1">
        <v>25.0</v>
      </c>
      <c r="AC27" s="1">
        <v>58.0</v>
      </c>
      <c r="AD27" s="1">
        <v>18.0</v>
      </c>
      <c r="AE27" s="1">
        <v>21.0</v>
      </c>
      <c r="AF27" s="1">
        <v>3.0</v>
      </c>
      <c r="AG27" s="1">
        <v>17.0</v>
      </c>
      <c r="AH27" s="1">
        <v>184.0</v>
      </c>
      <c r="AI27" s="1">
        <v>105.0</v>
      </c>
      <c r="AJ27" s="1">
        <v>1.0</v>
      </c>
      <c r="AK27" s="1">
        <v>0.0</v>
      </c>
      <c r="AL27" s="1">
        <v>5.0</v>
      </c>
      <c r="AM27" s="1">
        <v>15.0</v>
      </c>
      <c r="AN27" s="1">
        <v>1.0</v>
      </c>
    </row>
    <row r="28">
      <c r="A28" s="1">
        <v>484.0</v>
      </c>
      <c r="B28" s="1" t="s">
        <v>356</v>
      </c>
      <c r="C28" s="1" t="s">
        <v>357</v>
      </c>
      <c r="D28" s="1" t="s">
        <v>358</v>
      </c>
      <c r="E28" s="1" t="s">
        <v>58</v>
      </c>
      <c r="F28" s="2">
        <v>20075.0</v>
      </c>
      <c r="G28" s="1" t="s">
        <v>359</v>
      </c>
      <c r="H28" s="1">
        <v>31.0</v>
      </c>
      <c r="I28" s="1" t="s">
        <v>360</v>
      </c>
      <c r="J28" s="1">
        <v>7.0</v>
      </c>
      <c r="K28" s="2">
        <v>42907.0</v>
      </c>
      <c r="M28" s="1">
        <v>0.0</v>
      </c>
      <c r="N28" s="1" t="s">
        <v>75</v>
      </c>
      <c r="O28" s="1" t="s">
        <v>76</v>
      </c>
      <c r="P28" s="1" t="s">
        <v>361</v>
      </c>
      <c r="S28" s="1" t="s">
        <v>118</v>
      </c>
      <c r="T28" s="1">
        <v>331.0</v>
      </c>
      <c r="U28" s="3" t="s">
        <v>362</v>
      </c>
      <c r="V28" s="1">
        <v>719540.0</v>
      </c>
      <c r="W28" s="1" t="s">
        <v>363</v>
      </c>
      <c r="X28" s="3" t="s">
        <v>364</v>
      </c>
      <c r="Y28" s="3" t="s">
        <v>365</v>
      </c>
      <c r="Z28" s="1">
        <v>2.0</v>
      </c>
      <c r="AA28" s="1" t="s">
        <v>366</v>
      </c>
      <c r="AB28" s="1">
        <v>25.0</v>
      </c>
      <c r="AC28" s="1">
        <v>45.0</v>
      </c>
      <c r="AD28" s="1">
        <v>28.0</v>
      </c>
      <c r="AE28" s="1">
        <v>14.0</v>
      </c>
      <c r="AF28" s="1">
        <v>3.0</v>
      </c>
      <c r="AG28" s="1">
        <v>17.0</v>
      </c>
      <c r="AH28" s="1">
        <v>79.0</v>
      </c>
      <c r="AI28" s="1">
        <v>26.0</v>
      </c>
      <c r="AJ28" s="1">
        <v>3.0</v>
      </c>
      <c r="AK28" s="1">
        <v>0.0</v>
      </c>
      <c r="AL28" s="1">
        <v>5.0</v>
      </c>
      <c r="AM28" s="1">
        <v>21.0</v>
      </c>
      <c r="AN28" s="1">
        <v>1.0</v>
      </c>
    </row>
    <row r="29">
      <c r="A29" s="1">
        <v>215.0</v>
      </c>
      <c r="B29" s="1" t="s">
        <v>367</v>
      </c>
      <c r="C29" s="1" t="s">
        <v>368</v>
      </c>
      <c r="D29" s="1" t="s">
        <v>369</v>
      </c>
      <c r="E29" s="1" t="s">
        <v>43</v>
      </c>
      <c r="F29" s="2">
        <v>20806.0</v>
      </c>
      <c r="G29" s="1" t="s">
        <v>370</v>
      </c>
      <c r="H29" s="1">
        <v>76.0</v>
      </c>
      <c r="I29" s="1" t="s">
        <v>371</v>
      </c>
      <c r="J29" s="1">
        <v>3.0</v>
      </c>
      <c r="K29" s="2">
        <v>42907.0</v>
      </c>
      <c r="M29" s="1">
        <v>0.0</v>
      </c>
      <c r="N29" s="1" t="s">
        <v>101</v>
      </c>
      <c r="O29" s="1" t="s">
        <v>102</v>
      </c>
      <c r="P29" s="3" t="s">
        <v>372</v>
      </c>
      <c r="S29" s="1" t="s">
        <v>373</v>
      </c>
      <c r="T29" s="1">
        <v>585.0</v>
      </c>
      <c r="U29" s="3" t="s">
        <v>374</v>
      </c>
      <c r="V29" s="1">
        <v>722110.0</v>
      </c>
      <c r="W29" s="1" t="s">
        <v>375</v>
      </c>
      <c r="X29" s="3" t="s">
        <v>376</v>
      </c>
      <c r="Y29" s="3" t="s">
        <v>377</v>
      </c>
      <c r="Z29" s="1">
        <v>1.0</v>
      </c>
      <c r="AB29" s="1">
        <v>25.0</v>
      </c>
      <c r="AC29" s="1">
        <v>37.0</v>
      </c>
      <c r="AD29" s="1">
        <v>23.0</v>
      </c>
      <c r="AE29" s="1">
        <v>109.0</v>
      </c>
      <c r="AF29" s="1">
        <v>91.0</v>
      </c>
      <c r="AG29" s="1">
        <v>8.0</v>
      </c>
      <c r="AH29" s="1">
        <v>657.0</v>
      </c>
      <c r="AI29" s="1">
        <v>22.0</v>
      </c>
      <c r="AJ29" s="1">
        <v>0.0</v>
      </c>
      <c r="AK29" s="1">
        <v>0.0</v>
      </c>
      <c r="AL29" s="1">
        <v>20.0</v>
      </c>
      <c r="AM29" s="1">
        <v>8.0</v>
      </c>
      <c r="AN29" s="1">
        <v>4.0</v>
      </c>
    </row>
    <row r="30">
      <c r="A30" s="1">
        <v>43.0</v>
      </c>
      <c r="B30" s="1" t="s">
        <v>378</v>
      </c>
      <c r="C30" s="1" t="s">
        <v>379</v>
      </c>
      <c r="D30" s="1" t="s">
        <v>380</v>
      </c>
      <c r="E30" s="1" t="s">
        <v>58</v>
      </c>
      <c r="F30" s="2">
        <v>28010.0</v>
      </c>
      <c r="G30" s="1" t="s">
        <v>381</v>
      </c>
      <c r="H30" s="1">
        <v>38.0</v>
      </c>
      <c r="I30" s="1" t="s">
        <v>267</v>
      </c>
      <c r="J30" s="1">
        <v>8.0</v>
      </c>
      <c r="K30" s="2">
        <v>42907.0</v>
      </c>
      <c r="M30" s="1">
        <v>0.0</v>
      </c>
      <c r="N30" s="1" t="s">
        <v>75</v>
      </c>
      <c r="O30" s="1" t="s">
        <v>76</v>
      </c>
      <c r="P30" s="1" t="s">
        <v>382</v>
      </c>
      <c r="S30" s="1" t="s">
        <v>383</v>
      </c>
      <c r="T30" s="1">
        <v>200.0</v>
      </c>
      <c r="U30" s="3" t="s">
        <v>384</v>
      </c>
      <c r="V30" s="1">
        <v>719866.0</v>
      </c>
      <c r="W30" s="1" t="s">
        <v>385</v>
      </c>
      <c r="X30" s="3" t="s">
        <v>386</v>
      </c>
      <c r="Y30" s="3" t="s">
        <v>387</v>
      </c>
      <c r="Z30" s="1">
        <v>1.0</v>
      </c>
      <c r="AA30" s="1" t="s">
        <v>388</v>
      </c>
      <c r="AB30" s="1">
        <v>24.0</v>
      </c>
      <c r="AC30" s="1">
        <v>42.0</v>
      </c>
      <c r="AD30" s="1">
        <v>25.0</v>
      </c>
      <c r="AE30" s="1">
        <v>26.0</v>
      </c>
      <c r="AF30" s="1">
        <v>12.0</v>
      </c>
      <c r="AG30" s="1">
        <v>7.0</v>
      </c>
      <c r="AH30" s="1">
        <v>67.0</v>
      </c>
      <c r="AI30" s="1">
        <v>26.0</v>
      </c>
      <c r="AJ30" s="1">
        <v>0.0</v>
      </c>
      <c r="AK30" s="1">
        <v>0.0</v>
      </c>
      <c r="AL30" s="1">
        <v>5.0</v>
      </c>
      <c r="AM30" s="1">
        <v>1.0</v>
      </c>
      <c r="AN30" s="1">
        <v>2.0</v>
      </c>
    </row>
    <row r="31">
      <c r="A31" s="1">
        <v>323.0</v>
      </c>
      <c r="B31" s="1" t="s">
        <v>389</v>
      </c>
      <c r="C31" s="1" t="s">
        <v>390</v>
      </c>
      <c r="D31" s="1" t="s">
        <v>391</v>
      </c>
      <c r="E31" s="1" t="s">
        <v>43</v>
      </c>
      <c r="F31" s="2">
        <v>25985.0</v>
      </c>
      <c r="G31" s="1" t="s">
        <v>392</v>
      </c>
      <c r="H31" s="1">
        <v>29.0</v>
      </c>
      <c r="I31" s="1" t="s">
        <v>393</v>
      </c>
      <c r="J31" s="1">
        <v>8.0</v>
      </c>
      <c r="K31" s="2">
        <v>42907.0</v>
      </c>
      <c r="M31" s="1">
        <v>0.0</v>
      </c>
      <c r="N31" s="1" t="s">
        <v>280</v>
      </c>
      <c r="O31" s="1" t="s">
        <v>281</v>
      </c>
      <c r="P31" s="1" t="s">
        <v>394</v>
      </c>
      <c r="S31" s="1" t="s">
        <v>395</v>
      </c>
      <c r="T31" s="1">
        <v>162.0</v>
      </c>
      <c r="U31" s="3" t="s">
        <v>396</v>
      </c>
      <c r="V31" s="1">
        <v>719558.0</v>
      </c>
      <c r="W31" s="1" t="s">
        <v>397</v>
      </c>
      <c r="X31" s="3" t="s">
        <v>398</v>
      </c>
      <c r="Y31" s="3" t="s">
        <v>399</v>
      </c>
      <c r="Z31" s="1">
        <v>2.0</v>
      </c>
      <c r="AA31" s="1" t="s">
        <v>400</v>
      </c>
      <c r="AB31" s="1">
        <v>24.0</v>
      </c>
      <c r="AC31" s="1">
        <v>46.0</v>
      </c>
      <c r="AD31" s="1">
        <v>58.0</v>
      </c>
      <c r="AE31" s="1">
        <v>149.0</v>
      </c>
      <c r="AF31" s="1">
        <v>267.0</v>
      </c>
      <c r="AG31" s="1">
        <v>26.0</v>
      </c>
      <c r="AH31" s="1">
        <v>262.0</v>
      </c>
      <c r="AI31" s="1">
        <v>26.0</v>
      </c>
      <c r="AJ31" s="1">
        <v>0.0</v>
      </c>
      <c r="AK31" s="1">
        <v>0.0</v>
      </c>
      <c r="AL31" s="1">
        <v>7.0</v>
      </c>
      <c r="AM31" s="1">
        <v>3.0</v>
      </c>
      <c r="AN31" s="1">
        <v>2.0</v>
      </c>
    </row>
    <row r="32">
      <c r="A32" s="1">
        <v>482.0</v>
      </c>
      <c r="B32" s="1" t="s">
        <v>401</v>
      </c>
      <c r="C32" s="1" t="s">
        <v>402</v>
      </c>
      <c r="D32" s="1" t="s">
        <v>403</v>
      </c>
      <c r="E32" s="1" t="s">
        <v>58</v>
      </c>
      <c r="F32" s="2">
        <v>26623.0</v>
      </c>
      <c r="G32" s="1" t="s">
        <v>404</v>
      </c>
      <c r="H32" s="1">
        <v>87.0</v>
      </c>
      <c r="I32" s="1" t="s">
        <v>405</v>
      </c>
      <c r="J32" s="1">
        <v>1.0</v>
      </c>
      <c r="K32" s="2">
        <v>42907.0</v>
      </c>
      <c r="M32" s="1">
        <v>0.0</v>
      </c>
      <c r="N32" s="1" t="s">
        <v>75</v>
      </c>
      <c r="O32" s="1" t="s">
        <v>76</v>
      </c>
      <c r="P32" s="1" t="s">
        <v>406</v>
      </c>
      <c r="S32" s="1">
        <v>0.0</v>
      </c>
      <c r="T32" s="1">
        <v>567.0</v>
      </c>
      <c r="U32" s="3" t="s">
        <v>407</v>
      </c>
      <c r="V32" s="1">
        <v>722170.0</v>
      </c>
      <c r="W32" s="1" t="s">
        <v>408</v>
      </c>
      <c r="X32" s="3" t="s">
        <v>409</v>
      </c>
      <c r="Y32" s="3" t="s">
        <v>410</v>
      </c>
      <c r="Z32" s="1">
        <v>1.0</v>
      </c>
      <c r="AA32" s="1" t="s">
        <v>411</v>
      </c>
      <c r="AB32" s="1">
        <v>24.0</v>
      </c>
      <c r="AC32" s="1">
        <v>58.0</v>
      </c>
      <c r="AD32" s="1">
        <v>5.0</v>
      </c>
      <c r="AE32" s="1">
        <v>0.0</v>
      </c>
      <c r="AF32" s="1">
        <v>0.0</v>
      </c>
      <c r="AG32" s="1">
        <v>0.0</v>
      </c>
      <c r="AH32" s="1">
        <v>66.0</v>
      </c>
      <c r="AI32" s="1">
        <v>28.0</v>
      </c>
      <c r="AJ32" s="1">
        <v>0.0</v>
      </c>
      <c r="AK32" s="1">
        <v>0.0</v>
      </c>
      <c r="AL32" s="1">
        <v>5.0</v>
      </c>
      <c r="AM32" s="1">
        <v>1.0</v>
      </c>
      <c r="AN32" s="1">
        <v>0.0</v>
      </c>
    </row>
    <row r="33">
      <c r="A33" s="1">
        <v>173.0</v>
      </c>
      <c r="B33" s="1" t="s">
        <v>412</v>
      </c>
      <c r="C33" s="1" t="s">
        <v>346</v>
      </c>
      <c r="D33" s="1" t="s">
        <v>413</v>
      </c>
      <c r="E33" s="1" t="s">
        <v>43</v>
      </c>
      <c r="F33" s="2">
        <v>24363.0</v>
      </c>
      <c r="G33" s="1" t="s">
        <v>414</v>
      </c>
      <c r="H33" s="1">
        <v>35.0</v>
      </c>
      <c r="I33" s="1" t="s">
        <v>415</v>
      </c>
      <c r="J33" s="1">
        <v>6.0</v>
      </c>
      <c r="K33" s="2">
        <v>42907.0</v>
      </c>
      <c r="M33" s="1">
        <v>0.0</v>
      </c>
      <c r="N33" s="1" t="s">
        <v>46</v>
      </c>
      <c r="O33" s="1" t="s">
        <v>47</v>
      </c>
      <c r="P33" s="1" t="s">
        <v>416</v>
      </c>
      <c r="S33" s="1" t="s">
        <v>417</v>
      </c>
      <c r="T33" s="1">
        <v>113.0</v>
      </c>
      <c r="U33" s="3" t="s">
        <v>418</v>
      </c>
      <c r="V33" s="1">
        <v>332228.0</v>
      </c>
      <c r="W33" s="1" t="s">
        <v>419</v>
      </c>
      <c r="X33" s="3" t="s">
        <v>420</v>
      </c>
      <c r="Y33" s="3" t="s">
        <v>421</v>
      </c>
      <c r="Z33" s="1">
        <v>1.0</v>
      </c>
      <c r="AA33" s="1" t="s">
        <v>422</v>
      </c>
      <c r="AB33" s="1">
        <v>24.0</v>
      </c>
      <c r="AC33" s="1">
        <v>26.0</v>
      </c>
      <c r="AD33" s="1">
        <v>31.0</v>
      </c>
      <c r="AE33" s="1">
        <v>73.0</v>
      </c>
      <c r="AF33" s="1">
        <v>184.0</v>
      </c>
      <c r="AG33" s="1">
        <v>17.0</v>
      </c>
      <c r="AH33" s="1">
        <v>482.0</v>
      </c>
      <c r="AI33" s="1">
        <v>28.0</v>
      </c>
      <c r="AJ33" s="1">
        <v>0.0</v>
      </c>
      <c r="AK33" s="1">
        <v>0.0</v>
      </c>
      <c r="AL33" s="1">
        <v>10.0</v>
      </c>
      <c r="AM33" s="1">
        <v>2.0</v>
      </c>
      <c r="AN33" s="1">
        <v>4.0</v>
      </c>
    </row>
    <row r="34">
      <c r="A34" s="1">
        <v>66.0</v>
      </c>
      <c r="B34" s="1" t="s">
        <v>423</v>
      </c>
      <c r="C34" s="1" t="s">
        <v>424</v>
      </c>
      <c r="D34" s="1" t="s">
        <v>425</v>
      </c>
      <c r="E34" s="1" t="s">
        <v>58</v>
      </c>
      <c r="F34" s="2">
        <v>21630.0</v>
      </c>
      <c r="G34" s="1" t="s">
        <v>426</v>
      </c>
      <c r="H34" s="1">
        <v>62.0</v>
      </c>
      <c r="I34" s="1" t="s">
        <v>427</v>
      </c>
      <c r="J34" s="1">
        <v>6.0</v>
      </c>
      <c r="K34" s="2">
        <v>42907.0</v>
      </c>
      <c r="M34" s="1">
        <v>0.0</v>
      </c>
      <c r="N34" s="1" t="s">
        <v>75</v>
      </c>
      <c r="O34" s="1" t="s">
        <v>76</v>
      </c>
      <c r="P34" s="1" t="s">
        <v>428</v>
      </c>
      <c r="S34" s="1" t="s">
        <v>429</v>
      </c>
      <c r="T34" s="1">
        <v>334.0</v>
      </c>
      <c r="U34" s="3" t="s">
        <v>430</v>
      </c>
      <c r="V34" s="1">
        <v>608083.0</v>
      </c>
      <c r="W34" s="1" t="s">
        <v>431</v>
      </c>
      <c r="X34" s="3" t="s">
        <v>432</v>
      </c>
      <c r="Y34" s="3" t="s">
        <v>433</v>
      </c>
      <c r="Z34" s="1">
        <v>1.0</v>
      </c>
      <c r="AA34" s="1" t="s">
        <v>434</v>
      </c>
      <c r="AB34" s="1">
        <v>24.0</v>
      </c>
      <c r="AC34" s="1">
        <v>58.0</v>
      </c>
      <c r="AD34" s="1">
        <v>178.0</v>
      </c>
      <c r="AE34" s="1">
        <v>19.0</v>
      </c>
      <c r="AF34" s="1">
        <v>70.0</v>
      </c>
      <c r="AG34" s="1">
        <v>0.0</v>
      </c>
      <c r="AH34" s="1">
        <v>20.0</v>
      </c>
      <c r="AI34" s="1">
        <v>5.0</v>
      </c>
      <c r="AJ34" s="1">
        <v>0.0</v>
      </c>
      <c r="AK34" s="1">
        <v>0.0</v>
      </c>
      <c r="AL34" s="1">
        <v>6.0</v>
      </c>
      <c r="AM34" s="1">
        <v>0.0</v>
      </c>
      <c r="AN34" s="1">
        <v>0.0</v>
      </c>
    </row>
    <row r="35">
      <c r="A35" s="1">
        <v>101.0</v>
      </c>
      <c r="B35" s="1" t="s">
        <v>435</v>
      </c>
      <c r="C35" s="1" t="s">
        <v>436</v>
      </c>
      <c r="D35" s="1" t="s">
        <v>148</v>
      </c>
      <c r="E35" s="1" t="s">
        <v>43</v>
      </c>
      <c r="F35" s="2">
        <v>24013.0</v>
      </c>
      <c r="G35" s="1" t="s">
        <v>437</v>
      </c>
      <c r="H35" s="1">
        <v>6.0</v>
      </c>
      <c r="I35" s="1" t="s">
        <v>438</v>
      </c>
      <c r="J35" s="1">
        <v>1.0</v>
      </c>
      <c r="K35" s="2">
        <v>42907.0</v>
      </c>
      <c r="M35" s="1">
        <v>0.0</v>
      </c>
      <c r="N35" s="1" t="s">
        <v>61</v>
      </c>
      <c r="O35" s="1" t="s">
        <v>62</v>
      </c>
      <c r="P35" s="1" t="s">
        <v>439</v>
      </c>
      <c r="S35" s="1" t="s">
        <v>440</v>
      </c>
      <c r="T35" s="1">
        <v>91.0</v>
      </c>
      <c r="U35" s="3" t="s">
        <v>441</v>
      </c>
      <c r="V35" s="1">
        <v>330240.0</v>
      </c>
      <c r="W35" s="1" t="s">
        <v>442</v>
      </c>
      <c r="X35" s="3" t="s">
        <v>443</v>
      </c>
      <c r="Y35" s="3" t="s">
        <v>444</v>
      </c>
      <c r="Z35" s="1">
        <v>1.0</v>
      </c>
      <c r="AA35" s="1" t="s">
        <v>445</v>
      </c>
      <c r="AB35" s="1">
        <v>24.0</v>
      </c>
      <c r="AC35" s="1">
        <v>34.0</v>
      </c>
      <c r="AD35" s="1">
        <v>69.0</v>
      </c>
      <c r="AE35" s="1">
        <v>103.0</v>
      </c>
      <c r="AF35" s="1">
        <v>77.0</v>
      </c>
      <c r="AG35" s="1">
        <v>134.0</v>
      </c>
      <c r="AH35" s="1">
        <v>495.0</v>
      </c>
      <c r="AI35" s="1">
        <v>21.0</v>
      </c>
      <c r="AJ35" s="1">
        <v>1.0</v>
      </c>
      <c r="AK35" s="1">
        <v>5.0</v>
      </c>
      <c r="AL35" s="1">
        <v>31.0</v>
      </c>
      <c r="AM35" s="1">
        <v>41.0</v>
      </c>
      <c r="AN35" s="1">
        <v>2.0</v>
      </c>
    </row>
    <row r="36">
      <c r="A36" s="1">
        <v>345.0</v>
      </c>
      <c r="B36" s="1" t="s">
        <v>446</v>
      </c>
      <c r="C36" s="1" t="s">
        <v>447</v>
      </c>
      <c r="D36" s="1" t="s">
        <v>112</v>
      </c>
      <c r="E36" s="1" t="s">
        <v>58</v>
      </c>
      <c r="F36" s="2">
        <v>23678.0</v>
      </c>
      <c r="G36" s="1" t="s">
        <v>448</v>
      </c>
      <c r="H36" s="1">
        <v>35.0</v>
      </c>
      <c r="I36" s="1" t="s">
        <v>415</v>
      </c>
      <c r="J36" s="1">
        <v>5.0</v>
      </c>
      <c r="K36" s="2">
        <v>42907.0</v>
      </c>
      <c r="M36" s="1">
        <v>0.0</v>
      </c>
      <c r="N36" s="1" t="s">
        <v>75</v>
      </c>
      <c r="O36" s="1" t="s">
        <v>76</v>
      </c>
      <c r="P36" s="3" t="s">
        <v>449</v>
      </c>
      <c r="S36" s="1" t="s">
        <v>450</v>
      </c>
      <c r="T36" s="1">
        <v>301.0</v>
      </c>
      <c r="U36" s="3" t="s">
        <v>451</v>
      </c>
      <c r="V36" s="1">
        <v>719756.0</v>
      </c>
      <c r="W36" s="1" t="s">
        <v>452</v>
      </c>
      <c r="X36" s="3" t="s">
        <v>453</v>
      </c>
      <c r="Y36" s="3" t="s">
        <v>454</v>
      </c>
      <c r="Z36" s="1">
        <v>2.0</v>
      </c>
      <c r="AA36" s="1" t="s">
        <v>455</v>
      </c>
      <c r="AB36" s="1">
        <v>24.0</v>
      </c>
      <c r="AC36" s="1">
        <v>39.0</v>
      </c>
      <c r="AD36" s="1">
        <v>14.0</v>
      </c>
      <c r="AE36" s="1">
        <v>3.0</v>
      </c>
      <c r="AF36" s="1">
        <v>0.0</v>
      </c>
      <c r="AG36" s="1">
        <v>4.0</v>
      </c>
      <c r="AH36" s="1">
        <v>63.0</v>
      </c>
      <c r="AI36" s="1">
        <v>30.0</v>
      </c>
      <c r="AJ36" s="1">
        <v>1.0</v>
      </c>
      <c r="AK36" s="1">
        <v>0.0</v>
      </c>
      <c r="AL36" s="1">
        <v>5.0</v>
      </c>
      <c r="AM36" s="1">
        <v>3.0</v>
      </c>
      <c r="AN36" s="1">
        <v>0.0</v>
      </c>
    </row>
    <row r="37">
      <c r="A37" s="1">
        <v>397.0</v>
      </c>
      <c r="B37" s="1" t="s">
        <v>456</v>
      </c>
      <c r="C37" s="1" t="s">
        <v>457</v>
      </c>
      <c r="D37" s="1" t="s">
        <v>458</v>
      </c>
      <c r="E37" s="1" t="s">
        <v>43</v>
      </c>
      <c r="F37" s="2">
        <v>25067.0</v>
      </c>
      <c r="G37" s="1" t="s">
        <v>459</v>
      </c>
      <c r="H37" s="1">
        <v>93.0</v>
      </c>
      <c r="I37" s="1" t="s">
        <v>196</v>
      </c>
      <c r="J37" s="1">
        <v>7.0</v>
      </c>
      <c r="K37" s="2">
        <v>42907.0</v>
      </c>
      <c r="M37" s="1">
        <v>0.0</v>
      </c>
      <c r="N37" s="1" t="s">
        <v>173</v>
      </c>
      <c r="O37" s="1" t="s">
        <v>174</v>
      </c>
      <c r="P37" s="1" t="s">
        <v>460</v>
      </c>
      <c r="S37" s="1" t="s">
        <v>461</v>
      </c>
      <c r="T37" s="1">
        <v>603.0</v>
      </c>
      <c r="U37" s="3" t="s">
        <v>462</v>
      </c>
      <c r="V37" s="1">
        <v>721210.0</v>
      </c>
      <c r="W37" s="1" t="s">
        <v>463</v>
      </c>
      <c r="X37" s="3" t="s">
        <v>464</v>
      </c>
      <c r="Y37" s="3" t="s">
        <v>465</v>
      </c>
      <c r="Z37" s="1">
        <v>1.0</v>
      </c>
      <c r="AA37" s="1" t="s">
        <v>466</v>
      </c>
      <c r="AB37" s="1">
        <v>24.0</v>
      </c>
      <c r="AC37" s="1">
        <v>34.0</v>
      </c>
      <c r="AD37" s="1">
        <v>34.0</v>
      </c>
      <c r="AE37" s="1">
        <v>277.0</v>
      </c>
      <c r="AF37" s="1">
        <v>407.0</v>
      </c>
      <c r="AG37" s="1">
        <v>14.0</v>
      </c>
      <c r="AH37" s="1">
        <v>2061.0</v>
      </c>
      <c r="AI37" s="1">
        <v>32.0</v>
      </c>
      <c r="AJ37" s="1">
        <v>0.0</v>
      </c>
      <c r="AK37" s="1">
        <v>0.0</v>
      </c>
      <c r="AL37" s="1">
        <v>13.0</v>
      </c>
      <c r="AM37" s="1">
        <v>12.0</v>
      </c>
      <c r="AN37" s="1">
        <v>4.0</v>
      </c>
    </row>
    <row r="38">
      <c r="A38" s="1">
        <v>331.0</v>
      </c>
      <c r="B38" s="1" t="s">
        <v>467</v>
      </c>
      <c r="C38" s="1" t="s">
        <v>468</v>
      </c>
      <c r="D38" s="1" t="s">
        <v>469</v>
      </c>
      <c r="E38" s="1" t="s">
        <v>43</v>
      </c>
      <c r="F38" s="2">
        <v>31647.0</v>
      </c>
      <c r="G38" s="1" t="s">
        <v>470</v>
      </c>
      <c r="H38" s="1">
        <v>57.0</v>
      </c>
      <c r="I38" s="1" t="s">
        <v>471</v>
      </c>
      <c r="J38" s="1">
        <v>4.0</v>
      </c>
      <c r="K38" s="2">
        <v>42907.0</v>
      </c>
      <c r="M38" s="1">
        <v>0.0</v>
      </c>
      <c r="N38" s="1" t="s">
        <v>61</v>
      </c>
      <c r="O38" s="1" t="s">
        <v>62</v>
      </c>
      <c r="S38" s="1" t="s">
        <v>472</v>
      </c>
      <c r="T38" s="1">
        <v>13.0</v>
      </c>
      <c r="U38" s="3" t="s">
        <v>473</v>
      </c>
      <c r="V38" s="1">
        <v>720386.0</v>
      </c>
      <c r="W38" s="1" t="s">
        <v>474</v>
      </c>
      <c r="X38" s="3" t="s">
        <v>475</v>
      </c>
      <c r="Y38" s="3" t="s">
        <v>476</v>
      </c>
      <c r="Z38" s="1">
        <v>2.0</v>
      </c>
      <c r="AB38" s="1">
        <v>24.0</v>
      </c>
      <c r="AC38" s="1">
        <v>39.0</v>
      </c>
      <c r="AD38" s="1">
        <v>55.0</v>
      </c>
      <c r="AE38" s="1">
        <v>214.0</v>
      </c>
      <c r="AF38" s="1">
        <v>1402.0</v>
      </c>
      <c r="AG38" s="1">
        <v>7.0</v>
      </c>
      <c r="AH38" s="1">
        <v>720.0</v>
      </c>
      <c r="AI38" s="1">
        <v>16.0</v>
      </c>
      <c r="AJ38" s="1">
        <v>0.0</v>
      </c>
      <c r="AK38" s="1">
        <v>0.0</v>
      </c>
      <c r="AL38" s="1">
        <v>53.0</v>
      </c>
      <c r="AM38" s="1">
        <v>16.0</v>
      </c>
      <c r="AN38" s="1">
        <v>1.0</v>
      </c>
    </row>
    <row r="39">
      <c r="A39" s="1">
        <v>118.0</v>
      </c>
      <c r="B39" s="1" t="s">
        <v>477</v>
      </c>
      <c r="C39" s="1" t="s">
        <v>478</v>
      </c>
      <c r="D39" s="1" t="s">
        <v>479</v>
      </c>
      <c r="E39" s="1" t="s">
        <v>43</v>
      </c>
      <c r="F39" s="2">
        <v>32057.0</v>
      </c>
      <c r="G39" s="1" t="s">
        <v>480</v>
      </c>
      <c r="H39" s="1">
        <v>62.0</v>
      </c>
      <c r="I39" s="1" t="s">
        <v>427</v>
      </c>
      <c r="J39" s="1">
        <v>7.0</v>
      </c>
      <c r="K39" s="2">
        <v>42907.0</v>
      </c>
      <c r="M39" s="1">
        <v>0.0</v>
      </c>
      <c r="N39" s="1" t="s">
        <v>61</v>
      </c>
      <c r="O39" s="1" t="s">
        <v>62</v>
      </c>
      <c r="P39" s="1" t="s">
        <v>481</v>
      </c>
      <c r="S39" s="1" t="s">
        <v>482</v>
      </c>
      <c r="T39" s="1">
        <v>50.0</v>
      </c>
      <c r="U39" s="3" t="s">
        <v>483</v>
      </c>
      <c r="V39" s="1">
        <v>720684.0</v>
      </c>
      <c r="W39" s="1" t="s">
        <v>484</v>
      </c>
      <c r="X39" s="3" t="s">
        <v>485</v>
      </c>
      <c r="Y39" s="3" t="s">
        <v>486</v>
      </c>
      <c r="Z39" s="1">
        <v>2.0</v>
      </c>
      <c r="AA39" s="1" t="s">
        <v>487</v>
      </c>
      <c r="AB39" s="1">
        <v>24.0</v>
      </c>
      <c r="AC39" s="1">
        <v>31.0</v>
      </c>
      <c r="AD39" s="1">
        <v>13.0</v>
      </c>
      <c r="AE39" s="1">
        <v>152.0</v>
      </c>
      <c r="AF39" s="1">
        <v>114.0</v>
      </c>
      <c r="AG39" s="1">
        <v>61.0</v>
      </c>
      <c r="AH39" s="1">
        <v>1185.0</v>
      </c>
      <c r="AI39" s="1">
        <v>34.0</v>
      </c>
      <c r="AJ39" s="1">
        <v>1.0</v>
      </c>
      <c r="AK39" s="1">
        <v>0.0</v>
      </c>
      <c r="AL39" s="1">
        <v>40.0</v>
      </c>
      <c r="AM39" s="1">
        <v>8.0</v>
      </c>
      <c r="AN39" s="1">
        <v>3.0</v>
      </c>
    </row>
    <row r="40">
      <c r="A40" s="1">
        <v>137.0</v>
      </c>
      <c r="B40" s="1" t="s">
        <v>488</v>
      </c>
      <c r="C40" s="1" t="s">
        <v>489</v>
      </c>
      <c r="D40" s="1" t="s">
        <v>490</v>
      </c>
      <c r="E40" s="1" t="s">
        <v>58</v>
      </c>
      <c r="F40" s="2">
        <v>32583.0</v>
      </c>
      <c r="G40" s="1" t="s">
        <v>491</v>
      </c>
      <c r="H40" s="1">
        <v>44.0</v>
      </c>
      <c r="I40" s="1" t="s">
        <v>492</v>
      </c>
      <c r="J40" s="1">
        <v>5.0</v>
      </c>
      <c r="K40" s="2">
        <v>42907.0</v>
      </c>
      <c r="M40" s="1">
        <v>0.0</v>
      </c>
      <c r="N40" s="1" t="s">
        <v>280</v>
      </c>
      <c r="O40" s="1" t="s">
        <v>281</v>
      </c>
      <c r="P40" s="1" t="s">
        <v>493</v>
      </c>
      <c r="S40" s="1" t="s">
        <v>162</v>
      </c>
      <c r="T40" s="1">
        <v>172.0</v>
      </c>
      <c r="U40" s="3" t="s">
        <v>494</v>
      </c>
      <c r="V40" s="1">
        <v>720002.0</v>
      </c>
      <c r="W40" s="1" t="s">
        <v>495</v>
      </c>
      <c r="X40" s="3" t="s">
        <v>496</v>
      </c>
      <c r="Y40" s="3" t="s">
        <v>497</v>
      </c>
      <c r="Z40" s="1">
        <v>1.0</v>
      </c>
      <c r="AA40" s="1" t="s">
        <v>498</v>
      </c>
      <c r="AB40" s="1">
        <v>24.0</v>
      </c>
      <c r="AC40" s="1">
        <v>76.0</v>
      </c>
      <c r="AD40" s="1">
        <v>55.0</v>
      </c>
      <c r="AE40" s="1">
        <v>70.0</v>
      </c>
      <c r="AF40" s="1">
        <v>20.0</v>
      </c>
      <c r="AG40" s="1">
        <v>21.0</v>
      </c>
      <c r="AH40" s="1">
        <v>284.0</v>
      </c>
      <c r="AI40" s="1">
        <v>40.0</v>
      </c>
      <c r="AJ40" s="1">
        <v>1.0</v>
      </c>
      <c r="AK40" s="1">
        <v>0.0</v>
      </c>
      <c r="AL40" s="1">
        <v>8.0</v>
      </c>
      <c r="AM40" s="1">
        <v>9.0</v>
      </c>
      <c r="AN40" s="1">
        <v>5.0</v>
      </c>
    </row>
    <row r="41">
      <c r="A41" s="1">
        <v>69.0</v>
      </c>
      <c r="B41" s="1" t="s">
        <v>499</v>
      </c>
      <c r="C41" s="1" t="s">
        <v>500</v>
      </c>
      <c r="D41" s="1" t="s">
        <v>501</v>
      </c>
      <c r="E41" s="1" t="s">
        <v>43</v>
      </c>
      <c r="F41" s="2">
        <v>20851.0</v>
      </c>
      <c r="G41" s="1" t="s">
        <v>502</v>
      </c>
      <c r="H41" s="1">
        <v>77.0</v>
      </c>
      <c r="I41" s="1" t="s">
        <v>503</v>
      </c>
      <c r="J41" s="1">
        <v>8.0</v>
      </c>
      <c r="K41" s="2">
        <v>42907.0</v>
      </c>
      <c r="M41" s="1">
        <v>0.0</v>
      </c>
      <c r="N41" s="1" t="s">
        <v>75</v>
      </c>
      <c r="O41" s="1" t="s">
        <v>76</v>
      </c>
      <c r="S41" s="1" t="s">
        <v>504</v>
      </c>
      <c r="T41" s="1">
        <v>213.0</v>
      </c>
      <c r="U41" s="3" t="s">
        <v>505</v>
      </c>
      <c r="V41" s="1">
        <v>721702.0</v>
      </c>
      <c r="W41" s="1" t="s">
        <v>506</v>
      </c>
      <c r="X41" s="3" t="s">
        <v>507</v>
      </c>
      <c r="Y41" s="3" t="s">
        <v>508</v>
      </c>
      <c r="Z41" s="1">
        <v>1.0</v>
      </c>
      <c r="AB41" s="1">
        <v>24.0</v>
      </c>
      <c r="AC41" s="1">
        <v>37.0</v>
      </c>
      <c r="AD41" s="1">
        <v>13.0</v>
      </c>
      <c r="AE41" s="1">
        <v>12.0</v>
      </c>
      <c r="AF41" s="1">
        <v>4.0</v>
      </c>
      <c r="AG41" s="1">
        <v>0.0</v>
      </c>
      <c r="AH41" s="1">
        <v>66.0</v>
      </c>
      <c r="AI41" s="1">
        <v>27.0</v>
      </c>
      <c r="AJ41" s="1">
        <v>1.0</v>
      </c>
      <c r="AK41" s="1">
        <v>0.0</v>
      </c>
      <c r="AL41" s="1">
        <v>5.0</v>
      </c>
      <c r="AM41" s="1">
        <v>0.0</v>
      </c>
      <c r="AN41" s="1">
        <v>0.0</v>
      </c>
    </row>
    <row r="42">
      <c r="A42" s="1">
        <v>74.0</v>
      </c>
      <c r="B42" s="1" t="s">
        <v>509</v>
      </c>
      <c r="C42" s="1" t="s">
        <v>510</v>
      </c>
      <c r="D42" s="1" t="s">
        <v>511</v>
      </c>
      <c r="E42" s="1" t="s">
        <v>43</v>
      </c>
      <c r="F42" s="2">
        <v>32424.0</v>
      </c>
      <c r="G42" s="1" t="s">
        <v>512</v>
      </c>
      <c r="H42" s="1">
        <v>86.0</v>
      </c>
      <c r="I42" s="1" t="s">
        <v>513</v>
      </c>
      <c r="J42" s="1">
        <v>2.0</v>
      </c>
      <c r="K42" s="2">
        <v>42907.0</v>
      </c>
      <c r="M42" s="1">
        <v>0.0</v>
      </c>
      <c r="N42" s="1" t="s">
        <v>75</v>
      </c>
      <c r="O42" s="1" t="s">
        <v>76</v>
      </c>
      <c r="P42" s="1" t="s">
        <v>514</v>
      </c>
      <c r="S42" s="1" t="s">
        <v>304</v>
      </c>
      <c r="T42" s="1">
        <v>537.0</v>
      </c>
      <c r="U42" s="3" t="s">
        <v>515</v>
      </c>
      <c r="V42" s="1">
        <v>722150.0</v>
      </c>
      <c r="W42" s="1" t="s">
        <v>516</v>
      </c>
      <c r="X42" s="3" t="s">
        <v>517</v>
      </c>
      <c r="Y42" s="3" t="s">
        <v>518</v>
      </c>
      <c r="Z42" s="1">
        <v>1.0</v>
      </c>
      <c r="AA42" s="1" t="s">
        <v>519</v>
      </c>
      <c r="AB42" s="1">
        <v>24.0</v>
      </c>
      <c r="AC42" s="1">
        <v>34.0</v>
      </c>
      <c r="AD42" s="1">
        <v>11.0</v>
      </c>
      <c r="AE42" s="1">
        <v>495.0</v>
      </c>
      <c r="AF42" s="1">
        <v>2999.0</v>
      </c>
      <c r="AG42" s="1">
        <v>29.0</v>
      </c>
      <c r="AH42" s="1">
        <v>88.0</v>
      </c>
      <c r="AI42" s="1">
        <v>46.0</v>
      </c>
      <c r="AJ42" s="1">
        <v>2.0</v>
      </c>
      <c r="AK42" s="1">
        <v>0.0</v>
      </c>
      <c r="AL42" s="1">
        <v>7.0</v>
      </c>
      <c r="AM42" s="1">
        <v>4.0</v>
      </c>
      <c r="AN42" s="1">
        <v>1.0</v>
      </c>
    </row>
    <row r="43">
      <c r="A43" s="1">
        <v>279.0</v>
      </c>
      <c r="B43" s="1" t="s">
        <v>520</v>
      </c>
      <c r="C43" s="1" t="s">
        <v>521</v>
      </c>
      <c r="D43" s="1" t="s">
        <v>522</v>
      </c>
      <c r="E43" s="1" t="s">
        <v>43</v>
      </c>
      <c r="F43" s="2">
        <v>29098.0</v>
      </c>
      <c r="G43" s="1" t="s">
        <v>523</v>
      </c>
      <c r="H43" s="1">
        <v>19.0</v>
      </c>
      <c r="I43" s="1" t="s">
        <v>524</v>
      </c>
      <c r="J43" s="1">
        <v>1.0</v>
      </c>
      <c r="K43" s="2">
        <v>42907.0</v>
      </c>
      <c r="M43" s="1">
        <v>0.0</v>
      </c>
      <c r="N43" s="1" t="s">
        <v>75</v>
      </c>
      <c r="O43" s="1" t="s">
        <v>76</v>
      </c>
      <c r="P43" s="1" t="s">
        <v>525</v>
      </c>
      <c r="S43" s="1" t="s">
        <v>526</v>
      </c>
      <c r="T43" s="1">
        <v>320.0</v>
      </c>
      <c r="U43" s="3" t="s">
        <v>527</v>
      </c>
      <c r="V43" s="1">
        <v>719060.0</v>
      </c>
      <c r="W43" s="1" t="s">
        <v>528</v>
      </c>
      <c r="X43" s="3" t="s">
        <v>529</v>
      </c>
      <c r="Y43" s="3" t="s">
        <v>530</v>
      </c>
      <c r="Z43" s="1">
        <v>2.0</v>
      </c>
      <c r="AA43" s="1" t="s">
        <v>531</v>
      </c>
      <c r="AB43" s="1">
        <v>24.0</v>
      </c>
      <c r="AC43" s="1">
        <v>66.0</v>
      </c>
      <c r="AD43" s="1">
        <v>33.0</v>
      </c>
      <c r="AE43" s="1">
        <v>64.0</v>
      </c>
      <c r="AF43" s="1">
        <v>22.0</v>
      </c>
      <c r="AG43" s="1">
        <v>1.0</v>
      </c>
      <c r="AH43" s="1">
        <v>199.0</v>
      </c>
      <c r="AI43" s="1">
        <v>144.0</v>
      </c>
      <c r="AJ43" s="1">
        <v>1.0</v>
      </c>
      <c r="AK43" s="1">
        <v>0.0</v>
      </c>
      <c r="AL43" s="1">
        <v>6.0</v>
      </c>
      <c r="AM43" s="1">
        <v>17.0</v>
      </c>
      <c r="AN43" s="1">
        <v>1.0</v>
      </c>
    </row>
    <row r="44">
      <c r="A44" s="1">
        <v>95.0</v>
      </c>
      <c r="B44" s="1" t="s">
        <v>532</v>
      </c>
      <c r="C44" s="1" t="s">
        <v>533</v>
      </c>
      <c r="D44" s="1" t="s">
        <v>534</v>
      </c>
      <c r="E44" s="1" t="s">
        <v>43</v>
      </c>
      <c r="F44" s="2">
        <v>26334.0</v>
      </c>
      <c r="G44" s="1" t="s">
        <v>535</v>
      </c>
      <c r="H44" s="1">
        <v>42.0</v>
      </c>
      <c r="I44" s="1" t="s">
        <v>536</v>
      </c>
      <c r="J44" s="1">
        <v>1.0</v>
      </c>
      <c r="K44" s="2">
        <v>42907.0</v>
      </c>
      <c r="M44" s="1">
        <v>0.0</v>
      </c>
      <c r="N44" s="1" t="s">
        <v>115</v>
      </c>
      <c r="O44" s="1" t="s">
        <v>116</v>
      </c>
      <c r="P44" s="1" t="s">
        <v>537</v>
      </c>
      <c r="S44" s="1" t="s">
        <v>538</v>
      </c>
      <c r="T44" s="1">
        <v>508.0</v>
      </c>
      <c r="U44" s="3" t="s">
        <v>539</v>
      </c>
      <c r="V44" s="1">
        <v>332614.0</v>
      </c>
      <c r="W44" s="1" t="s">
        <v>540</v>
      </c>
      <c r="X44" s="3" t="s">
        <v>541</v>
      </c>
      <c r="Y44" s="3" t="s">
        <v>542</v>
      </c>
      <c r="Z44" s="1">
        <v>1.0</v>
      </c>
      <c r="AA44" s="1" t="s">
        <v>543</v>
      </c>
      <c r="AB44" s="1">
        <v>24.0</v>
      </c>
      <c r="AC44" s="1">
        <v>53.0</v>
      </c>
      <c r="AD44" s="1">
        <v>66.0</v>
      </c>
      <c r="AE44" s="1">
        <v>90.0</v>
      </c>
      <c r="AF44" s="1">
        <v>68.0</v>
      </c>
      <c r="AG44" s="1">
        <v>42.0</v>
      </c>
      <c r="AH44" s="1">
        <v>1268.0</v>
      </c>
      <c r="AI44" s="1">
        <v>81.0</v>
      </c>
      <c r="AJ44" s="1">
        <v>1.0</v>
      </c>
      <c r="AK44" s="1">
        <v>0.0</v>
      </c>
      <c r="AL44" s="1">
        <v>7.0</v>
      </c>
      <c r="AM44" s="1">
        <v>33.0</v>
      </c>
      <c r="AN44" s="1">
        <v>3.0</v>
      </c>
    </row>
    <row r="45">
      <c r="A45" s="1">
        <v>371.0</v>
      </c>
      <c r="B45" s="1" t="s">
        <v>544</v>
      </c>
      <c r="C45" s="1" t="s">
        <v>545</v>
      </c>
      <c r="D45" s="1" t="s">
        <v>546</v>
      </c>
      <c r="E45" s="1" t="s">
        <v>43</v>
      </c>
      <c r="F45" s="2">
        <v>20286.0</v>
      </c>
      <c r="G45" s="1" t="s">
        <v>207</v>
      </c>
      <c r="H45" s="1">
        <v>37.0</v>
      </c>
      <c r="I45" s="1" t="s">
        <v>547</v>
      </c>
      <c r="J45" s="1">
        <v>2.0</v>
      </c>
      <c r="K45" s="2">
        <v>42907.0</v>
      </c>
      <c r="M45" s="1">
        <v>0.0</v>
      </c>
      <c r="N45" s="1" t="s">
        <v>75</v>
      </c>
      <c r="O45" s="1" t="s">
        <v>76</v>
      </c>
      <c r="P45" s="1" t="s">
        <v>548</v>
      </c>
      <c r="S45" s="1" t="s">
        <v>549</v>
      </c>
      <c r="T45" s="1">
        <v>342.0</v>
      </c>
      <c r="U45" s="3" t="s">
        <v>550</v>
      </c>
      <c r="V45" s="1">
        <v>719798.0</v>
      </c>
      <c r="W45" s="1" t="s">
        <v>551</v>
      </c>
      <c r="X45" s="3" t="s">
        <v>552</v>
      </c>
      <c r="Y45" s="3" t="s">
        <v>553</v>
      </c>
      <c r="Z45" s="1">
        <v>2.0</v>
      </c>
      <c r="AA45" s="1" t="s">
        <v>554</v>
      </c>
      <c r="AB45" s="1">
        <v>24.0</v>
      </c>
      <c r="AC45" s="1">
        <v>72.0</v>
      </c>
      <c r="AD45" s="1">
        <v>30.0</v>
      </c>
      <c r="AE45" s="1">
        <v>37.0</v>
      </c>
      <c r="AF45" s="1">
        <v>29.0</v>
      </c>
      <c r="AG45" s="1">
        <v>7.0</v>
      </c>
      <c r="AH45" s="1">
        <v>210.0</v>
      </c>
      <c r="AI45" s="1">
        <v>116.0</v>
      </c>
      <c r="AJ45" s="1">
        <v>1.0</v>
      </c>
      <c r="AK45" s="1">
        <v>0.0</v>
      </c>
      <c r="AL45" s="1">
        <v>5.0</v>
      </c>
      <c r="AM45" s="1">
        <v>3.0</v>
      </c>
      <c r="AN45" s="1">
        <v>1.0</v>
      </c>
    </row>
    <row r="46">
      <c r="A46" s="1">
        <v>212.0</v>
      </c>
      <c r="B46" s="1" t="s">
        <v>555</v>
      </c>
      <c r="C46" s="1" t="s">
        <v>556</v>
      </c>
      <c r="D46" s="1" t="s">
        <v>557</v>
      </c>
      <c r="E46" s="1" t="s">
        <v>43</v>
      </c>
      <c r="F46" s="2">
        <v>29438.0</v>
      </c>
      <c r="G46" s="1" t="s">
        <v>558</v>
      </c>
      <c r="H46" s="1">
        <v>93.0</v>
      </c>
      <c r="I46" s="1" t="s">
        <v>196</v>
      </c>
      <c r="J46" s="1">
        <v>6.0</v>
      </c>
      <c r="K46" s="2">
        <v>42907.0</v>
      </c>
      <c r="M46" s="1">
        <v>0.0</v>
      </c>
      <c r="N46" s="1" t="s">
        <v>173</v>
      </c>
      <c r="O46" s="1" t="s">
        <v>174</v>
      </c>
      <c r="P46" s="1" t="s">
        <v>559</v>
      </c>
      <c r="S46" s="1" t="s">
        <v>269</v>
      </c>
      <c r="T46" s="1">
        <v>626.0</v>
      </c>
      <c r="U46" s="3" t="s">
        <v>560</v>
      </c>
      <c r="V46" s="1">
        <v>720846.0</v>
      </c>
      <c r="W46" s="1" t="s">
        <v>561</v>
      </c>
      <c r="X46" s="3" t="s">
        <v>562</v>
      </c>
      <c r="Y46" s="3" t="s">
        <v>563</v>
      </c>
      <c r="Z46" s="1">
        <v>1.0</v>
      </c>
      <c r="AA46" s="1" t="s">
        <v>564</v>
      </c>
      <c r="AB46" s="1">
        <v>24.0</v>
      </c>
      <c r="AC46" s="1">
        <v>47.0</v>
      </c>
      <c r="AD46" s="1">
        <v>78.0</v>
      </c>
      <c r="AE46" s="1">
        <v>200.0</v>
      </c>
      <c r="AF46" s="1">
        <v>85.0</v>
      </c>
      <c r="AG46" s="1">
        <v>33.0</v>
      </c>
      <c r="AH46" s="1">
        <v>2061.0</v>
      </c>
      <c r="AI46" s="1">
        <v>32.0</v>
      </c>
      <c r="AJ46" s="1">
        <v>1.0</v>
      </c>
      <c r="AK46" s="1">
        <v>3.0</v>
      </c>
      <c r="AL46" s="1">
        <v>15.0</v>
      </c>
      <c r="AM46" s="1">
        <v>18.0</v>
      </c>
      <c r="AN46" s="1">
        <v>4.0</v>
      </c>
    </row>
    <row r="47">
      <c r="A47" s="1">
        <v>369.0</v>
      </c>
      <c r="B47" s="1" t="s">
        <v>565</v>
      </c>
      <c r="C47" s="1" t="s">
        <v>566</v>
      </c>
      <c r="D47" s="1" t="s">
        <v>567</v>
      </c>
      <c r="E47" s="1" t="s">
        <v>43</v>
      </c>
      <c r="F47" s="2">
        <v>23198.0</v>
      </c>
      <c r="G47" s="1" t="s">
        <v>568</v>
      </c>
      <c r="H47" s="1">
        <v>35.0</v>
      </c>
      <c r="I47" s="1" t="s">
        <v>415</v>
      </c>
      <c r="J47" s="1">
        <v>7.0</v>
      </c>
      <c r="K47" s="2">
        <v>42907.0</v>
      </c>
      <c r="M47" s="1">
        <v>0.0</v>
      </c>
      <c r="N47" s="1" t="s">
        <v>61</v>
      </c>
      <c r="O47" s="1" t="s">
        <v>62</v>
      </c>
      <c r="P47" s="1" t="s">
        <v>569</v>
      </c>
      <c r="S47" s="1" t="s">
        <v>570</v>
      </c>
      <c r="T47" s="1">
        <v>10.0</v>
      </c>
      <c r="U47" s="3" t="s">
        <v>571</v>
      </c>
      <c r="V47" s="1">
        <v>606712.0</v>
      </c>
      <c r="W47" s="1" t="s">
        <v>572</v>
      </c>
      <c r="X47" s="3" t="s">
        <v>573</v>
      </c>
      <c r="Y47" s="3" t="s">
        <v>574</v>
      </c>
      <c r="Z47" s="1">
        <v>2.0</v>
      </c>
      <c r="AA47" s="1" t="s">
        <v>575</v>
      </c>
      <c r="AB47" s="1">
        <v>24.0</v>
      </c>
      <c r="AC47" s="1">
        <v>63.0</v>
      </c>
      <c r="AD47" s="1">
        <v>92.0</v>
      </c>
      <c r="AE47" s="1">
        <v>225.0</v>
      </c>
      <c r="AF47" s="1">
        <v>170.0</v>
      </c>
      <c r="AG47" s="1">
        <v>148.0</v>
      </c>
      <c r="AH47" s="1">
        <v>1113.0</v>
      </c>
      <c r="AI47" s="1">
        <v>42.0</v>
      </c>
      <c r="AJ47" s="1">
        <v>1.0</v>
      </c>
      <c r="AK47" s="1">
        <v>2.0</v>
      </c>
      <c r="AL47" s="1">
        <v>40.0</v>
      </c>
      <c r="AM47" s="1">
        <v>17.0</v>
      </c>
      <c r="AN47" s="1">
        <v>1.0</v>
      </c>
    </row>
    <row r="48">
      <c r="A48" s="1">
        <v>113.0</v>
      </c>
      <c r="B48" s="1" t="s">
        <v>576</v>
      </c>
      <c r="C48" s="1" t="s">
        <v>577</v>
      </c>
      <c r="D48" s="1" t="s">
        <v>98</v>
      </c>
      <c r="E48" s="1" t="s">
        <v>43</v>
      </c>
      <c r="F48" s="2">
        <v>19804.0</v>
      </c>
      <c r="G48" s="1" t="s">
        <v>578</v>
      </c>
      <c r="H48" s="1">
        <v>64.0</v>
      </c>
      <c r="I48" s="1" t="s">
        <v>579</v>
      </c>
      <c r="J48" s="1">
        <v>2.0</v>
      </c>
      <c r="K48" s="2">
        <v>42907.0</v>
      </c>
      <c r="M48" s="1">
        <v>0.0</v>
      </c>
      <c r="N48" s="1" t="s">
        <v>280</v>
      </c>
      <c r="O48" s="1" t="s">
        <v>281</v>
      </c>
      <c r="P48" s="1" t="s">
        <v>580</v>
      </c>
      <c r="S48" s="1" t="s">
        <v>581</v>
      </c>
      <c r="T48" s="1">
        <v>255.0</v>
      </c>
      <c r="U48" s="3" t="s">
        <v>582</v>
      </c>
      <c r="V48" s="1">
        <v>720728.0</v>
      </c>
      <c r="W48" s="1" t="s">
        <v>583</v>
      </c>
      <c r="X48" s="3" t="s">
        <v>584</v>
      </c>
      <c r="Y48" s="3" t="s">
        <v>585</v>
      </c>
      <c r="Z48" s="1">
        <v>1.0</v>
      </c>
      <c r="AA48" s="1" t="s">
        <v>586</v>
      </c>
      <c r="AB48" s="1">
        <v>24.0</v>
      </c>
      <c r="AC48" s="1">
        <v>64.0</v>
      </c>
      <c r="AD48" s="1">
        <v>80.0</v>
      </c>
      <c r="AE48" s="1">
        <v>113.0</v>
      </c>
      <c r="AF48" s="1">
        <v>24.0</v>
      </c>
      <c r="AG48" s="1">
        <v>89.0</v>
      </c>
      <c r="AH48" s="1">
        <v>310.0</v>
      </c>
      <c r="AI48" s="1">
        <v>41.0</v>
      </c>
      <c r="AJ48" s="1">
        <v>1.0</v>
      </c>
      <c r="AK48" s="1">
        <v>0.0</v>
      </c>
      <c r="AL48" s="1">
        <v>5.0</v>
      </c>
      <c r="AM48" s="1">
        <v>1.0</v>
      </c>
      <c r="AN48" s="1">
        <v>2.0</v>
      </c>
    </row>
    <row r="49">
      <c r="A49" s="1">
        <v>123.0</v>
      </c>
      <c r="B49" s="1" t="s">
        <v>587</v>
      </c>
      <c r="C49" s="1" t="s">
        <v>588</v>
      </c>
      <c r="D49" s="1" t="s">
        <v>589</v>
      </c>
      <c r="E49" s="1" t="s">
        <v>43</v>
      </c>
      <c r="F49" s="2">
        <v>21882.0</v>
      </c>
      <c r="G49" s="1" t="s">
        <v>590</v>
      </c>
      <c r="H49" s="1">
        <v>78.0</v>
      </c>
      <c r="I49" s="1" t="s">
        <v>74</v>
      </c>
      <c r="J49" s="1">
        <v>9.0</v>
      </c>
      <c r="K49" s="2">
        <v>42907.0</v>
      </c>
      <c r="M49" s="1">
        <v>0.0</v>
      </c>
      <c r="N49" s="1" t="s">
        <v>280</v>
      </c>
      <c r="O49" s="1" t="s">
        <v>281</v>
      </c>
      <c r="P49" s="3" t="s">
        <v>591</v>
      </c>
      <c r="S49" s="1" t="s">
        <v>234</v>
      </c>
      <c r="T49" s="1">
        <v>178.0</v>
      </c>
      <c r="U49" s="3" t="s">
        <v>592</v>
      </c>
      <c r="V49" s="1">
        <v>721976.0</v>
      </c>
      <c r="W49" s="1" t="s">
        <v>593</v>
      </c>
      <c r="X49" s="3" t="s">
        <v>594</v>
      </c>
      <c r="Y49" s="3" t="s">
        <v>595</v>
      </c>
      <c r="Z49" s="1">
        <v>1.0</v>
      </c>
      <c r="AA49" s="1" t="s">
        <v>596</v>
      </c>
      <c r="AB49" s="1">
        <v>24.0</v>
      </c>
      <c r="AC49" s="1">
        <v>41.0</v>
      </c>
      <c r="AD49" s="1">
        <v>37.0</v>
      </c>
      <c r="AE49" s="1">
        <v>37.0</v>
      </c>
      <c r="AF49" s="1">
        <v>61.0</v>
      </c>
      <c r="AG49" s="1">
        <v>20.0</v>
      </c>
      <c r="AH49" s="1">
        <v>269.0</v>
      </c>
      <c r="AI49" s="1">
        <v>30.0</v>
      </c>
      <c r="AJ49" s="1">
        <v>0.0</v>
      </c>
      <c r="AK49" s="1">
        <v>0.0</v>
      </c>
      <c r="AL49" s="1">
        <v>5.0</v>
      </c>
      <c r="AM49" s="1">
        <v>5.0</v>
      </c>
      <c r="AN49" s="1">
        <v>4.0</v>
      </c>
    </row>
    <row r="50">
      <c r="A50" s="1">
        <v>514.0</v>
      </c>
      <c r="B50" s="1" t="s">
        <v>597</v>
      </c>
      <c r="C50" s="1" t="s">
        <v>598</v>
      </c>
      <c r="D50" s="1" t="s">
        <v>501</v>
      </c>
      <c r="E50" s="1" t="s">
        <v>43</v>
      </c>
      <c r="F50" s="2">
        <v>24681.0</v>
      </c>
      <c r="G50" s="1" t="s">
        <v>599</v>
      </c>
      <c r="H50" s="1">
        <v>42.0</v>
      </c>
      <c r="I50" s="1" t="s">
        <v>536</v>
      </c>
      <c r="J50" s="1">
        <v>2.0</v>
      </c>
      <c r="K50" s="2">
        <v>42907.0</v>
      </c>
      <c r="M50" s="1">
        <v>0.0</v>
      </c>
      <c r="N50" s="1" t="s">
        <v>75</v>
      </c>
      <c r="O50" s="1" t="s">
        <v>76</v>
      </c>
      <c r="P50" s="1" t="s">
        <v>600</v>
      </c>
      <c r="S50" s="1" t="s">
        <v>162</v>
      </c>
      <c r="T50" s="1">
        <v>430.0</v>
      </c>
      <c r="U50" s="3" t="s">
        <v>601</v>
      </c>
      <c r="V50" s="1">
        <v>719952.0</v>
      </c>
      <c r="W50" s="1" t="s">
        <v>602</v>
      </c>
      <c r="X50" s="3" t="s">
        <v>603</v>
      </c>
      <c r="Y50" s="3" t="s">
        <v>604</v>
      </c>
      <c r="Z50" s="1">
        <v>1.0</v>
      </c>
      <c r="AA50" s="1" t="s">
        <v>605</v>
      </c>
      <c r="AB50" s="1">
        <v>24.0</v>
      </c>
      <c r="AC50" s="1">
        <v>47.0</v>
      </c>
      <c r="AD50" s="1">
        <v>6.0</v>
      </c>
      <c r="AE50" s="1">
        <v>11.0</v>
      </c>
      <c r="AF50" s="1">
        <v>3.0</v>
      </c>
      <c r="AG50" s="1">
        <v>0.0</v>
      </c>
      <c r="AH50" s="1">
        <v>77.0</v>
      </c>
      <c r="AI50" s="1">
        <v>25.0</v>
      </c>
      <c r="AJ50" s="1">
        <v>0.0</v>
      </c>
      <c r="AK50" s="1">
        <v>0.0</v>
      </c>
      <c r="AL50" s="1">
        <v>7.0</v>
      </c>
      <c r="AM50" s="1">
        <v>13.0</v>
      </c>
      <c r="AN50" s="1">
        <v>0.0</v>
      </c>
    </row>
    <row r="51">
      <c r="A51" s="1">
        <v>271.0</v>
      </c>
      <c r="B51" s="1" t="s">
        <v>606</v>
      </c>
      <c r="C51" s="1" t="s">
        <v>607</v>
      </c>
      <c r="D51" s="1" t="s">
        <v>608</v>
      </c>
      <c r="E51" s="1" t="s">
        <v>58</v>
      </c>
      <c r="F51" s="2">
        <v>31217.0</v>
      </c>
      <c r="G51" s="1" t="s">
        <v>609</v>
      </c>
      <c r="H51" s="1">
        <v>91.0</v>
      </c>
      <c r="I51" s="1" t="s">
        <v>610</v>
      </c>
      <c r="J51" s="1">
        <v>6.0</v>
      </c>
      <c r="K51" s="2">
        <v>42907.0</v>
      </c>
      <c r="M51" s="1">
        <v>0.0</v>
      </c>
      <c r="N51" s="1" t="s">
        <v>75</v>
      </c>
      <c r="O51" s="1" t="s">
        <v>76</v>
      </c>
      <c r="P51" s="1" t="s">
        <v>611</v>
      </c>
      <c r="S51" s="1" t="s">
        <v>234</v>
      </c>
      <c r="T51" s="1">
        <v>427.0</v>
      </c>
      <c r="U51" s="3" t="s">
        <v>612</v>
      </c>
      <c r="V51" s="1">
        <v>721670.0</v>
      </c>
      <c r="W51" s="1" t="s">
        <v>613</v>
      </c>
      <c r="X51" s="3" t="s">
        <v>614</v>
      </c>
      <c r="Y51" s="3" t="s">
        <v>615</v>
      </c>
      <c r="Z51" s="1">
        <v>1.0</v>
      </c>
      <c r="AA51" s="1" t="s">
        <v>616</v>
      </c>
      <c r="AB51" s="1">
        <v>24.0</v>
      </c>
      <c r="AC51" s="1">
        <v>73.0</v>
      </c>
      <c r="AD51" s="1">
        <v>175.0</v>
      </c>
      <c r="AE51" s="1">
        <v>241.0</v>
      </c>
      <c r="AF51" s="1">
        <v>125.0</v>
      </c>
      <c r="AG51" s="1">
        <v>104.0</v>
      </c>
      <c r="AH51" s="1">
        <v>170.0</v>
      </c>
      <c r="AI51" s="1">
        <v>112.0</v>
      </c>
      <c r="AJ51" s="1">
        <v>1.0</v>
      </c>
      <c r="AK51" s="1">
        <v>0.0</v>
      </c>
      <c r="AL51" s="1">
        <v>5.0</v>
      </c>
      <c r="AM51" s="1">
        <v>0.0</v>
      </c>
      <c r="AN51" s="1">
        <v>2.0</v>
      </c>
    </row>
    <row r="52">
      <c r="A52" s="1">
        <v>263.0</v>
      </c>
      <c r="B52" s="1" t="s">
        <v>617</v>
      </c>
      <c r="C52" s="1" t="s">
        <v>618</v>
      </c>
      <c r="D52" s="1" t="s">
        <v>619</v>
      </c>
      <c r="E52" s="1" t="s">
        <v>58</v>
      </c>
      <c r="F52" s="2">
        <v>22484.0</v>
      </c>
      <c r="G52" s="1" t="s">
        <v>620</v>
      </c>
      <c r="H52" s="1">
        <v>77.0</v>
      </c>
      <c r="I52" s="1" t="s">
        <v>503</v>
      </c>
      <c r="J52" s="1">
        <v>9.0</v>
      </c>
      <c r="K52" s="2">
        <v>42907.0</v>
      </c>
      <c r="M52" s="1">
        <v>0.0</v>
      </c>
      <c r="N52" s="1" t="s">
        <v>75</v>
      </c>
      <c r="O52" s="1" t="s">
        <v>76</v>
      </c>
      <c r="P52" s="1" t="s">
        <v>621</v>
      </c>
      <c r="S52" s="1" t="s">
        <v>162</v>
      </c>
      <c r="T52" s="1">
        <v>401.0</v>
      </c>
      <c r="U52" s="3" t="s">
        <v>622</v>
      </c>
      <c r="V52" s="1">
        <v>721710.0</v>
      </c>
      <c r="W52" s="1" t="s">
        <v>623</v>
      </c>
      <c r="X52" s="3" t="s">
        <v>624</v>
      </c>
      <c r="Y52" s="3" t="s">
        <v>625</v>
      </c>
      <c r="Z52" s="1">
        <v>1.0</v>
      </c>
      <c r="AA52" s="1" t="s">
        <v>626</v>
      </c>
      <c r="AB52" s="1">
        <v>24.0</v>
      </c>
      <c r="AC52" s="1">
        <v>45.0</v>
      </c>
      <c r="AD52" s="1">
        <v>2.0</v>
      </c>
      <c r="AE52" s="1">
        <v>11.0</v>
      </c>
      <c r="AF52" s="1">
        <v>6.0</v>
      </c>
      <c r="AG52" s="1">
        <v>0.0</v>
      </c>
      <c r="AH52" s="1">
        <v>59.0</v>
      </c>
      <c r="AI52" s="1">
        <v>27.0</v>
      </c>
      <c r="AJ52" s="1">
        <v>0.0</v>
      </c>
      <c r="AK52" s="1">
        <v>0.0</v>
      </c>
      <c r="AL52" s="1">
        <v>5.0</v>
      </c>
      <c r="AM52" s="1">
        <v>7.0</v>
      </c>
      <c r="AN52" s="1">
        <v>1.0</v>
      </c>
    </row>
    <row r="53">
      <c r="A53" s="1">
        <v>336.0</v>
      </c>
      <c r="B53" s="1" t="s">
        <v>627</v>
      </c>
      <c r="C53" s="1" t="s">
        <v>628</v>
      </c>
      <c r="D53" s="1" t="s">
        <v>629</v>
      </c>
      <c r="E53" s="1" t="s">
        <v>58</v>
      </c>
      <c r="F53" s="2">
        <v>26779.0</v>
      </c>
      <c r="G53" s="1" t="s">
        <v>630</v>
      </c>
      <c r="H53" s="1">
        <v>82.0</v>
      </c>
      <c r="I53" s="1" t="s">
        <v>631</v>
      </c>
      <c r="J53" s="1">
        <v>1.0</v>
      </c>
      <c r="K53" s="2">
        <v>42907.0</v>
      </c>
      <c r="M53" s="1">
        <v>0.0</v>
      </c>
      <c r="N53" s="1" t="s">
        <v>115</v>
      </c>
      <c r="O53" s="1" t="s">
        <v>116</v>
      </c>
      <c r="P53" s="1" t="s">
        <v>632</v>
      </c>
      <c r="S53" s="1" t="s">
        <v>633</v>
      </c>
      <c r="T53" s="1">
        <v>505.0</v>
      </c>
      <c r="U53" s="3" t="s">
        <v>634</v>
      </c>
      <c r="V53" s="1">
        <v>609590.0</v>
      </c>
      <c r="W53" s="1" t="s">
        <v>635</v>
      </c>
      <c r="X53" s="3" t="s">
        <v>636</v>
      </c>
      <c r="Y53" s="3" t="s">
        <v>637</v>
      </c>
      <c r="Z53" s="1">
        <v>2.0</v>
      </c>
      <c r="AA53" s="1" t="s">
        <v>638</v>
      </c>
      <c r="AB53" s="1">
        <v>24.0</v>
      </c>
      <c r="AC53" s="1">
        <v>50.0</v>
      </c>
      <c r="AD53" s="1">
        <v>148.0</v>
      </c>
      <c r="AE53" s="1">
        <v>445.0</v>
      </c>
      <c r="AF53" s="1">
        <v>396.0</v>
      </c>
      <c r="AG53" s="1">
        <v>345.0</v>
      </c>
      <c r="AH53" s="1">
        <v>1207.0</v>
      </c>
      <c r="AI53" s="1">
        <v>95.0</v>
      </c>
      <c r="AJ53" s="1">
        <v>1.0</v>
      </c>
      <c r="AK53" s="1">
        <v>0.0</v>
      </c>
      <c r="AL53" s="1">
        <v>5.0</v>
      </c>
      <c r="AM53" s="1">
        <v>19.0</v>
      </c>
      <c r="AN53" s="1">
        <v>4.0</v>
      </c>
    </row>
    <row r="54">
      <c r="A54" s="1">
        <v>17.0</v>
      </c>
      <c r="B54" s="1" t="s">
        <v>639</v>
      </c>
      <c r="C54" s="1" t="s">
        <v>640</v>
      </c>
      <c r="D54" s="1" t="s">
        <v>641</v>
      </c>
      <c r="E54" s="1" t="s">
        <v>43</v>
      </c>
      <c r="F54" s="2">
        <v>31220.0</v>
      </c>
      <c r="G54" s="1" t="s">
        <v>404</v>
      </c>
      <c r="H54" s="1">
        <v>94.0</v>
      </c>
      <c r="I54" s="1" t="s">
        <v>642</v>
      </c>
      <c r="J54" s="1">
        <v>3.0</v>
      </c>
      <c r="K54" s="2">
        <v>42907.0</v>
      </c>
      <c r="M54" s="1">
        <v>0.0</v>
      </c>
      <c r="N54" s="1" t="s">
        <v>75</v>
      </c>
      <c r="O54" s="1" t="s">
        <v>76</v>
      </c>
      <c r="P54" s="1" t="s">
        <v>643</v>
      </c>
      <c r="S54" s="1" t="s">
        <v>234</v>
      </c>
      <c r="T54" s="1">
        <v>345.0</v>
      </c>
      <c r="U54" s="3" t="s">
        <v>644</v>
      </c>
      <c r="V54" s="1">
        <v>720878.0</v>
      </c>
      <c r="W54" s="1" t="s">
        <v>645</v>
      </c>
      <c r="X54" s="3" t="s">
        <v>646</v>
      </c>
      <c r="Y54" s="3" t="s">
        <v>647</v>
      </c>
      <c r="Z54" s="1">
        <v>1.0</v>
      </c>
      <c r="AA54" s="1" t="s">
        <v>648</v>
      </c>
      <c r="AB54" s="1">
        <v>24.0</v>
      </c>
      <c r="AC54" s="1">
        <v>92.0</v>
      </c>
      <c r="AD54" s="1">
        <v>90.0</v>
      </c>
      <c r="AE54" s="1">
        <v>117.0</v>
      </c>
      <c r="AF54" s="1">
        <v>58.0</v>
      </c>
      <c r="AG54" s="1">
        <v>62.0</v>
      </c>
      <c r="AH54" s="1">
        <v>219.0</v>
      </c>
      <c r="AI54" s="1">
        <v>140.0</v>
      </c>
      <c r="AJ54" s="1">
        <v>1.0</v>
      </c>
      <c r="AK54" s="1">
        <v>0.0</v>
      </c>
      <c r="AL54" s="1">
        <v>5.0</v>
      </c>
      <c r="AM54" s="1">
        <v>2.0</v>
      </c>
      <c r="AN54" s="1">
        <v>2.0</v>
      </c>
    </row>
    <row r="55">
      <c r="A55" s="1">
        <v>429.0</v>
      </c>
      <c r="B55" s="1" t="s">
        <v>649</v>
      </c>
      <c r="C55" s="1" t="s">
        <v>650</v>
      </c>
      <c r="D55" s="1" t="s">
        <v>651</v>
      </c>
      <c r="E55" s="1" t="s">
        <v>58</v>
      </c>
      <c r="F55" s="2">
        <v>18990.0</v>
      </c>
      <c r="G55" s="1" t="s">
        <v>652</v>
      </c>
      <c r="H55" s="1">
        <v>71.0</v>
      </c>
      <c r="I55" s="1" t="s">
        <v>336</v>
      </c>
      <c r="J55" s="1">
        <v>4.0</v>
      </c>
      <c r="K55" s="2">
        <v>42907.0</v>
      </c>
      <c r="M55" s="1">
        <v>0.0</v>
      </c>
      <c r="N55" s="1" t="s">
        <v>115</v>
      </c>
      <c r="O55" s="1" t="s">
        <v>116</v>
      </c>
      <c r="P55" s="1" t="s">
        <v>653</v>
      </c>
      <c r="S55" s="1" t="s">
        <v>654</v>
      </c>
      <c r="T55" s="1">
        <v>577.0</v>
      </c>
      <c r="U55" s="3" t="s">
        <v>655</v>
      </c>
      <c r="V55" s="1">
        <v>608695.0</v>
      </c>
      <c r="W55" s="1" t="s">
        <v>656</v>
      </c>
      <c r="X55" s="3" t="s">
        <v>657</v>
      </c>
      <c r="Y55" s="3" t="s">
        <v>658</v>
      </c>
      <c r="Z55" s="1">
        <v>1.0</v>
      </c>
      <c r="AA55" s="1" t="s">
        <v>659</v>
      </c>
      <c r="AB55" s="1">
        <v>24.0</v>
      </c>
      <c r="AC55" s="1">
        <v>42.0</v>
      </c>
      <c r="AD55" s="1">
        <v>63.0</v>
      </c>
      <c r="AE55" s="1">
        <v>104.0</v>
      </c>
      <c r="AF55" s="1">
        <v>90.0</v>
      </c>
      <c r="AG55" s="1">
        <v>82.0</v>
      </c>
      <c r="AH55" s="1">
        <v>1233.0</v>
      </c>
      <c r="AI55" s="1">
        <v>84.0</v>
      </c>
      <c r="AJ55" s="1">
        <v>1.0</v>
      </c>
      <c r="AK55" s="1">
        <v>0.0</v>
      </c>
      <c r="AL55" s="1">
        <v>5.0</v>
      </c>
      <c r="AM55" s="1">
        <v>22.0</v>
      </c>
      <c r="AN55" s="1">
        <v>2.0</v>
      </c>
    </row>
    <row r="56">
      <c r="A56" s="1">
        <v>76.0</v>
      </c>
      <c r="B56" s="1" t="s">
        <v>660</v>
      </c>
      <c r="C56" s="1" t="s">
        <v>661</v>
      </c>
      <c r="D56" s="1" t="s">
        <v>662</v>
      </c>
      <c r="E56" s="1" t="s">
        <v>43</v>
      </c>
      <c r="F56" s="2">
        <v>27600.0</v>
      </c>
      <c r="G56" s="1" t="s">
        <v>663</v>
      </c>
      <c r="H56" s="1">
        <v>40.0</v>
      </c>
      <c r="I56" s="1" t="s">
        <v>664</v>
      </c>
      <c r="J56" s="1">
        <v>3.0</v>
      </c>
      <c r="K56" s="2">
        <v>42907.0</v>
      </c>
      <c r="M56" s="1">
        <v>0.0</v>
      </c>
      <c r="N56" s="1" t="s">
        <v>115</v>
      </c>
      <c r="O56" s="1" t="s">
        <v>116</v>
      </c>
      <c r="S56" s="1" t="s">
        <v>118</v>
      </c>
      <c r="T56" s="1">
        <v>504.0</v>
      </c>
      <c r="U56" s="3" t="s">
        <v>665</v>
      </c>
      <c r="V56" s="1">
        <v>719930.0</v>
      </c>
      <c r="W56" s="1" t="s">
        <v>666</v>
      </c>
      <c r="X56" s="3" t="s">
        <v>667</v>
      </c>
      <c r="Y56" s="3" t="s">
        <v>668</v>
      </c>
      <c r="Z56" s="1">
        <v>1.0</v>
      </c>
      <c r="AB56" s="1">
        <v>24.0</v>
      </c>
      <c r="AC56" s="1">
        <v>54.0</v>
      </c>
      <c r="AD56" s="1">
        <v>151.0</v>
      </c>
      <c r="AE56" s="1">
        <v>229.0</v>
      </c>
      <c r="AF56" s="1">
        <v>142.0</v>
      </c>
      <c r="AG56" s="1">
        <v>301.0</v>
      </c>
      <c r="AH56" s="1">
        <v>1220.0</v>
      </c>
      <c r="AI56" s="1">
        <v>78.0</v>
      </c>
      <c r="AJ56" s="1">
        <v>0.0</v>
      </c>
      <c r="AK56" s="1">
        <v>0.0</v>
      </c>
      <c r="AL56" s="1">
        <v>5.0</v>
      </c>
      <c r="AM56" s="1">
        <v>16.0</v>
      </c>
      <c r="AN56" s="1">
        <v>2.0</v>
      </c>
    </row>
    <row r="57">
      <c r="A57" s="1">
        <v>244.0</v>
      </c>
      <c r="B57" s="1" t="s">
        <v>669</v>
      </c>
      <c r="C57" s="1" t="s">
        <v>670</v>
      </c>
      <c r="D57" s="1" t="s">
        <v>671</v>
      </c>
      <c r="E57" s="1" t="s">
        <v>58</v>
      </c>
      <c r="F57" s="2">
        <v>23820.0</v>
      </c>
      <c r="G57" s="1" t="s">
        <v>672</v>
      </c>
      <c r="H57" s="1">
        <v>81.0</v>
      </c>
      <c r="I57" s="1" t="s">
        <v>673</v>
      </c>
      <c r="J57" s="1">
        <v>2.0</v>
      </c>
      <c r="K57" s="2">
        <v>42907.0</v>
      </c>
      <c r="M57" s="1">
        <v>0.0</v>
      </c>
      <c r="N57" s="1" t="s">
        <v>75</v>
      </c>
      <c r="O57" s="1" t="s">
        <v>76</v>
      </c>
      <c r="P57" s="1" t="s">
        <v>674</v>
      </c>
      <c r="S57" s="1" t="s">
        <v>675</v>
      </c>
      <c r="T57" s="1">
        <v>525.0</v>
      </c>
      <c r="U57" s="3" t="s">
        <v>676</v>
      </c>
      <c r="V57" s="1">
        <v>721542.0</v>
      </c>
      <c r="W57" s="1" t="s">
        <v>677</v>
      </c>
      <c r="X57" s="3" t="s">
        <v>678</v>
      </c>
      <c r="Y57" s="3" t="s">
        <v>679</v>
      </c>
      <c r="Z57" s="1">
        <v>1.0</v>
      </c>
      <c r="AA57" s="1" t="s">
        <v>680</v>
      </c>
      <c r="AB57" s="1">
        <v>24.0</v>
      </c>
      <c r="AC57" s="1">
        <v>67.0</v>
      </c>
      <c r="AD57" s="1">
        <v>17.0</v>
      </c>
      <c r="AE57" s="1">
        <v>63.0</v>
      </c>
      <c r="AF57" s="1">
        <v>38.0</v>
      </c>
      <c r="AG57" s="1">
        <v>0.0</v>
      </c>
      <c r="AH57" s="1">
        <v>165.0</v>
      </c>
      <c r="AI57" s="1">
        <v>108.0</v>
      </c>
      <c r="AJ57" s="1">
        <v>1.0</v>
      </c>
      <c r="AK57" s="1">
        <v>0.0</v>
      </c>
      <c r="AL57" s="1">
        <v>5.0</v>
      </c>
      <c r="AM57" s="1">
        <v>2.0</v>
      </c>
      <c r="AN57" s="1">
        <v>1.0</v>
      </c>
    </row>
    <row r="58">
      <c r="A58" s="1">
        <v>226.0</v>
      </c>
      <c r="B58" s="1" t="s">
        <v>681</v>
      </c>
      <c r="C58" s="1" t="s">
        <v>682</v>
      </c>
      <c r="D58" s="1" t="s">
        <v>683</v>
      </c>
      <c r="E58" s="1" t="s">
        <v>43</v>
      </c>
      <c r="F58" s="2">
        <v>27367.0</v>
      </c>
      <c r="G58" s="1" t="s">
        <v>684</v>
      </c>
      <c r="H58" s="1">
        <v>12.0</v>
      </c>
      <c r="I58" s="1" t="s">
        <v>685</v>
      </c>
      <c r="J58" s="1">
        <v>3.0</v>
      </c>
      <c r="K58" s="2">
        <v>42907.0</v>
      </c>
      <c r="M58" s="1">
        <v>0.0</v>
      </c>
      <c r="N58" s="1" t="s">
        <v>61</v>
      </c>
      <c r="O58" s="1" t="s">
        <v>62</v>
      </c>
      <c r="P58" s="1" t="s">
        <v>686</v>
      </c>
      <c r="S58" s="1" t="s">
        <v>373</v>
      </c>
      <c r="T58" s="1">
        <v>35.0</v>
      </c>
      <c r="U58" s="3" t="s">
        <v>687</v>
      </c>
      <c r="V58" s="1">
        <v>709315.0</v>
      </c>
      <c r="W58" s="1" t="s">
        <v>688</v>
      </c>
      <c r="X58" s="3" t="s">
        <v>689</v>
      </c>
      <c r="Y58" s="3" t="s">
        <v>690</v>
      </c>
      <c r="Z58" s="1">
        <v>2.0</v>
      </c>
      <c r="AA58" s="1" t="s">
        <v>691</v>
      </c>
      <c r="AB58" s="1">
        <v>24.0</v>
      </c>
      <c r="AC58" s="1">
        <v>60.0</v>
      </c>
      <c r="AD58" s="1">
        <v>181.0</v>
      </c>
      <c r="AE58" s="1">
        <v>215.0</v>
      </c>
      <c r="AF58" s="1">
        <v>83.0</v>
      </c>
      <c r="AG58" s="1">
        <v>241.0</v>
      </c>
      <c r="AH58" s="1">
        <v>1280.0</v>
      </c>
      <c r="AI58" s="1">
        <v>53.0</v>
      </c>
      <c r="AJ58" s="1">
        <v>1.0</v>
      </c>
      <c r="AK58" s="1">
        <v>2.0</v>
      </c>
      <c r="AL58" s="1">
        <v>48.0</v>
      </c>
      <c r="AM58" s="1">
        <v>28.0</v>
      </c>
      <c r="AN58" s="1">
        <v>2.0</v>
      </c>
    </row>
    <row r="59">
      <c r="A59" s="1">
        <v>13.0</v>
      </c>
      <c r="B59" s="1" t="s">
        <v>692</v>
      </c>
      <c r="C59" s="1" t="s">
        <v>693</v>
      </c>
      <c r="D59" s="1" t="s">
        <v>694</v>
      </c>
      <c r="E59" s="1" t="s">
        <v>58</v>
      </c>
      <c r="F59" s="2">
        <v>20125.0</v>
      </c>
      <c r="G59" s="1" t="s">
        <v>695</v>
      </c>
      <c r="H59" s="1">
        <v>63.0</v>
      </c>
      <c r="I59" s="1" t="s">
        <v>114</v>
      </c>
      <c r="J59" s="1">
        <v>3.0</v>
      </c>
      <c r="K59" s="2">
        <v>42907.0</v>
      </c>
      <c r="M59" s="1">
        <v>0.0</v>
      </c>
      <c r="N59" s="1" t="s">
        <v>280</v>
      </c>
      <c r="O59" s="1" t="s">
        <v>281</v>
      </c>
      <c r="P59" s="1" t="s">
        <v>696</v>
      </c>
      <c r="S59" s="1" t="s">
        <v>697</v>
      </c>
      <c r="T59" s="1">
        <v>261.0</v>
      </c>
      <c r="U59" s="3" t="s">
        <v>698</v>
      </c>
      <c r="V59" s="1">
        <v>720704.0</v>
      </c>
      <c r="W59" s="1" t="s">
        <v>699</v>
      </c>
      <c r="X59" s="3" t="s">
        <v>700</v>
      </c>
      <c r="Y59" s="3" t="s">
        <v>701</v>
      </c>
      <c r="Z59" s="1">
        <v>1.0</v>
      </c>
      <c r="AA59" s="1" t="s">
        <v>702</v>
      </c>
      <c r="AB59" s="1">
        <v>24.0</v>
      </c>
      <c r="AC59" s="1">
        <v>39.0</v>
      </c>
      <c r="AD59" s="1">
        <v>32.0</v>
      </c>
      <c r="AE59" s="1">
        <v>66.0</v>
      </c>
      <c r="AF59" s="1">
        <v>13.0</v>
      </c>
      <c r="AG59" s="1">
        <v>24.0</v>
      </c>
      <c r="AH59" s="1">
        <v>259.0</v>
      </c>
      <c r="AI59" s="1">
        <v>24.0</v>
      </c>
      <c r="AJ59" s="1">
        <v>0.0</v>
      </c>
      <c r="AK59" s="1">
        <v>0.0</v>
      </c>
      <c r="AL59" s="1">
        <v>5.0</v>
      </c>
      <c r="AM59" s="1">
        <v>2.0</v>
      </c>
      <c r="AN59" s="1">
        <v>2.0</v>
      </c>
    </row>
    <row r="60">
      <c r="A60" s="1">
        <v>497.0</v>
      </c>
      <c r="B60" s="1" t="s">
        <v>703</v>
      </c>
      <c r="C60" s="1" t="s">
        <v>704</v>
      </c>
      <c r="D60" s="1" t="s">
        <v>705</v>
      </c>
      <c r="E60" s="1" t="s">
        <v>43</v>
      </c>
      <c r="F60" s="2">
        <v>24037.0</v>
      </c>
      <c r="G60" s="1" t="s">
        <v>706</v>
      </c>
      <c r="H60" s="1">
        <v>8.0</v>
      </c>
      <c r="I60" s="1" t="s">
        <v>707</v>
      </c>
      <c r="J60" s="1">
        <v>3.0</v>
      </c>
      <c r="K60" s="2">
        <v>42907.0</v>
      </c>
      <c r="M60" s="1">
        <v>0.0</v>
      </c>
      <c r="N60" s="1" t="s">
        <v>46</v>
      </c>
      <c r="O60" s="1" t="s">
        <v>62</v>
      </c>
      <c r="P60" s="1" t="s">
        <v>708</v>
      </c>
      <c r="S60" s="1" t="s">
        <v>709</v>
      </c>
      <c r="T60" s="1">
        <v>106.0</v>
      </c>
      <c r="U60" s="3" t="s">
        <v>710</v>
      </c>
      <c r="V60" s="1">
        <v>2952.0</v>
      </c>
      <c r="W60" s="1" t="s">
        <v>711</v>
      </c>
      <c r="X60" s="3" t="s">
        <v>712</v>
      </c>
      <c r="Y60" s="3" t="s">
        <v>713</v>
      </c>
      <c r="Z60" s="1">
        <v>1.0</v>
      </c>
      <c r="AA60" s="1" t="s">
        <v>714</v>
      </c>
      <c r="AB60" s="1">
        <v>24.0</v>
      </c>
      <c r="AC60" s="1">
        <v>46.0</v>
      </c>
      <c r="AD60" s="1">
        <v>18.0</v>
      </c>
      <c r="AE60" s="1">
        <v>35.0</v>
      </c>
      <c r="AF60" s="1">
        <v>78.0</v>
      </c>
      <c r="AG60" s="1">
        <v>26.0</v>
      </c>
      <c r="AH60" s="1">
        <v>356.0</v>
      </c>
      <c r="AI60" s="1">
        <v>32.0</v>
      </c>
      <c r="AJ60" s="1">
        <v>3.0</v>
      </c>
      <c r="AK60" s="1">
        <v>24.0</v>
      </c>
      <c r="AL60" s="1">
        <v>29.0</v>
      </c>
      <c r="AM60" s="1">
        <v>26.0</v>
      </c>
      <c r="AN60" s="1">
        <v>0.0</v>
      </c>
    </row>
    <row r="61">
      <c r="A61" s="1">
        <v>332.0</v>
      </c>
      <c r="B61" s="1" t="s">
        <v>715</v>
      </c>
      <c r="C61" s="1" t="s">
        <v>716</v>
      </c>
      <c r="D61" s="1" t="s">
        <v>717</v>
      </c>
      <c r="E61" s="1" t="s">
        <v>43</v>
      </c>
      <c r="F61" s="2">
        <v>28652.0</v>
      </c>
      <c r="G61" s="1" t="s">
        <v>718</v>
      </c>
      <c r="H61" s="1">
        <v>84.0</v>
      </c>
      <c r="I61" s="1" t="s">
        <v>719</v>
      </c>
      <c r="J61" s="1">
        <v>5.0</v>
      </c>
      <c r="K61" s="2">
        <v>42907.0</v>
      </c>
      <c r="M61" s="1">
        <v>0.0</v>
      </c>
      <c r="N61" s="1" t="s">
        <v>61</v>
      </c>
      <c r="O61" s="1" t="s">
        <v>62</v>
      </c>
      <c r="P61" s="1" t="s">
        <v>720</v>
      </c>
      <c r="S61" s="1" t="s">
        <v>721</v>
      </c>
      <c r="T61" s="1">
        <v>136.0</v>
      </c>
      <c r="U61" s="3" t="s">
        <v>722</v>
      </c>
      <c r="V61" s="1">
        <v>609726.0</v>
      </c>
      <c r="W61" s="1" t="s">
        <v>723</v>
      </c>
      <c r="X61" s="3" t="s">
        <v>724</v>
      </c>
      <c r="Y61" s="3" t="s">
        <v>725</v>
      </c>
      <c r="Z61" s="1">
        <v>1.0</v>
      </c>
      <c r="AA61" s="1" t="s">
        <v>726</v>
      </c>
      <c r="AB61" s="1">
        <v>23.0</v>
      </c>
      <c r="AC61" s="1">
        <v>42.0</v>
      </c>
      <c r="AD61" s="1">
        <v>94.0</v>
      </c>
      <c r="AE61" s="1">
        <v>238.0</v>
      </c>
      <c r="AF61" s="1">
        <v>164.0</v>
      </c>
      <c r="AG61" s="1">
        <v>127.0</v>
      </c>
      <c r="AH61" s="1">
        <v>1250.0</v>
      </c>
      <c r="AI61" s="1">
        <v>35.0</v>
      </c>
      <c r="AJ61" s="1">
        <v>1.0</v>
      </c>
      <c r="AK61" s="1">
        <v>2.0</v>
      </c>
      <c r="AL61" s="1">
        <v>59.0</v>
      </c>
      <c r="AM61" s="1">
        <v>18.0</v>
      </c>
      <c r="AN61" s="1">
        <v>3.0</v>
      </c>
    </row>
    <row r="62">
      <c r="A62" s="1">
        <v>406.0</v>
      </c>
      <c r="B62" s="1" t="s">
        <v>727</v>
      </c>
      <c r="C62" s="1" t="s">
        <v>728</v>
      </c>
      <c r="D62" s="1" t="s">
        <v>403</v>
      </c>
      <c r="E62" s="1" t="s">
        <v>58</v>
      </c>
      <c r="F62" s="2">
        <v>23242.0</v>
      </c>
      <c r="G62" s="1" t="s">
        <v>729</v>
      </c>
      <c r="H62" s="1">
        <v>37.0</v>
      </c>
      <c r="I62" s="1" t="s">
        <v>547</v>
      </c>
      <c r="J62" s="1">
        <v>3.0</v>
      </c>
      <c r="K62" s="2">
        <v>42907.0</v>
      </c>
      <c r="M62" s="1">
        <v>0.0</v>
      </c>
      <c r="N62" s="1" t="s">
        <v>46</v>
      </c>
      <c r="O62" s="1" t="s">
        <v>47</v>
      </c>
      <c r="P62" s="1" t="s">
        <v>730</v>
      </c>
      <c r="S62" s="1" t="s">
        <v>198</v>
      </c>
      <c r="T62" s="1">
        <v>134.0</v>
      </c>
      <c r="U62" s="3" t="s">
        <v>731</v>
      </c>
      <c r="V62" s="1">
        <v>719806.0</v>
      </c>
      <c r="W62" s="1" t="s">
        <v>732</v>
      </c>
      <c r="X62" s="3" t="s">
        <v>733</v>
      </c>
      <c r="Y62" s="3" t="s">
        <v>734</v>
      </c>
      <c r="Z62" s="1">
        <v>2.0</v>
      </c>
      <c r="AA62" s="1" t="s">
        <v>735</v>
      </c>
      <c r="AB62" s="1">
        <v>23.0</v>
      </c>
      <c r="AC62" s="1">
        <v>49.0</v>
      </c>
      <c r="AD62" s="1">
        <v>51.0</v>
      </c>
      <c r="AE62" s="1">
        <v>27.0</v>
      </c>
      <c r="AF62" s="1">
        <v>14.0</v>
      </c>
      <c r="AG62" s="1">
        <v>12.0</v>
      </c>
      <c r="AH62" s="1">
        <v>674.0</v>
      </c>
      <c r="AI62" s="1">
        <v>42.0</v>
      </c>
      <c r="AJ62" s="1">
        <v>1.0</v>
      </c>
      <c r="AK62" s="1">
        <v>0.0</v>
      </c>
      <c r="AL62" s="1">
        <v>27.0</v>
      </c>
      <c r="AM62" s="1">
        <v>17.0</v>
      </c>
      <c r="AN62" s="1">
        <v>3.0</v>
      </c>
    </row>
    <row r="63">
      <c r="A63" s="1">
        <v>59.0</v>
      </c>
      <c r="B63" s="1" t="s">
        <v>736</v>
      </c>
      <c r="C63" s="1" t="s">
        <v>737</v>
      </c>
      <c r="D63" s="1" t="s">
        <v>738</v>
      </c>
      <c r="E63" s="1" t="s">
        <v>58</v>
      </c>
      <c r="F63" s="2">
        <v>25577.0</v>
      </c>
      <c r="G63" s="1" t="s">
        <v>739</v>
      </c>
      <c r="H63" s="1">
        <v>4.0</v>
      </c>
      <c r="I63" s="1" t="s">
        <v>740</v>
      </c>
      <c r="J63" s="1">
        <v>1.0</v>
      </c>
      <c r="K63" s="2">
        <v>42907.0</v>
      </c>
      <c r="M63" s="1">
        <v>0.0</v>
      </c>
      <c r="N63" s="1" t="s">
        <v>75</v>
      </c>
      <c r="O63" s="1" t="s">
        <v>76</v>
      </c>
      <c r="P63" s="1" t="s">
        <v>741</v>
      </c>
      <c r="S63" s="1" t="s">
        <v>151</v>
      </c>
      <c r="T63" s="1">
        <v>486.0</v>
      </c>
      <c r="U63" s="3" t="s">
        <v>742</v>
      </c>
      <c r="V63" s="1">
        <v>718744.0</v>
      </c>
      <c r="W63" s="1" t="s">
        <v>743</v>
      </c>
      <c r="X63" s="3" t="s">
        <v>744</v>
      </c>
      <c r="Y63" s="3" t="s">
        <v>745</v>
      </c>
      <c r="Z63" s="1">
        <v>1.0</v>
      </c>
      <c r="AA63" s="1" t="s">
        <v>746</v>
      </c>
      <c r="AB63" s="1">
        <v>23.0</v>
      </c>
      <c r="AC63" s="1">
        <v>52.0</v>
      </c>
      <c r="AD63" s="1">
        <v>18.0</v>
      </c>
      <c r="AE63" s="1">
        <v>22.0</v>
      </c>
      <c r="AF63" s="1">
        <v>3.0</v>
      </c>
      <c r="AG63" s="1">
        <v>2.0</v>
      </c>
      <c r="AH63" s="1">
        <v>64.0</v>
      </c>
      <c r="AI63" s="1">
        <v>25.0</v>
      </c>
      <c r="AJ63" s="1">
        <v>1.0</v>
      </c>
      <c r="AK63" s="1">
        <v>0.0</v>
      </c>
      <c r="AL63" s="1">
        <v>5.0</v>
      </c>
      <c r="AM63" s="1">
        <v>5.0</v>
      </c>
      <c r="AN63" s="1">
        <v>1.0</v>
      </c>
    </row>
    <row r="64">
      <c r="A64" s="1">
        <v>151.0</v>
      </c>
      <c r="B64" s="1" t="s">
        <v>747</v>
      </c>
      <c r="C64" s="1" t="s">
        <v>748</v>
      </c>
      <c r="D64" s="1" t="s">
        <v>749</v>
      </c>
      <c r="E64" s="1" t="s">
        <v>43</v>
      </c>
      <c r="F64" s="2">
        <v>25393.0</v>
      </c>
      <c r="G64" s="1" t="s">
        <v>750</v>
      </c>
      <c r="H64" s="1">
        <v>57.0</v>
      </c>
      <c r="I64" s="1" t="s">
        <v>471</v>
      </c>
      <c r="J64" s="1">
        <v>1.0</v>
      </c>
      <c r="K64" s="2">
        <v>42907.0</v>
      </c>
      <c r="M64" s="1">
        <v>0.0</v>
      </c>
      <c r="N64" s="1" t="s">
        <v>75</v>
      </c>
      <c r="O64" s="1" t="s">
        <v>76</v>
      </c>
      <c r="P64" s="1" t="s">
        <v>751</v>
      </c>
      <c r="S64" s="1" t="s">
        <v>198</v>
      </c>
      <c r="T64" s="1">
        <v>574.0</v>
      </c>
      <c r="U64" s="3" t="s">
        <v>752</v>
      </c>
      <c r="V64" s="1">
        <v>720362.0</v>
      </c>
      <c r="W64" s="1" t="s">
        <v>753</v>
      </c>
      <c r="X64" s="3" t="s">
        <v>754</v>
      </c>
      <c r="Y64" s="3" t="s">
        <v>755</v>
      </c>
      <c r="Z64" s="1">
        <v>2.0</v>
      </c>
      <c r="AA64" s="1" t="s">
        <v>756</v>
      </c>
      <c r="AB64" s="1">
        <v>23.0</v>
      </c>
      <c r="AC64" s="1">
        <v>56.0</v>
      </c>
      <c r="AD64" s="1">
        <v>22.0</v>
      </c>
      <c r="AE64" s="1">
        <v>14.0</v>
      </c>
      <c r="AF64" s="1">
        <v>3.0</v>
      </c>
      <c r="AG64" s="1">
        <v>3.0</v>
      </c>
      <c r="AH64" s="1">
        <v>66.0</v>
      </c>
      <c r="AI64" s="1">
        <v>25.0</v>
      </c>
      <c r="AJ64" s="1">
        <v>0.0</v>
      </c>
      <c r="AK64" s="1">
        <v>0.0</v>
      </c>
      <c r="AL64" s="1">
        <v>5.0</v>
      </c>
      <c r="AM64" s="1">
        <v>14.0</v>
      </c>
      <c r="AN64" s="1">
        <v>1.0</v>
      </c>
    </row>
    <row r="65">
      <c r="A65" s="1">
        <v>122.0</v>
      </c>
      <c r="B65" s="1" t="s">
        <v>757</v>
      </c>
      <c r="C65" s="1" t="s">
        <v>758</v>
      </c>
      <c r="D65" s="1" t="s">
        <v>522</v>
      </c>
      <c r="E65" s="1" t="s">
        <v>43</v>
      </c>
      <c r="F65" s="2">
        <v>25266.0</v>
      </c>
      <c r="G65" s="1" t="s">
        <v>370</v>
      </c>
      <c r="H65" s="1">
        <v>76.0</v>
      </c>
      <c r="I65" s="1" t="s">
        <v>371</v>
      </c>
      <c r="J65" s="1">
        <v>5.0</v>
      </c>
      <c r="K65" s="2">
        <v>42907.0</v>
      </c>
      <c r="M65" s="1">
        <v>0.0</v>
      </c>
      <c r="N65" s="1" t="s">
        <v>115</v>
      </c>
      <c r="O65" s="1" t="s">
        <v>116</v>
      </c>
      <c r="P65" s="1" t="s">
        <v>759</v>
      </c>
      <c r="S65" s="1" t="s">
        <v>118</v>
      </c>
      <c r="T65" s="1">
        <v>520.0</v>
      </c>
      <c r="U65" s="3" t="s">
        <v>760</v>
      </c>
      <c r="V65" s="1">
        <v>267233.0</v>
      </c>
      <c r="W65" s="1" t="s">
        <v>761</v>
      </c>
      <c r="X65" s="3" t="s">
        <v>762</v>
      </c>
      <c r="Y65" s="3" t="s">
        <v>763</v>
      </c>
      <c r="Z65" s="1">
        <v>1.0</v>
      </c>
      <c r="AA65" s="1" t="s">
        <v>764</v>
      </c>
      <c r="AB65" s="1">
        <v>23.0</v>
      </c>
      <c r="AC65" s="1">
        <v>36.0</v>
      </c>
      <c r="AD65" s="1">
        <v>29.0</v>
      </c>
      <c r="AE65" s="1">
        <v>37.0</v>
      </c>
      <c r="AF65" s="1">
        <v>2.0</v>
      </c>
      <c r="AG65" s="1">
        <v>47.0</v>
      </c>
      <c r="AH65" s="1">
        <v>1240.0</v>
      </c>
      <c r="AI65" s="1">
        <v>89.0</v>
      </c>
      <c r="AJ65" s="1">
        <v>1.0</v>
      </c>
      <c r="AK65" s="1">
        <v>0.0</v>
      </c>
      <c r="AL65" s="1">
        <v>5.0</v>
      </c>
      <c r="AM65" s="1">
        <v>19.0</v>
      </c>
      <c r="AN65" s="1">
        <v>1.0</v>
      </c>
    </row>
    <row r="66">
      <c r="A66" s="1">
        <v>18.0</v>
      </c>
      <c r="B66" s="1" t="s">
        <v>765</v>
      </c>
      <c r="C66" s="1" t="s">
        <v>766</v>
      </c>
      <c r="D66" s="1" t="s">
        <v>767</v>
      </c>
      <c r="E66" s="1" t="s">
        <v>58</v>
      </c>
      <c r="F66" s="2">
        <v>23963.0</v>
      </c>
      <c r="G66" s="1" t="s">
        <v>768</v>
      </c>
      <c r="H66" s="1">
        <v>60.0</v>
      </c>
      <c r="I66" s="1" t="s">
        <v>769</v>
      </c>
      <c r="J66" s="1">
        <v>6.0</v>
      </c>
      <c r="K66" s="2">
        <v>42907.0</v>
      </c>
      <c r="M66" s="1">
        <v>0.0</v>
      </c>
      <c r="N66" s="1" t="s">
        <v>75</v>
      </c>
      <c r="O66" s="1" t="s">
        <v>76</v>
      </c>
      <c r="P66" s="1" t="s">
        <v>770</v>
      </c>
      <c r="S66" s="1" t="s">
        <v>771</v>
      </c>
      <c r="T66" s="1">
        <v>288.0</v>
      </c>
      <c r="U66" s="3" t="s">
        <v>772</v>
      </c>
      <c r="V66" s="1">
        <v>720622.0</v>
      </c>
      <c r="W66" s="1" t="s">
        <v>773</v>
      </c>
      <c r="X66" s="3" t="s">
        <v>774</v>
      </c>
      <c r="Y66" s="3" t="s">
        <v>775</v>
      </c>
      <c r="Z66" s="1">
        <v>2.0</v>
      </c>
      <c r="AA66" s="1" t="s">
        <v>776</v>
      </c>
      <c r="AB66" s="1">
        <v>23.0</v>
      </c>
      <c r="AC66" s="1">
        <v>28.0</v>
      </c>
      <c r="AD66" s="1">
        <v>0.0</v>
      </c>
      <c r="AE66" s="1">
        <v>576.0</v>
      </c>
      <c r="AF66" s="1">
        <v>3314.0</v>
      </c>
      <c r="AG66" s="1">
        <v>0.0</v>
      </c>
      <c r="AH66" s="1">
        <v>7.0</v>
      </c>
      <c r="AI66" s="1">
        <v>1.0</v>
      </c>
      <c r="AJ66" s="1">
        <v>0.0</v>
      </c>
      <c r="AK66" s="1">
        <v>0.0</v>
      </c>
      <c r="AL66" s="1">
        <v>7.0</v>
      </c>
      <c r="AM66" s="1">
        <v>0.0</v>
      </c>
      <c r="AN66" s="1">
        <v>1.0</v>
      </c>
    </row>
    <row r="67">
      <c r="A67" s="1">
        <v>539.0</v>
      </c>
      <c r="B67" s="1" t="s">
        <v>777</v>
      </c>
      <c r="C67" s="1" t="s">
        <v>778</v>
      </c>
      <c r="D67" s="1" t="s">
        <v>779</v>
      </c>
      <c r="E67" s="1" t="s">
        <v>58</v>
      </c>
      <c r="F67" s="2">
        <v>29060.0</v>
      </c>
      <c r="G67" s="1" t="s">
        <v>780</v>
      </c>
      <c r="H67" s="1">
        <v>92.0</v>
      </c>
      <c r="I67" s="1" t="s">
        <v>781</v>
      </c>
      <c r="J67" s="1">
        <v>5.0</v>
      </c>
      <c r="K67" s="2">
        <v>42907.0</v>
      </c>
      <c r="M67" s="1">
        <v>0.0</v>
      </c>
      <c r="N67" s="1" t="s">
        <v>75</v>
      </c>
      <c r="O67" s="1" t="s">
        <v>76</v>
      </c>
      <c r="P67" s="1" t="s">
        <v>782</v>
      </c>
      <c r="S67" s="1" t="s">
        <v>783</v>
      </c>
      <c r="T67" s="1">
        <v>270.0</v>
      </c>
      <c r="U67" s="3" t="s">
        <v>784</v>
      </c>
      <c r="V67" s="1">
        <v>721750.0</v>
      </c>
      <c r="W67" s="1" t="s">
        <v>785</v>
      </c>
      <c r="X67" s="3" t="s">
        <v>786</v>
      </c>
      <c r="Y67" s="3" t="s">
        <v>787</v>
      </c>
      <c r="Z67" s="1">
        <v>1.0</v>
      </c>
      <c r="AA67" s="1" t="s">
        <v>788</v>
      </c>
      <c r="AB67" s="1">
        <v>23.0</v>
      </c>
      <c r="AC67" s="1">
        <v>44.0</v>
      </c>
      <c r="AD67" s="1">
        <v>18.0</v>
      </c>
      <c r="AE67" s="1">
        <v>3.0</v>
      </c>
      <c r="AF67" s="1">
        <v>0.0</v>
      </c>
      <c r="AG67" s="1">
        <v>1.0</v>
      </c>
      <c r="AH67" s="1">
        <v>46.0</v>
      </c>
      <c r="AI67" s="1">
        <v>15.0</v>
      </c>
      <c r="AJ67" s="1">
        <v>0.0</v>
      </c>
      <c r="AK67" s="1">
        <v>0.0</v>
      </c>
      <c r="AL67" s="1">
        <v>5.0</v>
      </c>
      <c r="AM67" s="1">
        <v>2.0</v>
      </c>
      <c r="AN67" s="1">
        <v>1.0</v>
      </c>
    </row>
    <row r="68">
      <c r="A68" s="1">
        <v>567.0</v>
      </c>
      <c r="B68" s="1" t="s">
        <v>789</v>
      </c>
      <c r="C68" s="1" t="s">
        <v>790</v>
      </c>
      <c r="D68" s="1" t="s">
        <v>57</v>
      </c>
      <c r="E68" s="1" t="s">
        <v>58</v>
      </c>
      <c r="F68" s="2">
        <v>26220.0</v>
      </c>
      <c r="G68" s="1" t="s">
        <v>791</v>
      </c>
      <c r="H68" s="1">
        <v>55.0</v>
      </c>
      <c r="I68" s="1" t="s">
        <v>792</v>
      </c>
      <c r="J68" s="1">
        <v>2.0</v>
      </c>
      <c r="K68" s="2">
        <v>42907.0</v>
      </c>
      <c r="M68" s="1">
        <v>0.0</v>
      </c>
      <c r="N68" s="1" t="s">
        <v>75</v>
      </c>
      <c r="O68" s="1" t="s">
        <v>76</v>
      </c>
      <c r="P68" s="1" t="s">
        <v>793</v>
      </c>
      <c r="S68" s="1" t="s">
        <v>118</v>
      </c>
      <c r="T68" s="1">
        <v>638.0</v>
      </c>
      <c r="U68" s="3" t="s">
        <v>794</v>
      </c>
      <c r="V68" s="1">
        <v>720298.0</v>
      </c>
      <c r="W68" s="1" t="s">
        <v>795</v>
      </c>
      <c r="X68" s="3" t="s">
        <v>796</v>
      </c>
      <c r="Y68" s="3" t="s">
        <v>797</v>
      </c>
      <c r="Z68" s="1">
        <v>1.0</v>
      </c>
      <c r="AA68" s="1" t="s">
        <v>798</v>
      </c>
      <c r="AB68" s="1">
        <v>23.0</v>
      </c>
      <c r="AC68" s="1">
        <v>101.0</v>
      </c>
      <c r="AD68" s="1">
        <v>105.0</v>
      </c>
      <c r="AE68" s="1">
        <v>85.0</v>
      </c>
      <c r="AF68" s="1">
        <v>18.0</v>
      </c>
      <c r="AG68" s="1">
        <v>26.0</v>
      </c>
      <c r="AH68" s="1">
        <v>200.0</v>
      </c>
      <c r="AI68" s="1">
        <v>117.0</v>
      </c>
      <c r="AJ68" s="1">
        <v>1.0</v>
      </c>
      <c r="AK68" s="1">
        <v>0.0</v>
      </c>
      <c r="AL68" s="1">
        <v>5.0</v>
      </c>
      <c r="AM68" s="1">
        <v>6.0</v>
      </c>
      <c r="AN68" s="1">
        <v>2.0</v>
      </c>
    </row>
    <row r="69">
      <c r="A69" s="1">
        <v>430.0</v>
      </c>
      <c r="B69" s="1" t="s">
        <v>799</v>
      </c>
      <c r="C69" s="1" t="s">
        <v>800</v>
      </c>
      <c r="D69" s="1" t="s">
        <v>567</v>
      </c>
      <c r="E69" s="1" t="s">
        <v>43</v>
      </c>
      <c r="F69" s="2">
        <v>17774.0</v>
      </c>
      <c r="G69" s="1" t="s">
        <v>207</v>
      </c>
      <c r="H69" s="1">
        <v>94.0</v>
      </c>
      <c r="I69" s="1" t="s">
        <v>642</v>
      </c>
      <c r="J69" s="1">
        <v>5.0</v>
      </c>
      <c r="K69" s="2">
        <v>42907.0</v>
      </c>
      <c r="M69" s="1">
        <v>0.0</v>
      </c>
      <c r="N69" s="1" t="s">
        <v>61</v>
      </c>
      <c r="O69" s="1" t="s">
        <v>62</v>
      </c>
      <c r="P69" s="1" t="s">
        <v>801</v>
      </c>
      <c r="S69" s="1" t="s">
        <v>802</v>
      </c>
      <c r="T69" s="1">
        <v>92.0</v>
      </c>
      <c r="U69" s="3" t="s">
        <v>803</v>
      </c>
      <c r="V69" s="1">
        <v>746.0</v>
      </c>
      <c r="W69" s="1" t="s">
        <v>804</v>
      </c>
      <c r="X69" s="3" t="s">
        <v>805</v>
      </c>
      <c r="Y69" s="3" t="s">
        <v>806</v>
      </c>
      <c r="Z69" s="1">
        <v>2.0</v>
      </c>
      <c r="AA69" s="1" t="s">
        <v>807</v>
      </c>
      <c r="AB69" s="1">
        <v>23.0</v>
      </c>
      <c r="AC69" s="1">
        <v>42.0</v>
      </c>
      <c r="AD69" s="1">
        <v>87.0</v>
      </c>
      <c r="AE69" s="1">
        <v>196.0</v>
      </c>
      <c r="AF69" s="1">
        <v>174.0</v>
      </c>
      <c r="AG69" s="1">
        <v>25.0</v>
      </c>
      <c r="AH69" s="1">
        <v>279.0</v>
      </c>
      <c r="AI69" s="1">
        <v>18.0</v>
      </c>
      <c r="AJ69" s="1">
        <v>1.0</v>
      </c>
      <c r="AK69" s="1">
        <v>0.0</v>
      </c>
      <c r="AL69" s="1">
        <v>1.0</v>
      </c>
      <c r="AM69" s="1">
        <v>0.0</v>
      </c>
      <c r="AN69" s="1">
        <v>0.0</v>
      </c>
    </row>
    <row r="70">
      <c r="A70" s="1">
        <v>231.0</v>
      </c>
      <c r="B70" s="1" t="s">
        <v>808</v>
      </c>
      <c r="C70" s="1" t="s">
        <v>809</v>
      </c>
      <c r="D70" s="1" t="s">
        <v>810</v>
      </c>
      <c r="E70" s="1" t="s">
        <v>43</v>
      </c>
      <c r="F70" s="2">
        <v>16708.0</v>
      </c>
      <c r="G70" s="1" t="s">
        <v>811</v>
      </c>
      <c r="H70" s="1" t="s">
        <v>812</v>
      </c>
      <c r="I70" s="1" t="s">
        <v>813</v>
      </c>
      <c r="J70" s="1">
        <v>1.0</v>
      </c>
      <c r="K70" s="2">
        <v>42907.0</v>
      </c>
      <c r="M70" s="1">
        <v>0.0</v>
      </c>
      <c r="N70" s="1" t="s">
        <v>814</v>
      </c>
      <c r="O70" s="1" t="s">
        <v>815</v>
      </c>
      <c r="P70" s="3" t="s">
        <v>816</v>
      </c>
      <c r="S70" s="1" t="s">
        <v>246</v>
      </c>
      <c r="T70" s="1">
        <v>649.0</v>
      </c>
      <c r="U70" s="3" t="s">
        <v>817</v>
      </c>
      <c r="V70" s="1">
        <v>719138.0</v>
      </c>
      <c r="W70" s="1" t="s">
        <v>818</v>
      </c>
      <c r="X70" s="3" t="s">
        <v>819</v>
      </c>
      <c r="Y70" s="3" t="s">
        <v>820</v>
      </c>
      <c r="Z70" s="1">
        <v>1.0</v>
      </c>
      <c r="AA70" s="1" t="s">
        <v>821</v>
      </c>
      <c r="AB70" s="1">
        <v>23.0</v>
      </c>
      <c r="AC70" s="1">
        <v>55.0</v>
      </c>
      <c r="AD70" s="1">
        <v>44.0</v>
      </c>
      <c r="AE70" s="1">
        <v>126.0</v>
      </c>
      <c r="AF70" s="1">
        <v>23.0</v>
      </c>
      <c r="AG70" s="1">
        <v>119.0</v>
      </c>
      <c r="AH70" s="1">
        <v>260.0</v>
      </c>
      <c r="AI70" s="1">
        <v>3.0</v>
      </c>
      <c r="AJ70" s="1">
        <v>0.0</v>
      </c>
      <c r="AK70" s="1">
        <v>2.0</v>
      </c>
      <c r="AL70" s="1">
        <v>9.0</v>
      </c>
      <c r="AM70" s="1">
        <v>15.0</v>
      </c>
      <c r="AN70" s="1">
        <v>0.0</v>
      </c>
    </row>
    <row r="71">
      <c r="A71" s="1">
        <v>147.0</v>
      </c>
      <c r="B71" s="1" t="s">
        <v>822</v>
      </c>
      <c r="C71" s="1" t="s">
        <v>823</v>
      </c>
      <c r="D71" s="1" t="s">
        <v>824</v>
      </c>
      <c r="E71" s="1" t="s">
        <v>43</v>
      </c>
      <c r="F71" s="2">
        <v>21345.0</v>
      </c>
      <c r="G71" s="1" t="s">
        <v>207</v>
      </c>
      <c r="H71" s="1">
        <v>32.0</v>
      </c>
      <c r="I71" s="1" t="s">
        <v>825</v>
      </c>
      <c r="J71" s="1">
        <v>1.0</v>
      </c>
      <c r="K71" s="2">
        <v>42907.0</v>
      </c>
      <c r="M71" s="1">
        <v>0.0</v>
      </c>
      <c r="N71" s="1" t="s">
        <v>75</v>
      </c>
      <c r="O71" s="1" t="s">
        <v>76</v>
      </c>
      <c r="P71" s="1" t="s">
        <v>826</v>
      </c>
      <c r="S71" s="1" t="s">
        <v>827</v>
      </c>
      <c r="T71" s="1">
        <v>274.0</v>
      </c>
      <c r="U71" s="3" t="s">
        <v>828</v>
      </c>
      <c r="V71" s="1">
        <v>719472.0</v>
      </c>
      <c r="W71" s="1" t="s">
        <v>829</v>
      </c>
      <c r="X71" s="3" t="s">
        <v>830</v>
      </c>
      <c r="Y71" s="3" t="s">
        <v>831</v>
      </c>
      <c r="Z71" s="1">
        <v>2.0</v>
      </c>
      <c r="AA71" s="1" t="s">
        <v>832</v>
      </c>
      <c r="AB71" s="1">
        <v>23.0</v>
      </c>
      <c r="AC71" s="1">
        <v>58.0</v>
      </c>
      <c r="AD71" s="1">
        <v>44.0</v>
      </c>
      <c r="AE71" s="1">
        <v>116.0</v>
      </c>
      <c r="AF71" s="1">
        <v>28.0</v>
      </c>
      <c r="AG71" s="1">
        <v>6.0</v>
      </c>
      <c r="AH71" s="1">
        <v>210.0</v>
      </c>
      <c r="AI71" s="1">
        <v>150.0</v>
      </c>
      <c r="AJ71" s="1">
        <v>1.0</v>
      </c>
      <c r="AK71" s="1">
        <v>0.0</v>
      </c>
      <c r="AL71" s="1">
        <v>5.0</v>
      </c>
      <c r="AM71" s="1">
        <v>2.0</v>
      </c>
      <c r="AN71" s="1">
        <v>2.0</v>
      </c>
    </row>
    <row r="72">
      <c r="A72" s="1">
        <v>179.0</v>
      </c>
      <c r="B72" s="1" t="s">
        <v>833</v>
      </c>
      <c r="C72" s="1" t="s">
        <v>834</v>
      </c>
      <c r="D72" s="1" t="s">
        <v>835</v>
      </c>
      <c r="E72" s="1" t="s">
        <v>43</v>
      </c>
      <c r="F72" s="2">
        <v>26767.0</v>
      </c>
      <c r="G72" s="1" t="s">
        <v>836</v>
      </c>
      <c r="H72" s="1">
        <v>59.0</v>
      </c>
      <c r="I72" s="1" t="s">
        <v>172</v>
      </c>
      <c r="J72" s="1">
        <v>19.0</v>
      </c>
      <c r="K72" s="2">
        <v>42907.0</v>
      </c>
      <c r="M72" s="1">
        <v>0.0</v>
      </c>
      <c r="N72" s="1" t="s">
        <v>814</v>
      </c>
      <c r="O72" s="1" t="s">
        <v>837</v>
      </c>
      <c r="P72" s="1" t="s">
        <v>838</v>
      </c>
      <c r="S72" s="1" t="s">
        <v>839</v>
      </c>
      <c r="T72" s="1">
        <v>57.0</v>
      </c>
      <c r="U72" s="3" t="s">
        <v>840</v>
      </c>
      <c r="V72" s="1">
        <v>720468.0</v>
      </c>
      <c r="W72" s="1" t="s">
        <v>841</v>
      </c>
      <c r="X72" s="3" t="s">
        <v>842</v>
      </c>
      <c r="Y72" s="3" t="s">
        <v>843</v>
      </c>
      <c r="Z72" s="1">
        <v>1.0</v>
      </c>
      <c r="AA72" s="1" t="s">
        <v>844</v>
      </c>
      <c r="AB72" s="1">
        <v>23.0</v>
      </c>
      <c r="AC72" s="1">
        <v>29.0</v>
      </c>
      <c r="AD72" s="1">
        <v>13.0</v>
      </c>
      <c r="AE72" s="1">
        <v>169.0</v>
      </c>
      <c r="AF72" s="1">
        <v>148.0</v>
      </c>
      <c r="AG72" s="1">
        <v>57.0</v>
      </c>
      <c r="AH72" s="1">
        <v>261.0</v>
      </c>
      <c r="AI72" s="1">
        <v>0.0</v>
      </c>
      <c r="AJ72" s="1">
        <v>0.0</v>
      </c>
      <c r="AK72" s="1">
        <v>3.0</v>
      </c>
      <c r="AL72" s="1">
        <v>13.0</v>
      </c>
      <c r="AM72" s="1">
        <v>17.0</v>
      </c>
      <c r="AN72" s="1">
        <v>1.0</v>
      </c>
    </row>
    <row r="73">
      <c r="A73" s="1">
        <v>380.0</v>
      </c>
      <c r="B73" s="1" t="s">
        <v>845</v>
      </c>
      <c r="C73" s="1" t="s">
        <v>522</v>
      </c>
      <c r="D73" s="1" t="s">
        <v>846</v>
      </c>
      <c r="E73" s="1" t="s">
        <v>43</v>
      </c>
      <c r="F73" s="2">
        <v>25974.0</v>
      </c>
      <c r="G73" s="1" t="s">
        <v>847</v>
      </c>
      <c r="H73" s="1">
        <v>59.0</v>
      </c>
      <c r="I73" s="1" t="s">
        <v>172</v>
      </c>
      <c r="J73" s="1">
        <v>14.0</v>
      </c>
      <c r="K73" s="2">
        <v>42907.0</v>
      </c>
      <c r="M73" s="1">
        <v>0.0</v>
      </c>
      <c r="N73" s="1" t="s">
        <v>46</v>
      </c>
      <c r="O73" s="1" t="s">
        <v>47</v>
      </c>
      <c r="P73" s="1" t="s">
        <v>848</v>
      </c>
      <c r="S73" s="1" t="s">
        <v>118</v>
      </c>
      <c r="T73" s="1">
        <v>141.0</v>
      </c>
      <c r="U73" s="3" t="s">
        <v>849</v>
      </c>
      <c r="V73" s="1">
        <v>642868.0</v>
      </c>
      <c r="W73" s="1" t="s">
        <v>850</v>
      </c>
      <c r="X73" s="3" t="s">
        <v>851</v>
      </c>
      <c r="Y73" s="3" t="s">
        <v>852</v>
      </c>
      <c r="Z73" s="1">
        <v>1.0</v>
      </c>
      <c r="AA73" s="1" t="s">
        <v>853</v>
      </c>
      <c r="AB73" s="1">
        <v>23.0</v>
      </c>
      <c r="AC73" s="1">
        <v>44.0</v>
      </c>
      <c r="AD73" s="1">
        <v>28.0</v>
      </c>
      <c r="AE73" s="1">
        <v>66.0</v>
      </c>
      <c r="AF73" s="1">
        <v>10.0</v>
      </c>
      <c r="AG73" s="1">
        <v>37.0</v>
      </c>
      <c r="AH73" s="1">
        <v>605.0</v>
      </c>
      <c r="AI73" s="1">
        <v>35.0</v>
      </c>
      <c r="AJ73" s="1">
        <v>2.0</v>
      </c>
      <c r="AK73" s="1">
        <v>5.0</v>
      </c>
      <c r="AL73" s="1">
        <v>35.0</v>
      </c>
      <c r="AM73" s="1">
        <v>18.0</v>
      </c>
      <c r="AN73" s="1">
        <v>3.0</v>
      </c>
    </row>
    <row r="74">
      <c r="A74" s="1">
        <v>301.0</v>
      </c>
      <c r="B74" s="1" t="s">
        <v>854</v>
      </c>
      <c r="C74" s="1" t="s">
        <v>855</v>
      </c>
      <c r="D74" s="1" t="s">
        <v>856</v>
      </c>
      <c r="E74" s="1" t="s">
        <v>43</v>
      </c>
      <c r="F74" s="2">
        <v>28612.0</v>
      </c>
      <c r="G74" s="1" t="s">
        <v>857</v>
      </c>
      <c r="H74" s="1">
        <v>38.0</v>
      </c>
      <c r="I74" s="1" t="s">
        <v>267</v>
      </c>
      <c r="J74" s="1">
        <v>2.0</v>
      </c>
      <c r="K74" s="2">
        <v>42907.0</v>
      </c>
      <c r="M74" s="1">
        <v>0.0</v>
      </c>
      <c r="N74" s="1" t="s">
        <v>75</v>
      </c>
      <c r="O74" s="1" t="s">
        <v>76</v>
      </c>
      <c r="P74" s="1" t="s">
        <v>858</v>
      </c>
      <c r="S74" s="1" t="s">
        <v>827</v>
      </c>
      <c r="T74" s="1">
        <v>199.0</v>
      </c>
      <c r="U74" s="3" t="s">
        <v>859</v>
      </c>
      <c r="V74" s="1">
        <v>719740.0</v>
      </c>
      <c r="W74" s="1" t="s">
        <v>860</v>
      </c>
      <c r="X74" s="3" t="s">
        <v>861</v>
      </c>
      <c r="Y74" s="3" t="s">
        <v>862</v>
      </c>
      <c r="Z74" s="1">
        <v>1.0</v>
      </c>
      <c r="AA74" s="1" t="s">
        <v>863</v>
      </c>
      <c r="AB74" s="1">
        <v>23.0</v>
      </c>
      <c r="AC74" s="1">
        <v>58.0</v>
      </c>
      <c r="AD74" s="1">
        <v>139.0</v>
      </c>
      <c r="AE74" s="1">
        <v>102.0</v>
      </c>
      <c r="AF74" s="1">
        <v>38.0</v>
      </c>
      <c r="AG74" s="1">
        <v>139.0</v>
      </c>
      <c r="AH74" s="1">
        <v>255.0</v>
      </c>
      <c r="AI74" s="1">
        <v>172.0</v>
      </c>
      <c r="AJ74" s="1">
        <v>4.0</v>
      </c>
      <c r="AK74" s="1">
        <v>0.0</v>
      </c>
      <c r="AL74" s="1">
        <v>6.0</v>
      </c>
      <c r="AM74" s="1">
        <v>2.0</v>
      </c>
      <c r="AN74" s="1">
        <v>1.0</v>
      </c>
    </row>
    <row r="75">
      <c r="A75" s="1">
        <v>203.0</v>
      </c>
      <c r="B75" s="1" t="s">
        <v>864</v>
      </c>
      <c r="C75" s="1" t="s">
        <v>865</v>
      </c>
      <c r="D75" s="1" t="s">
        <v>866</v>
      </c>
      <c r="E75" s="1" t="s">
        <v>43</v>
      </c>
      <c r="F75" s="2">
        <v>26446.0</v>
      </c>
      <c r="G75" s="1" t="s">
        <v>867</v>
      </c>
      <c r="H75" s="1">
        <v>8.0</v>
      </c>
      <c r="I75" s="1" t="s">
        <v>707</v>
      </c>
      <c r="J75" s="1">
        <v>2.0</v>
      </c>
      <c r="K75" s="2">
        <v>42907.0</v>
      </c>
      <c r="M75" s="1">
        <v>0.0</v>
      </c>
      <c r="N75" s="1" t="s">
        <v>61</v>
      </c>
      <c r="O75" s="1" t="s">
        <v>62</v>
      </c>
      <c r="P75" s="3" t="s">
        <v>868</v>
      </c>
      <c r="S75" s="1" t="s">
        <v>118</v>
      </c>
      <c r="T75" s="1">
        <v>8.0</v>
      </c>
      <c r="U75" s="3" t="s">
        <v>869</v>
      </c>
      <c r="V75" s="1">
        <v>718850.0</v>
      </c>
      <c r="W75" s="1" t="s">
        <v>870</v>
      </c>
      <c r="X75" s="3" t="s">
        <v>871</v>
      </c>
      <c r="Y75" s="3" t="s">
        <v>872</v>
      </c>
      <c r="Z75" s="1">
        <v>1.0</v>
      </c>
      <c r="AA75" s="1" t="s">
        <v>873</v>
      </c>
      <c r="AB75" s="1">
        <v>23.0</v>
      </c>
      <c r="AC75" s="1">
        <v>48.0</v>
      </c>
      <c r="AD75" s="1">
        <v>19.0</v>
      </c>
      <c r="AE75" s="1">
        <v>37.0</v>
      </c>
      <c r="AF75" s="1">
        <v>683.0</v>
      </c>
      <c r="AG75" s="1">
        <v>53.0</v>
      </c>
      <c r="AH75" s="1">
        <v>1731.0</v>
      </c>
      <c r="AI75" s="1">
        <v>50.0</v>
      </c>
      <c r="AJ75" s="1">
        <v>0.0</v>
      </c>
      <c r="AK75" s="1">
        <v>5.0</v>
      </c>
      <c r="AL75" s="1">
        <v>54.0</v>
      </c>
      <c r="AM75" s="1">
        <v>19.0</v>
      </c>
      <c r="AN75" s="1">
        <v>3.0</v>
      </c>
    </row>
    <row r="76">
      <c r="A76" s="1">
        <v>115.0</v>
      </c>
      <c r="B76" s="1" t="s">
        <v>874</v>
      </c>
      <c r="C76" s="1" t="s">
        <v>875</v>
      </c>
      <c r="D76" s="1" t="s">
        <v>619</v>
      </c>
      <c r="E76" s="1" t="s">
        <v>58</v>
      </c>
      <c r="F76" s="2">
        <v>24715.0</v>
      </c>
      <c r="G76" s="1" t="s">
        <v>876</v>
      </c>
      <c r="H76" s="1">
        <v>89.0</v>
      </c>
      <c r="I76" s="1" t="s">
        <v>877</v>
      </c>
      <c r="J76" s="1">
        <v>3.0</v>
      </c>
      <c r="K76" s="2">
        <v>42907.0</v>
      </c>
      <c r="M76" s="1">
        <v>0.0</v>
      </c>
      <c r="N76" s="1" t="s">
        <v>75</v>
      </c>
      <c r="O76" s="1" t="s">
        <v>76</v>
      </c>
      <c r="P76" s="1" t="s">
        <v>878</v>
      </c>
      <c r="S76" s="1" t="s">
        <v>879</v>
      </c>
      <c r="T76" s="1">
        <v>367.0</v>
      </c>
      <c r="U76" s="3" t="s">
        <v>880</v>
      </c>
      <c r="V76" s="1">
        <v>721808.0</v>
      </c>
      <c r="W76" s="1" t="s">
        <v>881</v>
      </c>
      <c r="X76" s="3" t="s">
        <v>882</v>
      </c>
      <c r="Y76" s="3" t="s">
        <v>883</v>
      </c>
      <c r="Z76" s="1">
        <v>1.0</v>
      </c>
      <c r="AA76" s="1" t="s">
        <v>884</v>
      </c>
      <c r="AB76" s="1">
        <v>23.0</v>
      </c>
      <c r="AC76" s="1">
        <v>50.0</v>
      </c>
      <c r="AD76" s="1">
        <v>11.0</v>
      </c>
      <c r="AE76" s="1">
        <v>1.0</v>
      </c>
      <c r="AF76" s="1">
        <v>0.0</v>
      </c>
      <c r="AG76" s="1">
        <v>0.0</v>
      </c>
      <c r="AH76" s="1">
        <v>55.0</v>
      </c>
      <c r="AI76" s="1">
        <v>26.0</v>
      </c>
      <c r="AJ76" s="1">
        <v>0.0</v>
      </c>
      <c r="AK76" s="1">
        <v>0.0</v>
      </c>
      <c r="AL76" s="1">
        <v>5.0</v>
      </c>
      <c r="AM76" s="1">
        <v>8.0</v>
      </c>
      <c r="AN76" s="1">
        <v>0.0</v>
      </c>
    </row>
    <row r="77">
      <c r="A77" s="1">
        <v>552.0</v>
      </c>
      <c r="B77" s="1" t="s">
        <v>885</v>
      </c>
      <c r="C77" s="1" t="s">
        <v>886</v>
      </c>
      <c r="D77" s="1" t="s">
        <v>887</v>
      </c>
      <c r="E77" s="1" t="s">
        <v>43</v>
      </c>
      <c r="F77" s="2">
        <v>25019.0</v>
      </c>
      <c r="G77" s="1" t="s">
        <v>888</v>
      </c>
      <c r="H77" s="1">
        <v>95.0</v>
      </c>
      <c r="I77" s="1" t="s">
        <v>302</v>
      </c>
      <c r="J77" s="1">
        <v>7.0</v>
      </c>
      <c r="K77" s="2">
        <v>42907.0</v>
      </c>
      <c r="M77" s="1">
        <v>0.0</v>
      </c>
      <c r="N77" s="1" t="s">
        <v>75</v>
      </c>
      <c r="O77" s="1" t="s">
        <v>76</v>
      </c>
      <c r="P77" s="3" t="s">
        <v>889</v>
      </c>
      <c r="S77" s="1" t="s">
        <v>198</v>
      </c>
      <c r="T77" s="1">
        <v>223.0</v>
      </c>
      <c r="U77" s="3" t="s">
        <v>890</v>
      </c>
      <c r="V77" s="1">
        <v>720932.0</v>
      </c>
      <c r="W77" s="1" t="s">
        <v>891</v>
      </c>
      <c r="X77" s="3" t="s">
        <v>892</v>
      </c>
      <c r="Y77" s="3" t="s">
        <v>893</v>
      </c>
      <c r="Z77" s="1">
        <v>1.0</v>
      </c>
      <c r="AA77" s="1" t="s">
        <v>894</v>
      </c>
      <c r="AB77" s="1">
        <v>23.0</v>
      </c>
      <c r="AC77" s="1">
        <v>53.0</v>
      </c>
      <c r="AD77" s="1">
        <v>25.0</v>
      </c>
      <c r="AE77" s="1">
        <v>11.0</v>
      </c>
      <c r="AF77" s="1">
        <v>0.0</v>
      </c>
      <c r="AG77" s="1">
        <v>7.0</v>
      </c>
      <c r="AH77" s="1">
        <v>121.0</v>
      </c>
      <c r="AI77" s="1">
        <v>58.0</v>
      </c>
      <c r="AJ77" s="1">
        <v>0.0</v>
      </c>
      <c r="AK77" s="1">
        <v>0.0</v>
      </c>
      <c r="AL77" s="1">
        <v>5.0</v>
      </c>
      <c r="AM77" s="1">
        <v>0.0</v>
      </c>
      <c r="AN77" s="1">
        <v>1.0</v>
      </c>
    </row>
    <row r="78">
      <c r="A78" s="1">
        <v>57.0</v>
      </c>
      <c r="B78" s="1" t="s">
        <v>895</v>
      </c>
      <c r="C78" s="1" t="s">
        <v>896</v>
      </c>
      <c r="D78" s="1" t="s">
        <v>671</v>
      </c>
      <c r="E78" s="1" t="s">
        <v>58</v>
      </c>
      <c r="F78" s="2">
        <v>21195.0</v>
      </c>
      <c r="G78" s="1" t="s">
        <v>897</v>
      </c>
      <c r="H78" s="1">
        <v>39.0</v>
      </c>
      <c r="I78" s="1" t="s">
        <v>128</v>
      </c>
      <c r="J78" s="1">
        <v>2.0</v>
      </c>
      <c r="K78" s="2">
        <v>42907.0</v>
      </c>
      <c r="M78" s="1">
        <v>0.0</v>
      </c>
      <c r="N78" s="1" t="s">
        <v>61</v>
      </c>
      <c r="O78" s="1" t="s">
        <v>62</v>
      </c>
      <c r="P78" s="1" t="s">
        <v>898</v>
      </c>
      <c r="S78" s="1" t="s">
        <v>440</v>
      </c>
      <c r="T78" s="1">
        <v>16.0</v>
      </c>
      <c r="U78" s="3" t="s">
        <v>899</v>
      </c>
      <c r="V78" s="1">
        <v>332523.0</v>
      </c>
      <c r="W78" s="1" t="s">
        <v>900</v>
      </c>
      <c r="X78" s="3" t="s">
        <v>901</v>
      </c>
      <c r="Y78" s="3" t="s">
        <v>902</v>
      </c>
      <c r="Z78" s="1">
        <v>1.0</v>
      </c>
      <c r="AB78" s="1">
        <v>23.0</v>
      </c>
      <c r="AC78" s="1">
        <v>53.0</v>
      </c>
      <c r="AD78" s="1">
        <v>116.0</v>
      </c>
      <c r="AE78" s="1">
        <v>181.0</v>
      </c>
      <c r="AF78" s="1">
        <v>237.0</v>
      </c>
      <c r="AG78" s="1">
        <v>162.0</v>
      </c>
      <c r="AH78" s="1">
        <v>1429.0</v>
      </c>
      <c r="AI78" s="1">
        <v>52.0</v>
      </c>
      <c r="AJ78" s="1">
        <v>1.0</v>
      </c>
      <c r="AK78" s="1">
        <v>0.0</v>
      </c>
      <c r="AL78" s="1">
        <v>57.0</v>
      </c>
      <c r="AM78" s="1">
        <v>20.0</v>
      </c>
      <c r="AN78" s="1">
        <v>1.0</v>
      </c>
    </row>
    <row r="79">
      <c r="A79" s="1">
        <v>169.0</v>
      </c>
      <c r="B79" s="1" t="s">
        <v>903</v>
      </c>
      <c r="C79" s="1" t="s">
        <v>904</v>
      </c>
      <c r="D79" s="1" t="s">
        <v>905</v>
      </c>
      <c r="E79" s="1" t="s">
        <v>43</v>
      </c>
      <c r="F79" s="2">
        <v>24324.0</v>
      </c>
      <c r="G79" s="1" t="s">
        <v>906</v>
      </c>
      <c r="H79" s="1">
        <v>47.0</v>
      </c>
      <c r="I79" s="1" t="s">
        <v>907</v>
      </c>
      <c r="J79" s="1">
        <v>3.0</v>
      </c>
      <c r="K79" s="2">
        <v>42907.0</v>
      </c>
      <c r="M79" s="1">
        <v>0.0</v>
      </c>
      <c r="N79" s="1" t="s">
        <v>75</v>
      </c>
      <c r="O79" s="1" t="s">
        <v>76</v>
      </c>
      <c r="P79" s="1" t="s">
        <v>908</v>
      </c>
      <c r="S79" s="1" t="s">
        <v>417</v>
      </c>
      <c r="T79" s="1">
        <v>523.0</v>
      </c>
      <c r="U79" s="3" t="s">
        <v>909</v>
      </c>
      <c r="V79" s="1">
        <v>720268.0</v>
      </c>
      <c r="W79" s="1" t="s">
        <v>910</v>
      </c>
      <c r="X79" s="3" t="s">
        <v>911</v>
      </c>
      <c r="Y79" s="3" t="s">
        <v>912</v>
      </c>
      <c r="Z79" s="1">
        <v>2.0</v>
      </c>
      <c r="AA79" s="1" t="s">
        <v>913</v>
      </c>
      <c r="AB79" s="1">
        <v>23.0</v>
      </c>
      <c r="AC79" s="1">
        <v>58.0</v>
      </c>
      <c r="AD79" s="1">
        <v>8.0</v>
      </c>
      <c r="AE79" s="1">
        <v>14.0</v>
      </c>
      <c r="AF79" s="1">
        <v>34.0</v>
      </c>
      <c r="AG79" s="1">
        <v>0.0</v>
      </c>
      <c r="AH79" s="1">
        <v>158.0</v>
      </c>
      <c r="AI79" s="1">
        <v>103.0</v>
      </c>
      <c r="AJ79" s="1">
        <v>1.0</v>
      </c>
      <c r="AK79" s="1">
        <v>0.0</v>
      </c>
      <c r="AL79" s="1">
        <v>8.0</v>
      </c>
      <c r="AM79" s="1">
        <v>0.0</v>
      </c>
      <c r="AN79" s="1">
        <v>1.0</v>
      </c>
    </row>
    <row r="80">
      <c r="A80" s="1">
        <v>84.0</v>
      </c>
      <c r="B80" s="1" t="s">
        <v>914</v>
      </c>
      <c r="C80" s="1" t="s">
        <v>915</v>
      </c>
      <c r="D80" s="1" t="s">
        <v>916</v>
      </c>
      <c r="E80" s="1" t="s">
        <v>43</v>
      </c>
      <c r="F80" s="2">
        <v>18051.0</v>
      </c>
      <c r="G80" s="1" t="s">
        <v>917</v>
      </c>
      <c r="H80" s="1">
        <v>33.0</v>
      </c>
      <c r="I80" s="1" t="s">
        <v>348</v>
      </c>
      <c r="J80" s="1">
        <v>4.0</v>
      </c>
      <c r="K80" s="2">
        <v>42907.0</v>
      </c>
      <c r="M80" s="1">
        <v>0.0</v>
      </c>
      <c r="N80" s="1" t="s">
        <v>115</v>
      </c>
      <c r="O80" s="1" t="s">
        <v>116</v>
      </c>
      <c r="P80" s="1" t="s">
        <v>918</v>
      </c>
      <c r="S80" s="1" t="s">
        <v>827</v>
      </c>
      <c r="T80" s="1">
        <v>518.0</v>
      </c>
      <c r="U80" s="3" t="s">
        <v>919</v>
      </c>
      <c r="V80" s="1">
        <v>1008.0</v>
      </c>
      <c r="W80" s="1" t="s">
        <v>920</v>
      </c>
      <c r="X80" s="3" t="s">
        <v>921</v>
      </c>
      <c r="Y80" s="3" t="s">
        <v>922</v>
      </c>
      <c r="Z80" s="1">
        <v>1.0</v>
      </c>
      <c r="AA80" s="1" t="s">
        <v>923</v>
      </c>
      <c r="AB80" s="1">
        <v>23.0</v>
      </c>
      <c r="AC80" s="1">
        <v>39.0</v>
      </c>
      <c r="AD80" s="1">
        <v>18.0</v>
      </c>
      <c r="AE80" s="1">
        <v>8.0</v>
      </c>
      <c r="AF80" s="1">
        <v>3.0</v>
      </c>
      <c r="AG80" s="1">
        <v>0.0</v>
      </c>
      <c r="AH80" s="1">
        <v>1134.0</v>
      </c>
      <c r="AI80" s="1">
        <v>71.0</v>
      </c>
      <c r="AJ80" s="1">
        <v>1.0</v>
      </c>
      <c r="AK80" s="1">
        <v>0.0</v>
      </c>
      <c r="AL80" s="1">
        <v>5.0</v>
      </c>
      <c r="AM80" s="1">
        <v>9.0</v>
      </c>
      <c r="AN80" s="1">
        <v>3.0</v>
      </c>
    </row>
    <row r="81">
      <c r="A81" s="1">
        <v>494.0</v>
      </c>
      <c r="B81" s="1" t="s">
        <v>924</v>
      </c>
      <c r="C81" s="1" t="s">
        <v>915</v>
      </c>
      <c r="D81" s="1" t="s">
        <v>887</v>
      </c>
      <c r="E81" s="1" t="s">
        <v>58</v>
      </c>
      <c r="F81" s="2">
        <v>23069.0</v>
      </c>
      <c r="G81" s="1" t="s">
        <v>857</v>
      </c>
      <c r="H81" s="1">
        <v>33.0</v>
      </c>
      <c r="I81" s="1" t="s">
        <v>348</v>
      </c>
      <c r="J81" s="1">
        <v>1.0</v>
      </c>
      <c r="K81" s="2">
        <v>42907.0</v>
      </c>
      <c r="M81" s="1">
        <v>0.0</v>
      </c>
      <c r="N81" s="1" t="s">
        <v>75</v>
      </c>
      <c r="O81" s="1" t="s">
        <v>76</v>
      </c>
      <c r="P81" s="1" t="s">
        <v>925</v>
      </c>
      <c r="S81" s="1" t="s">
        <v>234</v>
      </c>
      <c r="T81" s="1">
        <v>644.0</v>
      </c>
      <c r="U81" s="3" t="s">
        <v>926</v>
      </c>
      <c r="V81" s="1">
        <v>719710.0</v>
      </c>
      <c r="W81" s="1" t="s">
        <v>927</v>
      </c>
      <c r="X81" s="3" t="s">
        <v>928</v>
      </c>
      <c r="Y81" s="3" t="s">
        <v>929</v>
      </c>
      <c r="Z81" s="1">
        <v>1.0</v>
      </c>
      <c r="AA81" s="1" t="s">
        <v>930</v>
      </c>
      <c r="AB81" s="1">
        <v>23.0</v>
      </c>
      <c r="AC81" s="1">
        <v>71.0</v>
      </c>
      <c r="AD81" s="1">
        <v>9.0</v>
      </c>
      <c r="AE81" s="1">
        <v>4.0</v>
      </c>
      <c r="AF81" s="1">
        <v>0.0</v>
      </c>
      <c r="AG81" s="1">
        <v>1.0</v>
      </c>
      <c r="AH81" s="1">
        <v>150.0</v>
      </c>
      <c r="AI81" s="1">
        <v>103.0</v>
      </c>
      <c r="AJ81" s="1">
        <v>1.0</v>
      </c>
      <c r="AK81" s="1">
        <v>0.0</v>
      </c>
      <c r="AL81" s="1">
        <v>5.0</v>
      </c>
      <c r="AM81" s="1">
        <v>0.0</v>
      </c>
      <c r="AN81" s="1">
        <v>1.0</v>
      </c>
    </row>
    <row r="82">
      <c r="A82" s="1">
        <v>556.0</v>
      </c>
      <c r="B82" s="1" t="s">
        <v>931</v>
      </c>
      <c r="C82" s="1" t="s">
        <v>932</v>
      </c>
      <c r="D82" s="1" t="s">
        <v>933</v>
      </c>
      <c r="E82" s="1" t="s">
        <v>58</v>
      </c>
      <c r="F82" s="2">
        <v>33975.0</v>
      </c>
      <c r="G82" s="1" t="s">
        <v>934</v>
      </c>
      <c r="H82" s="1">
        <v>73.0</v>
      </c>
      <c r="I82" s="1" t="s">
        <v>60</v>
      </c>
      <c r="J82" s="1">
        <v>1.0</v>
      </c>
      <c r="K82" s="2">
        <v>42907.0</v>
      </c>
      <c r="M82" s="1">
        <v>0.0</v>
      </c>
      <c r="N82" s="1" t="s">
        <v>75</v>
      </c>
      <c r="O82" s="1" t="s">
        <v>76</v>
      </c>
      <c r="P82" s="1" t="s">
        <v>935</v>
      </c>
      <c r="S82" s="1" t="s">
        <v>936</v>
      </c>
      <c r="T82" s="1">
        <v>350.0</v>
      </c>
      <c r="U82" s="3" t="s">
        <v>937</v>
      </c>
      <c r="V82" s="1">
        <v>721398.0</v>
      </c>
      <c r="W82" s="1" t="s">
        <v>938</v>
      </c>
      <c r="X82" s="3" t="s">
        <v>939</v>
      </c>
      <c r="Y82" s="3" t="s">
        <v>940</v>
      </c>
      <c r="Z82" s="1">
        <v>1.0</v>
      </c>
      <c r="AA82" s="1" t="s">
        <v>941</v>
      </c>
      <c r="AB82" s="1">
        <v>23.0</v>
      </c>
      <c r="AC82" s="1">
        <v>54.0</v>
      </c>
      <c r="AD82" s="1">
        <v>20.0</v>
      </c>
      <c r="AE82" s="1">
        <v>0.0</v>
      </c>
      <c r="AF82" s="1">
        <v>2.0</v>
      </c>
      <c r="AG82" s="1">
        <v>1.0</v>
      </c>
      <c r="AH82" s="1">
        <v>129.0</v>
      </c>
      <c r="AI82" s="1">
        <v>59.0</v>
      </c>
      <c r="AJ82" s="1">
        <v>1.0</v>
      </c>
      <c r="AK82" s="1">
        <v>1.0</v>
      </c>
      <c r="AL82" s="1">
        <v>6.0</v>
      </c>
      <c r="AM82" s="1">
        <v>15.0</v>
      </c>
      <c r="AN82" s="1">
        <v>0.0</v>
      </c>
    </row>
    <row r="83">
      <c r="A83" s="1">
        <v>167.0</v>
      </c>
      <c r="B83" s="1" t="s">
        <v>942</v>
      </c>
      <c r="C83" s="1" t="s">
        <v>943</v>
      </c>
      <c r="D83" s="1" t="s">
        <v>944</v>
      </c>
      <c r="E83" s="1" t="s">
        <v>43</v>
      </c>
      <c r="F83" s="2">
        <v>22425.0</v>
      </c>
      <c r="G83" s="1" t="s">
        <v>945</v>
      </c>
      <c r="H83" s="1">
        <v>2.0</v>
      </c>
      <c r="I83" s="1" t="s">
        <v>185</v>
      </c>
      <c r="J83" s="1">
        <v>4.0</v>
      </c>
      <c r="K83" s="2">
        <v>42907.0</v>
      </c>
      <c r="M83" s="1">
        <v>0.0</v>
      </c>
      <c r="N83" s="1" t="s">
        <v>75</v>
      </c>
      <c r="O83" s="1" t="s">
        <v>76</v>
      </c>
      <c r="P83" s="1" t="s">
        <v>946</v>
      </c>
      <c r="S83" s="1" t="s">
        <v>151</v>
      </c>
      <c r="T83" s="1">
        <v>565.0</v>
      </c>
      <c r="U83" s="3" t="s">
        <v>947</v>
      </c>
      <c r="V83" s="1">
        <v>718694.0</v>
      </c>
      <c r="W83" s="1" t="s">
        <v>948</v>
      </c>
      <c r="X83" s="3" t="s">
        <v>949</v>
      </c>
      <c r="Y83" s="3" t="s">
        <v>950</v>
      </c>
      <c r="Z83" s="1">
        <v>1.0</v>
      </c>
      <c r="AA83" s="1" t="s">
        <v>951</v>
      </c>
      <c r="AB83" s="1">
        <v>23.0</v>
      </c>
      <c r="AC83" s="1">
        <v>51.0</v>
      </c>
      <c r="AD83" s="1">
        <v>14.0</v>
      </c>
      <c r="AE83" s="1">
        <v>16.0</v>
      </c>
      <c r="AF83" s="1">
        <v>3.0</v>
      </c>
      <c r="AG83" s="1">
        <v>0.0</v>
      </c>
      <c r="AH83" s="1">
        <v>54.0</v>
      </c>
      <c r="AI83" s="1">
        <v>25.0</v>
      </c>
      <c r="AJ83" s="1">
        <v>0.0</v>
      </c>
      <c r="AK83" s="1">
        <v>0.0</v>
      </c>
      <c r="AL83" s="1">
        <v>6.0</v>
      </c>
      <c r="AM83" s="1">
        <v>3.0</v>
      </c>
      <c r="AN83" s="1">
        <v>1.0</v>
      </c>
    </row>
    <row r="84">
      <c r="A84" s="1">
        <v>555.0</v>
      </c>
      <c r="B84" s="1" t="s">
        <v>952</v>
      </c>
      <c r="C84" s="1" t="s">
        <v>953</v>
      </c>
      <c r="D84" s="1" t="s">
        <v>954</v>
      </c>
      <c r="E84" s="1" t="s">
        <v>58</v>
      </c>
      <c r="F84" s="2">
        <v>19131.0</v>
      </c>
      <c r="G84" s="1" t="s">
        <v>955</v>
      </c>
      <c r="H84" s="1">
        <v>62.0</v>
      </c>
      <c r="I84" s="1" t="s">
        <v>427</v>
      </c>
      <c r="J84" s="1">
        <v>9.0</v>
      </c>
      <c r="K84" s="2">
        <v>42907.0</v>
      </c>
      <c r="M84" s="1">
        <v>0.0</v>
      </c>
      <c r="N84" s="1" t="s">
        <v>280</v>
      </c>
      <c r="O84" s="1" t="s">
        <v>281</v>
      </c>
      <c r="P84" s="1" t="s">
        <v>956</v>
      </c>
      <c r="S84" s="1" t="s">
        <v>957</v>
      </c>
      <c r="T84" s="1">
        <v>170.0</v>
      </c>
      <c r="U84" s="3" t="s">
        <v>958</v>
      </c>
      <c r="V84" s="1">
        <v>720598.0</v>
      </c>
      <c r="W84" s="1" t="s">
        <v>959</v>
      </c>
      <c r="X84" s="3" t="s">
        <v>960</v>
      </c>
      <c r="Y84" s="3" t="s">
        <v>961</v>
      </c>
      <c r="Z84" s="1">
        <v>1.0</v>
      </c>
      <c r="AA84" s="1" t="s">
        <v>962</v>
      </c>
      <c r="AB84" s="1">
        <v>23.0</v>
      </c>
      <c r="AC84" s="1">
        <v>53.0</v>
      </c>
      <c r="AD84" s="1">
        <v>24.0</v>
      </c>
      <c r="AE84" s="1">
        <v>10.0</v>
      </c>
      <c r="AF84" s="1">
        <v>2.0</v>
      </c>
      <c r="AG84" s="1">
        <v>5.0</v>
      </c>
      <c r="AH84" s="1">
        <v>191.0</v>
      </c>
      <c r="AI84" s="1">
        <v>18.0</v>
      </c>
      <c r="AJ84" s="1">
        <v>0.0</v>
      </c>
      <c r="AK84" s="1">
        <v>0.0</v>
      </c>
      <c r="AL84" s="1">
        <v>5.0</v>
      </c>
      <c r="AM84" s="1">
        <v>9.0</v>
      </c>
      <c r="AN84" s="1">
        <v>3.0</v>
      </c>
    </row>
    <row r="85">
      <c r="A85" s="1">
        <v>367.0</v>
      </c>
      <c r="B85" s="1" t="s">
        <v>963</v>
      </c>
      <c r="C85" s="1" t="s">
        <v>964</v>
      </c>
      <c r="D85" s="1" t="s">
        <v>866</v>
      </c>
      <c r="E85" s="1" t="s">
        <v>43</v>
      </c>
      <c r="F85" s="2">
        <v>27560.0</v>
      </c>
      <c r="G85" s="1" t="s">
        <v>965</v>
      </c>
      <c r="H85" s="1">
        <v>13.0</v>
      </c>
      <c r="I85" s="1" t="s">
        <v>279</v>
      </c>
      <c r="J85" s="1">
        <v>13.0</v>
      </c>
      <c r="K85" s="2">
        <v>42907.0</v>
      </c>
      <c r="M85" s="1">
        <v>0.0</v>
      </c>
      <c r="N85" s="1" t="s">
        <v>101</v>
      </c>
      <c r="O85" s="1" t="s">
        <v>102</v>
      </c>
      <c r="P85" s="1" t="s">
        <v>966</v>
      </c>
      <c r="S85" s="1" t="s">
        <v>967</v>
      </c>
      <c r="T85" s="1">
        <v>592.0</v>
      </c>
      <c r="U85" s="3" t="s">
        <v>968</v>
      </c>
      <c r="V85" s="1">
        <v>718926.0</v>
      </c>
      <c r="W85" s="1" t="s">
        <v>969</v>
      </c>
      <c r="X85" s="3" t="s">
        <v>970</v>
      </c>
      <c r="Y85" s="3" t="s">
        <v>971</v>
      </c>
      <c r="Z85" s="1">
        <v>1.0</v>
      </c>
      <c r="AA85" s="1" t="s">
        <v>972</v>
      </c>
      <c r="AB85" s="1">
        <v>23.0</v>
      </c>
      <c r="AC85" s="1">
        <v>40.0</v>
      </c>
      <c r="AD85" s="1">
        <v>160.0</v>
      </c>
      <c r="AE85" s="1">
        <v>280.0</v>
      </c>
      <c r="AF85" s="1">
        <v>101.0</v>
      </c>
      <c r="AG85" s="1">
        <v>317.0</v>
      </c>
      <c r="AH85" s="1">
        <v>668.0</v>
      </c>
      <c r="AI85" s="1">
        <v>22.0</v>
      </c>
      <c r="AJ85" s="1">
        <v>1.0</v>
      </c>
      <c r="AK85" s="1">
        <v>2.0</v>
      </c>
      <c r="AL85" s="1">
        <v>19.0</v>
      </c>
      <c r="AM85" s="1">
        <v>11.0</v>
      </c>
      <c r="AN85" s="1">
        <v>5.0</v>
      </c>
    </row>
    <row r="86">
      <c r="A86" s="1">
        <v>125.0</v>
      </c>
      <c r="B86" s="1" t="s">
        <v>973</v>
      </c>
      <c r="C86" s="1" t="s">
        <v>974</v>
      </c>
      <c r="D86" s="1" t="s">
        <v>717</v>
      </c>
      <c r="E86" s="1" t="s">
        <v>43</v>
      </c>
      <c r="F86" s="2">
        <v>31188.0</v>
      </c>
      <c r="G86" s="1" t="s">
        <v>975</v>
      </c>
      <c r="H86" s="1">
        <v>2.0</v>
      </c>
      <c r="I86" s="1" t="s">
        <v>185</v>
      </c>
      <c r="J86" s="1">
        <v>2.0</v>
      </c>
      <c r="K86" s="2">
        <v>42907.0</v>
      </c>
      <c r="M86" s="1">
        <v>0.0</v>
      </c>
      <c r="N86" s="1" t="s">
        <v>61</v>
      </c>
      <c r="O86" s="1" t="s">
        <v>62</v>
      </c>
      <c r="P86" s="1" t="s">
        <v>976</v>
      </c>
      <c r="S86" s="1" t="s">
        <v>977</v>
      </c>
      <c r="T86" s="1">
        <v>53.0</v>
      </c>
      <c r="U86" s="3" t="s">
        <v>978</v>
      </c>
      <c r="V86" s="1">
        <v>712015.0</v>
      </c>
      <c r="W86" s="1" t="s">
        <v>979</v>
      </c>
      <c r="X86" s="3" t="s">
        <v>980</v>
      </c>
      <c r="Y86" s="3" t="s">
        <v>981</v>
      </c>
      <c r="Z86" s="1">
        <v>2.0</v>
      </c>
      <c r="AA86" s="1" t="s">
        <v>982</v>
      </c>
      <c r="AB86" s="1">
        <v>23.0</v>
      </c>
      <c r="AC86" s="1">
        <v>41.0</v>
      </c>
      <c r="AD86" s="1">
        <v>40.0</v>
      </c>
      <c r="AE86" s="1">
        <v>71.0</v>
      </c>
      <c r="AF86" s="1">
        <v>47.0</v>
      </c>
      <c r="AG86" s="1">
        <v>132.0</v>
      </c>
      <c r="AH86" s="1">
        <v>1332.0</v>
      </c>
      <c r="AI86" s="1">
        <v>44.0</v>
      </c>
      <c r="AJ86" s="1">
        <v>0.0</v>
      </c>
      <c r="AK86" s="1">
        <v>3.0</v>
      </c>
      <c r="AL86" s="1">
        <v>70.0</v>
      </c>
      <c r="AM86" s="1">
        <v>34.0</v>
      </c>
      <c r="AN86" s="1">
        <v>2.0</v>
      </c>
    </row>
    <row r="87">
      <c r="A87" s="1">
        <v>166.0</v>
      </c>
      <c r="B87" s="1" t="s">
        <v>983</v>
      </c>
      <c r="C87" s="1" t="s">
        <v>984</v>
      </c>
      <c r="D87" s="1" t="s">
        <v>380</v>
      </c>
      <c r="E87" s="1" t="s">
        <v>58</v>
      </c>
      <c r="F87" s="2">
        <v>28153.0</v>
      </c>
      <c r="G87" s="1" t="s">
        <v>791</v>
      </c>
      <c r="H87" s="1">
        <v>54.0</v>
      </c>
      <c r="I87" s="1" t="s">
        <v>160</v>
      </c>
      <c r="J87" s="1">
        <v>6.0</v>
      </c>
      <c r="K87" s="2">
        <v>42907.0</v>
      </c>
      <c r="M87" s="1">
        <v>0.0</v>
      </c>
      <c r="N87" s="1" t="s">
        <v>173</v>
      </c>
      <c r="O87" s="1" t="s">
        <v>174</v>
      </c>
      <c r="P87" s="1" t="s">
        <v>985</v>
      </c>
      <c r="S87" s="1" t="s">
        <v>986</v>
      </c>
      <c r="T87" s="1">
        <v>602.0</v>
      </c>
      <c r="U87" s="3" t="s">
        <v>987</v>
      </c>
      <c r="V87" s="1">
        <v>720286.0</v>
      </c>
      <c r="W87" s="1" t="s">
        <v>988</v>
      </c>
      <c r="X87" s="3" t="s">
        <v>989</v>
      </c>
      <c r="Y87" s="3" t="s">
        <v>990</v>
      </c>
      <c r="Z87" s="1">
        <v>1.0</v>
      </c>
      <c r="AA87" s="1" t="s">
        <v>991</v>
      </c>
      <c r="AB87" s="1">
        <v>23.0</v>
      </c>
      <c r="AC87" s="1">
        <v>29.0</v>
      </c>
      <c r="AD87" s="1">
        <v>99.0</v>
      </c>
      <c r="AE87" s="1">
        <v>189.0</v>
      </c>
      <c r="AF87" s="1">
        <v>256.0</v>
      </c>
      <c r="AG87" s="1">
        <v>120.0</v>
      </c>
      <c r="AH87" s="1">
        <v>2065.0</v>
      </c>
      <c r="AI87" s="1">
        <v>32.0</v>
      </c>
      <c r="AJ87" s="1">
        <v>1.0</v>
      </c>
      <c r="AK87" s="1">
        <v>1.0</v>
      </c>
      <c r="AL87" s="1">
        <v>15.0</v>
      </c>
      <c r="AM87" s="1">
        <v>12.0</v>
      </c>
      <c r="AN87" s="1">
        <v>4.0</v>
      </c>
    </row>
    <row r="88">
      <c r="A88" s="1">
        <v>108.0</v>
      </c>
      <c r="B88" s="1" t="s">
        <v>992</v>
      </c>
      <c r="C88" s="1" t="s">
        <v>993</v>
      </c>
      <c r="D88" s="1" t="s">
        <v>994</v>
      </c>
      <c r="E88" s="1" t="s">
        <v>58</v>
      </c>
      <c r="F88" s="2">
        <v>24686.0</v>
      </c>
      <c r="G88" s="1" t="s">
        <v>171</v>
      </c>
      <c r="H88" s="1">
        <v>92.0</v>
      </c>
      <c r="I88" s="1" t="s">
        <v>781</v>
      </c>
      <c r="J88" s="1">
        <v>4.0</v>
      </c>
      <c r="K88" s="2">
        <v>42907.0</v>
      </c>
      <c r="M88" s="1">
        <v>0.0</v>
      </c>
      <c r="N88" s="1" t="s">
        <v>280</v>
      </c>
      <c r="O88" s="1" t="s">
        <v>281</v>
      </c>
      <c r="P88" s="1" t="s">
        <v>995</v>
      </c>
      <c r="S88" s="1" t="s">
        <v>118</v>
      </c>
      <c r="T88" s="1">
        <v>177.0</v>
      </c>
      <c r="U88" s="3" t="s">
        <v>996</v>
      </c>
      <c r="V88" s="1">
        <v>721742.0</v>
      </c>
      <c r="W88" s="1" t="s">
        <v>997</v>
      </c>
      <c r="X88" s="3" t="s">
        <v>998</v>
      </c>
      <c r="Y88" s="3" t="s">
        <v>999</v>
      </c>
      <c r="Z88" s="1">
        <v>2.0</v>
      </c>
      <c r="AA88" s="1" t="s">
        <v>1000</v>
      </c>
      <c r="AB88" s="1">
        <v>23.0</v>
      </c>
      <c r="AC88" s="1">
        <v>39.0</v>
      </c>
      <c r="AD88" s="1">
        <v>24.0</v>
      </c>
      <c r="AE88" s="1">
        <v>40.0</v>
      </c>
      <c r="AF88" s="1">
        <v>8.0</v>
      </c>
      <c r="AG88" s="1">
        <v>11.0</v>
      </c>
      <c r="AH88" s="1">
        <v>263.0</v>
      </c>
      <c r="AI88" s="1">
        <v>33.0</v>
      </c>
      <c r="AJ88" s="1">
        <v>2.0</v>
      </c>
      <c r="AK88" s="1">
        <v>0.0</v>
      </c>
      <c r="AL88" s="1">
        <v>5.0</v>
      </c>
      <c r="AM88" s="1">
        <v>1.0</v>
      </c>
      <c r="AN88" s="1">
        <v>2.0</v>
      </c>
    </row>
    <row r="89">
      <c r="A89" s="1">
        <v>145.0</v>
      </c>
      <c r="B89" s="1" t="s">
        <v>1001</v>
      </c>
      <c r="C89" s="1" t="s">
        <v>1002</v>
      </c>
      <c r="D89" s="1" t="s">
        <v>1003</v>
      </c>
      <c r="E89" s="1" t="s">
        <v>43</v>
      </c>
      <c r="F89" s="2">
        <v>21837.0</v>
      </c>
      <c r="G89" s="1" t="s">
        <v>1004</v>
      </c>
      <c r="H89" s="1">
        <v>5.0</v>
      </c>
      <c r="I89" s="1" t="s">
        <v>1005</v>
      </c>
      <c r="J89" s="1">
        <v>2.0</v>
      </c>
      <c r="K89" s="2">
        <v>42907.0</v>
      </c>
      <c r="M89" s="1">
        <v>0.0</v>
      </c>
      <c r="N89" s="1" t="s">
        <v>75</v>
      </c>
      <c r="O89" s="1" t="s">
        <v>76</v>
      </c>
      <c r="P89" s="1" t="s">
        <v>1006</v>
      </c>
      <c r="S89" s="1" t="s">
        <v>1007</v>
      </c>
      <c r="T89" s="1">
        <v>410.0</v>
      </c>
      <c r="U89" s="3" t="s">
        <v>1008</v>
      </c>
      <c r="V89" s="1">
        <v>267336.0</v>
      </c>
      <c r="W89" s="1" t="s">
        <v>1009</v>
      </c>
      <c r="X89" s="3" t="s">
        <v>1010</v>
      </c>
      <c r="Y89" s="3" t="s">
        <v>1011</v>
      </c>
      <c r="Z89" s="1">
        <v>1.0</v>
      </c>
      <c r="AA89" s="1" t="s">
        <v>1012</v>
      </c>
      <c r="AB89" s="1">
        <v>23.0</v>
      </c>
      <c r="AC89" s="1">
        <v>62.0</v>
      </c>
      <c r="AD89" s="1">
        <v>993.0</v>
      </c>
      <c r="AE89" s="1">
        <v>896.0</v>
      </c>
      <c r="AF89" s="1">
        <v>584.0</v>
      </c>
      <c r="AG89" s="1">
        <v>456.0</v>
      </c>
      <c r="AH89" s="1">
        <v>745.0</v>
      </c>
      <c r="AI89" s="1">
        <v>631.0</v>
      </c>
      <c r="AJ89" s="1">
        <v>21.0</v>
      </c>
      <c r="AK89" s="1">
        <v>0.0</v>
      </c>
      <c r="AL89" s="1">
        <v>7.0</v>
      </c>
      <c r="AM89" s="1">
        <v>21.0</v>
      </c>
      <c r="AN89" s="1">
        <v>0.0</v>
      </c>
    </row>
    <row r="90">
      <c r="A90" s="1">
        <v>492.0</v>
      </c>
      <c r="B90" s="1" t="s">
        <v>1013</v>
      </c>
      <c r="C90" s="1" t="s">
        <v>1014</v>
      </c>
      <c r="D90" s="1" t="s">
        <v>1015</v>
      </c>
      <c r="E90" s="1" t="s">
        <v>58</v>
      </c>
      <c r="F90" s="2">
        <v>28568.0</v>
      </c>
      <c r="G90" s="1" t="s">
        <v>1016</v>
      </c>
      <c r="H90" s="1">
        <v>58.0</v>
      </c>
      <c r="I90" s="1" t="s">
        <v>1017</v>
      </c>
      <c r="J90" s="1">
        <v>1.0</v>
      </c>
      <c r="K90" s="2">
        <v>42907.0</v>
      </c>
      <c r="M90" s="1">
        <v>0.0</v>
      </c>
      <c r="N90" s="1" t="s">
        <v>75</v>
      </c>
      <c r="O90" s="1" t="s">
        <v>76</v>
      </c>
      <c r="P90" s="1" t="s">
        <v>1018</v>
      </c>
      <c r="S90" s="1" t="s">
        <v>162</v>
      </c>
      <c r="T90" s="1">
        <v>460.0</v>
      </c>
      <c r="U90" s="3" t="s">
        <v>1019</v>
      </c>
      <c r="V90" s="1">
        <v>720560.0</v>
      </c>
      <c r="W90" s="1" t="s">
        <v>1020</v>
      </c>
      <c r="X90" s="3" t="s">
        <v>1021</v>
      </c>
      <c r="Y90" s="3" t="s">
        <v>1022</v>
      </c>
      <c r="Z90" s="1">
        <v>1.0</v>
      </c>
      <c r="AA90" s="1" t="s">
        <v>1023</v>
      </c>
      <c r="AB90" s="1">
        <v>23.0</v>
      </c>
      <c r="AC90" s="1">
        <v>60.0</v>
      </c>
      <c r="AD90" s="1">
        <v>18.0</v>
      </c>
      <c r="AE90" s="1">
        <v>42.0</v>
      </c>
      <c r="AF90" s="1">
        <v>9.0</v>
      </c>
      <c r="AG90" s="1">
        <v>6.0</v>
      </c>
      <c r="AH90" s="1">
        <v>179.0</v>
      </c>
      <c r="AI90" s="1">
        <v>110.0</v>
      </c>
      <c r="AJ90" s="1">
        <v>1.0</v>
      </c>
      <c r="AK90" s="1">
        <v>0.0</v>
      </c>
      <c r="AL90" s="1">
        <v>5.0</v>
      </c>
      <c r="AM90" s="1">
        <v>18.0</v>
      </c>
      <c r="AN90" s="1">
        <v>3.0</v>
      </c>
    </row>
    <row r="91">
      <c r="A91" s="1">
        <v>75.0</v>
      </c>
      <c r="B91" s="1" t="s">
        <v>1024</v>
      </c>
      <c r="C91" s="1" t="s">
        <v>1025</v>
      </c>
      <c r="D91" s="1" t="s">
        <v>767</v>
      </c>
      <c r="E91" s="1" t="s">
        <v>58</v>
      </c>
      <c r="F91" s="2">
        <v>30454.0</v>
      </c>
      <c r="G91" s="1" t="s">
        <v>1026</v>
      </c>
      <c r="H91" s="1">
        <v>54.0</v>
      </c>
      <c r="I91" s="1" t="s">
        <v>160</v>
      </c>
      <c r="J91" s="1">
        <v>1.0</v>
      </c>
      <c r="K91" s="2">
        <v>42907.0</v>
      </c>
      <c r="M91" s="1">
        <v>0.0</v>
      </c>
      <c r="N91" s="1" t="s">
        <v>75</v>
      </c>
      <c r="O91" s="1" t="s">
        <v>76</v>
      </c>
      <c r="P91" s="1" t="s">
        <v>1027</v>
      </c>
      <c r="S91" s="1" t="s">
        <v>234</v>
      </c>
      <c r="T91" s="1">
        <v>378.0</v>
      </c>
      <c r="U91" s="3" t="s">
        <v>1028</v>
      </c>
      <c r="V91" s="1">
        <v>720170.0</v>
      </c>
      <c r="W91" s="1" t="s">
        <v>1029</v>
      </c>
      <c r="X91" s="3" t="s">
        <v>1030</v>
      </c>
      <c r="Y91" s="3" t="s">
        <v>1031</v>
      </c>
      <c r="Z91" s="1">
        <v>1.0</v>
      </c>
      <c r="AA91" s="1" t="s">
        <v>1032</v>
      </c>
      <c r="AB91" s="1">
        <v>23.0</v>
      </c>
      <c r="AC91" s="1">
        <v>55.0</v>
      </c>
      <c r="AD91" s="1">
        <v>19.0</v>
      </c>
      <c r="AE91" s="1">
        <v>27.0</v>
      </c>
      <c r="AF91" s="1">
        <v>6.0</v>
      </c>
      <c r="AG91" s="1">
        <v>2.0</v>
      </c>
      <c r="AH91" s="1">
        <v>127.0</v>
      </c>
      <c r="AI91" s="1">
        <v>59.0</v>
      </c>
      <c r="AJ91" s="1">
        <v>0.0</v>
      </c>
      <c r="AK91" s="1">
        <v>0.0</v>
      </c>
      <c r="AL91" s="1">
        <v>7.0</v>
      </c>
      <c r="AM91" s="1">
        <v>16.0</v>
      </c>
      <c r="AN91" s="1">
        <v>1.0</v>
      </c>
    </row>
    <row r="92">
      <c r="A92" s="1">
        <v>374.0</v>
      </c>
      <c r="B92" s="1" t="s">
        <v>1033</v>
      </c>
      <c r="C92" s="1" t="s">
        <v>1034</v>
      </c>
      <c r="D92" s="1" t="s">
        <v>1035</v>
      </c>
      <c r="E92" s="1" t="s">
        <v>58</v>
      </c>
      <c r="F92" s="2">
        <v>22783.0</v>
      </c>
      <c r="G92" s="1" t="s">
        <v>965</v>
      </c>
      <c r="H92" s="1">
        <v>78.0</v>
      </c>
      <c r="I92" s="1" t="s">
        <v>74</v>
      </c>
      <c r="J92" s="1">
        <v>12.0</v>
      </c>
      <c r="K92" s="2">
        <v>42907.0</v>
      </c>
      <c r="M92" s="1">
        <v>0.0</v>
      </c>
      <c r="N92" s="1" t="s">
        <v>75</v>
      </c>
      <c r="O92" s="1" t="s">
        <v>76</v>
      </c>
      <c r="P92" s="1" t="s">
        <v>1036</v>
      </c>
      <c r="S92" s="1" t="s">
        <v>1037</v>
      </c>
      <c r="T92" s="1">
        <v>636.0</v>
      </c>
      <c r="U92" s="3" t="s">
        <v>1038</v>
      </c>
      <c r="V92" s="1">
        <v>722062.0</v>
      </c>
      <c r="W92" s="1" t="s">
        <v>1039</v>
      </c>
      <c r="X92" s="3" t="s">
        <v>1040</v>
      </c>
      <c r="Y92" s="3" t="s">
        <v>1041</v>
      </c>
      <c r="Z92" s="1">
        <v>1.0</v>
      </c>
      <c r="AA92" s="1" t="s">
        <v>1042</v>
      </c>
      <c r="AB92" s="1">
        <v>23.0</v>
      </c>
      <c r="AC92" s="1">
        <v>42.0</v>
      </c>
      <c r="AD92" s="1">
        <v>7.0</v>
      </c>
      <c r="AE92" s="1">
        <v>5.0</v>
      </c>
      <c r="AF92" s="1">
        <v>2.0</v>
      </c>
      <c r="AG92" s="1">
        <v>0.0</v>
      </c>
      <c r="AH92" s="1">
        <v>64.0</v>
      </c>
      <c r="AI92" s="1">
        <v>27.0</v>
      </c>
      <c r="AJ92" s="1">
        <v>0.0</v>
      </c>
      <c r="AK92" s="1">
        <v>0.0</v>
      </c>
      <c r="AL92" s="1">
        <v>6.0</v>
      </c>
      <c r="AM92" s="1">
        <v>9.0</v>
      </c>
      <c r="AN92" s="1">
        <v>0.0</v>
      </c>
    </row>
    <row r="93">
      <c r="A93" s="1">
        <v>2.0</v>
      </c>
      <c r="B93" s="1" t="s">
        <v>1043</v>
      </c>
      <c r="C93" s="1" t="s">
        <v>1044</v>
      </c>
      <c r="D93" s="1" t="s">
        <v>1045</v>
      </c>
      <c r="E93" s="1" t="s">
        <v>58</v>
      </c>
      <c r="F93" s="2">
        <v>29288.0</v>
      </c>
      <c r="G93" s="1" t="s">
        <v>1046</v>
      </c>
      <c r="H93" s="1">
        <v>78.0</v>
      </c>
      <c r="I93" s="1" t="s">
        <v>74</v>
      </c>
      <c r="J93" s="1">
        <v>11.0</v>
      </c>
      <c r="K93" s="2">
        <v>42907.0</v>
      </c>
      <c r="M93" s="1">
        <v>0.0</v>
      </c>
      <c r="N93" s="1" t="s">
        <v>75</v>
      </c>
      <c r="O93" s="1" t="s">
        <v>76</v>
      </c>
      <c r="P93" s="1" t="s">
        <v>1047</v>
      </c>
      <c r="S93" s="1" t="s">
        <v>162</v>
      </c>
      <c r="T93" s="1">
        <v>349.0</v>
      </c>
      <c r="U93" s="3" t="s">
        <v>1048</v>
      </c>
      <c r="V93" s="1">
        <v>722054.0</v>
      </c>
      <c r="W93" s="1" t="s">
        <v>1049</v>
      </c>
      <c r="X93" s="3" t="s">
        <v>1050</v>
      </c>
      <c r="Y93" s="3" t="s">
        <v>1051</v>
      </c>
      <c r="Z93" s="1">
        <v>1.0</v>
      </c>
      <c r="AA93" s="1" t="s">
        <v>1052</v>
      </c>
      <c r="AB93" s="1">
        <v>23.0</v>
      </c>
      <c r="AC93" s="1">
        <v>60.0</v>
      </c>
      <c r="AD93" s="1">
        <v>22.0</v>
      </c>
      <c r="AE93" s="1">
        <v>38.0</v>
      </c>
      <c r="AF93" s="1">
        <v>47.0</v>
      </c>
      <c r="AG93" s="1">
        <v>6.0</v>
      </c>
      <c r="AH93" s="1">
        <v>174.0</v>
      </c>
      <c r="AI93" s="1">
        <v>114.0</v>
      </c>
      <c r="AJ93" s="1">
        <v>2.0</v>
      </c>
      <c r="AK93" s="1">
        <v>0.0</v>
      </c>
      <c r="AL93" s="1">
        <v>5.0</v>
      </c>
      <c r="AM93" s="1">
        <v>0.0</v>
      </c>
      <c r="AN93" s="1">
        <v>1.0</v>
      </c>
    </row>
    <row r="94">
      <c r="A94" s="1">
        <v>326.0</v>
      </c>
      <c r="B94" s="1" t="s">
        <v>1053</v>
      </c>
      <c r="C94" s="1" t="s">
        <v>1054</v>
      </c>
      <c r="D94" s="1" t="s">
        <v>1055</v>
      </c>
      <c r="E94" s="1" t="s">
        <v>43</v>
      </c>
      <c r="F94" s="2">
        <v>26070.0</v>
      </c>
      <c r="G94" s="1" t="s">
        <v>1056</v>
      </c>
      <c r="H94" s="1">
        <v>57.0</v>
      </c>
      <c r="I94" s="1" t="s">
        <v>471</v>
      </c>
      <c r="J94" s="1">
        <v>8.0</v>
      </c>
      <c r="K94" s="2">
        <v>42907.0</v>
      </c>
      <c r="M94" s="1">
        <v>0.0</v>
      </c>
      <c r="N94" s="1" t="s">
        <v>280</v>
      </c>
      <c r="O94" s="1" t="s">
        <v>281</v>
      </c>
      <c r="P94" s="1" t="s">
        <v>1057</v>
      </c>
      <c r="S94" s="1" t="s">
        <v>151</v>
      </c>
      <c r="T94" s="1">
        <v>182.0</v>
      </c>
      <c r="U94" s="3" t="s">
        <v>1058</v>
      </c>
      <c r="V94" s="1">
        <v>720326.0</v>
      </c>
      <c r="W94" s="1" t="s">
        <v>1059</v>
      </c>
      <c r="X94" s="3" t="s">
        <v>1060</v>
      </c>
      <c r="Y94" s="3" t="s">
        <v>1061</v>
      </c>
      <c r="Z94" s="1">
        <v>1.0</v>
      </c>
      <c r="AA94" s="1" t="s">
        <v>1062</v>
      </c>
      <c r="AB94" s="1">
        <v>23.0</v>
      </c>
      <c r="AC94" s="1">
        <v>47.0</v>
      </c>
      <c r="AD94" s="1">
        <v>45.0</v>
      </c>
      <c r="AE94" s="1">
        <v>44.0</v>
      </c>
      <c r="AF94" s="1">
        <v>17.0</v>
      </c>
      <c r="AG94" s="1">
        <v>30.0</v>
      </c>
      <c r="AH94" s="1">
        <v>262.0</v>
      </c>
      <c r="AI94" s="1">
        <v>25.0</v>
      </c>
      <c r="AJ94" s="1">
        <v>0.0</v>
      </c>
      <c r="AK94" s="1">
        <v>0.0</v>
      </c>
      <c r="AL94" s="1">
        <v>5.0</v>
      </c>
      <c r="AM94" s="1">
        <v>6.0</v>
      </c>
      <c r="AN94" s="1">
        <v>3.0</v>
      </c>
    </row>
    <row r="95">
      <c r="A95" s="1">
        <v>55.0</v>
      </c>
      <c r="B95" s="1" t="s">
        <v>1063</v>
      </c>
      <c r="C95" s="1" t="s">
        <v>1064</v>
      </c>
      <c r="D95" s="1" t="s">
        <v>1065</v>
      </c>
      <c r="E95" s="1" t="s">
        <v>43</v>
      </c>
      <c r="F95" s="2">
        <v>21888.0</v>
      </c>
      <c r="G95" s="1" t="s">
        <v>1066</v>
      </c>
      <c r="H95" s="1">
        <v>77.0</v>
      </c>
      <c r="I95" s="1" t="s">
        <v>503</v>
      </c>
      <c r="J95" s="1">
        <v>4.0</v>
      </c>
      <c r="K95" s="2">
        <v>42907.0</v>
      </c>
      <c r="M95" s="1">
        <v>0.0</v>
      </c>
      <c r="N95" s="1" t="s">
        <v>61</v>
      </c>
      <c r="O95" s="1" t="s">
        <v>62</v>
      </c>
      <c r="S95" s="1" t="s">
        <v>1067</v>
      </c>
      <c r="T95" s="1">
        <v>94.0</v>
      </c>
      <c r="U95" s="3" t="s">
        <v>1068</v>
      </c>
      <c r="V95" s="1">
        <v>1695.0</v>
      </c>
      <c r="W95" s="1" t="s">
        <v>1069</v>
      </c>
      <c r="X95" s="3" t="s">
        <v>1070</v>
      </c>
      <c r="Y95" s="3" t="s">
        <v>1071</v>
      </c>
      <c r="Z95" s="1">
        <v>1.0</v>
      </c>
      <c r="AB95" s="1">
        <v>23.0</v>
      </c>
      <c r="AC95" s="1">
        <v>21.0</v>
      </c>
      <c r="AD95" s="1">
        <v>2.0</v>
      </c>
      <c r="AE95" s="1">
        <v>136.0</v>
      </c>
      <c r="AF95" s="1">
        <v>296.0</v>
      </c>
      <c r="AG95" s="1">
        <v>6.0</v>
      </c>
      <c r="AH95" s="1">
        <v>205.0</v>
      </c>
      <c r="AI95" s="1">
        <v>12.0</v>
      </c>
      <c r="AJ95" s="1">
        <v>0.0</v>
      </c>
      <c r="AK95" s="1">
        <v>1.0</v>
      </c>
      <c r="AL95" s="1">
        <v>3.0</v>
      </c>
      <c r="AM95" s="1">
        <v>0.0</v>
      </c>
      <c r="AN95" s="1">
        <v>2.0</v>
      </c>
    </row>
    <row r="96">
      <c r="A96" s="1">
        <v>205.0</v>
      </c>
      <c r="B96" s="1" t="s">
        <v>1072</v>
      </c>
      <c r="C96" s="1" t="s">
        <v>1073</v>
      </c>
      <c r="D96" s="1" t="s">
        <v>1074</v>
      </c>
      <c r="E96" s="1" t="s">
        <v>58</v>
      </c>
      <c r="F96" s="2">
        <v>28595.0</v>
      </c>
      <c r="G96" s="1" t="s">
        <v>1075</v>
      </c>
      <c r="H96" s="1">
        <v>38.0</v>
      </c>
      <c r="I96" s="1" t="s">
        <v>267</v>
      </c>
      <c r="J96" s="1">
        <v>9.0</v>
      </c>
      <c r="K96" s="2">
        <v>42907.0</v>
      </c>
      <c r="M96" s="1">
        <v>0.0</v>
      </c>
      <c r="N96" s="1" t="s">
        <v>280</v>
      </c>
      <c r="O96" s="1" t="s">
        <v>281</v>
      </c>
      <c r="P96" s="1" t="s">
        <v>1076</v>
      </c>
      <c r="S96" s="1" t="s">
        <v>234</v>
      </c>
      <c r="T96" s="1">
        <v>185.0</v>
      </c>
      <c r="U96" s="3" t="s">
        <v>1077</v>
      </c>
      <c r="V96" s="1">
        <v>719874.0</v>
      </c>
      <c r="W96" s="1" t="s">
        <v>1078</v>
      </c>
      <c r="X96" s="3" t="s">
        <v>1079</v>
      </c>
      <c r="Y96" s="3" t="s">
        <v>1080</v>
      </c>
      <c r="Z96" s="1">
        <v>1.0</v>
      </c>
      <c r="AA96" s="1" t="s">
        <v>1081</v>
      </c>
      <c r="AB96" s="1">
        <v>23.0</v>
      </c>
      <c r="AC96" s="1">
        <v>37.0</v>
      </c>
      <c r="AD96" s="1">
        <v>56.0</v>
      </c>
      <c r="AE96" s="1">
        <v>69.0</v>
      </c>
      <c r="AF96" s="1">
        <v>18.0</v>
      </c>
      <c r="AG96" s="1">
        <v>38.0</v>
      </c>
      <c r="AH96" s="1">
        <v>331.0</v>
      </c>
      <c r="AI96" s="1">
        <v>48.0</v>
      </c>
      <c r="AJ96" s="1">
        <v>3.0</v>
      </c>
      <c r="AK96" s="1">
        <v>0.0</v>
      </c>
      <c r="AL96" s="1">
        <v>4.0</v>
      </c>
      <c r="AM96" s="1">
        <v>3.0</v>
      </c>
      <c r="AN96" s="1">
        <v>3.0</v>
      </c>
    </row>
    <row r="97">
      <c r="A97" s="1">
        <v>96.0</v>
      </c>
      <c r="B97" s="1" t="s">
        <v>1082</v>
      </c>
      <c r="C97" s="1" t="s">
        <v>1083</v>
      </c>
      <c r="D97" s="1" t="s">
        <v>835</v>
      </c>
      <c r="E97" s="1" t="s">
        <v>43</v>
      </c>
      <c r="F97" s="2">
        <v>26287.0</v>
      </c>
      <c r="G97" s="1" t="s">
        <v>1084</v>
      </c>
      <c r="H97" s="1">
        <v>76.0</v>
      </c>
      <c r="I97" s="1" t="s">
        <v>371</v>
      </c>
      <c r="J97" s="1">
        <v>6.0</v>
      </c>
      <c r="K97" s="2">
        <v>42907.0</v>
      </c>
      <c r="M97" s="1">
        <v>0.0</v>
      </c>
      <c r="N97" s="1" t="s">
        <v>101</v>
      </c>
      <c r="O97" s="1" t="s">
        <v>102</v>
      </c>
      <c r="P97" s="1" t="s">
        <v>1085</v>
      </c>
      <c r="S97" s="1" t="s">
        <v>1086</v>
      </c>
      <c r="T97" s="1">
        <v>583.0</v>
      </c>
      <c r="U97" s="3" t="s">
        <v>1087</v>
      </c>
      <c r="V97" s="1">
        <v>722202.0</v>
      </c>
      <c r="W97" s="1" t="s">
        <v>1088</v>
      </c>
      <c r="X97" s="3" t="s">
        <v>1089</v>
      </c>
      <c r="Y97" s="3" t="s">
        <v>1090</v>
      </c>
      <c r="Z97" s="1">
        <v>2.0</v>
      </c>
      <c r="AA97" s="1" t="s">
        <v>1091</v>
      </c>
      <c r="AB97" s="1">
        <v>23.0</v>
      </c>
      <c r="AC97" s="1">
        <v>26.0</v>
      </c>
      <c r="AD97" s="1">
        <v>43.0</v>
      </c>
      <c r="AE97" s="1">
        <v>371.0</v>
      </c>
      <c r="AF97" s="1">
        <v>454.0</v>
      </c>
      <c r="AG97" s="1">
        <v>21.0</v>
      </c>
      <c r="AH97" s="1">
        <v>660.0</v>
      </c>
      <c r="AI97" s="1">
        <v>23.0</v>
      </c>
      <c r="AJ97" s="1">
        <v>1.0</v>
      </c>
      <c r="AK97" s="1">
        <v>0.0</v>
      </c>
      <c r="AL97" s="1">
        <v>21.0</v>
      </c>
      <c r="AM97" s="1">
        <v>12.0</v>
      </c>
      <c r="AN97" s="1">
        <v>6.0</v>
      </c>
    </row>
    <row r="98">
      <c r="A98" s="1">
        <v>154.0</v>
      </c>
      <c r="B98" s="1" t="s">
        <v>1092</v>
      </c>
      <c r="C98" s="1" t="s">
        <v>1093</v>
      </c>
      <c r="D98" s="1" t="s">
        <v>1094</v>
      </c>
      <c r="E98" s="1" t="s">
        <v>58</v>
      </c>
      <c r="F98" s="2">
        <v>27606.0</v>
      </c>
      <c r="G98" s="1" t="s">
        <v>1095</v>
      </c>
      <c r="H98" s="1">
        <v>76.0</v>
      </c>
      <c r="I98" s="1" t="s">
        <v>371</v>
      </c>
      <c r="J98" s="1">
        <v>9.0</v>
      </c>
      <c r="K98" s="2">
        <v>42907.0</v>
      </c>
      <c r="M98" s="1">
        <v>0.0</v>
      </c>
      <c r="N98" s="1" t="s">
        <v>75</v>
      </c>
      <c r="O98" s="1" t="s">
        <v>76</v>
      </c>
      <c r="P98" s="1" t="s">
        <v>1096</v>
      </c>
      <c r="S98" s="1" t="s">
        <v>198</v>
      </c>
      <c r="T98" s="1">
        <v>472.0</v>
      </c>
      <c r="U98" s="3" t="s">
        <v>1097</v>
      </c>
      <c r="V98" s="1">
        <v>721514.0</v>
      </c>
      <c r="W98" s="1" t="s">
        <v>1098</v>
      </c>
      <c r="X98" s="3" t="s">
        <v>1099</v>
      </c>
      <c r="Y98" s="3" t="s">
        <v>1100</v>
      </c>
      <c r="Z98" s="1">
        <v>1.0</v>
      </c>
      <c r="AA98" s="1" t="s">
        <v>1101</v>
      </c>
      <c r="AB98" s="1">
        <v>23.0</v>
      </c>
      <c r="AC98" s="1">
        <v>54.0</v>
      </c>
      <c r="AD98" s="1">
        <v>15.0</v>
      </c>
      <c r="AE98" s="1">
        <v>9.0</v>
      </c>
      <c r="AF98" s="1">
        <v>5.0</v>
      </c>
      <c r="AG98" s="1">
        <v>2.0</v>
      </c>
      <c r="AH98" s="1">
        <v>144.0</v>
      </c>
      <c r="AI98" s="1">
        <v>75.0</v>
      </c>
      <c r="AJ98" s="1">
        <v>0.0</v>
      </c>
      <c r="AK98" s="1">
        <v>0.0</v>
      </c>
      <c r="AL98" s="1">
        <v>6.0</v>
      </c>
      <c r="AM98" s="1">
        <v>7.0</v>
      </c>
      <c r="AN98" s="1">
        <v>1.0</v>
      </c>
    </row>
    <row r="99">
      <c r="A99" s="1">
        <v>176.0</v>
      </c>
      <c r="B99" s="1" t="s">
        <v>1102</v>
      </c>
      <c r="C99" s="1" t="s">
        <v>1103</v>
      </c>
      <c r="D99" s="1" t="s">
        <v>1104</v>
      </c>
      <c r="E99" s="1" t="s">
        <v>58</v>
      </c>
      <c r="F99" s="2">
        <v>31309.0</v>
      </c>
      <c r="G99" s="1" t="s">
        <v>1105</v>
      </c>
      <c r="H99" s="1">
        <v>95.0</v>
      </c>
      <c r="I99" s="1" t="s">
        <v>302</v>
      </c>
      <c r="J99" s="1">
        <v>5.0</v>
      </c>
      <c r="K99" s="2">
        <v>42907.0</v>
      </c>
      <c r="M99" s="1">
        <v>0.0</v>
      </c>
      <c r="N99" s="1" t="s">
        <v>75</v>
      </c>
      <c r="O99" s="1" t="s">
        <v>76</v>
      </c>
      <c r="P99" s="1" t="s">
        <v>1106</v>
      </c>
      <c r="S99" s="1" t="s">
        <v>1107</v>
      </c>
      <c r="T99" s="1">
        <v>418.0</v>
      </c>
      <c r="U99" s="3" t="s">
        <v>1108</v>
      </c>
      <c r="V99" s="1">
        <v>720916.0</v>
      </c>
      <c r="W99" s="1" t="s">
        <v>1109</v>
      </c>
      <c r="X99" s="3" t="s">
        <v>1110</v>
      </c>
      <c r="Y99" s="3" t="s">
        <v>1111</v>
      </c>
      <c r="Z99" s="1">
        <v>1.0</v>
      </c>
      <c r="AA99" s="1" t="s">
        <v>1112</v>
      </c>
      <c r="AB99" s="1">
        <v>23.0</v>
      </c>
      <c r="AC99" s="1">
        <v>48.0</v>
      </c>
      <c r="AD99" s="1">
        <v>23.0</v>
      </c>
      <c r="AE99" s="1">
        <v>11.0</v>
      </c>
      <c r="AF99" s="1">
        <v>8.0</v>
      </c>
      <c r="AG99" s="1">
        <v>3.0</v>
      </c>
      <c r="AH99" s="1">
        <v>68.0</v>
      </c>
      <c r="AI99" s="1">
        <v>27.0</v>
      </c>
      <c r="AJ99" s="1">
        <v>1.0</v>
      </c>
      <c r="AK99" s="1">
        <v>0.0</v>
      </c>
      <c r="AL99" s="1">
        <v>5.0</v>
      </c>
      <c r="AM99" s="1">
        <v>1.0</v>
      </c>
      <c r="AN99" s="1">
        <v>2.0</v>
      </c>
    </row>
    <row r="100">
      <c r="A100" s="1">
        <v>216.0</v>
      </c>
      <c r="B100" s="1" t="s">
        <v>1113</v>
      </c>
      <c r="C100" s="1" t="s">
        <v>1114</v>
      </c>
      <c r="D100" s="1" t="s">
        <v>1115</v>
      </c>
      <c r="E100" s="1" t="s">
        <v>43</v>
      </c>
      <c r="F100" s="2">
        <v>23942.0</v>
      </c>
      <c r="G100" s="1" t="s">
        <v>1116</v>
      </c>
      <c r="H100" s="1">
        <v>29.0</v>
      </c>
      <c r="I100" s="1" t="s">
        <v>393</v>
      </c>
      <c r="J100" s="1">
        <v>3.0</v>
      </c>
      <c r="K100" s="2">
        <v>42907.0</v>
      </c>
      <c r="M100" s="1">
        <v>0.0</v>
      </c>
      <c r="N100" s="1" t="s">
        <v>75</v>
      </c>
      <c r="O100" s="1" t="s">
        <v>76</v>
      </c>
      <c r="P100" s="1" t="s">
        <v>1117</v>
      </c>
      <c r="S100" s="1" t="s">
        <v>373</v>
      </c>
      <c r="T100" s="1">
        <v>333.0</v>
      </c>
      <c r="U100" s="3" t="s">
        <v>1118</v>
      </c>
      <c r="V100" s="1">
        <v>719404.0</v>
      </c>
      <c r="W100" s="1" t="s">
        <v>1119</v>
      </c>
      <c r="X100" s="3" t="s">
        <v>1120</v>
      </c>
      <c r="Y100" s="3" t="s">
        <v>1121</v>
      </c>
      <c r="Z100" s="1">
        <v>1.0</v>
      </c>
      <c r="AA100" s="1" t="s">
        <v>1122</v>
      </c>
      <c r="AB100" s="1">
        <v>23.0</v>
      </c>
      <c r="AC100" s="1">
        <v>32.0</v>
      </c>
      <c r="AD100" s="1">
        <v>13.0</v>
      </c>
      <c r="AE100" s="1">
        <v>43.0</v>
      </c>
      <c r="AF100" s="1">
        <v>20.0</v>
      </c>
      <c r="AG100" s="1">
        <v>4.0</v>
      </c>
      <c r="AH100" s="1">
        <v>16.0</v>
      </c>
      <c r="AI100" s="1">
        <v>4.0</v>
      </c>
      <c r="AJ100" s="1">
        <v>0.0</v>
      </c>
      <c r="AK100" s="1">
        <v>0.0</v>
      </c>
      <c r="AL100" s="1">
        <v>8.0</v>
      </c>
      <c r="AM100" s="1">
        <v>22.0</v>
      </c>
      <c r="AN100" s="1">
        <v>1.0</v>
      </c>
    </row>
    <row r="101">
      <c r="A101" s="1">
        <v>87.0</v>
      </c>
      <c r="B101" s="1" t="s">
        <v>1123</v>
      </c>
      <c r="C101" s="1" t="s">
        <v>1124</v>
      </c>
      <c r="D101" s="1" t="s">
        <v>1125</v>
      </c>
      <c r="E101" s="1" t="s">
        <v>58</v>
      </c>
      <c r="F101" s="2">
        <v>22234.0</v>
      </c>
      <c r="G101" s="1" t="s">
        <v>1126</v>
      </c>
      <c r="H101" s="1">
        <v>92.0</v>
      </c>
      <c r="I101" s="1" t="s">
        <v>781</v>
      </c>
      <c r="J101" s="1">
        <v>6.0</v>
      </c>
      <c r="K101" s="2">
        <v>42907.0</v>
      </c>
      <c r="M101" s="1">
        <v>0.0</v>
      </c>
      <c r="N101" s="1" t="s">
        <v>61</v>
      </c>
      <c r="O101" s="1" t="s">
        <v>62</v>
      </c>
      <c r="P101" s="3" t="s">
        <v>1127</v>
      </c>
      <c r="S101" s="1" t="s">
        <v>1086</v>
      </c>
      <c r="T101" s="1">
        <v>102.0</v>
      </c>
      <c r="U101" s="3" t="s">
        <v>1128</v>
      </c>
      <c r="V101" s="1">
        <v>345722.0</v>
      </c>
      <c r="W101" s="1" t="s">
        <v>1129</v>
      </c>
      <c r="X101" s="3" t="s">
        <v>1130</v>
      </c>
      <c r="Y101" s="3" t="s">
        <v>1131</v>
      </c>
      <c r="Z101" s="1">
        <v>1.0</v>
      </c>
      <c r="AA101" s="1" t="s">
        <v>1132</v>
      </c>
      <c r="AB101" s="1">
        <v>23.0</v>
      </c>
      <c r="AC101" s="1">
        <v>56.0</v>
      </c>
      <c r="AD101" s="1">
        <v>83.0</v>
      </c>
      <c r="AE101" s="1">
        <v>60.0</v>
      </c>
      <c r="AF101" s="1">
        <v>31.0</v>
      </c>
      <c r="AG101" s="1">
        <v>68.0</v>
      </c>
      <c r="AH101" s="1">
        <v>526.0</v>
      </c>
      <c r="AI101" s="1">
        <v>24.0</v>
      </c>
      <c r="AJ101" s="1">
        <v>1.0</v>
      </c>
      <c r="AK101" s="1">
        <v>1.0</v>
      </c>
      <c r="AL101" s="1">
        <v>40.0</v>
      </c>
      <c r="AM101" s="1">
        <v>8.0</v>
      </c>
      <c r="AN101" s="1">
        <v>2.0</v>
      </c>
    </row>
    <row r="102">
      <c r="A102" s="1">
        <v>33.0</v>
      </c>
      <c r="B102" s="1" t="s">
        <v>1133</v>
      </c>
      <c r="C102" s="1" t="s">
        <v>1134</v>
      </c>
      <c r="D102" s="1" t="s">
        <v>1135</v>
      </c>
      <c r="E102" s="1" t="s">
        <v>43</v>
      </c>
      <c r="F102" s="2">
        <v>25442.0</v>
      </c>
      <c r="G102" s="1" t="s">
        <v>1136</v>
      </c>
      <c r="H102" s="1">
        <v>14.0</v>
      </c>
      <c r="I102" s="1" t="s">
        <v>1137</v>
      </c>
      <c r="J102" s="1">
        <v>1.0</v>
      </c>
      <c r="K102" s="2">
        <v>42907.0</v>
      </c>
      <c r="M102" s="1">
        <v>0.0</v>
      </c>
      <c r="N102" s="1" t="s">
        <v>75</v>
      </c>
      <c r="O102" s="1" t="s">
        <v>76</v>
      </c>
      <c r="P102" s="1" t="s">
        <v>1138</v>
      </c>
      <c r="S102" s="1" t="s">
        <v>246</v>
      </c>
      <c r="T102" s="1">
        <v>468.0</v>
      </c>
      <c r="U102" s="3" t="s">
        <v>1139</v>
      </c>
      <c r="V102" s="1">
        <v>719006.0</v>
      </c>
      <c r="W102" s="1" t="s">
        <v>1140</v>
      </c>
      <c r="X102" s="3" t="s">
        <v>1141</v>
      </c>
      <c r="Y102" s="3" t="s">
        <v>1142</v>
      </c>
      <c r="Z102" s="1">
        <v>1.0</v>
      </c>
      <c r="AA102" s="1" t="s">
        <v>1143</v>
      </c>
      <c r="AB102" s="1">
        <v>23.0</v>
      </c>
      <c r="AC102" s="1">
        <v>50.0</v>
      </c>
      <c r="AD102" s="1">
        <v>6.0</v>
      </c>
      <c r="AE102" s="1">
        <v>13.0</v>
      </c>
      <c r="AF102" s="1">
        <v>2.0</v>
      </c>
      <c r="AG102" s="1">
        <v>0.0</v>
      </c>
      <c r="AH102" s="1">
        <v>159.0</v>
      </c>
      <c r="AI102" s="1">
        <v>108.0</v>
      </c>
      <c r="AJ102" s="1">
        <v>1.0</v>
      </c>
      <c r="AK102" s="1">
        <v>0.0</v>
      </c>
      <c r="AL102" s="1">
        <v>5.0</v>
      </c>
      <c r="AM102" s="1">
        <v>1.0</v>
      </c>
      <c r="AN102" s="1">
        <v>1.0</v>
      </c>
    </row>
    <row r="103">
      <c r="A103" s="1">
        <v>432.0</v>
      </c>
      <c r="B103" s="1" t="s">
        <v>1144</v>
      </c>
      <c r="C103" s="1" t="s">
        <v>1145</v>
      </c>
      <c r="D103" s="1" t="s">
        <v>1146</v>
      </c>
      <c r="E103" s="1" t="s">
        <v>43</v>
      </c>
      <c r="F103" s="2">
        <v>20062.0</v>
      </c>
      <c r="G103" s="1" t="s">
        <v>1147</v>
      </c>
      <c r="H103" s="1">
        <v>80.0</v>
      </c>
      <c r="I103" s="1" t="s">
        <v>1148</v>
      </c>
      <c r="J103" s="1">
        <v>4.0</v>
      </c>
      <c r="K103" s="2">
        <v>42907.0</v>
      </c>
      <c r="M103" s="1">
        <v>0.0</v>
      </c>
      <c r="N103" s="1" t="s">
        <v>75</v>
      </c>
      <c r="O103" s="1" t="s">
        <v>76</v>
      </c>
      <c r="P103" s="1" t="s">
        <v>1149</v>
      </c>
      <c r="S103" s="1" t="s">
        <v>1150</v>
      </c>
      <c r="T103" s="1">
        <v>532.0</v>
      </c>
      <c r="U103" s="3" t="s">
        <v>1151</v>
      </c>
      <c r="V103" s="1">
        <v>722228.0</v>
      </c>
      <c r="W103" s="1" t="s">
        <v>1152</v>
      </c>
      <c r="X103" s="3" t="s">
        <v>1153</v>
      </c>
      <c r="Y103" s="3" t="s">
        <v>1154</v>
      </c>
      <c r="Z103" s="1">
        <v>2.0</v>
      </c>
      <c r="AA103" s="1" t="s">
        <v>1155</v>
      </c>
      <c r="AB103" s="1">
        <v>23.0</v>
      </c>
      <c r="AC103" s="1">
        <v>57.0</v>
      </c>
      <c r="AD103" s="1">
        <v>2.0</v>
      </c>
      <c r="AE103" s="1">
        <v>9.0</v>
      </c>
      <c r="AF103" s="1">
        <v>1.0</v>
      </c>
      <c r="AG103" s="1">
        <v>3.0</v>
      </c>
      <c r="AH103" s="1">
        <v>83.0</v>
      </c>
      <c r="AI103" s="1">
        <v>44.0</v>
      </c>
      <c r="AJ103" s="1">
        <v>0.0</v>
      </c>
      <c r="AK103" s="1">
        <v>0.0</v>
      </c>
      <c r="AL103" s="1">
        <v>5.0</v>
      </c>
      <c r="AM103" s="1">
        <v>0.0</v>
      </c>
      <c r="AN103" s="1">
        <v>0.0</v>
      </c>
    </row>
    <row r="104">
      <c r="A104" s="1">
        <v>20.0</v>
      </c>
      <c r="B104" s="1" t="s">
        <v>1156</v>
      </c>
      <c r="C104" s="1" t="s">
        <v>1157</v>
      </c>
      <c r="D104" s="1" t="s">
        <v>98</v>
      </c>
      <c r="E104" s="1" t="s">
        <v>43</v>
      </c>
      <c r="F104" s="2">
        <v>21471.0</v>
      </c>
      <c r="G104" s="1" t="s">
        <v>1158</v>
      </c>
      <c r="H104" s="1">
        <v>76.0</v>
      </c>
      <c r="I104" s="1" t="s">
        <v>371</v>
      </c>
      <c r="J104" s="1">
        <v>8.0</v>
      </c>
      <c r="K104" s="2">
        <v>42907.0</v>
      </c>
      <c r="M104" s="1">
        <v>0.0</v>
      </c>
      <c r="N104" s="1" t="s">
        <v>101</v>
      </c>
      <c r="O104" s="1" t="s">
        <v>102</v>
      </c>
      <c r="P104" s="1" t="s">
        <v>1159</v>
      </c>
      <c r="S104" s="1" t="s">
        <v>429</v>
      </c>
      <c r="T104" s="1">
        <v>584.0</v>
      </c>
      <c r="U104" s="3" t="s">
        <v>1160</v>
      </c>
      <c r="V104" s="1">
        <v>335612.0</v>
      </c>
      <c r="W104" s="1" t="s">
        <v>1161</v>
      </c>
      <c r="X104" s="3" t="s">
        <v>1162</v>
      </c>
      <c r="Y104" s="3" t="s">
        <v>1163</v>
      </c>
      <c r="Z104" s="1">
        <v>2.0</v>
      </c>
      <c r="AB104" s="1">
        <v>23.0</v>
      </c>
      <c r="AC104" s="1">
        <v>34.0</v>
      </c>
      <c r="AD104" s="1">
        <v>46.0</v>
      </c>
      <c r="AE104" s="1">
        <v>307.0</v>
      </c>
      <c r="AF104" s="1">
        <v>485.0</v>
      </c>
      <c r="AG104" s="1">
        <v>0.0</v>
      </c>
      <c r="AH104" s="1">
        <v>654.0</v>
      </c>
      <c r="AI104" s="1">
        <v>22.0</v>
      </c>
      <c r="AJ104" s="1">
        <v>0.0</v>
      </c>
      <c r="AK104" s="1">
        <v>1.0</v>
      </c>
      <c r="AL104" s="1">
        <v>21.0</v>
      </c>
      <c r="AM104" s="1">
        <v>2.0</v>
      </c>
      <c r="AN104" s="1">
        <v>4.0</v>
      </c>
    </row>
    <row r="105">
      <c r="A105" s="1">
        <v>275.0</v>
      </c>
      <c r="B105" s="1" t="s">
        <v>1164</v>
      </c>
      <c r="C105" s="1" t="s">
        <v>1165</v>
      </c>
      <c r="D105" s="1" t="s">
        <v>1166</v>
      </c>
      <c r="E105" s="1" t="s">
        <v>43</v>
      </c>
      <c r="F105" s="2">
        <v>24437.0</v>
      </c>
      <c r="G105" s="1" t="s">
        <v>1167</v>
      </c>
      <c r="H105" s="1">
        <v>999.0</v>
      </c>
      <c r="I105" s="1" t="s">
        <v>256</v>
      </c>
      <c r="J105" s="1">
        <v>1.0</v>
      </c>
      <c r="K105" s="2">
        <v>42907.0</v>
      </c>
      <c r="M105" s="1">
        <v>0.0</v>
      </c>
      <c r="N105" s="1" t="s">
        <v>75</v>
      </c>
      <c r="O105" s="1" t="s">
        <v>76</v>
      </c>
      <c r="P105" s="1" t="s">
        <v>1168</v>
      </c>
      <c r="S105" s="1" t="s">
        <v>234</v>
      </c>
      <c r="T105" s="1">
        <v>634.0</v>
      </c>
      <c r="U105" s="3" t="s">
        <v>1169</v>
      </c>
      <c r="V105" s="1">
        <v>721134.0</v>
      </c>
      <c r="W105" s="1" t="s">
        <v>1170</v>
      </c>
      <c r="X105" s="3" t="s">
        <v>1171</v>
      </c>
      <c r="Y105" s="3" t="s">
        <v>1172</v>
      </c>
      <c r="Z105" s="1">
        <v>1.0</v>
      </c>
      <c r="AA105" s="1" t="s">
        <v>1173</v>
      </c>
      <c r="AB105" s="1">
        <v>23.0</v>
      </c>
      <c r="AC105" s="1">
        <v>61.0</v>
      </c>
      <c r="AD105" s="1">
        <v>174.0</v>
      </c>
      <c r="AE105" s="1">
        <v>30.0</v>
      </c>
      <c r="AF105" s="1">
        <v>7.0</v>
      </c>
      <c r="AG105" s="1">
        <v>1.0</v>
      </c>
      <c r="AH105" s="1">
        <v>45.0</v>
      </c>
      <c r="AI105" s="1">
        <v>20.0</v>
      </c>
      <c r="AJ105" s="1">
        <v>0.0</v>
      </c>
      <c r="AK105" s="1">
        <v>0.0</v>
      </c>
      <c r="AL105" s="1">
        <v>5.0</v>
      </c>
      <c r="AM105" s="1">
        <v>2.0</v>
      </c>
      <c r="AN105" s="1">
        <v>1.0</v>
      </c>
    </row>
    <row r="106">
      <c r="A106" s="1">
        <v>320.0</v>
      </c>
      <c r="B106" s="1" t="s">
        <v>1174</v>
      </c>
      <c r="C106" s="1" t="s">
        <v>1175</v>
      </c>
      <c r="D106" s="1" t="s">
        <v>1176</v>
      </c>
      <c r="E106" s="1" t="s">
        <v>58</v>
      </c>
      <c r="F106" s="2">
        <v>19698.0</v>
      </c>
      <c r="G106" s="1" t="s">
        <v>207</v>
      </c>
      <c r="H106" s="1">
        <v>38.0</v>
      </c>
      <c r="I106" s="1" t="s">
        <v>267</v>
      </c>
      <c r="J106" s="1">
        <v>7.0</v>
      </c>
      <c r="K106" s="2">
        <v>42907.0</v>
      </c>
      <c r="M106" s="1">
        <v>0.0</v>
      </c>
      <c r="N106" s="1" t="s">
        <v>75</v>
      </c>
      <c r="O106" s="1" t="s">
        <v>76</v>
      </c>
      <c r="P106" s="1" t="s">
        <v>1177</v>
      </c>
      <c r="S106" s="1" t="s">
        <v>1178</v>
      </c>
      <c r="T106" s="1">
        <v>382.0</v>
      </c>
      <c r="U106" s="3" t="s">
        <v>1179</v>
      </c>
      <c r="V106" s="1">
        <v>719858.0</v>
      </c>
      <c r="W106" s="1" t="s">
        <v>1180</v>
      </c>
      <c r="X106" s="3" t="s">
        <v>1181</v>
      </c>
      <c r="Y106" s="3" t="s">
        <v>1182</v>
      </c>
      <c r="Z106" s="1">
        <v>1.0</v>
      </c>
      <c r="AA106" s="1" t="s">
        <v>1183</v>
      </c>
      <c r="AB106" s="1">
        <v>23.0</v>
      </c>
      <c r="AC106" s="1">
        <v>54.0</v>
      </c>
      <c r="AD106" s="1">
        <v>18.0</v>
      </c>
      <c r="AE106" s="1">
        <v>5.0</v>
      </c>
      <c r="AF106" s="1">
        <v>1.0</v>
      </c>
      <c r="AG106" s="1">
        <v>0.0</v>
      </c>
      <c r="AH106" s="1">
        <v>119.0</v>
      </c>
      <c r="AI106" s="1">
        <v>57.0</v>
      </c>
      <c r="AJ106" s="1">
        <v>0.0</v>
      </c>
      <c r="AK106" s="1">
        <v>0.0</v>
      </c>
      <c r="AL106" s="1">
        <v>5.0</v>
      </c>
      <c r="AM106" s="1">
        <v>0.0</v>
      </c>
      <c r="AN106" s="1">
        <v>2.0</v>
      </c>
    </row>
    <row r="107">
      <c r="A107" s="1">
        <v>454.0</v>
      </c>
      <c r="B107" s="1" t="s">
        <v>1184</v>
      </c>
      <c r="C107" s="1" t="s">
        <v>1185</v>
      </c>
      <c r="D107" s="1" t="s">
        <v>1186</v>
      </c>
      <c r="E107" s="1" t="s">
        <v>58</v>
      </c>
      <c r="F107" s="2">
        <v>22360.0</v>
      </c>
      <c r="G107" s="1" t="s">
        <v>1187</v>
      </c>
      <c r="H107" s="1">
        <v>61.0</v>
      </c>
      <c r="I107" s="1" t="s">
        <v>1188</v>
      </c>
      <c r="J107" s="1">
        <v>2.0</v>
      </c>
      <c r="K107" s="2">
        <v>42907.0</v>
      </c>
      <c r="M107" s="1">
        <v>0.0</v>
      </c>
      <c r="N107" s="1" t="s">
        <v>61</v>
      </c>
      <c r="O107" s="1" t="s">
        <v>62</v>
      </c>
      <c r="P107" s="1" t="s">
        <v>1189</v>
      </c>
      <c r="S107" s="1" t="s">
        <v>1190</v>
      </c>
      <c r="T107" s="1">
        <v>97.0</v>
      </c>
      <c r="U107" s="3" t="s">
        <v>1191</v>
      </c>
      <c r="V107" s="1">
        <v>608016.0</v>
      </c>
      <c r="W107" s="1" t="s">
        <v>1192</v>
      </c>
      <c r="X107" s="3" t="s">
        <v>1193</v>
      </c>
      <c r="Y107" s="3" t="s">
        <v>1194</v>
      </c>
      <c r="Z107" s="1">
        <v>2.0</v>
      </c>
      <c r="AA107" s="1" t="s">
        <v>1195</v>
      </c>
      <c r="AB107" s="1">
        <v>23.0</v>
      </c>
      <c r="AC107" s="1">
        <v>70.0</v>
      </c>
      <c r="AD107" s="1">
        <v>281.0</v>
      </c>
      <c r="AE107" s="1">
        <v>439.0</v>
      </c>
      <c r="AF107" s="1">
        <v>421.0</v>
      </c>
      <c r="AG107" s="1">
        <v>414.0</v>
      </c>
      <c r="AH107" s="1">
        <v>1799.0</v>
      </c>
      <c r="AI107" s="1">
        <v>68.0</v>
      </c>
      <c r="AJ107" s="1">
        <v>1.0</v>
      </c>
      <c r="AK107" s="1">
        <v>1.0</v>
      </c>
      <c r="AL107" s="1">
        <v>91.0</v>
      </c>
      <c r="AM107" s="1">
        <v>28.0</v>
      </c>
      <c r="AN107" s="1">
        <v>1.0</v>
      </c>
    </row>
    <row r="108">
      <c r="A108" s="1">
        <v>219.0</v>
      </c>
      <c r="B108" s="1" t="s">
        <v>1196</v>
      </c>
      <c r="C108" s="1" t="s">
        <v>1197</v>
      </c>
      <c r="D108" s="1" t="s">
        <v>1198</v>
      </c>
      <c r="E108" s="1" t="s">
        <v>58</v>
      </c>
      <c r="F108" s="2">
        <v>32101.0</v>
      </c>
      <c r="G108" s="1" t="s">
        <v>1199</v>
      </c>
      <c r="H108" s="1">
        <v>87.0</v>
      </c>
      <c r="I108" s="1" t="s">
        <v>405</v>
      </c>
      <c r="J108" s="1">
        <v>3.0</v>
      </c>
      <c r="K108" s="2">
        <v>42907.0</v>
      </c>
      <c r="M108" s="1">
        <v>0.0</v>
      </c>
      <c r="N108" s="1" t="s">
        <v>75</v>
      </c>
      <c r="O108" s="1" t="s">
        <v>76</v>
      </c>
      <c r="P108" s="1" t="s">
        <v>1200</v>
      </c>
      <c r="S108" s="1" t="s">
        <v>1201</v>
      </c>
      <c r="T108" s="1">
        <v>327.0</v>
      </c>
      <c r="U108" s="3" t="s">
        <v>1202</v>
      </c>
      <c r="V108" s="1">
        <v>722244.0</v>
      </c>
      <c r="W108" s="1" t="s">
        <v>1203</v>
      </c>
      <c r="X108" s="3" t="s">
        <v>1204</v>
      </c>
      <c r="Y108" s="3" t="s">
        <v>1205</v>
      </c>
      <c r="Z108" s="1">
        <v>1.0</v>
      </c>
      <c r="AA108" s="1" t="s">
        <v>1206</v>
      </c>
      <c r="AB108" s="1">
        <v>23.0</v>
      </c>
      <c r="AC108" s="1">
        <v>50.0</v>
      </c>
      <c r="AD108" s="1">
        <v>4.0</v>
      </c>
      <c r="AE108" s="1">
        <v>10.0</v>
      </c>
      <c r="AF108" s="1">
        <v>3.0</v>
      </c>
      <c r="AG108" s="1">
        <v>1.0</v>
      </c>
      <c r="AH108" s="1">
        <v>153.0</v>
      </c>
      <c r="AI108" s="1">
        <v>105.0</v>
      </c>
      <c r="AJ108" s="1">
        <v>1.0</v>
      </c>
      <c r="AK108" s="1">
        <v>0.0</v>
      </c>
      <c r="AL108" s="1">
        <v>5.0</v>
      </c>
      <c r="AM108" s="1">
        <v>1.0</v>
      </c>
      <c r="AN108" s="1">
        <v>1.0</v>
      </c>
    </row>
    <row r="109">
      <c r="A109" s="1">
        <v>242.0</v>
      </c>
      <c r="B109" s="1" t="s">
        <v>1207</v>
      </c>
      <c r="C109" s="1" t="s">
        <v>1208</v>
      </c>
      <c r="D109" s="1" t="s">
        <v>1209</v>
      </c>
      <c r="E109" s="1" t="s">
        <v>43</v>
      </c>
      <c r="F109" s="2">
        <v>27147.0</v>
      </c>
      <c r="G109" s="1" t="s">
        <v>1210</v>
      </c>
      <c r="H109" s="1">
        <v>75.0</v>
      </c>
      <c r="I109" s="1" t="s">
        <v>232</v>
      </c>
      <c r="J109" s="1">
        <v>1.0</v>
      </c>
      <c r="K109" s="2">
        <v>42907.0</v>
      </c>
      <c r="M109" s="1">
        <v>0.0</v>
      </c>
      <c r="N109" s="1" t="s">
        <v>75</v>
      </c>
      <c r="O109" s="1" t="s">
        <v>76</v>
      </c>
      <c r="P109" s="1" t="s">
        <v>1211</v>
      </c>
      <c r="S109" s="1" t="s">
        <v>198</v>
      </c>
      <c r="T109" s="1">
        <v>330.0</v>
      </c>
      <c r="U109" s="3" t="s">
        <v>1212</v>
      </c>
      <c r="V109" s="1">
        <v>717379.0</v>
      </c>
      <c r="W109" s="1" t="s">
        <v>1213</v>
      </c>
      <c r="X109" s="3" t="s">
        <v>1214</v>
      </c>
      <c r="Y109" s="3" t="s">
        <v>1215</v>
      </c>
      <c r="Z109" s="1">
        <v>1.0</v>
      </c>
      <c r="AA109" s="1" t="s">
        <v>1216</v>
      </c>
      <c r="AB109" s="1">
        <v>23.0</v>
      </c>
      <c r="AC109" s="1">
        <v>47.0</v>
      </c>
      <c r="AD109" s="1">
        <v>22.0</v>
      </c>
      <c r="AE109" s="1">
        <v>34.0</v>
      </c>
      <c r="AF109" s="1">
        <v>263.0</v>
      </c>
      <c r="AG109" s="1">
        <v>1.0</v>
      </c>
      <c r="AH109" s="1">
        <v>60.0</v>
      </c>
      <c r="AI109" s="1">
        <v>27.0</v>
      </c>
      <c r="AJ109" s="1">
        <v>0.0</v>
      </c>
      <c r="AK109" s="1">
        <v>0.0</v>
      </c>
      <c r="AL109" s="1">
        <v>5.0</v>
      </c>
      <c r="AM109" s="1">
        <v>3.0</v>
      </c>
      <c r="AN109" s="1">
        <v>1.0</v>
      </c>
    </row>
    <row r="110">
      <c r="A110" s="1">
        <v>280.0</v>
      </c>
      <c r="B110" s="1" t="s">
        <v>1217</v>
      </c>
      <c r="C110" s="1" t="s">
        <v>1218</v>
      </c>
      <c r="D110" s="1" t="s">
        <v>1115</v>
      </c>
      <c r="E110" s="1" t="s">
        <v>43</v>
      </c>
      <c r="F110" s="2">
        <v>20687.0</v>
      </c>
      <c r="G110" s="1" t="s">
        <v>1219</v>
      </c>
      <c r="H110" s="1">
        <v>21.0</v>
      </c>
      <c r="I110" s="1" t="s">
        <v>1220</v>
      </c>
      <c r="J110" s="1">
        <v>1.0</v>
      </c>
      <c r="K110" s="2">
        <v>42907.0</v>
      </c>
      <c r="M110" s="1">
        <v>0.0</v>
      </c>
      <c r="N110" s="1" t="s">
        <v>75</v>
      </c>
      <c r="O110" s="1" t="s">
        <v>76</v>
      </c>
      <c r="P110" s="1" t="s">
        <v>1221</v>
      </c>
      <c r="S110" s="1" t="s">
        <v>1222</v>
      </c>
      <c r="T110" s="1">
        <v>366.0</v>
      </c>
      <c r="U110" s="3" t="s">
        <v>1223</v>
      </c>
      <c r="V110" s="1">
        <v>719154.0</v>
      </c>
      <c r="W110" s="1" t="s">
        <v>1224</v>
      </c>
      <c r="X110" s="3" t="s">
        <v>1225</v>
      </c>
      <c r="Y110" s="3" t="s">
        <v>1226</v>
      </c>
      <c r="Z110" s="1">
        <v>2.0</v>
      </c>
      <c r="AA110" s="1" t="s">
        <v>1227</v>
      </c>
      <c r="AB110" s="1">
        <v>23.0</v>
      </c>
      <c r="AC110" s="1">
        <v>54.0</v>
      </c>
      <c r="AD110" s="1">
        <v>34.0</v>
      </c>
      <c r="AE110" s="1">
        <v>11.0</v>
      </c>
      <c r="AF110" s="1">
        <v>0.0</v>
      </c>
      <c r="AG110" s="1">
        <v>11.0</v>
      </c>
      <c r="AH110" s="1">
        <v>81.0</v>
      </c>
      <c r="AI110" s="1">
        <v>37.0</v>
      </c>
      <c r="AJ110" s="1">
        <v>1.0</v>
      </c>
      <c r="AK110" s="1">
        <v>0.0</v>
      </c>
      <c r="AL110" s="1">
        <v>5.0</v>
      </c>
      <c r="AM110" s="1">
        <v>2.0</v>
      </c>
      <c r="AN110" s="1">
        <v>1.0</v>
      </c>
    </row>
    <row r="111">
      <c r="A111" s="1">
        <v>200.0</v>
      </c>
      <c r="B111" s="1" t="s">
        <v>1228</v>
      </c>
      <c r="C111" s="1" t="s">
        <v>1229</v>
      </c>
      <c r="D111" s="1" t="s">
        <v>183</v>
      </c>
      <c r="E111" s="1" t="s">
        <v>43</v>
      </c>
      <c r="F111" s="2">
        <v>19760.0</v>
      </c>
      <c r="G111" s="1" t="s">
        <v>1230</v>
      </c>
      <c r="H111" s="1">
        <v>83.0</v>
      </c>
      <c r="I111" s="1" t="s">
        <v>1231</v>
      </c>
      <c r="J111" s="1">
        <v>3.0</v>
      </c>
      <c r="K111" s="2">
        <v>42907.0</v>
      </c>
      <c r="M111" s="1">
        <v>0.0</v>
      </c>
      <c r="N111" s="1" t="s">
        <v>61</v>
      </c>
      <c r="O111" s="1" t="s">
        <v>62</v>
      </c>
      <c r="P111" s="3" t="s">
        <v>1232</v>
      </c>
      <c r="S111" s="1" t="s">
        <v>1233</v>
      </c>
      <c r="T111" s="1">
        <v>152.0</v>
      </c>
      <c r="U111" s="3" t="s">
        <v>1234</v>
      </c>
      <c r="V111" s="1">
        <v>346218.0</v>
      </c>
      <c r="W111" s="1" t="s">
        <v>1235</v>
      </c>
      <c r="X111" s="3" t="s">
        <v>1236</v>
      </c>
      <c r="Y111" s="3" t="s">
        <v>1237</v>
      </c>
      <c r="Z111" s="1">
        <v>2.0</v>
      </c>
      <c r="AB111" s="1">
        <v>23.0</v>
      </c>
      <c r="AC111" s="1">
        <v>37.0</v>
      </c>
      <c r="AD111" s="1">
        <v>47.0</v>
      </c>
      <c r="AE111" s="1">
        <v>41.0</v>
      </c>
      <c r="AF111" s="1">
        <v>4.0</v>
      </c>
      <c r="AG111" s="1">
        <v>113.0</v>
      </c>
      <c r="AH111" s="1">
        <v>1087.0</v>
      </c>
      <c r="AI111" s="1">
        <v>27.0</v>
      </c>
      <c r="AJ111" s="1">
        <v>0.0</v>
      </c>
      <c r="AK111" s="1">
        <v>7.0</v>
      </c>
      <c r="AL111" s="1">
        <v>44.0</v>
      </c>
      <c r="AM111" s="1">
        <v>31.0</v>
      </c>
      <c r="AN111" s="1">
        <v>2.0</v>
      </c>
    </row>
    <row r="112">
      <c r="A112" s="1">
        <v>62.0</v>
      </c>
      <c r="B112" s="1" t="s">
        <v>1238</v>
      </c>
      <c r="C112" s="1" t="s">
        <v>1239</v>
      </c>
      <c r="D112" s="1" t="s">
        <v>705</v>
      </c>
      <c r="E112" s="1" t="s">
        <v>43</v>
      </c>
      <c r="F112" s="2">
        <v>18859.0</v>
      </c>
      <c r="G112" s="1" t="s">
        <v>1240</v>
      </c>
      <c r="H112" s="1">
        <v>13.0</v>
      </c>
      <c r="I112" s="1" t="s">
        <v>279</v>
      </c>
      <c r="J112" s="1">
        <v>4.0</v>
      </c>
      <c r="K112" s="2">
        <v>42907.0</v>
      </c>
      <c r="M112" s="1">
        <v>0.0</v>
      </c>
      <c r="N112" s="1" t="s">
        <v>173</v>
      </c>
      <c r="O112" s="1" t="s">
        <v>174</v>
      </c>
      <c r="P112" s="1" t="s">
        <v>1241</v>
      </c>
      <c r="S112" s="1" t="s">
        <v>1242</v>
      </c>
      <c r="T112" s="1">
        <v>601.0</v>
      </c>
      <c r="U112" s="3" t="s">
        <v>1243</v>
      </c>
      <c r="V112" s="1">
        <v>2150.0</v>
      </c>
      <c r="W112" s="1" t="s">
        <v>1244</v>
      </c>
      <c r="X112" s="3" t="s">
        <v>1245</v>
      </c>
      <c r="Y112" s="3" t="s">
        <v>1246</v>
      </c>
      <c r="Z112" s="1">
        <v>1.0</v>
      </c>
      <c r="AA112" s="1" t="s">
        <v>1247</v>
      </c>
      <c r="AB112" s="1">
        <v>23.0</v>
      </c>
      <c r="AC112" s="1">
        <v>17.0</v>
      </c>
      <c r="AD112" s="1">
        <v>18.0</v>
      </c>
      <c r="AE112" s="1">
        <v>320.0</v>
      </c>
      <c r="AF112" s="1">
        <v>499.0</v>
      </c>
      <c r="AG112" s="1">
        <v>6.0</v>
      </c>
      <c r="AH112" s="1">
        <v>2061.0</v>
      </c>
      <c r="AI112" s="1">
        <v>32.0</v>
      </c>
      <c r="AJ112" s="1">
        <v>0.0</v>
      </c>
      <c r="AK112" s="1">
        <v>1.0</v>
      </c>
      <c r="AL112" s="1">
        <v>15.0</v>
      </c>
      <c r="AM112" s="1">
        <v>24.0</v>
      </c>
      <c r="AN112" s="1">
        <v>4.0</v>
      </c>
    </row>
    <row r="113">
      <c r="A113" s="1">
        <v>88.0</v>
      </c>
      <c r="B113" s="1" t="s">
        <v>1248</v>
      </c>
      <c r="C113" s="1" t="s">
        <v>1249</v>
      </c>
      <c r="D113" s="1" t="s">
        <v>1250</v>
      </c>
      <c r="E113" s="1" t="s">
        <v>58</v>
      </c>
      <c r="F113" s="2">
        <v>25065.0</v>
      </c>
      <c r="G113" s="1" t="s">
        <v>1251</v>
      </c>
      <c r="H113" s="1">
        <v>34.0</v>
      </c>
      <c r="I113" s="1" t="s">
        <v>1252</v>
      </c>
      <c r="J113" s="1">
        <v>6.0</v>
      </c>
      <c r="K113" s="2">
        <v>42907.0</v>
      </c>
      <c r="M113" s="1">
        <v>0.0</v>
      </c>
      <c r="N113" s="1" t="s">
        <v>814</v>
      </c>
      <c r="O113" s="1" t="s">
        <v>837</v>
      </c>
      <c r="P113" s="1" t="s">
        <v>1253</v>
      </c>
      <c r="S113" s="1" t="s">
        <v>1254</v>
      </c>
      <c r="T113" s="1">
        <v>68.0</v>
      </c>
      <c r="U113" s="3" t="s">
        <v>1255</v>
      </c>
      <c r="V113" s="1">
        <v>719608.0</v>
      </c>
      <c r="W113" s="1" t="s">
        <v>1256</v>
      </c>
      <c r="X113" s="3" t="s">
        <v>1257</v>
      </c>
      <c r="Y113" s="3" t="s">
        <v>1258</v>
      </c>
      <c r="Z113" s="1">
        <v>1.0</v>
      </c>
      <c r="AA113" s="1" t="s">
        <v>1259</v>
      </c>
      <c r="AB113" s="1">
        <v>23.0</v>
      </c>
      <c r="AC113" s="1">
        <v>35.0</v>
      </c>
      <c r="AD113" s="1">
        <v>32.0</v>
      </c>
      <c r="AE113" s="1">
        <v>275.0</v>
      </c>
      <c r="AF113" s="1">
        <v>95.0</v>
      </c>
      <c r="AG113" s="1">
        <v>204.0</v>
      </c>
      <c r="AH113" s="1">
        <v>221.0</v>
      </c>
      <c r="AI113" s="1">
        <v>0.0</v>
      </c>
      <c r="AJ113" s="1">
        <v>0.0</v>
      </c>
      <c r="AK113" s="1">
        <v>1.0</v>
      </c>
      <c r="AL113" s="1">
        <v>8.0</v>
      </c>
      <c r="AM113" s="1">
        <v>19.0</v>
      </c>
      <c r="AN113" s="1">
        <v>8.0</v>
      </c>
    </row>
    <row r="114">
      <c r="A114" s="1">
        <v>418.0</v>
      </c>
      <c r="B114" s="1" t="s">
        <v>1260</v>
      </c>
      <c r="C114" s="1" t="s">
        <v>1261</v>
      </c>
      <c r="D114" s="1" t="s">
        <v>1262</v>
      </c>
      <c r="E114" s="1" t="s">
        <v>43</v>
      </c>
      <c r="F114" s="2">
        <v>31475.0</v>
      </c>
      <c r="G114" s="1" t="s">
        <v>1263</v>
      </c>
      <c r="H114" s="1">
        <v>16.0</v>
      </c>
      <c r="I114" s="1" t="s">
        <v>1264</v>
      </c>
      <c r="J114" s="1">
        <v>1.0</v>
      </c>
      <c r="K114" s="2">
        <v>42907.0</v>
      </c>
      <c r="M114" s="1">
        <v>0.0</v>
      </c>
      <c r="N114" s="1" t="s">
        <v>75</v>
      </c>
      <c r="O114" s="1" t="s">
        <v>76</v>
      </c>
      <c r="P114" s="1" t="s">
        <v>1265</v>
      </c>
      <c r="S114" s="1" t="s">
        <v>151</v>
      </c>
      <c r="T114" s="1">
        <v>353.0</v>
      </c>
      <c r="U114" s="3" t="s">
        <v>1266</v>
      </c>
      <c r="V114" s="1">
        <v>719072.0</v>
      </c>
      <c r="W114" s="1" t="s">
        <v>1267</v>
      </c>
      <c r="X114" s="3" t="s">
        <v>1268</v>
      </c>
      <c r="Y114" s="3" t="s">
        <v>1269</v>
      </c>
      <c r="Z114" s="1">
        <v>1.0</v>
      </c>
      <c r="AA114" s="1" t="s">
        <v>1270</v>
      </c>
      <c r="AB114" s="1">
        <v>23.0</v>
      </c>
      <c r="AC114" s="1">
        <v>48.0</v>
      </c>
      <c r="AD114" s="1">
        <v>36.0</v>
      </c>
      <c r="AE114" s="1">
        <v>59.0</v>
      </c>
      <c r="AF114" s="1">
        <v>19.0</v>
      </c>
      <c r="AG114" s="1">
        <v>38.0</v>
      </c>
      <c r="AH114" s="1">
        <v>71.0</v>
      </c>
      <c r="AI114" s="1">
        <v>30.0</v>
      </c>
      <c r="AJ114" s="1">
        <v>2.0</v>
      </c>
      <c r="AK114" s="1">
        <v>0.0</v>
      </c>
      <c r="AL114" s="1">
        <v>5.0</v>
      </c>
      <c r="AM114" s="1">
        <v>8.0</v>
      </c>
      <c r="AN114" s="1">
        <v>1.0</v>
      </c>
    </row>
    <row r="115">
      <c r="A115" s="1">
        <v>373.0</v>
      </c>
      <c r="B115" s="1" t="s">
        <v>1271</v>
      </c>
      <c r="C115" s="1" t="s">
        <v>1272</v>
      </c>
      <c r="D115" s="1" t="s">
        <v>413</v>
      </c>
      <c r="E115" s="1" t="s">
        <v>43</v>
      </c>
      <c r="F115" s="2">
        <v>22155.0</v>
      </c>
      <c r="G115" s="1" t="s">
        <v>1273</v>
      </c>
      <c r="H115" s="1">
        <v>67.0</v>
      </c>
      <c r="I115" s="1" t="s">
        <v>244</v>
      </c>
      <c r="J115" s="1">
        <v>1.0</v>
      </c>
      <c r="K115" s="2">
        <v>42907.0</v>
      </c>
      <c r="M115" s="1">
        <v>0.0</v>
      </c>
      <c r="N115" s="1" t="s">
        <v>75</v>
      </c>
      <c r="O115" s="1" t="s">
        <v>76</v>
      </c>
      <c r="P115" s="1" t="s">
        <v>1274</v>
      </c>
      <c r="S115" s="1" t="s">
        <v>234</v>
      </c>
      <c r="T115" s="1">
        <v>445.0</v>
      </c>
      <c r="U115" s="3" t="s">
        <v>1275</v>
      </c>
      <c r="V115" s="1">
        <v>720738.0</v>
      </c>
      <c r="W115" s="1" t="s">
        <v>1276</v>
      </c>
      <c r="X115" s="3" t="s">
        <v>1277</v>
      </c>
      <c r="Y115" s="3" t="s">
        <v>1278</v>
      </c>
      <c r="Z115" s="1">
        <v>1.0</v>
      </c>
      <c r="AA115" s="1" t="s">
        <v>1279</v>
      </c>
      <c r="AB115" s="1">
        <v>23.0</v>
      </c>
      <c r="AC115" s="1">
        <v>63.0</v>
      </c>
      <c r="AD115" s="1">
        <v>34.0</v>
      </c>
      <c r="AE115" s="1">
        <v>6.0</v>
      </c>
      <c r="AF115" s="1">
        <v>0.0</v>
      </c>
      <c r="AG115" s="1">
        <v>1.0</v>
      </c>
      <c r="AH115" s="1">
        <v>58.0</v>
      </c>
      <c r="AI115" s="1">
        <v>25.0</v>
      </c>
      <c r="AJ115" s="1">
        <v>1.0</v>
      </c>
      <c r="AK115" s="1">
        <v>1.0</v>
      </c>
      <c r="AL115" s="1">
        <v>6.0</v>
      </c>
      <c r="AM115" s="1">
        <v>0.0</v>
      </c>
      <c r="AN115" s="1">
        <v>1.0</v>
      </c>
    </row>
    <row r="116">
      <c r="A116" s="1">
        <v>119.0</v>
      </c>
      <c r="B116" s="1" t="s">
        <v>1280</v>
      </c>
      <c r="C116" s="1" t="s">
        <v>1281</v>
      </c>
      <c r="D116" s="1" t="s">
        <v>1282</v>
      </c>
      <c r="E116" s="1" t="s">
        <v>43</v>
      </c>
      <c r="F116" s="2">
        <v>33203.0</v>
      </c>
      <c r="G116" s="1" t="s">
        <v>404</v>
      </c>
      <c r="H116" s="1">
        <v>31.0</v>
      </c>
      <c r="I116" s="1" t="s">
        <v>360</v>
      </c>
      <c r="J116" s="1">
        <v>4.0</v>
      </c>
      <c r="K116" s="2">
        <v>42907.0</v>
      </c>
      <c r="M116" s="1">
        <v>0.0</v>
      </c>
      <c r="N116" s="1" t="s">
        <v>75</v>
      </c>
      <c r="O116" s="1" t="s">
        <v>76</v>
      </c>
      <c r="P116" s="1" t="s">
        <v>1283</v>
      </c>
      <c r="S116" s="1" t="s">
        <v>293</v>
      </c>
      <c r="T116" s="1">
        <v>548.0</v>
      </c>
      <c r="U116" s="3" t="s">
        <v>1284</v>
      </c>
      <c r="V116" s="1">
        <v>719520.0</v>
      </c>
      <c r="W116" s="1" t="s">
        <v>1285</v>
      </c>
      <c r="X116" s="3" t="s">
        <v>1286</v>
      </c>
      <c r="Y116" s="3" t="s">
        <v>1287</v>
      </c>
      <c r="Z116" s="1">
        <v>1.0</v>
      </c>
      <c r="AA116" s="1" t="s">
        <v>1288</v>
      </c>
      <c r="AB116" s="1">
        <v>23.0</v>
      </c>
      <c r="AC116" s="1">
        <v>45.0</v>
      </c>
      <c r="AD116" s="1">
        <v>23.0</v>
      </c>
      <c r="AE116" s="1">
        <v>14.0</v>
      </c>
      <c r="AF116" s="1">
        <v>11.0</v>
      </c>
      <c r="AG116" s="1">
        <v>3.0</v>
      </c>
      <c r="AH116" s="1">
        <v>55.0</v>
      </c>
      <c r="AI116" s="1">
        <v>26.0</v>
      </c>
      <c r="AJ116" s="1">
        <v>0.0</v>
      </c>
      <c r="AK116" s="1">
        <v>0.0</v>
      </c>
      <c r="AL116" s="1">
        <v>5.0</v>
      </c>
      <c r="AM116" s="1">
        <v>0.0</v>
      </c>
      <c r="AN116" s="1">
        <v>2.0</v>
      </c>
    </row>
    <row r="117">
      <c r="A117" s="1">
        <v>39.0</v>
      </c>
      <c r="B117" s="1" t="s">
        <v>1289</v>
      </c>
      <c r="C117" s="1" t="s">
        <v>1290</v>
      </c>
      <c r="D117" s="1" t="s">
        <v>629</v>
      </c>
      <c r="E117" s="1" t="s">
        <v>58</v>
      </c>
      <c r="F117" s="2">
        <v>27008.0</v>
      </c>
      <c r="G117" s="1" t="s">
        <v>1291</v>
      </c>
      <c r="H117" s="1">
        <v>44.0</v>
      </c>
      <c r="I117" s="1" t="s">
        <v>492</v>
      </c>
      <c r="J117" s="1">
        <v>2.0</v>
      </c>
      <c r="K117" s="2">
        <v>42907.0</v>
      </c>
      <c r="M117" s="1">
        <v>0.0</v>
      </c>
      <c r="N117" s="1" t="s">
        <v>75</v>
      </c>
      <c r="O117" s="1" t="s">
        <v>76</v>
      </c>
      <c r="P117" s="1" t="s">
        <v>1292</v>
      </c>
      <c r="S117" s="1" t="s">
        <v>1293</v>
      </c>
      <c r="T117" s="1">
        <v>614.0</v>
      </c>
      <c r="U117" s="3" t="s">
        <v>1294</v>
      </c>
      <c r="V117" s="1">
        <v>720108.0</v>
      </c>
      <c r="W117" s="1" t="s">
        <v>1295</v>
      </c>
      <c r="X117" s="3" t="s">
        <v>1296</v>
      </c>
      <c r="Y117" s="3" t="s">
        <v>1297</v>
      </c>
      <c r="Z117" s="1">
        <v>1.0</v>
      </c>
      <c r="AA117" s="1" t="s">
        <v>1298</v>
      </c>
      <c r="AB117" s="1">
        <v>23.0</v>
      </c>
      <c r="AC117" s="1">
        <v>37.0</v>
      </c>
      <c r="AD117" s="1">
        <v>10.0</v>
      </c>
      <c r="AE117" s="1">
        <v>2.0</v>
      </c>
      <c r="AF117" s="1">
        <v>0.0</v>
      </c>
      <c r="AG117" s="1">
        <v>0.0</v>
      </c>
      <c r="AH117" s="1">
        <v>51.0</v>
      </c>
      <c r="AI117" s="1">
        <v>26.0</v>
      </c>
      <c r="AJ117" s="1">
        <v>0.0</v>
      </c>
      <c r="AK117" s="1">
        <v>0.0</v>
      </c>
      <c r="AL117" s="1">
        <v>5.0</v>
      </c>
      <c r="AM117" s="1">
        <v>1.0</v>
      </c>
      <c r="AN117" s="1">
        <v>1.0</v>
      </c>
    </row>
    <row r="118">
      <c r="A118" s="1">
        <v>525.0</v>
      </c>
      <c r="B118" s="1" t="s">
        <v>1299</v>
      </c>
      <c r="C118" s="1" t="s">
        <v>1300</v>
      </c>
      <c r="D118" s="1" t="s">
        <v>1301</v>
      </c>
      <c r="E118" s="1" t="s">
        <v>43</v>
      </c>
      <c r="F118" s="2">
        <v>26636.0</v>
      </c>
      <c r="G118" s="1" t="s">
        <v>1302</v>
      </c>
      <c r="H118" s="1">
        <v>49.0</v>
      </c>
      <c r="I118" s="1" t="s">
        <v>220</v>
      </c>
      <c r="J118" s="1">
        <v>1.0</v>
      </c>
      <c r="K118" s="2">
        <v>42907.0</v>
      </c>
      <c r="M118" s="1">
        <v>0.0</v>
      </c>
      <c r="N118" s="1" t="s">
        <v>75</v>
      </c>
      <c r="O118" s="1" t="s">
        <v>76</v>
      </c>
      <c r="P118" s="1" t="s">
        <v>1303</v>
      </c>
      <c r="S118" s="1" t="s">
        <v>1037</v>
      </c>
      <c r="T118" s="1">
        <v>428.0</v>
      </c>
      <c r="U118" s="3" t="s">
        <v>1304</v>
      </c>
      <c r="V118" s="1">
        <v>720278.0</v>
      </c>
      <c r="W118" s="1" t="s">
        <v>1305</v>
      </c>
      <c r="X118" s="3" t="s">
        <v>1306</v>
      </c>
      <c r="Y118" s="3" t="s">
        <v>1307</v>
      </c>
      <c r="Z118" s="1">
        <v>1.0</v>
      </c>
      <c r="AA118" s="1" t="s">
        <v>1308</v>
      </c>
      <c r="AB118" s="1">
        <v>23.0</v>
      </c>
      <c r="AC118" s="1">
        <v>50.0</v>
      </c>
      <c r="AD118" s="1">
        <v>61.0</v>
      </c>
      <c r="AE118" s="1">
        <v>67.0</v>
      </c>
      <c r="AF118" s="1">
        <v>14.0</v>
      </c>
      <c r="AG118" s="1">
        <v>65.0</v>
      </c>
      <c r="AH118" s="1">
        <v>119.0</v>
      </c>
      <c r="AI118" s="1">
        <v>47.0</v>
      </c>
      <c r="AJ118" s="1">
        <v>0.0</v>
      </c>
      <c r="AK118" s="1">
        <v>0.0</v>
      </c>
      <c r="AL118" s="1">
        <v>5.0</v>
      </c>
      <c r="AM118" s="1">
        <v>15.0</v>
      </c>
      <c r="AN118" s="1">
        <v>2.0</v>
      </c>
    </row>
    <row r="119">
      <c r="A119" s="1">
        <v>97.0</v>
      </c>
      <c r="B119" s="1" t="s">
        <v>1309</v>
      </c>
      <c r="C119" s="1" t="s">
        <v>1310</v>
      </c>
      <c r="D119" s="1" t="s">
        <v>265</v>
      </c>
      <c r="E119" s="1" t="s">
        <v>58</v>
      </c>
      <c r="F119" s="2">
        <v>27067.0</v>
      </c>
      <c r="G119" s="1" t="s">
        <v>1311</v>
      </c>
      <c r="H119" s="1">
        <v>59.0</v>
      </c>
      <c r="I119" s="1" t="s">
        <v>172</v>
      </c>
      <c r="J119" s="1">
        <v>8.0</v>
      </c>
      <c r="K119" s="2">
        <v>42907.0</v>
      </c>
      <c r="M119" s="1">
        <v>0.0</v>
      </c>
      <c r="N119" s="1" t="s">
        <v>75</v>
      </c>
      <c r="O119" s="1" t="s">
        <v>76</v>
      </c>
      <c r="P119" s="3" t="s">
        <v>1312</v>
      </c>
      <c r="S119" s="1" t="s">
        <v>1313</v>
      </c>
      <c r="T119" s="1">
        <v>570.0</v>
      </c>
      <c r="U119" s="3" t="s">
        <v>1314</v>
      </c>
      <c r="V119" s="1">
        <v>720492.0</v>
      </c>
      <c r="W119" s="1" t="s">
        <v>1315</v>
      </c>
      <c r="X119" s="3" t="s">
        <v>1316</v>
      </c>
      <c r="Y119" s="3" t="s">
        <v>1317</v>
      </c>
      <c r="Z119" s="1">
        <v>1.0</v>
      </c>
      <c r="AA119" s="1" t="s">
        <v>1318</v>
      </c>
      <c r="AB119" s="1">
        <v>23.0</v>
      </c>
      <c r="AC119" s="1">
        <v>54.0</v>
      </c>
      <c r="AD119" s="1">
        <v>5.0</v>
      </c>
      <c r="AE119" s="1">
        <v>18.0</v>
      </c>
      <c r="AF119" s="1">
        <v>1.0</v>
      </c>
      <c r="AG119" s="1">
        <v>0.0</v>
      </c>
      <c r="AH119" s="1">
        <v>150.0</v>
      </c>
      <c r="AI119" s="1">
        <v>103.0</v>
      </c>
      <c r="AJ119" s="1">
        <v>1.0</v>
      </c>
      <c r="AK119" s="1">
        <v>0.0</v>
      </c>
      <c r="AL119" s="1">
        <v>5.0</v>
      </c>
      <c r="AM119" s="1">
        <v>12.0</v>
      </c>
      <c r="AN119" s="1">
        <v>1.0</v>
      </c>
    </row>
    <row r="120">
      <c r="A120" s="1">
        <v>550.0</v>
      </c>
      <c r="B120" s="1" t="s">
        <v>1319</v>
      </c>
      <c r="C120" s="1" t="s">
        <v>1320</v>
      </c>
      <c r="D120" s="1" t="s">
        <v>86</v>
      </c>
      <c r="E120" s="1" t="s">
        <v>43</v>
      </c>
      <c r="F120" s="2">
        <v>26646.0</v>
      </c>
      <c r="G120" s="1" t="s">
        <v>1321</v>
      </c>
      <c r="H120" s="1">
        <v>54.0</v>
      </c>
      <c r="I120" s="1" t="s">
        <v>160</v>
      </c>
      <c r="J120" s="1">
        <v>3.0</v>
      </c>
      <c r="K120" s="2">
        <v>42907.0</v>
      </c>
      <c r="M120" s="1">
        <v>0.0</v>
      </c>
      <c r="N120" s="1" t="s">
        <v>75</v>
      </c>
      <c r="O120" s="1" t="s">
        <v>76</v>
      </c>
      <c r="P120" s="1" t="s">
        <v>1322</v>
      </c>
      <c r="S120" s="1" t="s">
        <v>967</v>
      </c>
      <c r="T120" s="1">
        <v>541.0</v>
      </c>
      <c r="U120" s="3" t="s">
        <v>1323</v>
      </c>
      <c r="V120" s="1">
        <v>720402.0</v>
      </c>
      <c r="W120" s="1" t="s">
        <v>1324</v>
      </c>
      <c r="X120" s="3" t="s">
        <v>1325</v>
      </c>
      <c r="Y120" s="3" t="s">
        <v>1326</v>
      </c>
      <c r="Z120" s="1">
        <v>1.0</v>
      </c>
      <c r="AA120" s="1" t="s">
        <v>1327</v>
      </c>
      <c r="AB120" s="1">
        <v>23.0</v>
      </c>
      <c r="AC120" s="1">
        <v>45.0</v>
      </c>
      <c r="AD120" s="1">
        <v>17.0</v>
      </c>
      <c r="AE120" s="1">
        <v>22.0</v>
      </c>
      <c r="AF120" s="1">
        <v>0.0</v>
      </c>
      <c r="AG120" s="1">
        <v>2.0</v>
      </c>
      <c r="AH120" s="1">
        <v>154.0</v>
      </c>
      <c r="AI120" s="1">
        <v>104.0</v>
      </c>
      <c r="AJ120" s="1">
        <v>0.0</v>
      </c>
      <c r="AK120" s="1">
        <v>0.0</v>
      </c>
      <c r="AL120" s="1">
        <v>5.0</v>
      </c>
      <c r="AM120" s="1">
        <v>21.0</v>
      </c>
      <c r="AN120" s="1">
        <v>1.0</v>
      </c>
    </row>
    <row r="121">
      <c r="A121" s="1">
        <v>348.0</v>
      </c>
      <c r="B121" s="1" t="s">
        <v>1328</v>
      </c>
      <c r="C121" s="1" t="s">
        <v>1329</v>
      </c>
      <c r="D121" s="1" t="s">
        <v>1330</v>
      </c>
      <c r="E121" s="1" t="s">
        <v>58</v>
      </c>
      <c r="F121" s="2">
        <v>32523.0</v>
      </c>
      <c r="G121" s="1" t="s">
        <v>1331</v>
      </c>
      <c r="H121" s="1">
        <v>94.0</v>
      </c>
      <c r="I121" s="1" t="s">
        <v>642</v>
      </c>
      <c r="J121" s="1">
        <v>10.0</v>
      </c>
      <c r="K121" s="2">
        <v>42907.0</v>
      </c>
      <c r="M121" s="1">
        <v>0.0</v>
      </c>
      <c r="N121" s="1" t="s">
        <v>173</v>
      </c>
      <c r="O121" s="1" t="s">
        <v>174</v>
      </c>
      <c r="P121" s="1" t="s">
        <v>1332</v>
      </c>
      <c r="S121" s="1" t="s">
        <v>1333</v>
      </c>
      <c r="T121" s="1">
        <v>604.0</v>
      </c>
      <c r="U121" s="3" t="s">
        <v>1334</v>
      </c>
      <c r="V121" s="1">
        <v>720892.0</v>
      </c>
      <c r="W121" s="1" t="s">
        <v>1335</v>
      </c>
      <c r="X121" s="3" t="s">
        <v>1336</v>
      </c>
      <c r="Y121" s="3" t="s">
        <v>1337</v>
      </c>
      <c r="Z121" s="1">
        <v>1.0</v>
      </c>
      <c r="AA121" s="1" t="s">
        <v>1338</v>
      </c>
      <c r="AB121" s="1">
        <v>23.0</v>
      </c>
      <c r="AC121" s="1">
        <v>29.0</v>
      </c>
      <c r="AD121" s="1">
        <v>59.0</v>
      </c>
      <c r="AE121" s="1">
        <v>150.0</v>
      </c>
      <c r="AF121" s="1">
        <v>85.0</v>
      </c>
      <c r="AG121" s="1">
        <v>86.0</v>
      </c>
      <c r="AH121" s="1">
        <v>2061.0</v>
      </c>
      <c r="AI121" s="1">
        <v>32.0</v>
      </c>
      <c r="AJ121" s="1">
        <v>0.0</v>
      </c>
      <c r="AK121" s="1">
        <v>3.0</v>
      </c>
      <c r="AL121" s="1">
        <v>15.0</v>
      </c>
      <c r="AM121" s="1">
        <v>19.0</v>
      </c>
      <c r="AN121" s="1">
        <v>5.0</v>
      </c>
    </row>
    <row r="122">
      <c r="A122" s="1">
        <v>393.0</v>
      </c>
      <c r="B122" s="1" t="s">
        <v>1339</v>
      </c>
      <c r="C122" s="1" t="s">
        <v>1340</v>
      </c>
      <c r="D122" s="1" t="s">
        <v>1341</v>
      </c>
      <c r="E122" s="1" t="s">
        <v>43</v>
      </c>
      <c r="F122" s="2">
        <v>18735.0</v>
      </c>
      <c r="G122" s="1" t="s">
        <v>1342</v>
      </c>
      <c r="H122" s="1">
        <v>56.0</v>
      </c>
      <c r="I122" s="1" t="s">
        <v>1343</v>
      </c>
      <c r="J122" s="1">
        <v>1.0</v>
      </c>
      <c r="K122" s="2">
        <v>42907.0</v>
      </c>
      <c r="M122" s="1">
        <v>0.0</v>
      </c>
      <c r="N122" s="1" t="s">
        <v>75</v>
      </c>
      <c r="O122" s="1" t="s">
        <v>76</v>
      </c>
      <c r="P122" s="1" t="s">
        <v>1344</v>
      </c>
      <c r="S122" s="1" t="s">
        <v>570</v>
      </c>
      <c r="T122" s="1">
        <v>376.0</v>
      </c>
      <c r="U122" s="3" t="s">
        <v>1345</v>
      </c>
      <c r="V122" s="1">
        <v>607595.0</v>
      </c>
      <c r="W122" s="1" t="s">
        <v>1346</v>
      </c>
      <c r="X122" s="3" t="s">
        <v>1347</v>
      </c>
      <c r="Y122" s="3" t="s">
        <v>1348</v>
      </c>
      <c r="Z122" s="1">
        <v>1.0</v>
      </c>
      <c r="AA122" s="1" t="s">
        <v>1349</v>
      </c>
      <c r="AB122" s="1">
        <v>23.0</v>
      </c>
      <c r="AC122" s="1">
        <v>86.0</v>
      </c>
      <c r="AD122" s="1">
        <v>28.0</v>
      </c>
      <c r="AE122" s="1">
        <v>27.0</v>
      </c>
      <c r="AF122" s="1">
        <v>1.0</v>
      </c>
      <c r="AG122" s="1">
        <v>15.0</v>
      </c>
      <c r="AH122" s="1">
        <v>261.0</v>
      </c>
      <c r="AI122" s="1">
        <v>143.0</v>
      </c>
      <c r="AJ122" s="1">
        <v>1.0</v>
      </c>
      <c r="AK122" s="1">
        <v>0.0</v>
      </c>
      <c r="AL122" s="1">
        <v>5.0</v>
      </c>
      <c r="AM122" s="1">
        <v>17.0</v>
      </c>
      <c r="AN122" s="1">
        <v>0.0</v>
      </c>
    </row>
    <row r="123">
      <c r="A123" s="1">
        <v>364.0</v>
      </c>
      <c r="B123" s="1" t="s">
        <v>1350</v>
      </c>
      <c r="C123" s="1" t="s">
        <v>1351</v>
      </c>
      <c r="D123" s="1" t="s">
        <v>1352</v>
      </c>
      <c r="E123" s="1" t="s">
        <v>43</v>
      </c>
      <c r="F123" s="2">
        <v>23431.0</v>
      </c>
      <c r="G123" s="1" t="s">
        <v>1353</v>
      </c>
      <c r="H123" s="1">
        <v>58.0</v>
      </c>
      <c r="I123" s="1" t="s">
        <v>1017</v>
      </c>
      <c r="J123" s="1">
        <v>2.0</v>
      </c>
      <c r="K123" s="2">
        <v>42907.0</v>
      </c>
      <c r="M123" s="1">
        <v>0.0</v>
      </c>
      <c r="N123" s="1" t="s">
        <v>75</v>
      </c>
      <c r="O123" s="1" t="s">
        <v>76</v>
      </c>
      <c r="P123" s="3" t="s">
        <v>1354</v>
      </c>
      <c r="S123" s="1" t="s">
        <v>198</v>
      </c>
      <c r="T123" s="1">
        <v>547.0</v>
      </c>
      <c r="U123" s="3" t="s">
        <v>1355</v>
      </c>
      <c r="V123" s="1">
        <v>720414.0</v>
      </c>
      <c r="W123" s="1" t="s">
        <v>1356</v>
      </c>
      <c r="X123" s="3" t="s">
        <v>1357</v>
      </c>
      <c r="Y123" s="3" t="s">
        <v>1358</v>
      </c>
      <c r="Z123" s="1">
        <v>1.0</v>
      </c>
      <c r="AB123" s="1">
        <v>23.0</v>
      </c>
      <c r="AC123" s="1">
        <v>39.0</v>
      </c>
      <c r="AD123" s="1">
        <v>1.0</v>
      </c>
      <c r="AE123" s="1">
        <v>3.0</v>
      </c>
      <c r="AF123" s="1">
        <v>1.0</v>
      </c>
      <c r="AG123" s="1">
        <v>0.0</v>
      </c>
      <c r="AH123" s="1">
        <v>102.0</v>
      </c>
      <c r="AI123" s="1">
        <v>43.0</v>
      </c>
      <c r="AJ123" s="1">
        <v>0.0</v>
      </c>
      <c r="AK123" s="1">
        <v>0.0</v>
      </c>
      <c r="AL123" s="1">
        <v>5.0</v>
      </c>
      <c r="AM123" s="1">
        <v>20.0</v>
      </c>
      <c r="AN123" s="1">
        <v>1.0</v>
      </c>
    </row>
    <row r="124">
      <c r="A124" s="1">
        <v>538.0</v>
      </c>
      <c r="B124" s="1" t="s">
        <v>1359</v>
      </c>
      <c r="C124" s="1" t="s">
        <v>1360</v>
      </c>
      <c r="D124" s="1" t="s">
        <v>1361</v>
      </c>
      <c r="E124" s="1" t="s">
        <v>43</v>
      </c>
      <c r="F124" s="2">
        <v>20844.0</v>
      </c>
      <c r="G124" s="1" t="s">
        <v>1362</v>
      </c>
      <c r="H124" s="1">
        <v>69.0</v>
      </c>
      <c r="I124" s="1" t="s">
        <v>1363</v>
      </c>
      <c r="J124" s="1">
        <v>9.0</v>
      </c>
      <c r="K124" s="2">
        <v>42907.0</v>
      </c>
      <c r="M124" s="1">
        <v>0.0</v>
      </c>
      <c r="N124" s="1" t="s">
        <v>61</v>
      </c>
      <c r="O124" s="1" t="s">
        <v>62</v>
      </c>
      <c r="P124" s="1" t="s">
        <v>1364</v>
      </c>
      <c r="S124" s="1" t="s">
        <v>1365</v>
      </c>
      <c r="T124" s="1">
        <v>108.0</v>
      </c>
      <c r="U124" s="3" t="s">
        <v>1366</v>
      </c>
      <c r="V124" s="1">
        <v>2377.0</v>
      </c>
      <c r="W124" s="1" t="s">
        <v>1367</v>
      </c>
      <c r="X124" s="3" t="s">
        <v>1368</v>
      </c>
      <c r="Y124" s="3" t="s">
        <v>1369</v>
      </c>
      <c r="Z124" s="1">
        <v>2.0</v>
      </c>
      <c r="AA124" s="1" t="s">
        <v>1370</v>
      </c>
      <c r="AB124" s="1">
        <v>23.0</v>
      </c>
      <c r="AC124" s="1">
        <v>40.0</v>
      </c>
      <c r="AD124" s="1">
        <v>37.0</v>
      </c>
      <c r="AE124" s="1">
        <v>11.0</v>
      </c>
      <c r="AF124" s="1">
        <v>1.0</v>
      </c>
      <c r="AG124" s="1">
        <v>0.0</v>
      </c>
      <c r="AH124" s="1">
        <v>1036.0</v>
      </c>
      <c r="AI124" s="1">
        <v>37.0</v>
      </c>
      <c r="AJ124" s="1">
        <v>0.0</v>
      </c>
      <c r="AK124" s="1">
        <v>1.0</v>
      </c>
      <c r="AL124" s="1">
        <v>98.0</v>
      </c>
      <c r="AM124" s="1">
        <v>21.0</v>
      </c>
      <c r="AN124" s="1">
        <v>1.0</v>
      </c>
    </row>
    <row r="125">
      <c r="A125" s="1">
        <v>164.0</v>
      </c>
      <c r="B125" s="1" t="s">
        <v>1371</v>
      </c>
      <c r="C125" s="1" t="s">
        <v>1372</v>
      </c>
      <c r="D125" s="1" t="s">
        <v>629</v>
      </c>
      <c r="E125" s="1" t="s">
        <v>58</v>
      </c>
      <c r="F125" s="2">
        <v>27934.0</v>
      </c>
      <c r="G125" s="1" t="s">
        <v>1373</v>
      </c>
      <c r="H125" s="1">
        <v>59.0</v>
      </c>
      <c r="I125" s="1" t="s">
        <v>172</v>
      </c>
      <c r="J125" s="1">
        <v>9.0</v>
      </c>
      <c r="K125" s="2">
        <v>42907.0</v>
      </c>
      <c r="M125" s="1">
        <v>0.0</v>
      </c>
      <c r="N125" s="1" t="s">
        <v>75</v>
      </c>
      <c r="O125" s="1" t="s">
        <v>76</v>
      </c>
      <c r="P125" s="3" t="s">
        <v>1374</v>
      </c>
      <c r="S125" s="1" t="s">
        <v>1375</v>
      </c>
      <c r="T125" s="1">
        <v>214.0</v>
      </c>
      <c r="U125" s="3" t="s">
        <v>1376</v>
      </c>
      <c r="V125" s="1">
        <v>720500.0</v>
      </c>
      <c r="W125" s="1" t="s">
        <v>1377</v>
      </c>
      <c r="X125" s="3" t="s">
        <v>1378</v>
      </c>
      <c r="Y125" s="3" t="s">
        <v>1379</v>
      </c>
      <c r="Z125" s="1">
        <v>1.0</v>
      </c>
      <c r="AA125" s="1" t="s">
        <v>1380</v>
      </c>
      <c r="AB125" s="1">
        <v>23.0</v>
      </c>
      <c r="AC125" s="1">
        <v>50.0</v>
      </c>
      <c r="AD125" s="1">
        <v>9.0</v>
      </c>
      <c r="AE125" s="1">
        <v>11.0</v>
      </c>
      <c r="AF125" s="1">
        <v>3.0</v>
      </c>
      <c r="AG125" s="1">
        <v>1.0</v>
      </c>
      <c r="AH125" s="1">
        <v>73.0</v>
      </c>
      <c r="AI125" s="1">
        <v>26.0</v>
      </c>
      <c r="AJ125" s="1">
        <v>0.0</v>
      </c>
      <c r="AK125" s="1">
        <v>0.0</v>
      </c>
      <c r="AL125" s="1">
        <v>5.0</v>
      </c>
      <c r="AM125" s="1">
        <v>2.0</v>
      </c>
      <c r="AN125" s="1">
        <v>0.0</v>
      </c>
    </row>
    <row r="126">
      <c r="A126" s="1">
        <v>144.0</v>
      </c>
      <c r="B126" s="1" t="s">
        <v>1381</v>
      </c>
      <c r="C126" s="1" t="s">
        <v>1382</v>
      </c>
      <c r="D126" s="1" t="s">
        <v>1383</v>
      </c>
      <c r="E126" s="1" t="s">
        <v>58</v>
      </c>
      <c r="F126" s="2">
        <v>33320.0</v>
      </c>
      <c r="G126" s="1" t="s">
        <v>1384</v>
      </c>
      <c r="H126" s="1">
        <v>3.0</v>
      </c>
      <c r="I126" s="1" t="s">
        <v>100</v>
      </c>
      <c r="J126" s="1">
        <v>3.0</v>
      </c>
      <c r="K126" s="2">
        <v>42907.0</v>
      </c>
      <c r="M126" s="1">
        <v>0.0</v>
      </c>
      <c r="N126" s="1" t="s">
        <v>75</v>
      </c>
      <c r="O126" s="1" t="s">
        <v>76</v>
      </c>
      <c r="P126" s="1" t="s">
        <v>1385</v>
      </c>
      <c r="S126" s="1" t="s">
        <v>1386</v>
      </c>
      <c r="T126" s="1">
        <v>201.0</v>
      </c>
      <c r="U126" s="3" t="s">
        <v>1387</v>
      </c>
      <c r="V126" s="1">
        <v>718736.0</v>
      </c>
      <c r="W126" s="1" t="s">
        <v>1388</v>
      </c>
      <c r="X126" s="3" t="s">
        <v>1389</v>
      </c>
      <c r="Y126" s="3" t="s">
        <v>1390</v>
      </c>
      <c r="Z126" s="1">
        <v>1.0</v>
      </c>
      <c r="AA126" s="1" t="s">
        <v>1391</v>
      </c>
      <c r="AB126" s="1">
        <v>23.0</v>
      </c>
      <c r="AC126" s="1">
        <v>67.0</v>
      </c>
      <c r="AD126" s="1">
        <v>23.0</v>
      </c>
      <c r="AE126" s="1">
        <v>37.0</v>
      </c>
      <c r="AF126" s="1">
        <v>4.0</v>
      </c>
      <c r="AG126" s="1">
        <v>12.0</v>
      </c>
      <c r="AH126" s="1">
        <v>184.0</v>
      </c>
      <c r="AI126" s="1">
        <v>110.0</v>
      </c>
      <c r="AJ126" s="1">
        <v>1.0</v>
      </c>
      <c r="AK126" s="1">
        <v>0.0</v>
      </c>
      <c r="AL126" s="1">
        <v>5.0</v>
      </c>
      <c r="AM126" s="1">
        <v>5.0</v>
      </c>
      <c r="AN126" s="1">
        <v>1.0</v>
      </c>
    </row>
    <row r="127">
      <c r="A127" s="1">
        <v>4.0</v>
      </c>
      <c r="B127" s="1" t="s">
        <v>1392</v>
      </c>
      <c r="C127" s="1" t="s">
        <v>1393</v>
      </c>
      <c r="D127" s="1" t="s">
        <v>641</v>
      </c>
      <c r="E127" s="1" t="s">
        <v>43</v>
      </c>
      <c r="F127" s="2">
        <v>24430.0</v>
      </c>
      <c r="G127" s="1" t="s">
        <v>1394</v>
      </c>
      <c r="H127" s="1">
        <v>59.0</v>
      </c>
      <c r="I127" s="1" t="s">
        <v>172</v>
      </c>
      <c r="J127" s="1">
        <v>11.0</v>
      </c>
      <c r="K127" s="2">
        <v>42907.0</v>
      </c>
      <c r="M127" s="1">
        <v>0.0</v>
      </c>
      <c r="N127" s="1" t="s">
        <v>75</v>
      </c>
      <c r="O127" s="1" t="s">
        <v>76</v>
      </c>
      <c r="P127" s="1" t="s">
        <v>1395</v>
      </c>
      <c r="S127" s="1" t="s">
        <v>162</v>
      </c>
      <c r="T127" s="1">
        <v>371.0</v>
      </c>
      <c r="U127" s="3" t="s">
        <v>1396</v>
      </c>
      <c r="V127" s="1">
        <v>720512.0</v>
      </c>
      <c r="W127" s="1" t="s">
        <v>1397</v>
      </c>
      <c r="X127" s="3" t="s">
        <v>1398</v>
      </c>
      <c r="Y127" s="3" t="s">
        <v>1399</v>
      </c>
      <c r="Z127" s="1">
        <v>1.0</v>
      </c>
      <c r="AA127" s="1" t="s">
        <v>1400</v>
      </c>
      <c r="AB127" s="1">
        <v>23.0</v>
      </c>
      <c r="AC127" s="1">
        <v>54.0</v>
      </c>
      <c r="AD127" s="1">
        <v>307.0</v>
      </c>
      <c r="AE127" s="1">
        <v>529.0</v>
      </c>
      <c r="AF127" s="1">
        <v>91.0</v>
      </c>
      <c r="AG127" s="1">
        <v>48.0</v>
      </c>
      <c r="AH127" s="1">
        <v>156.0</v>
      </c>
      <c r="AI127" s="1">
        <v>101.0</v>
      </c>
      <c r="AJ127" s="1">
        <v>4.0</v>
      </c>
      <c r="AK127" s="1">
        <v>0.0</v>
      </c>
      <c r="AL127" s="1">
        <v>5.0</v>
      </c>
      <c r="AM127" s="1">
        <v>0.0</v>
      </c>
      <c r="AN127" s="1">
        <v>1.0</v>
      </c>
    </row>
    <row r="128">
      <c r="A128" s="1">
        <v>138.0</v>
      </c>
      <c r="B128" s="1" t="s">
        <v>1401</v>
      </c>
      <c r="C128" s="1" t="s">
        <v>1402</v>
      </c>
      <c r="D128" s="1" t="s">
        <v>887</v>
      </c>
      <c r="E128" s="1" t="s">
        <v>43</v>
      </c>
      <c r="F128" s="2">
        <v>23453.0</v>
      </c>
      <c r="G128" s="1" t="s">
        <v>1403</v>
      </c>
      <c r="H128" s="1">
        <v>54.0</v>
      </c>
      <c r="I128" s="1" t="s">
        <v>160</v>
      </c>
      <c r="J128" s="1">
        <v>5.0</v>
      </c>
      <c r="K128" s="2">
        <v>42907.0</v>
      </c>
      <c r="M128" s="1">
        <v>0.0</v>
      </c>
      <c r="N128" s="1" t="s">
        <v>115</v>
      </c>
      <c r="O128" s="1" t="s">
        <v>116</v>
      </c>
      <c r="P128" s="1" t="s">
        <v>1404</v>
      </c>
      <c r="S128" s="1" t="s">
        <v>1067</v>
      </c>
      <c r="T128" s="1">
        <v>514.0</v>
      </c>
      <c r="U128" s="3" t="s">
        <v>1405</v>
      </c>
      <c r="V128" s="1">
        <v>607553.0</v>
      </c>
      <c r="W128" s="1" t="s">
        <v>1406</v>
      </c>
      <c r="X128" s="3" t="s">
        <v>1407</v>
      </c>
      <c r="Y128" s="3" t="s">
        <v>1408</v>
      </c>
      <c r="Z128" s="1">
        <v>1.0</v>
      </c>
      <c r="AA128" s="1" t="s">
        <v>1409</v>
      </c>
      <c r="AB128" s="1">
        <v>23.0</v>
      </c>
      <c r="AC128" s="1">
        <v>51.0</v>
      </c>
      <c r="AD128" s="1">
        <v>102.0</v>
      </c>
      <c r="AE128" s="1">
        <v>76.0</v>
      </c>
      <c r="AF128" s="1">
        <v>30.0</v>
      </c>
      <c r="AG128" s="1">
        <v>91.0</v>
      </c>
      <c r="AH128" s="1">
        <v>1220.0</v>
      </c>
      <c r="AI128" s="1">
        <v>78.0</v>
      </c>
      <c r="AJ128" s="1">
        <v>1.0</v>
      </c>
      <c r="AK128" s="1">
        <v>0.0</v>
      </c>
      <c r="AL128" s="1">
        <v>6.0</v>
      </c>
      <c r="AM128" s="1">
        <v>16.0</v>
      </c>
      <c r="AN128" s="1">
        <v>3.0</v>
      </c>
    </row>
    <row r="129">
      <c r="A129" s="1">
        <v>453.0</v>
      </c>
      <c r="B129" s="1" t="s">
        <v>1410</v>
      </c>
      <c r="C129" s="1" t="s">
        <v>1411</v>
      </c>
      <c r="D129" s="1" t="s">
        <v>1412</v>
      </c>
      <c r="E129" s="1" t="s">
        <v>58</v>
      </c>
      <c r="F129" s="2">
        <v>22330.0</v>
      </c>
      <c r="G129" s="1" t="s">
        <v>1199</v>
      </c>
      <c r="H129" s="1">
        <v>78.0</v>
      </c>
      <c r="I129" s="1" t="s">
        <v>74</v>
      </c>
      <c r="J129" s="1">
        <v>6.0</v>
      </c>
      <c r="K129" s="2">
        <v>42907.0</v>
      </c>
      <c r="M129" s="1">
        <v>0.0</v>
      </c>
      <c r="N129" s="1" t="s">
        <v>75</v>
      </c>
      <c r="O129" s="1" t="s">
        <v>76</v>
      </c>
      <c r="P129" s="1" t="s">
        <v>1413</v>
      </c>
      <c r="S129" s="1" t="s">
        <v>633</v>
      </c>
      <c r="T129" s="1">
        <v>228.0</v>
      </c>
      <c r="U129" s="3" t="s">
        <v>1414</v>
      </c>
      <c r="V129" s="1">
        <v>721916.0</v>
      </c>
      <c r="W129" s="1" t="s">
        <v>1415</v>
      </c>
      <c r="X129" s="3" t="s">
        <v>1416</v>
      </c>
      <c r="Y129" s="3" t="s">
        <v>1417</v>
      </c>
      <c r="Z129" s="1">
        <v>1.0</v>
      </c>
      <c r="AA129" s="1" t="s">
        <v>1418</v>
      </c>
      <c r="AB129" s="1">
        <v>23.0</v>
      </c>
      <c r="AC129" s="1">
        <v>46.0</v>
      </c>
      <c r="AD129" s="1">
        <v>22.0</v>
      </c>
      <c r="AE129" s="1">
        <v>11.0</v>
      </c>
      <c r="AF129" s="1">
        <v>7.0</v>
      </c>
      <c r="AG129" s="1">
        <v>4.0</v>
      </c>
      <c r="AH129" s="1">
        <v>18.0</v>
      </c>
      <c r="AI129" s="1">
        <v>3.0</v>
      </c>
      <c r="AJ129" s="1">
        <v>0.0</v>
      </c>
      <c r="AK129" s="1">
        <v>0.0</v>
      </c>
      <c r="AL129" s="1">
        <v>5.0</v>
      </c>
      <c r="AM129" s="1">
        <v>2.0</v>
      </c>
      <c r="AN129" s="1">
        <v>0.0</v>
      </c>
    </row>
    <row r="130">
      <c r="A130" s="1">
        <v>534.0</v>
      </c>
      <c r="B130" s="1" t="s">
        <v>1419</v>
      </c>
      <c r="C130" s="1" t="s">
        <v>1420</v>
      </c>
      <c r="D130" s="1" t="s">
        <v>1421</v>
      </c>
      <c r="E130" s="1" t="s">
        <v>43</v>
      </c>
      <c r="F130" s="2">
        <v>25434.0</v>
      </c>
      <c r="G130" s="1" t="s">
        <v>1422</v>
      </c>
      <c r="H130" s="1">
        <v>33.0</v>
      </c>
      <c r="I130" s="1" t="s">
        <v>348</v>
      </c>
      <c r="J130" s="1">
        <v>3.0</v>
      </c>
      <c r="K130" s="2">
        <v>42907.0</v>
      </c>
      <c r="M130" s="1">
        <v>0.0</v>
      </c>
      <c r="N130" s="1" t="s">
        <v>173</v>
      </c>
      <c r="O130" s="1" t="s">
        <v>174</v>
      </c>
      <c r="P130" s="1" t="s">
        <v>1423</v>
      </c>
      <c r="S130" s="1" t="s">
        <v>429</v>
      </c>
      <c r="T130" s="1">
        <v>621.0</v>
      </c>
      <c r="U130" s="3" t="s">
        <v>1424</v>
      </c>
      <c r="V130" s="1">
        <v>719578.0</v>
      </c>
      <c r="W130" s="1" t="s">
        <v>1425</v>
      </c>
      <c r="X130" s="3" t="s">
        <v>1426</v>
      </c>
      <c r="Y130" s="3" t="s">
        <v>1427</v>
      </c>
      <c r="Z130" s="1">
        <v>1.0</v>
      </c>
      <c r="AA130" s="1" t="s">
        <v>1428</v>
      </c>
      <c r="AB130" s="1">
        <v>23.0</v>
      </c>
      <c r="AC130" s="1">
        <v>35.0</v>
      </c>
      <c r="AD130" s="1">
        <v>69.0</v>
      </c>
      <c r="AE130" s="1">
        <v>179.0</v>
      </c>
      <c r="AF130" s="1">
        <v>175.0</v>
      </c>
      <c r="AG130" s="1">
        <v>102.0</v>
      </c>
      <c r="AH130" s="1">
        <v>2063.0</v>
      </c>
      <c r="AI130" s="1">
        <v>32.0</v>
      </c>
      <c r="AJ130" s="1">
        <v>0.0</v>
      </c>
      <c r="AK130" s="1">
        <v>0.0</v>
      </c>
      <c r="AL130" s="1">
        <v>13.0</v>
      </c>
      <c r="AM130" s="1">
        <v>19.0</v>
      </c>
      <c r="AN130" s="1">
        <v>5.0</v>
      </c>
    </row>
    <row r="131">
      <c r="A131" s="1">
        <v>474.0</v>
      </c>
      <c r="B131" s="1" t="s">
        <v>1429</v>
      </c>
      <c r="C131" s="1" t="s">
        <v>1430</v>
      </c>
      <c r="D131" s="1" t="s">
        <v>1431</v>
      </c>
      <c r="E131" s="1" t="s">
        <v>43</v>
      </c>
      <c r="F131" s="2">
        <v>33016.0</v>
      </c>
      <c r="G131" s="1" t="s">
        <v>1251</v>
      </c>
      <c r="H131" s="1">
        <v>59.0</v>
      </c>
      <c r="I131" s="1" t="s">
        <v>172</v>
      </c>
      <c r="J131" s="1">
        <v>1.0</v>
      </c>
      <c r="K131" s="2">
        <v>42907.0</v>
      </c>
      <c r="M131" s="1">
        <v>0.0</v>
      </c>
      <c r="N131" s="1" t="s">
        <v>173</v>
      </c>
      <c r="O131" s="1" t="s">
        <v>174</v>
      </c>
      <c r="P131" s="1" t="s">
        <v>1432</v>
      </c>
      <c r="S131" s="1" t="s">
        <v>967</v>
      </c>
      <c r="T131" s="1">
        <v>612.0</v>
      </c>
      <c r="U131" s="3" t="s">
        <v>1433</v>
      </c>
      <c r="V131" s="1">
        <v>720422.0</v>
      </c>
      <c r="W131" s="1" t="s">
        <v>1434</v>
      </c>
      <c r="X131" s="3" t="s">
        <v>1435</v>
      </c>
      <c r="Y131" s="3" t="s">
        <v>1436</v>
      </c>
      <c r="Z131" s="1">
        <v>1.0</v>
      </c>
      <c r="AA131" s="1" t="s">
        <v>1437</v>
      </c>
      <c r="AB131" s="1">
        <v>23.0</v>
      </c>
      <c r="AC131" s="1">
        <v>36.0</v>
      </c>
      <c r="AD131" s="1">
        <v>133.0</v>
      </c>
      <c r="AE131" s="1">
        <v>182.0</v>
      </c>
      <c r="AF131" s="1">
        <v>146.0</v>
      </c>
      <c r="AG131" s="1">
        <v>239.0</v>
      </c>
      <c r="AH131" s="1">
        <v>2082.0</v>
      </c>
      <c r="AI131" s="1">
        <v>32.0</v>
      </c>
      <c r="AJ131" s="1">
        <v>0.0</v>
      </c>
      <c r="AK131" s="1">
        <v>0.0</v>
      </c>
      <c r="AL131" s="1">
        <v>15.0</v>
      </c>
      <c r="AM131" s="1">
        <v>27.0</v>
      </c>
      <c r="AN131" s="1">
        <v>3.0</v>
      </c>
    </row>
    <row r="132">
      <c r="A132" s="1">
        <v>267.0</v>
      </c>
      <c r="B132" s="1" t="s">
        <v>1438</v>
      </c>
      <c r="C132" s="1" t="s">
        <v>1439</v>
      </c>
      <c r="D132" s="1" t="s">
        <v>1186</v>
      </c>
      <c r="E132" s="1" t="s">
        <v>58</v>
      </c>
      <c r="F132" s="2">
        <v>25509.0</v>
      </c>
      <c r="G132" s="1" t="s">
        <v>1440</v>
      </c>
      <c r="H132" s="1">
        <v>74.0</v>
      </c>
      <c r="I132" s="1" t="s">
        <v>1441</v>
      </c>
      <c r="J132" s="1">
        <v>1.0</v>
      </c>
      <c r="K132" s="2">
        <v>42907.0</v>
      </c>
      <c r="M132" s="1">
        <v>0.0</v>
      </c>
      <c r="N132" s="1" t="s">
        <v>75</v>
      </c>
      <c r="O132" s="1" t="s">
        <v>76</v>
      </c>
      <c r="P132" s="1" t="s">
        <v>1442</v>
      </c>
      <c r="S132" s="1" t="s">
        <v>1443</v>
      </c>
      <c r="T132" s="1">
        <v>431.0</v>
      </c>
      <c r="U132" s="3" t="s">
        <v>1444</v>
      </c>
      <c r="V132" s="1">
        <v>721426.0</v>
      </c>
      <c r="W132" s="1" t="s">
        <v>1445</v>
      </c>
      <c r="X132" s="3" t="s">
        <v>1446</v>
      </c>
      <c r="Y132" s="3" t="s">
        <v>1447</v>
      </c>
      <c r="Z132" s="1">
        <v>1.0</v>
      </c>
      <c r="AA132" s="1" t="s">
        <v>1448</v>
      </c>
      <c r="AB132" s="1">
        <v>23.0</v>
      </c>
      <c r="AC132" s="1">
        <v>43.0</v>
      </c>
      <c r="AD132" s="1">
        <v>3.0</v>
      </c>
      <c r="AE132" s="1">
        <v>4.0</v>
      </c>
      <c r="AF132" s="1">
        <v>3.0</v>
      </c>
      <c r="AG132" s="1">
        <v>1.0</v>
      </c>
      <c r="AH132" s="1">
        <v>105.0</v>
      </c>
      <c r="AI132" s="1">
        <v>43.0</v>
      </c>
      <c r="AJ132" s="1">
        <v>0.0</v>
      </c>
      <c r="AK132" s="1">
        <v>0.0</v>
      </c>
      <c r="AL132" s="1">
        <v>6.0</v>
      </c>
      <c r="AM132" s="1">
        <v>5.0</v>
      </c>
      <c r="AN132" s="1">
        <v>0.0</v>
      </c>
    </row>
    <row r="133">
      <c r="A133" s="1">
        <v>433.0</v>
      </c>
      <c r="B133" s="1" t="s">
        <v>1449</v>
      </c>
      <c r="C133" s="1" t="s">
        <v>1450</v>
      </c>
      <c r="D133" s="1" t="s">
        <v>1451</v>
      </c>
      <c r="E133" s="1" t="s">
        <v>58</v>
      </c>
      <c r="F133" s="2">
        <v>22706.0</v>
      </c>
      <c r="G133" s="1" t="s">
        <v>1452</v>
      </c>
      <c r="H133" s="1">
        <v>11.0</v>
      </c>
      <c r="I133" s="1" t="s">
        <v>1453</v>
      </c>
      <c r="J133" s="1">
        <v>3.0</v>
      </c>
      <c r="K133" s="2">
        <v>42907.0</v>
      </c>
      <c r="M133" s="1">
        <v>0.0</v>
      </c>
      <c r="N133" s="1" t="s">
        <v>75</v>
      </c>
      <c r="O133" s="1" t="s">
        <v>76</v>
      </c>
      <c r="P133" s="1" t="s">
        <v>1454</v>
      </c>
      <c r="S133" s="1" t="s">
        <v>1455</v>
      </c>
      <c r="T133" s="1">
        <v>533.0</v>
      </c>
      <c r="U133" s="3" t="s">
        <v>1456</v>
      </c>
      <c r="V133" s="1">
        <v>718810.0</v>
      </c>
      <c r="W133" s="1" t="s">
        <v>1457</v>
      </c>
      <c r="X133" s="3" t="s">
        <v>1458</v>
      </c>
      <c r="Y133" s="3" t="s">
        <v>1459</v>
      </c>
      <c r="Z133" s="1">
        <v>1.0</v>
      </c>
      <c r="AA133" s="1" t="s">
        <v>1460</v>
      </c>
      <c r="AB133" s="1">
        <v>23.0</v>
      </c>
      <c r="AC133" s="1">
        <v>44.0</v>
      </c>
      <c r="AD133" s="1">
        <v>5.0</v>
      </c>
      <c r="AE133" s="1">
        <v>5.0</v>
      </c>
      <c r="AF133" s="1">
        <v>2.0</v>
      </c>
      <c r="AG133" s="1">
        <v>0.0</v>
      </c>
      <c r="AH133" s="1">
        <v>72.0</v>
      </c>
      <c r="AI133" s="1">
        <v>26.0</v>
      </c>
      <c r="AJ133" s="1">
        <v>0.0</v>
      </c>
      <c r="AK133" s="1">
        <v>0.0</v>
      </c>
      <c r="AL133" s="1">
        <v>7.0</v>
      </c>
      <c r="AM133" s="1">
        <v>3.0</v>
      </c>
      <c r="AN133" s="1">
        <v>2.0</v>
      </c>
    </row>
    <row r="134">
      <c r="A134" s="1">
        <v>447.0</v>
      </c>
      <c r="B134" s="1" t="s">
        <v>1461</v>
      </c>
      <c r="C134" s="1" t="s">
        <v>1462</v>
      </c>
      <c r="D134" s="1" t="s">
        <v>86</v>
      </c>
      <c r="E134" s="1" t="s">
        <v>43</v>
      </c>
      <c r="F134" s="2">
        <v>25580.0</v>
      </c>
      <c r="G134" s="1" t="s">
        <v>1463</v>
      </c>
      <c r="H134" s="1">
        <v>74.0</v>
      </c>
      <c r="I134" s="1" t="s">
        <v>1441</v>
      </c>
      <c r="J134" s="1">
        <v>6.0</v>
      </c>
      <c r="K134" s="2">
        <v>42907.0</v>
      </c>
      <c r="M134" s="1">
        <v>0.0</v>
      </c>
      <c r="N134" s="1" t="s">
        <v>75</v>
      </c>
      <c r="O134" s="1" t="s">
        <v>76</v>
      </c>
      <c r="P134" s="1" t="s">
        <v>1464</v>
      </c>
      <c r="S134" s="1" t="s">
        <v>1465</v>
      </c>
      <c r="T134" s="1">
        <v>394.0</v>
      </c>
      <c r="U134" s="3" t="s">
        <v>1466</v>
      </c>
      <c r="V134" s="1">
        <v>721458.0</v>
      </c>
      <c r="W134" s="1" t="s">
        <v>1467</v>
      </c>
      <c r="X134" s="3" t="s">
        <v>1468</v>
      </c>
      <c r="Y134" s="3" t="s">
        <v>1469</v>
      </c>
      <c r="Z134" s="1">
        <v>2.0</v>
      </c>
      <c r="AA134" s="1" t="s">
        <v>1470</v>
      </c>
      <c r="AB134" s="1">
        <v>23.0</v>
      </c>
      <c r="AC134" s="1">
        <v>52.0</v>
      </c>
      <c r="AD134" s="1">
        <v>15.0</v>
      </c>
      <c r="AE134" s="1">
        <v>35.0</v>
      </c>
      <c r="AF134" s="1">
        <v>3.0</v>
      </c>
      <c r="AG134" s="1">
        <v>16.0</v>
      </c>
      <c r="AH134" s="1">
        <v>181.0</v>
      </c>
      <c r="AI134" s="1">
        <v>110.0</v>
      </c>
      <c r="AJ134" s="1">
        <v>1.0</v>
      </c>
      <c r="AK134" s="1">
        <v>0.0</v>
      </c>
      <c r="AL134" s="1">
        <v>7.0</v>
      </c>
      <c r="AM134" s="1">
        <v>6.0</v>
      </c>
      <c r="AN134" s="1">
        <v>1.0</v>
      </c>
    </row>
    <row r="135">
      <c r="A135" s="1">
        <v>315.0</v>
      </c>
      <c r="B135" s="1" t="s">
        <v>1471</v>
      </c>
      <c r="C135" s="1" t="s">
        <v>1472</v>
      </c>
      <c r="D135" s="1" t="s">
        <v>1473</v>
      </c>
      <c r="E135" s="1" t="s">
        <v>58</v>
      </c>
      <c r="F135" s="2">
        <v>22141.0</v>
      </c>
      <c r="G135" s="1" t="s">
        <v>207</v>
      </c>
      <c r="H135" s="1">
        <v>93.0</v>
      </c>
      <c r="I135" s="1" t="s">
        <v>196</v>
      </c>
      <c r="J135" s="1">
        <v>9.0</v>
      </c>
      <c r="K135" s="2">
        <v>42907.0</v>
      </c>
      <c r="M135" s="1">
        <v>0.0</v>
      </c>
      <c r="N135" s="1" t="s">
        <v>173</v>
      </c>
      <c r="O135" s="1" t="s">
        <v>174</v>
      </c>
      <c r="P135" s="1" t="s">
        <v>1474</v>
      </c>
      <c r="S135" s="1" t="s">
        <v>118</v>
      </c>
      <c r="T135" s="1">
        <v>628.0</v>
      </c>
      <c r="U135" s="3" t="s">
        <v>1475</v>
      </c>
      <c r="V135" s="1">
        <v>721226.0</v>
      </c>
      <c r="W135" s="1" t="s">
        <v>1476</v>
      </c>
      <c r="X135" s="3" t="s">
        <v>1477</v>
      </c>
      <c r="Y135" s="3" t="s">
        <v>1478</v>
      </c>
      <c r="Z135" s="1">
        <v>1.0</v>
      </c>
      <c r="AA135" s="1" t="s">
        <v>1479</v>
      </c>
      <c r="AB135" s="1">
        <v>23.0</v>
      </c>
      <c r="AC135" s="1">
        <v>30.0</v>
      </c>
      <c r="AD135" s="1">
        <v>63.0</v>
      </c>
      <c r="AE135" s="1">
        <v>127.0</v>
      </c>
      <c r="AF135" s="1">
        <v>27.0</v>
      </c>
      <c r="AG135" s="1">
        <v>110.0</v>
      </c>
      <c r="AH135" s="1">
        <v>2060.0</v>
      </c>
      <c r="AI135" s="1">
        <v>32.0</v>
      </c>
      <c r="AJ135" s="1">
        <v>0.0</v>
      </c>
      <c r="AK135" s="1">
        <v>0.0</v>
      </c>
      <c r="AL135" s="1">
        <v>14.0</v>
      </c>
      <c r="AM135" s="1">
        <v>12.0</v>
      </c>
      <c r="AN135" s="1">
        <v>3.0</v>
      </c>
    </row>
    <row r="136">
      <c r="A136" s="1">
        <v>319.0</v>
      </c>
      <c r="B136" s="1" t="s">
        <v>1480</v>
      </c>
      <c r="C136" s="1" t="s">
        <v>1481</v>
      </c>
      <c r="D136" s="1" t="s">
        <v>1262</v>
      </c>
      <c r="E136" s="1" t="s">
        <v>43</v>
      </c>
      <c r="F136" s="2">
        <v>25944.0</v>
      </c>
      <c r="G136" s="1" t="s">
        <v>739</v>
      </c>
      <c r="H136" s="1">
        <v>69.0</v>
      </c>
      <c r="I136" s="1" t="s">
        <v>1363</v>
      </c>
      <c r="J136" s="1">
        <v>1.0</v>
      </c>
      <c r="K136" s="2">
        <v>42907.0</v>
      </c>
      <c r="M136" s="1">
        <v>0.0</v>
      </c>
      <c r="N136" s="1" t="s">
        <v>75</v>
      </c>
      <c r="O136" s="1" t="s">
        <v>76</v>
      </c>
      <c r="P136" s="1" t="s">
        <v>1482</v>
      </c>
      <c r="S136" s="1">
        <v>0.0</v>
      </c>
      <c r="T136" s="1">
        <v>546.0</v>
      </c>
      <c r="U136" s="3" t="s">
        <v>1483</v>
      </c>
      <c r="V136" s="1">
        <v>722292.0</v>
      </c>
      <c r="W136" s="1" t="s">
        <v>1484</v>
      </c>
      <c r="X136" s="3" t="s">
        <v>1485</v>
      </c>
      <c r="Y136" s="3" t="s">
        <v>1486</v>
      </c>
      <c r="Z136" s="1">
        <v>3.0</v>
      </c>
      <c r="AA136" s="1" t="s">
        <v>1487</v>
      </c>
      <c r="AB136" s="1">
        <v>23.0</v>
      </c>
      <c r="AC136" s="1">
        <v>32.0</v>
      </c>
      <c r="AD136" s="1">
        <v>9.0</v>
      </c>
      <c r="AE136" s="1">
        <v>26.0</v>
      </c>
      <c r="AF136" s="1">
        <v>17.0</v>
      </c>
      <c r="AG136" s="1">
        <v>1.0</v>
      </c>
      <c r="AH136" s="1">
        <v>34.0</v>
      </c>
      <c r="AI136" s="1">
        <v>15.0</v>
      </c>
      <c r="AJ136" s="1">
        <v>0.0</v>
      </c>
      <c r="AK136" s="1">
        <v>0.0</v>
      </c>
      <c r="AL136" s="1">
        <v>6.0</v>
      </c>
      <c r="AM136" s="1">
        <v>4.0</v>
      </c>
      <c r="AN136" s="1">
        <v>1.0</v>
      </c>
    </row>
    <row r="137">
      <c r="A137" s="1">
        <v>510.0</v>
      </c>
      <c r="B137" s="1" t="s">
        <v>1488</v>
      </c>
      <c r="C137" s="1" t="s">
        <v>1489</v>
      </c>
      <c r="D137" s="1" t="s">
        <v>1490</v>
      </c>
      <c r="E137" s="1" t="s">
        <v>43</v>
      </c>
      <c r="F137" s="2">
        <v>27004.0</v>
      </c>
      <c r="G137" s="1" t="s">
        <v>1291</v>
      </c>
      <c r="H137" s="1">
        <v>44.0</v>
      </c>
      <c r="I137" s="1" t="s">
        <v>492</v>
      </c>
      <c r="J137" s="1">
        <v>1.0</v>
      </c>
      <c r="K137" s="2">
        <v>42907.0</v>
      </c>
      <c r="M137" s="1">
        <v>0.0</v>
      </c>
      <c r="N137" s="1" t="s">
        <v>75</v>
      </c>
      <c r="O137" s="1" t="s">
        <v>76</v>
      </c>
      <c r="P137" s="1" t="s">
        <v>1491</v>
      </c>
      <c r="S137" s="1" t="s">
        <v>1492</v>
      </c>
      <c r="T137" s="1">
        <v>494.0</v>
      </c>
      <c r="U137" s="3" t="s">
        <v>1493</v>
      </c>
      <c r="V137" s="1">
        <v>332747.0</v>
      </c>
      <c r="W137" s="1" t="s">
        <v>1494</v>
      </c>
      <c r="X137" s="3" t="s">
        <v>1495</v>
      </c>
      <c r="Y137" s="3" t="s">
        <v>1496</v>
      </c>
      <c r="Z137" s="1">
        <v>1.0</v>
      </c>
      <c r="AA137" s="1" t="s">
        <v>1497</v>
      </c>
      <c r="AB137" s="1">
        <v>23.0</v>
      </c>
      <c r="AC137" s="1">
        <v>6.0</v>
      </c>
      <c r="AD137" s="1">
        <v>20.0</v>
      </c>
      <c r="AE137" s="1">
        <v>655.0</v>
      </c>
      <c r="AF137" s="1">
        <v>3478.0</v>
      </c>
      <c r="AG137" s="1">
        <v>0.0</v>
      </c>
      <c r="AH137" s="1">
        <v>5.0</v>
      </c>
      <c r="AI137" s="1">
        <v>2.0</v>
      </c>
      <c r="AJ137" s="1">
        <v>0.0</v>
      </c>
      <c r="AK137" s="1">
        <v>2.0</v>
      </c>
      <c r="AL137" s="1">
        <v>6.0</v>
      </c>
      <c r="AM137" s="1">
        <v>2.0</v>
      </c>
      <c r="AN137" s="1">
        <v>0.0</v>
      </c>
    </row>
    <row r="138">
      <c r="A138" s="1">
        <v>110.0</v>
      </c>
      <c r="B138" s="1" t="s">
        <v>1498</v>
      </c>
      <c r="C138" s="1" t="s">
        <v>1499</v>
      </c>
      <c r="D138" s="1" t="s">
        <v>148</v>
      </c>
      <c r="E138" s="1" t="s">
        <v>43</v>
      </c>
      <c r="F138" s="2">
        <v>23606.0</v>
      </c>
      <c r="G138" s="1" t="s">
        <v>1500</v>
      </c>
      <c r="H138" s="1">
        <v>68.0</v>
      </c>
      <c r="I138" s="1" t="s">
        <v>1501</v>
      </c>
      <c r="J138" s="1">
        <v>1.0</v>
      </c>
      <c r="K138" s="2">
        <v>42907.0</v>
      </c>
      <c r="M138" s="1">
        <v>0.0</v>
      </c>
      <c r="N138" s="1" t="s">
        <v>61</v>
      </c>
      <c r="O138" s="1" t="s">
        <v>62</v>
      </c>
      <c r="P138" s="1" t="s">
        <v>1502</v>
      </c>
      <c r="S138" s="1" t="s">
        <v>1503</v>
      </c>
      <c r="T138" s="1">
        <v>76.0</v>
      </c>
      <c r="U138" s="3" t="s">
        <v>1504</v>
      </c>
      <c r="V138" s="1">
        <v>334654.0</v>
      </c>
      <c r="W138" s="1" t="s">
        <v>1505</v>
      </c>
      <c r="X138" s="3" t="s">
        <v>1506</v>
      </c>
      <c r="Y138" s="3" t="s">
        <v>1507</v>
      </c>
      <c r="Z138" s="1">
        <v>1.0</v>
      </c>
      <c r="AA138" s="1" t="s">
        <v>1508</v>
      </c>
      <c r="AB138" s="1">
        <v>23.0</v>
      </c>
      <c r="AC138" s="1">
        <v>43.0</v>
      </c>
      <c r="AD138" s="1">
        <v>22.0</v>
      </c>
      <c r="AE138" s="1">
        <v>18.0</v>
      </c>
      <c r="AF138" s="1">
        <v>277.0</v>
      </c>
      <c r="AG138" s="1">
        <v>22.0</v>
      </c>
      <c r="AH138" s="1">
        <v>1777.0</v>
      </c>
      <c r="AI138" s="1">
        <v>52.0</v>
      </c>
      <c r="AJ138" s="1">
        <v>0.0</v>
      </c>
      <c r="AK138" s="1">
        <v>0.0</v>
      </c>
      <c r="AL138" s="1">
        <v>78.0</v>
      </c>
      <c r="AM138" s="1">
        <v>17.0</v>
      </c>
      <c r="AN138" s="1">
        <v>1.0</v>
      </c>
    </row>
    <row r="139">
      <c r="A139" s="1">
        <v>306.0</v>
      </c>
      <c r="B139" s="1" t="s">
        <v>1509</v>
      </c>
      <c r="C139" s="1" t="s">
        <v>1510</v>
      </c>
      <c r="D139" s="1" t="s">
        <v>1511</v>
      </c>
      <c r="E139" s="1" t="s">
        <v>43</v>
      </c>
      <c r="F139" s="2">
        <v>26442.0</v>
      </c>
      <c r="G139" s="1" t="s">
        <v>404</v>
      </c>
      <c r="H139" s="1">
        <v>67.0</v>
      </c>
      <c r="I139" s="1" t="s">
        <v>244</v>
      </c>
      <c r="J139" s="1">
        <v>9.0</v>
      </c>
      <c r="K139" s="2">
        <v>42907.0</v>
      </c>
      <c r="M139" s="1">
        <v>0.0</v>
      </c>
      <c r="N139" s="1" t="s">
        <v>75</v>
      </c>
      <c r="O139" s="1" t="s">
        <v>76</v>
      </c>
      <c r="P139" s="1" t="s">
        <v>1512</v>
      </c>
      <c r="S139" s="1" t="s">
        <v>162</v>
      </c>
      <c r="T139" s="1">
        <v>432.0</v>
      </c>
      <c r="U139" s="3" t="s">
        <v>1513</v>
      </c>
      <c r="V139" s="1">
        <v>722336.0</v>
      </c>
      <c r="W139" s="1" t="s">
        <v>1514</v>
      </c>
      <c r="X139" s="3" t="s">
        <v>1515</v>
      </c>
      <c r="Y139" s="3" t="s">
        <v>1516</v>
      </c>
      <c r="Z139" s="1">
        <v>1.0</v>
      </c>
      <c r="AA139" s="1" t="s">
        <v>1517</v>
      </c>
      <c r="AB139" s="1">
        <v>23.0</v>
      </c>
      <c r="AC139" s="1">
        <v>44.0</v>
      </c>
      <c r="AD139" s="1">
        <v>7.0</v>
      </c>
      <c r="AE139" s="1">
        <v>7.0</v>
      </c>
      <c r="AF139" s="1">
        <v>11.0</v>
      </c>
      <c r="AG139" s="1">
        <v>3.0</v>
      </c>
      <c r="AH139" s="1">
        <v>98.0</v>
      </c>
      <c r="AI139" s="1">
        <v>42.0</v>
      </c>
      <c r="AJ139" s="1">
        <v>0.0</v>
      </c>
      <c r="AK139" s="1">
        <v>0.0</v>
      </c>
      <c r="AL139" s="1">
        <v>5.0</v>
      </c>
      <c r="AM139" s="1">
        <v>2.0</v>
      </c>
      <c r="AN139" s="1">
        <v>0.0</v>
      </c>
    </row>
    <row r="140">
      <c r="A140" s="1">
        <v>140.0</v>
      </c>
      <c r="B140" s="1" t="s">
        <v>1518</v>
      </c>
      <c r="C140" s="1" t="s">
        <v>1519</v>
      </c>
      <c r="D140" s="1" t="s">
        <v>994</v>
      </c>
      <c r="E140" s="1" t="s">
        <v>58</v>
      </c>
      <c r="F140" s="2">
        <v>22666.0</v>
      </c>
      <c r="G140" s="1" t="s">
        <v>1520</v>
      </c>
      <c r="H140" s="1">
        <v>43.0</v>
      </c>
      <c r="I140" s="1" t="s">
        <v>139</v>
      </c>
      <c r="J140" s="1">
        <v>1.0</v>
      </c>
      <c r="K140" s="2">
        <v>42907.0</v>
      </c>
      <c r="M140" s="1">
        <v>0.0</v>
      </c>
      <c r="N140" s="1" t="s">
        <v>61</v>
      </c>
      <c r="O140" s="1" t="s">
        <v>62</v>
      </c>
      <c r="P140" s="3" t="s">
        <v>1521</v>
      </c>
      <c r="S140" s="1" t="s">
        <v>1522</v>
      </c>
      <c r="T140" s="1">
        <v>24.0</v>
      </c>
      <c r="U140" s="3" t="s">
        <v>1523</v>
      </c>
      <c r="V140" s="1">
        <v>643134.0</v>
      </c>
      <c r="W140" s="1" t="s">
        <v>1524</v>
      </c>
      <c r="X140" s="3" t="s">
        <v>1525</v>
      </c>
      <c r="Y140" s="3" t="s">
        <v>1526</v>
      </c>
      <c r="Z140" s="1">
        <v>1.0</v>
      </c>
      <c r="AA140" s="1" t="s">
        <v>1527</v>
      </c>
      <c r="AB140" s="1">
        <v>23.0</v>
      </c>
      <c r="AC140" s="1">
        <v>27.0</v>
      </c>
      <c r="AD140" s="1">
        <v>12.0</v>
      </c>
      <c r="AE140" s="1">
        <v>24.0</v>
      </c>
      <c r="AF140" s="1">
        <v>14.0</v>
      </c>
      <c r="AG140" s="1">
        <v>19.0</v>
      </c>
      <c r="AH140" s="1">
        <v>1126.0</v>
      </c>
      <c r="AI140" s="1">
        <v>34.0</v>
      </c>
      <c r="AJ140" s="1">
        <v>0.0</v>
      </c>
      <c r="AK140" s="1">
        <v>1.0</v>
      </c>
      <c r="AL140" s="1">
        <v>73.0</v>
      </c>
      <c r="AM140" s="1">
        <v>15.0</v>
      </c>
      <c r="AN140" s="1">
        <v>2.0</v>
      </c>
    </row>
    <row r="141">
      <c r="A141" s="1">
        <v>417.0</v>
      </c>
      <c r="B141" s="1" t="s">
        <v>1528</v>
      </c>
      <c r="C141" s="1" t="s">
        <v>1529</v>
      </c>
      <c r="D141" s="1" t="s">
        <v>619</v>
      </c>
      <c r="E141" s="1" t="s">
        <v>58</v>
      </c>
      <c r="F141" s="2">
        <v>23419.0</v>
      </c>
      <c r="G141" s="1" t="s">
        <v>1530</v>
      </c>
      <c r="H141" s="1">
        <v>78.0</v>
      </c>
      <c r="I141" s="1" t="s">
        <v>74</v>
      </c>
      <c r="J141" s="1">
        <v>7.0</v>
      </c>
      <c r="K141" s="2">
        <v>42907.0</v>
      </c>
      <c r="M141" s="1">
        <v>0.0</v>
      </c>
      <c r="N141" s="1" t="s">
        <v>280</v>
      </c>
      <c r="O141" s="1" t="s">
        <v>281</v>
      </c>
      <c r="P141" s="1" t="s">
        <v>1531</v>
      </c>
      <c r="S141" s="1" t="s">
        <v>1532</v>
      </c>
      <c r="T141" s="1">
        <v>266.0</v>
      </c>
      <c r="U141" s="3" t="s">
        <v>1533</v>
      </c>
      <c r="V141" s="1">
        <v>721924.0</v>
      </c>
      <c r="W141" s="1" t="s">
        <v>1534</v>
      </c>
      <c r="X141" s="3" t="s">
        <v>1535</v>
      </c>
      <c r="Y141" s="3" t="s">
        <v>1536</v>
      </c>
      <c r="Z141" s="1">
        <v>1.0</v>
      </c>
      <c r="AA141" s="1" t="s">
        <v>1537</v>
      </c>
      <c r="AB141" s="1">
        <v>23.0</v>
      </c>
      <c r="AC141" s="1">
        <v>49.0</v>
      </c>
      <c r="AD141" s="1">
        <v>33.0</v>
      </c>
      <c r="AE141" s="1">
        <v>19.0</v>
      </c>
      <c r="AF141" s="1">
        <v>3.0</v>
      </c>
      <c r="AG141" s="1">
        <v>14.0</v>
      </c>
      <c r="AH141" s="1">
        <v>268.0</v>
      </c>
      <c r="AI141" s="1">
        <v>25.0</v>
      </c>
      <c r="AJ141" s="1">
        <v>0.0</v>
      </c>
      <c r="AK141" s="1">
        <v>0.0</v>
      </c>
      <c r="AL141" s="1">
        <v>5.0</v>
      </c>
      <c r="AM141" s="1">
        <v>7.0</v>
      </c>
      <c r="AN141" s="1">
        <v>3.0</v>
      </c>
    </row>
    <row r="142">
      <c r="A142" s="1">
        <v>551.0</v>
      </c>
      <c r="B142" s="1" t="s">
        <v>1538</v>
      </c>
      <c r="C142" s="1" t="s">
        <v>1539</v>
      </c>
      <c r="D142" s="1" t="s">
        <v>1540</v>
      </c>
      <c r="E142" s="1" t="s">
        <v>43</v>
      </c>
      <c r="F142" s="2">
        <v>25490.0</v>
      </c>
      <c r="G142" s="1" t="s">
        <v>1541</v>
      </c>
      <c r="H142" s="1">
        <v>88.0</v>
      </c>
      <c r="I142" s="1" t="s">
        <v>1542</v>
      </c>
      <c r="J142" s="1">
        <v>1.0</v>
      </c>
      <c r="K142" s="2">
        <v>42907.0</v>
      </c>
      <c r="M142" s="1">
        <v>0.0</v>
      </c>
      <c r="N142" s="1" t="s">
        <v>61</v>
      </c>
      <c r="O142" s="1" t="s">
        <v>62</v>
      </c>
      <c r="P142" s="1" t="s">
        <v>1543</v>
      </c>
      <c r="S142" s="1" t="s">
        <v>304</v>
      </c>
      <c r="T142" s="1">
        <v>23.0</v>
      </c>
      <c r="U142" s="3" t="s">
        <v>1544</v>
      </c>
      <c r="V142" s="1">
        <v>721474.0</v>
      </c>
      <c r="W142" s="1" t="s">
        <v>1545</v>
      </c>
      <c r="X142" s="3" t="s">
        <v>1546</v>
      </c>
      <c r="Y142" s="3" t="s">
        <v>1547</v>
      </c>
      <c r="Z142" s="1">
        <v>2.0</v>
      </c>
      <c r="AA142" s="1" t="s">
        <v>1548</v>
      </c>
      <c r="AB142" s="1">
        <v>23.0</v>
      </c>
      <c r="AC142" s="1">
        <v>60.0</v>
      </c>
      <c r="AD142" s="1">
        <v>53.0</v>
      </c>
      <c r="AE142" s="1">
        <v>59.0</v>
      </c>
      <c r="AF142" s="1">
        <v>7.0</v>
      </c>
      <c r="AG142" s="1">
        <v>38.0</v>
      </c>
      <c r="AH142" s="1">
        <v>925.0</v>
      </c>
      <c r="AI142" s="1">
        <v>27.0</v>
      </c>
      <c r="AJ142" s="1">
        <v>1.0</v>
      </c>
      <c r="AK142" s="1">
        <v>0.0</v>
      </c>
      <c r="AL142" s="1">
        <v>53.0</v>
      </c>
      <c r="AM142" s="1">
        <v>23.0</v>
      </c>
      <c r="AN142" s="1">
        <v>1.0</v>
      </c>
    </row>
    <row r="143">
      <c r="A143" s="1">
        <v>130.0</v>
      </c>
      <c r="B143" s="1" t="s">
        <v>1549</v>
      </c>
      <c r="C143" s="1" t="s">
        <v>1550</v>
      </c>
      <c r="D143" s="1" t="s">
        <v>1551</v>
      </c>
      <c r="E143" s="1" t="s">
        <v>58</v>
      </c>
      <c r="F143" s="2">
        <v>26561.0</v>
      </c>
      <c r="G143" s="1" t="s">
        <v>1552</v>
      </c>
      <c r="H143" s="1">
        <v>57.0</v>
      </c>
      <c r="I143" s="1" t="s">
        <v>471</v>
      </c>
      <c r="J143" s="1">
        <v>7.0</v>
      </c>
      <c r="K143" s="2">
        <v>42907.0</v>
      </c>
      <c r="M143" s="1">
        <v>0.0</v>
      </c>
      <c r="N143" s="1" t="s">
        <v>75</v>
      </c>
      <c r="O143" s="1" t="s">
        <v>76</v>
      </c>
      <c r="P143" s="1" t="s">
        <v>1553</v>
      </c>
      <c r="S143" s="1" t="s">
        <v>118</v>
      </c>
      <c r="T143" s="1">
        <v>296.0</v>
      </c>
      <c r="U143" s="3" t="s">
        <v>1554</v>
      </c>
      <c r="V143" s="1">
        <v>720318.0</v>
      </c>
      <c r="W143" s="1" t="s">
        <v>1555</v>
      </c>
      <c r="X143" s="3" t="s">
        <v>1556</v>
      </c>
      <c r="Y143" s="3" t="s">
        <v>1557</v>
      </c>
      <c r="Z143" s="1">
        <v>1.0</v>
      </c>
      <c r="AA143" s="1" t="s">
        <v>1558</v>
      </c>
      <c r="AB143" s="1">
        <v>23.0</v>
      </c>
      <c r="AC143" s="1">
        <v>47.0</v>
      </c>
      <c r="AD143" s="1">
        <v>14.0</v>
      </c>
      <c r="AE143" s="1">
        <v>38.0</v>
      </c>
      <c r="AF143" s="1">
        <v>14.0</v>
      </c>
      <c r="AG143" s="1">
        <v>3.0</v>
      </c>
      <c r="AH143" s="1">
        <v>78.0</v>
      </c>
      <c r="AI143" s="1">
        <v>32.0</v>
      </c>
      <c r="AJ143" s="1">
        <v>0.0</v>
      </c>
      <c r="AK143" s="1">
        <v>0.0</v>
      </c>
      <c r="AL143" s="1">
        <v>6.0</v>
      </c>
      <c r="AM143" s="1">
        <v>2.0</v>
      </c>
      <c r="AN143" s="1">
        <v>2.0</v>
      </c>
    </row>
    <row r="144">
      <c r="A144" s="1">
        <v>32.0</v>
      </c>
      <c r="B144" s="1" t="s">
        <v>1559</v>
      </c>
      <c r="C144" s="1" t="s">
        <v>1560</v>
      </c>
      <c r="D144" s="1" t="s">
        <v>1561</v>
      </c>
      <c r="E144" s="1" t="s">
        <v>43</v>
      </c>
      <c r="F144" s="2">
        <v>29316.0</v>
      </c>
      <c r="G144" s="1" t="s">
        <v>620</v>
      </c>
      <c r="H144" s="1">
        <v>1.0</v>
      </c>
      <c r="I144" s="1" t="s">
        <v>88</v>
      </c>
      <c r="J144" s="1">
        <v>5.0</v>
      </c>
      <c r="K144" s="2">
        <v>42907.0</v>
      </c>
      <c r="M144" s="1">
        <v>0.0</v>
      </c>
      <c r="N144" s="1" t="s">
        <v>61</v>
      </c>
      <c r="O144" s="1" t="s">
        <v>62</v>
      </c>
      <c r="P144" s="1" t="s">
        <v>1562</v>
      </c>
      <c r="S144" s="1">
        <v>0.0</v>
      </c>
      <c r="T144" s="1">
        <v>78.0</v>
      </c>
      <c r="U144" s="3" t="s">
        <v>1563</v>
      </c>
      <c r="V144" s="1">
        <v>605036.0</v>
      </c>
      <c r="W144" s="1" t="s">
        <v>1564</v>
      </c>
      <c r="X144" s="3" t="s">
        <v>1565</v>
      </c>
      <c r="Y144" s="3" t="s">
        <v>1566</v>
      </c>
      <c r="Z144" s="1">
        <v>1.0</v>
      </c>
      <c r="AA144" s="1" t="s">
        <v>1567</v>
      </c>
      <c r="AB144" s="1">
        <v>22.0</v>
      </c>
      <c r="AC144" s="1">
        <v>26.0</v>
      </c>
      <c r="AD144" s="1">
        <v>13.0</v>
      </c>
      <c r="AE144" s="1">
        <v>155.0</v>
      </c>
      <c r="AF144" s="1">
        <v>135.0</v>
      </c>
      <c r="AG144" s="1">
        <v>210.0</v>
      </c>
      <c r="AH144" s="1">
        <v>1559.0</v>
      </c>
      <c r="AI144" s="1">
        <v>51.0</v>
      </c>
      <c r="AJ144" s="1">
        <v>0.0</v>
      </c>
      <c r="AK144" s="1">
        <v>6.0</v>
      </c>
      <c r="AL144" s="1">
        <v>93.0</v>
      </c>
      <c r="AM144" s="1">
        <v>12.0</v>
      </c>
      <c r="AN144" s="1">
        <v>2.0</v>
      </c>
    </row>
    <row r="145">
      <c r="A145" s="1">
        <v>135.0</v>
      </c>
      <c r="B145" s="1" t="s">
        <v>1568</v>
      </c>
      <c r="C145" s="1" t="s">
        <v>1569</v>
      </c>
      <c r="D145" s="1" t="s">
        <v>1570</v>
      </c>
      <c r="E145" s="1" t="s">
        <v>43</v>
      </c>
      <c r="F145" s="2">
        <v>26610.0</v>
      </c>
      <c r="G145" s="1" t="s">
        <v>1571</v>
      </c>
      <c r="H145" s="1">
        <v>13.0</v>
      </c>
      <c r="I145" s="1" t="s">
        <v>279</v>
      </c>
      <c r="J145" s="1">
        <v>7.0</v>
      </c>
      <c r="K145" s="2">
        <v>42907.0</v>
      </c>
      <c r="M145" s="1">
        <v>0.0</v>
      </c>
      <c r="N145" s="1" t="s">
        <v>75</v>
      </c>
      <c r="O145" s="1" t="s">
        <v>76</v>
      </c>
      <c r="P145" s="1" t="s">
        <v>1572</v>
      </c>
      <c r="S145" s="1" t="s">
        <v>118</v>
      </c>
      <c r="T145" s="1">
        <v>471.0</v>
      </c>
      <c r="U145" s="3" t="s">
        <v>1573</v>
      </c>
      <c r="V145" s="1">
        <v>718954.0</v>
      </c>
      <c r="W145" s="1" t="s">
        <v>1574</v>
      </c>
      <c r="X145" s="3" t="s">
        <v>1575</v>
      </c>
      <c r="Y145" s="3" t="s">
        <v>1576</v>
      </c>
      <c r="Z145" s="1">
        <v>1.0</v>
      </c>
      <c r="AA145" s="1" t="s">
        <v>1577</v>
      </c>
      <c r="AB145" s="1">
        <v>22.0</v>
      </c>
      <c r="AC145" s="1">
        <v>51.0</v>
      </c>
      <c r="AD145" s="1">
        <v>17.0</v>
      </c>
      <c r="AE145" s="1">
        <v>25.0</v>
      </c>
      <c r="AF145" s="1">
        <v>2.0</v>
      </c>
      <c r="AG145" s="1">
        <v>1.0</v>
      </c>
      <c r="AH145" s="1">
        <v>152.0</v>
      </c>
      <c r="AI145" s="1">
        <v>103.0</v>
      </c>
      <c r="AJ145" s="1">
        <v>1.0</v>
      </c>
      <c r="AK145" s="1">
        <v>0.0</v>
      </c>
      <c r="AL145" s="1">
        <v>5.0</v>
      </c>
      <c r="AM145" s="1">
        <v>1.0</v>
      </c>
      <c r="AN145" s="1">
        <v>1.0</v>
      </c>
    </row>
    <row r="146">
      <c r="A146" s="1">
        <v>404.0</v>
      </c>
      <c r="B146" s="1" t="s">
        <v>1578</v>
      </c>
      <c r="C146" s="1" t="s">
        <v>1579</v>
      </c>
      <c r="D146" s="1" t="s">
        <v>1580</v>
      </c>
      <c r="E146" s="1" t="s">
        <v>58</v>
      </c>
      <c r="F146" s="2">
        <v>26810.0</v>
      </c>
      <c r="G146" s="1" t="s">
        <v>1581</v>
      </c>
      <c r="H146" s="1">
        <v>93.0</v>
      </c>
      <c r="I146" s="1" t="s">
        <v>196</v>
      </c>
      <c r="J146" s="1">
        <v>11.0</v>
      </c>
      <c r="K146" s="2">
        <v>42907.0</v>
      </c>
      <c r="M146" s="1">
        <v>0.0</v>
      </c>
      <c r="N146" s="1" t="s">
        <v>173</v>
      </c>
      <c r="O146" s="1" t="s">
        <v>174</v>
      </c>
      <c r="P146" s="1" t="s">
        <v>1582</v>
      </c>
      <c r="S146" s="1" t="s">
        <v>1254</v>
      </c>
      <c r="T146" s="1">
        <v>618.0</v>
      </c>
      <c r="U146" s="3" t="s">
        <v>1583</v>
      </c>
      <c r="V146" s="1">
        <v>588884.0</v>
      </c>
      <c r="W146" s="1" t="s">
        <v>1584</v>
      </c>
      <c r="X146" s="3" t="s">
        <v>1585</v>
      </c>
      <c r="Y146" s="3" t="s">
        <v>1586</v>
      </c>
      <c r="Z146" s="1">
        <v>2.0</v>
      </c>
      <c r="AA146" s="1" t="s">
        <v>1587</v>
      </c>
      <c r="AB146" s="1">
        <v>22.0</v>
      </c>
      <c r="AC146" s="1">
        <v>16.0</v>
      </c>
      <c r="AD146" s="1">
        <v>10.0</v>
      </c>
      <c r="AE146" s="1">
        <v>112.0</v>
      </c>
      <c r="AF146" s="1">
        <v>44.0</v>
      </c>
      <c r="AG146" s="1">
        <v>6.0</v>
      </c>
      <c r="AH146" s="1">
        <v>2056.0</v>
      </c>
      <c r="AI146" s="1">
        <v>32.0</v>
      </c>
      <c r="AJ146" s="1">
        <v>0.0</v>
      </c>
      <c r="AK146" s="1">
        <v>0.0</v>
      </c>
      <c r="AL146" s="1">
        <v>14.0</v>
      </c>
      <c r="AM146" s="1">
        <v>11.0</v>
      </c>
      <c r="AN146" s="1">
        <v>5.0</v>
      </c>
    </row>
    <row r="147">
      <c r="A147" s="1">
        <v>106.0</v>
      </c>
      <c r="B147" s="1" t="s">
        <v>1588</v>
      </c>
      <c r="C147" s="1" t="s">
        <v>1589</v>
      </c>
      <c r="D147" s="1" t="s">
        <v>1590</v>
      </c>
      <c r="E147" s="1" t="s">
        <v>43</v>
      </c>
      <c r="F147" s="2">
        <v>30449.0</v>
      </c>
      <c r="G147" s="1" t="s">
        <v>207</v>
      </c>
      <c r="H147" s="1">
        <v>78.0</v>
      </c>
      <c r="I147" s="1" t="s">
        <v>74</v>
      </c>
      <c r="J147" s="1">
        <v>2.0</v>
      </c>
      <c r="K147" s="2">
        <v>42907.0</v>
      </c>
      <c r="M147" s="1">
        <v>0.0</v>
      </c>
      <c r="N147" s="1" t="s">
        <v>280</v>
      </c>
      <c r="O147" s="1" t="s">
        <v>281</v>
      </c>
      <c r="P147" s="1" t="s">
        <v>1591</v>
      </c>
      <c r="S147" s="1" t="s">
        <v>1592</v>
      </c>
      <c r="T147" s="1">
        <v>167.0</v>
      </c>
      <c r="U147" s="3" t="s">
        <v>1593</v>
      </c>
      <c r="V147" s="1">
        <v>721836.0</v>
      </c>
      <c r="W147" s="1" t="s">
        <v>1594</v>
      </c>
      <c r="X147" s="3" t="s">
        <v>1595</v>
      </c>
      <c r="Y147" s="3" t="s">
        <v>1596</v>
      </c>
      <c r="Z147" s="1">
        <v>1.0</v>
      </c>
      <c r="AA147" s="1" t="s">
        <v>1597</v>
      </c>
      <c r="AB147" s="1">
        <v>22.0</v>
      </c>
      <c r="AC147" s="1">
        <v>50.0</v>
      </c>
      <c r="AD147" s="1">
        <v>34.0</v>
      </c>
      <c r="AE147" s="1">
        <v>82.0</v>
      </c>
      <c r="AF147" s="1">
        <v>19.0</v>
      </c>
      <c r="AG147" s="1">
        <v>44.0</v>
      </c>
      <c r="AH147" s="1">
        <v>272.0</v>
      </c>
      <c r="AI147" s="1">
        <v>40.0</v>
      </c>
      <c r="AJ147" s="1">
        <v>1.0</v>
      </c>
      <c r="AK147" s="1">
        <v>0.0</v>
      </c>
      <c r="AL147" s="1">
        <v>7.0</v>
      </c>
      <c r="AM147" s="1">
        <v>0.0</v>
      </c>
      <c r="AN147" s="1">
        <v>2.0</v>
      </c>
    </row>
    <row r="148">
      <c r="A148" s="1">
        <v>209.0</v>
      </c>
      <c r="B148" s="1" t="s">
        <v>1598</v>
      </c>
      <c r="C148" s="1" t="s">
        <v>1599</v>
      </c>
      <c r="D148" s="1" t="s">
        <v>1600</v>
      </c>
      <c r="E148" s="1" t="s">
        <v>58</v>
      </c>
      <c r="F148" s="2">
        <v>20687.0</v>
      </c>
      <c r="G148" s="1" t="s">
        <v>1075</v>
      </c>
      <c r="H148" s="1">
        <v>38.0</v>
      </c>
      <c r="I148" s="1" t="s">
        <v>267</v>
      </c>
      <c r="J148" s="1">
        <v>4.0</v>
      </c>
      <c r="K148" s="2">
        <v>42907.0</v>
      </c>
      <c r="M148" s="1">
        <v>0.0</v>
      </c>
      <c r="N148" s="1" t="s">
        <v>115</v>
      </c>
      <c r="O148" s="1" t="s">
        <v>116</v>
      </c>
      <c r="S148" s="1" t="s">
        <v>162</v>
      </c>
      <c r="T148" s="1">
        <v>513.0</v>
      </c>
      <c r="U148" s="3" t="s">
        <v>1601</v>
      </c>
      <c r="V148" s="1">
        <v>342415.0</v>
      </c>
      <c r="W148" s="1" t="s">
        <v>1602</v>
      </c>
      <c r="X148" s="3" t="s">
        <v>1603</v>
      </c>
      <c r="Y148" s="3" t="s">
        <v>1604</v>
      </c>
      <c r="Z148" s="1">
        <v>1.0</v>
      </c>
      <c r="AB148" s="1">
        <v>22.0</v>
      </c>
      <c r="AC148" s="1">
        <v>56.0</v>
      </c>
      <c r="AD148" s="1">
        <v>55.0</v>
      </c>
      <c r="AE148" s="1">
        <v>48.0</v>
      </c>
      <c r="AF148" s="1">
        <v>49.0</v>
      </c>
      <c r="AG148" s="1">
        <v>34.0</v>
      </c>
      <c r="AH148" s="1">
        <v>1207.0</v>
      </c>
      <c r="AI148" s="1">
        <v>81.0</v>
      </c>
      <c r="AJ148" s="1">
        <v>1.0</v>
      </c>
      <c r="AK148" s="1">
        <v>0.0</v>
      </c>
      <c r="AL148" s="1">
        <v>5.0</v>
      </c>
      <c r="AM148" s="1">
        <v>17.0</v>
      </c>
      <c r="AN148" s="1">
        <v>1.0</v>
      </c>
    </row>
    <row r="149">
      <c r="A149" s="1">
        <v>361.0</v>
      </c>
      <c r="B149" s="1" t="s">
        <v>1605</v>
      </c>
      <c r="C149" s="1" t="s">
        <v>1606</v>
      </c>
      <c r="D149" s="1" t="s">
        <v>42</v>
      </c>
      <c r="E149" s="1" t="s">
        <v>43</v>
      </c>
      <c r="F149" s="2">
        <v>24556.0</v>
      </c>
      <c r="G149" s="1" t="s">
        <v>1199</v>
      </c>
      <c r="H149" s="1">
        <v>49.0</v>
      </c>
      <c r="I149" s="1" t="s">
        <v>220</v>
      </c>
      <c r="J149" s="1">
        <v>7.0</v>
      </c>
      <c r="K149" s="2">
        <v>42907.0</v>
      </c>
      <c r="M149" s="1">
        <v>0.0</v>
      </c>
      <c r="N149" s="1" t="s">
        <v>280</v>
      </c>
      <c r="O149" s="1" t="s">
        <v>281</v>
      </c>
      <c r="P149" s="1" t="s">
        <v>1607</v>
      </c>
      <c r="S149" s="1" t="s">
        <v>827</v>
      </c>
      <c r="T149" s="1">
        <v>166.0</v>
      </c>
      <c r="U149" s="3" t="s">
        <v>1608</v>
      </c>
      <c r="V149" s="1">
        <v>720162.0</v>
      </c>
      <c r="W149" s="1" t="s">
        <v>1609</v>
      </c>
      <c r="X149" s="3" t="s">
        <v>1610</v>
      </c>
      <c r="Y149" s="3" t="s">
        <v>1611</v>
      </c>
      <c r="Z149" s="1">
        <v>1.0</v>
      </c>
      <c r="AA149" s="1" t="s">
        <v>1612</v>
      </c>
      <c r="AB149" s="1">
        <v>22.0</v>
      </c>
      <c r="AC149" s="1">
        <v>40.0</v>
      </c>
      <c r="AD149" s="1">
        <v>19.0</v>
      </c>
      <c r="AE149" s="1">
        <v>9.0</v>
      </c>
      <c r="AF149" s="1">
        <v>3.0</v>
      </c>
      <c r="AG149" s="1">
        <v>3.0</v>
      </c>
      <c r="AH149" s="1">
        <v>184.0</v>
      </c>
      <c r="AI149" s="1">
        <v>17.0</v>
      </c>
      <c r="AJ149" s="1">
        <v>1.0</v>
      </c>
      <c r="AK149" s="1">
        <v>0.0</v>
      </c>
      <c r="AL149" s="1">
        <v>4.0</v>
      </c>
      <c r="AM149" s="1">
        <v>1.0</v>
      </c>
      <c r="AN149" s="1">
        <v>0.0</v>
      </c>
    </row>
    <row r="150">
      <c r="A150" s="1">
        <v>171.0</v>
      </c>
      <c r="B150" s="1" t="s">
        <v>1613</v>
      </c>
      <c r="C150" s="1" t="s">
        <v>1614</v>
      </c>
      <c r="D150" s="1" t="s">
        <v>183</v>
      </c>
      <c r="E150" s="1" t="s">
        <v>43</v>
      </c>
      <c r="F150" s="2">
        <v>16996.0</v>
      </c>
      <c r="G150" s="1" t="s">
        <v>1615</v>
      </c>
      <c r="H150" s="1">
        <v>92.0</v>
      </c>
      <c r="I150" s="1" t="s">
        <v>781</v>
      </c>
      <c r="J150" s="1">
        <v>12.0</v>
      </c>
      <c r="K150" s="2">
        <v>42907.0</v>
      </c>
      <c r="M150" s="1">
        <v>0.0</v>
      </c>
      <c r="N150" s="1" t="s">
        <v>280</v>
      </c>
      <c r="O150" s="1" t="s">
        <v>281</v>
      </c>
      <c r="S150" s="1" t="s">
        <v>1616</v>
      </c>
      <c r="T150" s="1">
        <v>165.0</v>
      </c>
      <c r="U150" s="3" t="s">
        <v>1617</v>
      </c>
      <c r="V150" s="1">
        <v>721608.0</v>
      </c>
      <c r="W150" s="1" t="s">
        <v>1618</v>
      </c>
      <c r="X150" s="3" t="s">
        <v>1619</v>
      </c>
      <c r="Y150" s="3" t="s">
        <v>1620</v>
      </c>
      <c r="Z150" s="1">
        <v>1.0</v>
      </c>
      <c r="AB150" s="1">
        <v>22.0</v>
      </c>
      <c r="AC150" s="1">
        <v>59.0</v>
      </c>
      <c r="AD150" s="1">
        <v>109.0</v>
      </c>
      <c r="AE150" s="1">
        <v>68.0</v>
      </c>
      <c r="AF150" s="1">
        <v>81.0</v>
      </c>
      <c r="AG150" s="1">
        <v>13.0</v>
      </c>
      <c r="AH150" s="1">
        <v>252.0</v>
      </c>
      <c r="AI150" s="1">
        <v>37.0</v>
      </c>
      <c r="AJ150" s="1">
        <v>0.0</v>
      </c>
      <c r="AK150" s="1">
        <v>0.0</v>
      </c>
      <c r="AL150" s="1">
        <v>4.0</v>
      </c>
      <c r="AM150" s="1">
        <v>0.0</v>
      </c>
      <c r="AN150" s="1">
        <v>1.0</v>
      </c>
    </row>
    <row r="151">
      <c r="A151" s="1">
        <v>435.0</v>
      </c>
      <c r="B151" s="1" t="s">
        <v>1621</v>
      </c>
      <c r="C151" s="1" t="s">
        <v>1622</v>
      </c>
      <c r="D151" s="1" t="s">
        <v>1623</v>
      </c>
      <c r="E151" s="1" t="s">
        <v>58</v>
      </c>
      <c r="F151" s="2">
        <v>24013.0</v>
      </c>
      <c r="G151" s="1" t="s">
        <v>1624</v>
      </c>
      <c r="H151" s="1">
        <v>5.0</v>
      </c>
      <c r="I151" s="1" t="s">
        <v>1005</v>
      </c>
      <c r="J151" s="1">
        <v>1.0</v>
      </c>
      <c r="K151" s="2">
        <v>42907.0</v>
      </c>
      <c r="M151" s="1">
        <v>0.0</v>
      </c>
      <c r="N151" s="1" t="s">
        <v>75</v>
      </c>
      <c r="O151" s="1" t="s">
        <v>76</v>
      </c>
      <c r="P151" s="3" t="s">
        <v>1625</v>
      </c>
      <c r="S151" s="1">
        <v>0.0</v>
      </c>
      <c r="T151" s="1">
        <v>315.0</v>
      </c>
      <c r="U151" s="3" t="s">
        <v>1626</v>
      </c>
      <c r="V151" s="1">
        <v>718710.0</v>
      </c>
      <c r="W151" s="1" t="s">
        <v>1627</v>
      </c>
      <c r="X151" s="3" t="s">
        <v>1628</v>
      </c>
      <c r="Y151" s="3" t="s">
        <v>1629</v>
      </c>
      <c r="Z151" s="1">
        <v>1.0</v>
      </c>
      <c r="AA151" s="1" t="s">
        <v>1630</v>
      </c>
      <c r="AB151" s="1">
        <v>22.0</v>
      </c>
      <c r="AC151" s="1">
        <v>26.0</v>
      </c>
      <c r="AD151" s="1">
        <v>5.0</v>
      </c>
      <c r="AE151" s="1">
        <v>16.0</v>
      </c>
      <c r="AF151" s="1">
        <v>2.0</v>
      </c>
      <c r="AG151" s="1">
        <v>7.0</v>
      </c>
      <c r="AH151" s="1">
        <v>115.0</v>
      </c>
      <c r="AI151" s="1">
        <v>44.0</v>
      </c>
      <c r="AJ151" s="1">
        <v>0.0</v>
      </c>
      <c r="AK151" s="1">
        <v>0.0</v>
      </c>
      <c r="AL151" s="1">
        <v>5.0</v>
      </c>
      <c r="AM151" s="1">
        <v>11.0</v>
      </c>
      <c r="AN151" s="1">
        <v>3.0</v>
      </c>
    </row>
    <row r="152">
      <c r="A152" s="1">
        <v>468.0</v>
      </c>
      <c r="B152" s="1" t="s">
        <v>1631</v>
      </c>
      <c r="C152" s="1" t="s">
        <v>1632</v>
      </c>
      <c r="D152" s="1" t="s">
        <v>1511</v>
      </c>
      <c r="E152" s="1" t="s">
        <v>43</v>
      </c>
      <c r="F152" s="2">
        <v>20208.0</v>
      </c>
      <c r="G152" s="1" t="s">
        <v>1633</v>
      </c>
      <c r="H152" s="1">
        <v>64.0</v>
      </c>
      <c r="I152" s="1" t="s">
        <v>579</v>
      </c>
      <c r="J152" s="1">
        <v>6.0</v>
      </c>
      <c r="K152" s="2">
        <v>42907.0</v>
      </c>
      <c r="M152" s="1">
        <v>0.0</v>
      </c>
      <c r="N152" s="1" t="s">
        <v>280</v>
      </c>
      <c r="O152" s="1" t="s">
        <v>281</v>
      </c>
      <c r="P152" s="1" t="s">
        <v>1634</v>
      </c>
      <c r="S152" s="1" t="s">
        <v>1592</v>
      </c>
      <c r="T152" s="1">
        <v>168.0</v>
      </c>
      <c r="U152" s="3" t="s">
        <v>1635</v>
      </c>
      <c r="V152" s="1">
        <v>720772.0</v>
      </c>
      <c r="W152" s="1" t="s">
        <v>1636</v>
      </c>
      <c r="X152" s="3" t="s">
        <v>1637</v>
      </c>
      <c r="Y152" s="3" t="s">
        <v>1638</v>
      </c>
      <c r="Z152" s="1">
        <v>1.0</v>
      </c>
      <c r="AA152" s="1" t="s">
        <v>1639</v>
      </c>
      <c r="AB152" s="1">
        <v>22.0</v>
      </c>
      <c r="AC152" s="1">
        <v>40.0</v>
      </c>
      <c r="AD152" s="1">
        <v>37.0</v>
      </c>
      <c r="AE152" s="1">
        <v>19.0</v>
      </c>
      <c r="AF152" s="1">
        <v>5.0</v>
      </c>
      <c r="AG152" s="1">
        <v>10.0</v>
      </c>
      <c r="AH152" s="1">
        <v>280.0</v>
      </c>
      <c r="AI152" s="1">
        <v>35.0</v>
      </c>
      <c r="AJ152" s="1">
        <v>1.0</v>
      </c>
      <c r="AK152" s="1">
        <v>0.0</v>
      </c>
      <c r="AL152" s="1">
        <v>4.0</v>
      </c>
      <c r="AM152" s="1">
        <v>5.0</v>
      </c>
      <c r="AN152" s="1">
        <v>2.0</v>
      </c>
    </row>
    <row r="153">
      <c r="A153" s="1">
        <v>35.0</v>
      </c>
      <c r="B153" s="1" t="s">
        <v>1640</v>
      </c>
      <c r="C153" s="1" t="s">
        <v>1641</v>
      </c>
      <c r="D153" s="1" t="s">
        <v>1642</v>
      </c>
      <c r="E153" s="1" t="s">
        <v>58</v>
      </c>
      <c r="F153" s="2">
        <v>32441.0</v>
      </c>
      <c r="G153" s="1" t="s">
        <v>1643</v>
      </c>
      <c r="H153" s="1">
        <v>59.0</v>
      </c>
      <c r="I153" s="1" t="s">
        <v>172</v>
      </c>
      <c r="J153" s="1">
        <v>12.0</v>
      </c>
      <c r="K153" s="2">
        <v>42907.0</v>
      </c>
      <c r="M153" s="1">
        <v>0.0</v>
      </c>
      <c r="N153" s="1" t="s">
        <v>75</v>
      </c>
      <c r="O153" s="1" t="s">
        <v>76</v>
      </c>
      <c r="P153" s="1" t="s">
        <v>1644</v>
      </c>
      <c r="S153" s="1" t="s">
        <v>1645</v>
      </c>
      <c r="T153" s="1">
        <v>211.0</v>
      </c>
      <c r="U153" s="3" t="s">
        <v>1646</v>
      </c>
      <c r="V153" s="1">
        <v>720520.0</v>
      </c>
      <c r="W153" s="1" t="s">
        <v>1647</v>
      </c>
      <c r="X153" s="3" t="s">
        <v>1648</v>
      </c>
      <c r="Y153" s="3" t="s">
        <v>1649</v>
      </c>
      <c r="Z153" s="1">
        <v>1.0</v>
      </c>
      <c r="AA153" s="1" t="s">
        <v>1650</v>
      </c>
      <c r="AB153" s="1">
        <v>22.0</v>
      </c>
      <c r="AC153" s="1">
        <v>70.0</v>
      </c>
      <c r="AD153" s="1">
        <v>15.0</v>
      </c>
      <c r="AE153" s="1">
        <v>20.0</v>
      </c>
      <c r="AF153" s="1">
        <v>2.0</v>
      </c>
      <c r="AG153" s="1">
        <v>7.0</v>
      </c>
      <c r="AH153" s="1">
        <v>238.0</v>
      </c>
      <c r="AI153" s="1">
        <v>139.0</v>
      </c>
      <c r="AJ153" s="1">
        <v>1.0</v>
      </c>
      <c r="AK153" s="1">
        <v>0.0</v>
      </c>
      <c r="AL153" s="1">
        <v>5.0</v>
      </c>
      <c r="AM153" s="1">
        <v>2.0</v>
      </c>
      <c r="AN153" s="1">
        <v>1.0</v>
      </c>
    </row>
    <row r="154">
      <c r="A154" s="1">
        <v>287.0</v>
      </c>
      <c r="B154" s="1" t="s">
        <v>1651</v>
      </c>
      <c r="C154" s="1" t="s">
        <v>546</v>
      </c>
      <c r="D154" s="1" t="s">
        <v>1652</v>
      </c>
      <c r="E154" s="1" t="s">
        <v>43</v>
      </c>
      <c r="F154" s="2">
        <v>19936.0</v>
      </c>
      <c r="G154" s="1" t="s">
        <v>1653</v>
      </c>
      <c r="H154" s="1">
        <v>44.0</v>
      </c>
      <c r="I154" s="1" t="s">
        <v>492</v>
      </c>
      <c r="J154" s="1">
        <v>6.0</v>
      </c>
      <c r="K154" s="2">
        <v>42907.0</v>
      </c>
      <c r="M154" s="1">
        <v>0.0</v>
      </c>
      <c r="N154" s="1" t="s">
        <v>75</v>
      </c>
      <c r="O154" s="1" t="s">
        <v>76</v>
      </c>
      <c r="P154" s="1" t="s">
        <v>1654</v>
      </c>
      <c r="S154" s="1" t="s">
        <v>1655</v>
      </c>
      <c r="T154" s="1">
        <v>295.0</v>
      </c>
      <c r="U154" s="3" t="s">
        <v>1656</v>
      </c>
      <c r="V154" s="1">
        <v>607155.0</v>
      </c>
      <c r="W154" s="1" t="s">
        <v>1657</v>
      </c>
      <c r="X154" s="3" t="s">
        <v>1658</v>
      </c>
      <c r="Y154" s="3" t="s">
        <v>1659</v>
      </c>
      <c r="Z154" s="1">
        <v>1.0</v>
      </c>
      <c r="AA154" s="1" t="s">
        <v>1660</v>
      </c>
      <c r="AB154" s="1">
        <v>22.0</v>
      </c>
      <c r="AC154" s="1">
        <v>53.0</v>
      </c>
      <c r="AD154" s="1">
        <v>18.0</v>
      </c>
      <c r="AE154" s="1">
        <v>6.0</v>
      </c>
      <c r="AF154" s="1">
        <v>0.0</v>
      </c>
      <c r="AG154" s="1">
        <v>18.0</v>
      </c>
      <c r="AH154" s="1">
        <v>151.0</v>
      </c>
      <c r="AI154" s="1">
        <v>63.0</v>
      </c>
      <c r="AJ154" s="1">
        <v>0.0</v>
      </c>
      <c r="AK154" s="1">
        <v>0.0</v>
      </c>
      <c r="AL154" s="1">
        <v>6.0</v>
      </c>
      <c r="AM154" s="1">
        <v>14.0</v>
      </c>
      <c r="AN154" s="1">
        <v>1.0</v>
      </c>
    </row>
    <row r="155">
      <c r="A155" s="1">
        <v>53.0</v>
      </c>
      <c r="B155" s="1" t="s">
        <v>1661</v>
      </c>
      <c r="C155" s="1" t="s">
        <v>1662</v>
      </c>
      <c r="D155" s="1" t="s">
        <v>1511</v>
      </c>
      <c r="E155" s="1" t="s">
        <v>43</v>
      </c>
      <c r="F155" s="2">
        <v>22993.0</v>
      </c>
      <c r="G155" s="1" t="s">
        <v>1663</v>
      </c>
      <c r="H155" s="1">
        <v>15.0</v>
      </c>
      <c r="I155" s="1" t="s">
        <v>1664</v>
      </c>
      <c r="J155" s="1">
        <v>1.0</v>
      </c>
      <c r="K155" s="2">
        <v>42907.0</v>
      </c>
      <c r="M155" s="1">
        <v>0.0</v>
      </c>
      <c r="N155" s="1" t="s">
        <v>61</v>
      </c>
      <c r="O155" s="1" t="s">
        <v>62</v>
      </c>
      <c r="P155" s="1" t="s">
        <v>1665</v>
      </c>
      <c r="S155" s="1" t="s">
        <v>1666</v>
      </c>
      <c r="T155" s="1">
        <v>3.0</v>
      </c>
      <c r="U155" s="3" t="s">
        <v>1667</v>
      </c>
      <c r="V155" s="1">
        <v>330909.0</v>
      </c>
      <c r="W155" s="1" t="s">
        <v>1668</v>
      </c>
      <c r="X155" s="3" t="s">
        <v>1669</v>
      </c>
      <c r="Y155" s="3" t="s">
        <v>1670</v>
      </c>
      <c r="Z155" s="1">
        <v>2.0</v>
      </c>
      <c r="AA155" s="1" t="s">
        <v>1671</v>
      </c>
      <c r="AB155" s="1">
        <v>22.0</v>
      </c>
      <c r="AC155" s="1">
        <v>36.0</v>
      </c>
      <c r="AD155" s="1">
        <v>27.0</v>
      </c>
      <c r="AE155" s="1">
        <v>78.0</v>
      </c>
      <c r="AF155" s="1">
        <v>146.0</v>
      </c>
      <c r="AG155" s="1">
        <v>117.0</v>
      </c>
      <c r="AH155" s="1">
        <v>934.0</v>
      </c>
      <c r="AI155" s="1">
        <v>43.0</v>
      </c>
      <c r="AJ155" s="1">
        <v>0.0</v>
      </c>
      <c r="AK155" s="1">
        <v>0.0</v>
      </c>
      <c r="AL155" s="1">
        <v>13.0</v>
      </c>
      <c r="AM155" s="1">
        <v>19.0</v>
      </c>
      <c r="AN155" s="1">
        <v>2.0</v>
      </c>
    </row>
    <row r="156">
      <c r="A156" s="1">
        <v>543.0</v>
      </c>
      <c r="B156" s="1" t="s">
        <v>1672</v>
      </c>
      <c r="C156" s="1" t="s">
        <v>1673</v>
      </c>
      <c r="D156" s="1" t="s">
        <v>1674</v>
      </c>
      <c r="E156" s="1" t="s">
        <v>58</v>
      </c>
      <c r="F156" s="2">
        <v>27845.0</v>
      </c>
      <c r="G156" s="1" t="s">
        <v>1675</v>
      </c>
      <c r="H156" s="1">
        <v>33.0</v>
      </c>
      <c r="I156" s="1" t="s">
        <v>348</v>
      </c>
      <c r="J156" s="1">
        <v>12.0</v>
      </c>
      <c r="K156" s="2">
        <v>42907.0</v>
      </c>
      <c r="M156" s="1">
        <v>0.0</v>
      </c>
      <c r="N156" s="1" t="s">
        <v>75</v>
      </c>
      <c r="O156" s="1" t="s">
        <v>76</v>
      </c>
      <c r="P156" s="1" t="s">
        <v>1676</v>
      </c>
      <c r="S156" s="1" t="s">
        <v>1677</v>
      </c>
      <c r="T156" s="1">
        <v>370.0</v>
      </c>
      <c r="U156" s="3" t="s">
        <v>1678</v>
      </c>
      <c r="V156" s="1">
        <v>719660.0</v>
      </c>
      <c r="W156" s="1" t="s">
        <v>1679</v>
      </c>
      <c r="X156" s="3" t="s">
        <v>1680</v>
      </c>
      <c r="Y156" s="3" t="s">
        <v>1681</v>
      </c>
      <c r="Z156" s="1">
        <v>1.0</v>
      </c>
      <c r="AA156" s="1" t="s">
        <v>1682</v>
      </c>
      <c r="AB156" s="1">
        <v>22.0</v>
      </c>
      <c r="AC156" s="1">
        <v>41.0</v>
      </c>
      <c r="AD156" s="1">
        <v>6.0</v>
      </c>
      <c r="AE156" s="1">
        <v>10.0</v>
      </c>
      <c r="AF156" s="1">
        <v>1.0</v>
      </c>
      <c r="AG156" s="1">
        <v>3.0</v>
      </c>
      <c r="AH156" s="1">
        <v>59.0</v>
      </c>
      <c r="AI156" s="1">
        <v>27.0</v>
      </c>
      <c r="AJ156" s="1">
        <v>0.0</v>
      </c>
      <c r="AK156" s="1">
        <v>0.0</v>
      </c>
      <c r="AL156" s="1">
        <v>5.0</v>
      </c>
      <c r="AM156" s="1">
        <v>3.0</v>
      </c>
      <c r="AN156" s="1">
        <v>2.0</v>
      </c>
    </row>
    <row r="157">
      <c r="A157" s="1">
        <v>63.0</v>
      </c>
      <c r="B157" s="1" t="s">
        <v>1683</v>
      </c>
      <c r="C157" s="1" t="s">
        <v>1684</v>
      </c>
      <c r="D157" s="1" t="s">
        <v>1685</v>
      </c>
      <c r="E157" s="1" t="s">
        <v>58</v>
      </c>
      <c r="F157" s="2">
        <v>29375.0</v>
      </c>
      <c r="G157" s="1" t="s">
        <v>1302</v>
      </c>
      <c r="H157" s="1">
        <v>44.0</v>
      </c>
      <c r="I157" s="1" t="s">
        <v>492</v>
      </c>
      <c r="J157" s="1">
        <v>8.0</v>
      </c>
      <c r="K157" s="2">
        <v>42907.0</v>
      </c>
      <c r="M157" s="1">
        <v>0.0</v>
      </c>
      <c r="N157" s="1" t="s">
        <v>75</v>
      </c>
      <c r="O157" s="1" t="s">
        <v>76</v>
      </c>
      <c r="P157" s="1" t="s">
        <v>1686</v>
      </c>
      <c r="S157" s="1" t="s">
        <v>1687</v>
      </c>
      <c r="T157" s="1">
        <v>522.0</v>
      </c>
      <c r="U157" s="3" t="s">
        <v>1688</v>
      </c>
      <c r="V157" s="1">
        <v>720046.0</v>
      </c>
      <c r="W157" s="1" t="s">
        <v>1689</v>
      </c>
      <c r="X157" s="3" t="s">
        <v>1690</v>
      </c>
      <c r="Y157" s="3" t="s">
        <v>1691</v>
      </c>
      <c r="Z157" s="1">
        <v>1.0</v>
      </c>
      <c r="AA157" s="1" t="s">
        <v>1692</v>
      </c>
      <c r="AB157" s="1">
        <v>22.0</v>
      </c>
      <c r="AC157" s="1">
        <v>40.0</v>
      </c>
      <c r="AD157" s="1">
        <v>12.0</v>
      </c>
      <c r="AE157" s="1">
        <v>22.0</v>
      </c>
      <c r="AF157" s="1">
        <v>5.0</v>
      </c>
      <c r="AG157" s="1">
        <v>1.0</v>
      </c>
      <c r="AH157" s="1">
        <v>61.0</v>
      </c>
      <c r="AI157" s="1">
        <v>25.0</v>
      </c>
      <c r="AJ157" s="1">
        <v>0.0</v>
      </c>
      <c r="AK157" s="1">
        <v>0.0</v>
      </c>
      <c r="AL157" s="1">
        <v>5.0</v>
      </c>
      <c r="AM157" s="1">
        <v>1.0</v>
      </c>
      <c r="AN157" s="1">
        <v>3.0</v>
      </c>
    </row>
    <row r="158">
      <c r="A158" s="1">
        <v>495.0</v>
      </c>
      <c r="B158" s="1" t="s">
        <v>1693</v>
      </c>
      <c r="C158" s="1" t="s">
        <v>1694</v>
      </c>
      <c r="D158" s="1" t="s">
        <v>1695</v>
      </c>
      <c r="E158" s="1" t="s">
        <v>58</v>
      </c>
      <c r="F158" s="2">
        <v>26820.0</v>
      </c>
      <c r="G158" s="1" t="s">
        <v>836</v>
      </c>
      <c r="H158" s="1">
        <v>95.0</v>
      </c>
      <c r="I158" s="1" t="s">
        <v>302</v>
      </c>
      <c r="J158" s="1">
        <v>6.0</v>
      </c>
      <c r="K158" s="2">
        <v>42907.0</v>
      </c>
      <c r="M158" s="1">
        <v>0.0</v>
      </c>
      <c r="N158" s="1" t="s">
        <v>280</v>
      </c>
      <c r="O158" s="1" t="s">
        <v>281</v>
      </c>
      <c r="P158" s="1" t="s">
        <v>1696</v>
      </c>
      <c r="S158" s="1" t="s">
        <v>1455</v>
      </c>
      <c r="T158" s="1">
        <v>173.0</v>
      </c>
      <c r="U158" s="3" t="s">
        <v>1697</v>
      </c>
      <c r="V158" s="1">
        <v>720924.0</v>
      </c>
      <c r="W158" s="1" t="s">
        <v>1698</v>
      </c>
      <c r="X158" s="3" t="s">
        <v>1699</v>
      </c>
      <c r="Y158" s="3" t="s">
        <v>1700</v>
      </c>
      <c r="Z158" s="1">
        <v>1.0</v>
      </c>
      <c r="AA158" s="1" t="s">
        <v>1701</v>
      </c>
      <c r="AB158" s="1">
        <v>22.0</v>
      </c>
      <c r="AC158" s="1">
        <v>27.0</v>
      </c>
      <c r="AD158" s="1">
        <v>17.0</v>
      </c>
      <c r="AE158" s="1">
        <v>67.0</v>
      </c>
      <c r="AF158" s="1">
        <v>19.0</v>
      </c>
      <c r="AG158" s="1">
        <v>48.0</v>
      </c>
      <c r="AH158" s="1">
        <v>259.0</v>
      </c>
      <c r="AI158" s="1">
        <v>25.0</v>
      </c>
      <c r="AJ158" s="1">
        <v>0.0</v>
      </c>
      <c r="AK158" s="1">
        <v>0.0</v>
      </c>
      <c r="AL158" s="1">
        <v>3.0</v>
      </c>
      <c r="AM158" s="1">
        <v>20.0</v>
      </c>
      <c r="AN158" s="1">
        <v>2.0</v>
      </c>
    </row>
    <row r="159">
      <c r="A159" s="1">
        <v>548.0</v>
      </c>
      <c r="B159" s="1" t="s">
        <v>1702</v>
      </c>
      <c r="C159" s="1" t="s">
        <v>1703</v>
      </c>
      <c r="D159" s="1" t="s">
        <v>403</v>
      </c>
      <c r="E159" s="1" t="s">
        <v>58</v>
      </c>
      <c r="F159" s="2">
        <v>26136.0</v>
      </c>
      <c r="G159" s="1" t="s">
        <v>1291</v>
      </c>
      <c r="H159" s="1">
        <v>44.0</v>
      </c>
      <c r="I159" s="1" t="s">
        <v>492</v>
      </c>
      <c r="J159" s="1">
        <v>10.0</v>
      </c>
      <c r="K159" s="2">
        <v>42907.0</v>
      </c>
      <c r="M159" s="1">
        <v>0.0</v>
      </c>
      <c r="N159" s="1" t="s">
        <v>75</v>
      </c>
      <c r="O159" s="1" t="s">
        <v>76</v>
      </c>
      <c r="P159" s="1" t="s">
        <v>1704</v>
      </c>
      <c r="S159" s="1" t="s">
        <v>198</v>
      </c>
      <c r="T159" s="1">
        <v>361.0</v>
      </c>
      <c r="U159" s="3" t="s">
        <v>1705</v>
      </c>
      <c r="V159" s="1">
        <v>607193.0</v>
      </c>
      <c r="W159" s="1" t="s">
        <v>1706</v>
      </c>
      <c r="X159" s="3" t="s">
        <v>1707</v>
      </c>
      <c r="Y159" s="3" t="s">
        <v>1708</v>
      </c>
      <c r="Z159" s="1">
        <v>1.0</v>
      </c>
      <c r="AA159" s="1" t="s">
        <v>1709</v>
      </c>
      <c r="AB159" s="1">
        <v>22.0</v>
      </c>
      <c r="AC159" s="1">
        <v>44.0</v>
      </c>
      <c r="AD159" s="1">
        <v>56.0</v>
      </c>
      <c r="AE159" s="1">
        <v>2.0</v>
      </c>
      <c r="AF159" s="1">
        <v>4.0</v>
      </c>
      <c r="AG159" s="1">
        <v>0.0</v>
      </c>
      <c r="AH159" s="1">
        <v>114.0</v>
      </c>
      <c r="AI159" s="1">
        <v>57.0</v>
      </c>
      <c r="AJ159" s="1">
        <v>0.0</v>
      </c>
      <c r="AK159" s="1">
        <v>0.0</v>
      </c>
      <c r="AL159" s="1">
        <v>5.0</v>
      </c>
      <c r="AM159" s="1">
        <v>0.0</v>
      </c>
      <c r="AN159" s="1">
        <v>0.0</v>
      </c>
    </row>
    <row r="160">
      <c r="A160" s="1">
        <v>365.0</v>
      </c>
      <c r="B160" s="1" t="s">
        <v>1710</v>
      </c>
      <c r="C160" s="1" t="s">
        <v>1711</v>
      </c>
      <c r="D160" s="1" t="s">
        <v>265</v>
      </c>
      <c r="E160" s="1" t="s">
        <v>58</v>
      </c>
      <c r="F160" s="2">
        <v>28752.0</v>
      </c>
      <c r="G160" s="1" t="s">
        <v>404</v>
      </c>
      <c r="H160" s="1">
        <v>33.0</v>
      </c>
      <c r="I160" s="1" t="s">
        <v>348</v>
      </c>
      <c r="J160" s="1">
        <v>2.0</v>
      </c>
      <c r="K160" s="2">
        <v>42907.0</v>
      </c>
      <c r="M160" s="1">
        <v>0.0</v>
      </c>
      <c r="N160" s="1" t="s">
        <v>75</v>
      </c>
      <c r="O160" s="1" t="s">
        <v>76</v>
      </c>
      <c r="P160" s="1" t="s">
        <v>1712</v>
      </c>
      <c r="S160" s="1" t="s">
        <v>1713</v>
      </c>
      <c r="T160" s="1">
        <v>217.0</v>
      </c>
      <c r="U160" s="3" t="s">
        <v>1714</v>
      </c>
      <c r="V160" s="1">
        <v>719570.0</v>
      </c>
      <c r="W160" s="1" t="s">
        <v>1715</v>
      </c>
      <c r="X160" s="3" t="s">
        <v>1716</v>
      </c>
      <c r="Y160" s="3" t="s">
        <v>1717</v>
      </c>
      <c r="Z160" s="1">
        <v>1.0</v>
      </c>
      <c r="AA160" s="1" t="s">
        <v>1718</v>
      </c>
      <c r="AB160" s="1">
        <v>22.0</v>
      </c>
      <c r="AC160" s="1">
        <v>46.0</v>
      </c>
      <c r="AD160" s="1">
        <v>14.0</v>
      </c>
      <c r="AE160" s="1">
        <v>11.0</v>
      </c>
      <c r="AF160" s="1">
        <v>6.0</v>
      </c>
      <c r="AG160" s="1">
        <v>0.0</v>
      </c>
      <c r="AH160" s="1">
        <v>56.0</v>
      </c>
      <c r="AI160" s="1">
        <v>25.0</v>
      </c>
      <c r="AJ160" s="1">
        <v>0.0</v>
      </c>
      <c r="AK160" s="1">
        <v>0.0</v>
      </c>
      <c r="AL160" s="1">
        <v>5.0</v>
      </c>
      <c r="AM160" s="1">
        <v>8.0</v>
      </c>
      <c r="AN160" s="1">
        <v>0.0</v>
      </c>
    </row>
    <row r="161">
      <c r="A161" s="1">
        <v>174.0</v>
      </c>
      <c r="B161" s="1" t="s">
        <v>1719</v>
      </c>
      <c r="C161" s="1" t="s">
        <v>1720</v>
      </c>
      <c r="D161" s="1" t="s">
        <v>546</v>
      </c>
      <c r="E161" s="1" t="s">
        <v>43</v>
      </c>
      <c r="F161" s="2">
        <v>23027.0</v>
      </c>
      <c r="G161" s="1" t="s">
        <v>1721</v>
      </c>
      <c r="H161" s="1">
        <v>62.0</v>
      </c>
      <c r="I161" s="1" t="s">
        <v>427</v>
      </c>
      <c r="J161" s="1">
        <v>4.0</v>
      </c>
      <c r="K161" s="2">
        <v>42907.0</v>
      </c>
      <c r="M161" s="1">
        <v>0.0</v>
      </c>
      <c r="N161" s="1" t="s">
        <v>61</v>
      </c>
      <c r="O161" s="1" t="s">
        <v>62</v>
      </c>
      <c r="P161" s="1" t="s">
        <v>1722</v>
      </c>
      <c r="S161" s="1" t="s">
        <v>246</v>
      </c>
      <c r="T161" s="1">
        <v>62.0</v>
      </c>
      <c r="U161" s="3" t="s">
        <v>1723</v>
      </c>
      <c r="V161" s="1">
        <v>334149.0</v>
      </c>
      <c r="W161" s="1" t="s">
        <v>1724</v>
      </c>
      <c r="X161" s="3" t="s">
        <v>1725</v>
      </c>
      <c r="Y161" s="3" t="s">
        <v>1726</v>
      </c>
      <c r="Z161" s="1">
        <v>2.0</v>
      </c>
      <c r="AA161" s="1" t="s">
        <v>1727</v>
      </c>
      <c r="AB161" s="1">
        <v>22.0</v>
      </c>
      <c r="AC161" s="1">
        <v>27.0</v>
      </c>
      <c r="AD161" s="1">
        <v>25.0</v>
      </c>
      <c r="AE161" s="1">
        <v>16.0</v>
      </c>
      <c r="AF161" s="1">
        <v>29.0</v>
      </c>
      <c r="AG161" s="1">
        <v>0.0</v>
      </c>
      <c r="AH161" s="1">
        <v>247.0</v>
      </c>
      <c r="AI161" s="1">
        <v>13.0</v>
      </c>
      <c r="AJ161" s="1">
        <v>0.0</v>
      </c>
      <c r="AK161" s="1">
        <v>1.0</v>
      </c>
      <c r="AL161" s="1">
        <v>55.0</v>
      </c>
      <c r="AM161" s="1">
        <v>7.0</v>
      </c>
      <c r="AN161" s="1">
        <v>1.0</v>
      </c>
    </row>
    <row r="162">
      <c r="A162" s="1">
        <v>399.0</v>
      </c>
      <c r="B162" s="1" t="s">
        <v>1728</v>
      </c>
      <c r="C162" s="1" t="s">
        <v>1729</v>
      </c>
      <c r="D162" s="1" t="s">
        <v>1730</v>
      </c>
      <c r="E162" s="1" t="s">
        <v>58</v>
      </c>
      <c r="F162" s="2">
        <v>29804.0</v>
      </c>
      <c r="G162" s="1" t="s">
        <v>1731</v>
      </c>
      <c r="H162" s="1">
        <v>92.0</v>
      </c>
      <c r="I162" s="1" t="s">
        <v>781</v>
      </c>
      <c r="J162" s="1">
        <v>1.0</v>
      </c>
      <c r="K162" s="2">
        <v>42907.0</v>
      </c>
      <c r="M162" s="1">
        <v>0.0</v>
      </c>
      <c r="N162" s="1" t="s">
        <v>101</v>
      </c>
      <c r="O162" s="1" t="s">
        <v>102</v>
      </c>
      <c r="P162" s="1" t="s">
        <v>1732</v>
      </c>
      <c r="S162" s="1" t="s">
        <v>1733</v>
      </c>
      <c r="T162" s="1">
        <v>588.0</v>
      </c>
      <c r="U162" s="3" t="s">
        <v>1734</v>
      </c>
      <c r="V162" s="1">
        <v>721896.0</v>
      </c>
      <c r="W162" s="1" t="s">
        <v>1735</v>
      </c>
      <c r="X162" s="3" t="s">
        <v>1736</v>
      </c>
      <c r="Y162" s="3" t="s">
        <v>1737</v>
      </c>
      <c r="Z162" s="1">
        <v>1.0</v>
      </c>
      <c r="AA162" s="1" t="s">
        <v>1738</v>
      </c>
      <c r="AB162" s="1">
        <v>22.0</v>
      </c>
      <c r="AC162" s="1">
        <v>31.0</v>
      </c>
      <c r="AD162" s="1">
        <v>17.0</v>
      </c>
      <c r="AE162" s="1">
        <v>92.0</v>
      </c>
      <c r="AF162" s="1">
        <v>100.0</v>
      </c>
      <c r="AG162" s="1">
        <v>5.0</v>
      </c>
      <c r="AH162" s="1">
        <v>675.0</v>
      </c>
      <c r="AI162" s="1">
        <v>23.0</v>
      </c>
      <c r="AJ162" s="1">
        <v>0.0</v>
      </c>
      <c r="AK162" s="1">
        <v>0.0</v>
      </c>
      <c r="AL162" s="1">
        <v>19.0</v>
      </c>
      <c r="AM162" s="1">
        <v>5.0</v>
      </c>
      <c r="AN162" s="1">
        <v>5.0</v>
      </c>
    </row>
    <row r="163">
      <c r="A163" s="1">
        <v>273.0</v>
      </c>
      <c r="B163" s="1" t="s">
        <v>1739</v>
      </c>
      <c r="C163" s="1" t="s">
        <v>1740</v>
      </c>
      <c r="D163" s="1" t="s">
        <v>944</v>
      </c>
      <c r="E163" s="1" t="s">
        <v>43</v>
      </c>
      <c r="F163" s="2">
        <v>25944.0</v>
      </c>
      <c r="G163" s="1" t="s">
        <v>231</v>
      </c>
      <c r="H163" s="1">
        <v>41.0</v>
      </c>
      <c r="I163" s="1" t="s">
        <v>1741</v>
      </c>
      <c r="J163" s="1">
        <v>1.0</v>
      </c>
      <c r="K163" s="2">
        <v>42907.0</v>
      </c>
      <c r="M163" s="1">
        <v>0.0</v>
      </c>
      <c r="N163" s="1" t="s">
        <v>280</v>
      </c>
      <c r="O163" s="1" t="s">
        <v>281</v>
      </c>
      <c r="P163" s="1" t="s">
        <v>1742</v>
      </c>
      <c r="S163" s="1" t="s">
        <v>1743</v>
      </c>
      <c r="T163" s="1">
        <v>180.0</v>
      </c>
      <c r="U163" s="3" t="s">
        <v>1744</v>
      </c>
      <c r="V163" s="1">
        <v>719938.0</v>
      </c>
      <c r="W163" s="1" t="s">
        <v>1745</v>
      </c>
      <c r="X163" s="3" t="s">
        <v>1746</v>
      </c>
      <c r="Y163" s="3" t="s">
        <v>1747</v>
      </c>
      <c r="Z163" s="1">
        <v>2.0</v>
      </c>
      <c r="AA163" s="1" t="s">
        <v>1748</v>
      </c>
      <c r="AB163" s="1">
        <v>22.0</v>
      </c>
      <c r="AC163" s="1">
        <v>10.0</v>
      </c>
      <c r="AD163" s="1">
        <v>1.0</v>
      </c>
      <c r="AE163" s="1">
        <v>199.0</v>
      </c>
      <c r="AF163" s="1">
        <v>90.0</v>
      </c>
      <c r="AG163" s="1">
        <v>35.0</v>
      </c>
      <c r="AH163" s="1">
        <v>214.0</v>
      </c>
      <c r="AI163" s="1">
        <v>22.0</v>
      </c>
      <c r="AJ163" s="1">
        <v>0.0</v>
      </c>
      <c r="AK163" s="1">
        <v>1.0</v>
      </c>
      <c r="AL163" s="1">
        <v>7.0</v>
      </c>
      <c r="AM163" s="1">
        <v>0.0</v>
      </c>
      <c r="AN163" s="1">
        <v>2.0</v>
      </c>
    </row>
    <row r="164">
      <c r="A164" s="1">
        <v>228.0</v>
      </c>
      <c r="B164" s="1" t="s">
        <v>1749</v>
      </c>
      <c r="C164" s="1" t="s">
        <v>1750</v>
      </c>
      <c r="D164" s="1" t="s">
        <v>905</v>
      </c>
      <c r="E164" s="1" t="s">
        <v>43</v>
      </c>
      <c r="F164" s="2">
        <v>24531.0</v>
      </c>
      <c r="G164" s="1" t="s">
        <v>620</v>
      </c>
      <c r="H164" s="1">
        <v>30.0</v>
      </c>
      <c r="I164" s="1" t="s">
        <v>1751</v>
      </c>
      <c r="J164" s="1">
        <v>5.0</v>
      </c>
      <c r="K164" s="2">
        <v>42907.0</v>
      </c>
      <c r="M164" s="1">
        <v>0.0</v>
      </c>
      <c r="N164" s="1" t="s">
        <v>75</v>
      </c>
      <c r="O164" s="1" t="s">
        <v>76</v>
      </c>
      <c r="P164" s="3" t="s">
        <v>1752</v>
      </c>
      <c r="S164" s="1" t="s">
        <v>118</v>
      </c>
      <c r="T164" s="1">
        <v>243.0</v>
      </c>
      <c r="U164" s="3" t="s">
        <v>1753</v>
      </c>
      <c r="V164" s="1">
        <v>719480.0</v>
      </c>
      <c r="W164" s="1" t="s">
        <v>1754</v>
      </c>
      <c r="X164" s="3" t="s">
        <v>1755</v>
      </c>
      <c r="Y164" s="3" t="s">
        <v>1756</v>
      </c>
      <c r="Z164" s="1">
        <v>1.0</v>
      </c>
      <c r="AA164" s="1" t="s">
        <v>1757</v>
      </c>
      <c r="AB164" s="1">
        <v>22.0</v>
      </c>
      <c r="AC164" s="1">
        <v>61.0</v>
      </c>
      <c r="AD164" s="1">
        <v>9.0</v>
      </c>
      <c r="AE164" s="1">
        <v>16.0</v>
      </c>
      <c r="AF164" s="1">
        <v>8.0</v>
      </c>
      <c r="AG164" s="1">
        <v>20.0</v>
      </c>
      <c r="AH164" s="1">
        <v>182.0</v>
      </c>
      <c r="AI164" s="1">
        <v>106.0</v>
      </c>
      <c r="AJ164" s="1">
        <v>1.0</v>
      </c>
      <c r="AK164" s="1">
        <v>0.0</v>
      </c>
      <c r="AL164" s="1">
        <v>5.0</v>
      </c>
      <c r="AM164" s="1">
        <v>22.0</v>
      </c>
      <c r="AN164" s="1">
        <v>2.0</v>
      </c>
    </row>
    <row r="165">
      <c r="A165" s="1">
        <v>355.0</v>
      </c>
      <c r="B165" s="1" t="s">
        <v>1758</v>
      </c>
      <c r="C165" s="1" t="s">
        <v>1759</v>
      </c>
      <c r="D165" s="1" t="s">
        <v>1760</v>
      </c>
      <c r="E165" s="1" t="s">
        <v>43</v>
      </c>
      <c r="F165" s="2">
        <v>16508.0</v>
      </c>
      <c r="G165" s="1" t="s">
        <v>1761</v>
      </c>
      <c r="H165" s="1">
        <v>75.0</v>
      </c>
      <c r="I165" s="1" t="s">
        <v>232</v>
      </c>
      <c r="J165" s="1">
        <v>14.0</v>
      </c>
      <c r="K165" s="2">
        <v>42907.0</v>
      </c>
      <c r="M165" s="1">
        <v>0.0</v>
      </c>
      <c r="N165" s="1" t="s">
        <v>61</v>
      </c>
      <c r="O165" s="1" t="s">
        <v>62</v>
      </c>
      <c r="P165" s="1" t="s">
        <v>1762</v>
      </c>
      <c r="S165" s="1" t="s">
        <v>1763</v>
      </c>
      <c r="T165" s="1">
        <v>93.0</v>
      </c>
      <c r="U165" s="3" t="s">
        <v>1764</v>
      </c>
      <c r="V165" s="1">
        <v>1498.0</v>
      </c>
      <c r="W165" s="1" t="s">
        <v>1765</v>
      </c>
      <c r="X165" s="3" t="s">
        <v>1766</v>
      </c>
      <c r="Y165" s="3" t="s">
        <v>1767</v>
      </c>
      <c r="Z165" s="1">
        <v>2.0</v>
      </c>
      <c r="AA165" s="1" t="s">
        <v>1768</v>
      </c>
      <c r="AB165" s="1">
        <v>22.0</v>
      </c>
      <c r="AC165" s="1">
        <v>27.0</v>
      </c>
      <c r="AD165" s="1">
        <v>23.0</v>
      </c>
      <c r="AE165" s="1">
        <v>19.0</v>
      </c>
      <c r="AF165" s="1">
        <v>196.0</v>
      </c>
      <c r="AG165" s="1">
        <v>4.0</v>
      </c>
      <c r="AH165" s="1">
        <v>300.0</v>
      </c>
      <c r="AI165" s="1">
        <v>15.0</v>
      </c>
      <c r="AJ165" s="1">
        <v>1.0</v>
      </c>
      <c r="AK165" s="1">
        <v>0.0</v>
      </c>
      <c r="AL165" s="1">
        <v>36.0</v>
      </c>
      <c r="AM165" s="1">
        <v>2.0</v>
      </c>
      <c r="AN165" s="1">
        <v>1.0</v>
      </c>
    </row>
    <row r="166">
      <c r="A166" s="1">
        <v>208.0</v>
      </c>
      <c r="B166" s="1" t="s">
        <v>1769</v>
      </c>
      <c r="C166" s="1" t="s">
        <v>1770</v>
      </c>
      <c r="D166" s="1" t="s">
        <v>1771</v>
      </c>
      <c r="E166" s="1" t="s">
        <v>43</v>
      </c>
      <c r="F166" s="2">
        <v>27201.0</v>
      </c>
      <c r="G166" s="1" t="s">
        <v>1772</v>
      </c>
      <c r="H166" s="1">
        <v>66.0</v>
      </c>
      <c r="I166" s="1" t="s">
        <v>1773</v>
      </c>
      <c r="J166" s="1">
        <v>1.0</v>
      </c>
      <c r="K166" s="2">
        <v>42907.0</v>
      </c>
      <c r="M166" s="1">
        <v>0.0</v>
      </c>
      <c r="N166" s="1" t="s">
        <v>75</v>
      </c>
      <c r="O166" s="1" t="s">
        <v>76</v>
      </c>
      <c r="P166" s="1" t="s">
        <v>1774</v>
      </c>
      <c r="S166" s="1" t="s">
        <v>198</v>
      </c>
      <c r="T166" s="1">
        <v>531.0</v>
      </c>
      <c r="U166" s="3" t="s">
        <v>1775</v>
      </c>
      <c r="V166" s="1">
        <v>720790.0</v>
      </c>
      <c r="W166" s="1" t="s">
        <v>1776</v>
      </c>
      <c r="X166" s="3" t="s">
        <v>1777</v>
      </c>
      <c r="Y166" s="3" t="s">
        <v>1778</v>
      </c>
      <c r="Z166" s="1">
        <v>1.0</v>
      </c>
      <c r="AA166" s="1" t="s">
        <v>1779</v>
      </c>
      <c r="AB166" s="1">
        <v>22.0</v>
      </c>
      <c r="AC166" s="1">
        <v>54.0</v>
      </c>
      <c r="AD166" s="1">
        <v>5.0</v>
      </c>
      <c r="AE166" s="1">
        <v>13.0</v>
      </c>
      <c r="AF166" s="1">
        <v>1.0</v>
      </c>
      <c r="AG166" s="1">
        <v>0.0</v>
      </c>
      <c r="AH166" s="1">
        <v>163.0</v>
      </c>
      <c r="AI166" s="1">
        <v>104.0</v>
      </c>
      <c r="AJ166" s="1">
        <v>1.0</v>
      </c>
      <c r="AK166" s="1">
        <v>0.0</v>
      </c>
      <c r="AL166" s="1">
        <v>5.0</v>
      </c>
      <c r="AM166" s="1">
        <v>38.0</v>
      </c>
      <c r="AN166" s="1">
        <v>1.0</v>
      </c>
    </row>
    <row r="167">
      <c r="A167" s="1">
        <v>356.0</v>
      </c>
      <c r="B167" s="1" t="s">
        <v>1780</v>
      </c>
      <c r="C167" s="1" t="s">
        <v>1781</v>
      </c>
      <c r="D167" s="1" t="s">
        <v>1782</v>
      </c>
      <c r="E167" s="1" t="s">
        <v>43</v>
      </c>
      <c r="F167" s="2">
        <v>19887.0</v>
      </c>
      <c r="G167" s="1" t="s">
        <v>1291</v>
      </c>
      <c r="H167" s="1">
        <v>44.0</v>
      </c>
      <c r="I167" s="1" t="s">
        <v>492</v>
      </c>
      <c r="J167" s="1">
        <v>9.0</v>
      </c>
      <c r="K167" s="2">
        <v>42907.0</v>
      </c>
      <c r="M167" s="1">
        <v>0.0</v>
      </c>
      <c r="N167" s="1" t="s">
        <v>75</v>
      </c>
      <c r="O167" s="1" t="s">
        <v>76</v>
      </c>
      <c r="P167" s="1" t="s">
        <v>1783</v>
      </c>
      <c r="S167" s="1" t="s">
        <v>1784</v>
      </c>
      <c r="T167" s="1">
        <v>566.0</v>
      </c>
      <c r="U167" s="3" t="s">
        <v>1785</v>
      </c>
      <c r="V167" s="1">
        <v>720054.0</v>
      </c>
      <c r="W167" s="1" t="s">
        <v>1786</v>
      </c>
      <c r="X167" s="3" t="s">
        <v>1787</v>
      </c>
      <c r="Y167" s="3" t="s">
        <v>1788</v>
      </c>
      <c r="Z167" s="1">
        <v>1.0</v>
      </c>
      <c r="AA167" s="1" t="s">
        <v>1789</v>
      </c>
      <c r="AB167" s="1">
        <v>22.0</v>
      </c>
      <c r="AC167" s="1">
        <v>36.0</v>
      </c>
      <c r="AD167" s="1">
        <v>23.0</v>
      </c>
      <c r="AE167" s="1">
        <v>17.0</v>
      </c>
      <c r="AF167" s="1">
        <v>2.0</v>
      </c>
      <c r="AG167" s="1">
        <v>2.0</v>
      </c>
      <c r="AH167" s="1">
        <v>96.0</v>
      </c>
      <c r="AI167" s="1">
        <v>43.0</v>
      </c>
      <c r="AJ167" s="1">
        <v>1.0</v>
      </c>
      <c r="AK167" s="1">
        <v>0.0</v>
      </c>
      <c r="AL167" s="1">
        <v>5.0</v>
      </c>
      <c r="AM167" s="1">
        <v>16.0</v>
      </c>
      <c r="AN167" s="1">
        <v>2.0</v>
      </c>
    </row>
    <row r="168">
      <c r="A168" s="1">
        <v>456.0</v>
      </c>
      <c r="B168" s="1" t="s">
        <v>1790</v>
      </c>
      <c r="C168" s="1" t="s">
        <v>1791</v>
      </c>
      <c r="D168" s="1" t="s">
        <v>1792</v>
      </c>
      <c r="E168" s="1" t="s">
        <v>43</v>
      </c>
      <c r="F168" s="2">
        <v>23056.0</v>
      </c>
      <c r="G168" s="1" t="s">
        <v>1793</v>
      </c>
      <c r="H168" s="1">
        <v>67.0</v>
      </c>
      <c r="I168" s="1" t="s">
        <v>244</v>
      </c>
      <c r="J168" s="1">
        <v>5.0</v>
      </c>
      <c r="K168" s="2">
        <v>42907.0</v>
      </c>
      <c r="M168" s="1">
        <v>0.0</v>
      </c>
      <c r="N168" s="1" t="s">
        <v>46</v>
      </c>
      <c r="O168" s="1" t="s">
        <v>47</v>
      </c>
      <c r="P168" s="1" t="s">
        <v>1794</v>
      </c>
      <c r="S168" s="1" t="s">
        <v>1067</v>
      </c>
      <c r="T168" s="1">
        <v>143.0</v>
      </c>
      <c r="U168" s="3" t="s">
        <v>1795</v>
      </c>
      <c r="V168" s="1">
        <v>267355.0</v>
      </c>
      <c r="W168" s="1" t="s">
        <v>1796</v>
      </c>
      <c r="X168" s="3" t="s">
        <v>1797</v>
      </c>
      <c r="Y168" s="3" t="s">
        <v>1798</v>
      </c>
      <c r="Z168" s="1">
        <v>1.0</v>
      </c>
      <c r="AA168" s="1" t="s">
        <v>1799</v>
      </c>
      <c r="AB168" s="1">
        <v>22.0</v>
      </c>
      <c r="AC168" s="1">
        <v>38.0</v>
      </c>
      <c r="AD168" s="1">
        <v>17.0</v>
      </c>
      <c r="AE168" s="1">
        <v>3.0</v>
      </c>
      <c r="AF168" s="1">
        <v>0.0</v>
      </c>
      <c r="AG168" s="1">
        <v>3.0</v>
      </c>
      <c r="AH168" s="1">
        <v>415.0</v>
      </c>
      <c r="AI168" s="1">
        <v>23.0</v>
      </c>
      <c r="AJ168" s="1">
        <v>0.0</v>
      </c>
      <c r="AK168" s="1">
        <v>2.0</v>
      </c>
      <c r="AL168" s="1">
        <v>23.0</v>
      </c>
      <c r="AM168" s="1">
        <v>9.0</v>
      </c>
      <c r="AN168" s="1">
        <v>1.0</v>
      </c>
    </row>
    <row r="169">
      <c r="A169" s="1">
        <v>317.0</v>
      </c>
      <c r="B169" s="1" t="s">
        <v>1800</v>
      </c>
      <c r="C169" s="1" t="s">
        <v>1801</v>
      </c>
      <c r="D169" s="1" t="s">
        <v>501</v>
      </c>
      <c r="E169" s="1" t="s">
        <v>43</v>
      </c>
      <c r="F169" s="2">
        <v>24897.0</v>
      </c>
      <c r="G169" s="1" t="s">
        <v>1802</v>
      </c>
      <c r="H169" s="1">
        <v>56.0</v>
      </c>
      <c r="I169" s="1" t="s">
        <v>1343</v>
      </c>
      <c r="J169" s="1">
        <v>6.0</v>
      </c>
      <c r="K169" s="2">
        <v>42907.0</v>
      </c>
      <c r="M169" s="1">
        <v>0.0</v>
      </c>
      <c r="N169" s="1" t="s">
        <v>75</v>
      </c>
      <c r="O169" s="1" t="s">
        <v>76</v>
      </c>
      <c r="P169" s="3" t="s">
        <v>1803</v>
      </c>
      <c r="S169" s="1" t="s">
        <v>1804</v>
      </c>
      <c r="T169" s="1">
        <v>404.0</v>
      </c>
      <c r="U169" s="3" t="s">
        <v>1805</v>
      </c>
      <c r="V169" s="1">
        <v>720354.0</v>
      </c>
      <c r="W169" s="1" t="s">
        <v>1806</v>
      </c>
      <c r="X169" s="3" t="s">
        <v>1807</v>
      </c>
      <c r="Y169" s="3" t="s">
        <v>1808</v>
      </c>
      <c r="Z169" s="1">
        <v>2.0</v>
      </c>
      <c r="AA169" s="1" t="s">
        <v>1809</v>
      </c>
      <c r="AB169" s="1">
        <v>22.0</v>
      </c>
      <c r="AC169" s="1">
        <v>38.0</v>
      </c>
      <c r="AD169" s="1">
        <v>26.0</v>
      </c>
      <c r="AE169" s="1">
        <v>2.0</v>
      </c>
      <c r="AF169" s="1">
        <v>34.0</v>
      </c>
      <c r="AG169" s="1">
        <v>0.0</v>
      </c>
      <c r="AH169" s="1">
        <v>12.0</v>
      </c>
      <c r="AI169" s="1">
        <v>3.0</v>
      </c>
      <c r="AJ169" s="1">
        <v>0.0</v>
      </c>
      <c r="AK169" s="1">
        <v>0.0</v>
      </c>
      <c r="AL169" s="1">
        <v>5.0</v>
      </c>
      <c r="AM169" s="1">
        <v>11.0</v>
      </c>
      <c r="AN169" s="1">
        <v>0.0</v>
      </c>
    </row>
    <row r="170">
      <c r="A170" s="1">
        <v>197.0</v>
      </c>
      <c r="B170" s="1" t="s">
        <v>1810</v>
      </c>
      <c r="C170" s="1" t="s">
        <v>1811</v>
      </c>
      <c r="D170" s="1" t="s">
        <v>1490</v>
      </c>
      <c r="E170" s="1" t="s">
        <v>43</v>
      </c>
      <c r="F170" s="2">
        <v>24187.0</v>
      </c>
      <c r="G170" s="1" t="s">
        <v>1812</v>
      </c>
      <c r="H170" s="1">
        <v>36.0</v>
      </c>
      <c r="I170" s="1" t="s">
        <v>1813</v>
      </c>
      <c r="J170" s="1">
        <v>1.0</v>
      </c>
      <c r="K170" s="2">
        <v>42907.0</v>
      </c>
      <c r="M170" s="1">
        <v>0.0</v>
      </c>
      <c r="N170" s="1" t="s">
        <v>75</v>
      </c>
      <c r="O170" s="1" t="s">
        <v>76</v>
      </c>
      <c r="P170" s="1" t="s">
        <v>1814</v>
      </c>
      <c r="S170" s="1" t="s">
        <v>234</v>
      </c>
      <c r="T170" s="1">
        <v>606.0</v>
      </c>
      <c r="U170" s="3" t="s">
        <v>1815</v>
      </c>
      <c r="V170" s="1">
        <v>719778.0</v>
      </c>
      <c r="W170" s="1" t="s">
        <v>1816</v>
      </c>
      <c r="X170" s="3" t="s">
        <v>1817</v>
      </c>
      <c r="Y170" s="3" t="s">
        <v>1818</v>
      </c>
      <c r="Z170" s="1">
        <v>2.0</v>
      </c>
      <c r="AA170" s="1" t="s">
        <v>1819</v>
      </c>
      <c r="AB170" s="1">
        <v>22.0</v>
      </c>
      <c r="AC170" s="1">
        <v>49.0</v>
      </c>
      <c r="AD170" s="1">
        <v>19.0</v>
      </c>
      <c r="AE170" s="1">
        <v>32.0</v>
      </c>
      <c r="AF170" s="1">
        <v>10.0</v>
      </c>
      <c r="AG170" s="1">
        <v>18.0</v>
      </c>
      <c r="AH170" s="1">
        <v>175.0</v>
      </c>
      <c r="AI170" s="1">
        <v>105.0</v>
      </c>
      <c r="AJ170" s="1">
        <v>1.0</v>
      </c>
      <c r="AK170" s="1">
        <v>0.0</v>
      </c>
      <c r="AL170" s="1">
        <v>5.0</v>
      </c>
      <c r="AM170" s="1">
        <v>2.0</v>
      </c>
      <c r="AN170" s="1">
        <v>0.0</v>
      </c>
    </row>
    <row r="171">
      <c r="A171" s="1">
        <v>5.0</v>
      </c>
      <c r="B171" s="1" t="s">
        <v>1820</v>
      </c>
      <c r="C171" s="1" t="s">
        <v>1821</v>
      </c>
      <c r="D171" s="1" t="s">
        <v>1822</v>
      </c>
      <c r="E171" s="1" t="s">
        <v>43</v>
      </c>
      <c r="F171" s="2">
        <v>31836.0</v>
      </c>
      <c r="G171" s="1" t="s">
        <v>718</v>
      </c>
      <c r="H171" s="1">
        <v>28.0</v>
      </c>
      <c r="I171" s="1" t="s">
        <v>45</v>
      </c>
      <c r="J171" s="1">
        <v>1.0</v>
      </c>
      <c r="K171" s="2">
        <v>42907.0</v>
      </c>
      <c r="M171" s="1">
        <v>0.0</v>
      </c>
      <c r="N171" s="1" t="s">
        <v>75</v>
      </c>
      <c r="O171" s="1" t="s">
        <v>76</v>
      </c>
      <c r="P171" s="1" t="s">
        <v>1823</v>
      </c>
      <c r="S171" s="1" t="s">
        <v>234</v>
      </c>
      <c r="T171" s="1">
        <v>458.0</v>
      </c>
      <c r="U171" s="3" t="s">
        <v>1824</v>
      </c>
      <c r="V171" s="1">
        <v>719372.0</v>
      </c>
      <c r="W171" s="1" t="s">
        <v>1825</v>
      </c>
      <c r="X171" s="3" t="s">
        <v>1826</v>
      </c>
      <c r="Y171" s="3" t="s">
        <v>1827</v>
      </c>
      <c r="Z171" s="1">
        <v>1.0</v>
      </c>
      <c r="AA171" s="1" t="s">
        <v>1828</v>
      </c>
      <c r="AB171" s="1">
        <v>22.0</v>
      </c>
      <c r="AC171" s="1">
        <v>46.0</v>
      </c>
      <c r="AD171" s="1">
        <v>36.0</v>
      </c>
      <c r="AE171" s="1">
        <v>0.0</v>
      </c>
      <c r="AF171" s="1">
        <v>0.0</v>
      </c>
      <c r="AG171" s="1">
        <v>0.0</v>
      </c>
      <c r="AH171" s="1">
        <v>47.0</v>
      </c>
      <c r="AI171" s="1">
        <v>25.0</v>
      </c>
      <c r="AJ171" s="1">
        <v>1.0</v>
      </c>
      <c r="AK171" s="1">
        <v>0.0</v>
      </c>
      <c r="AL171" s="1">
        <v>5.0</v>
      </c>
      <c r="AM171" s="1">
        <v>9.0</v>
      </c>
      <c r="AN171" s="1">
        <v>0.0</v>
      </c>
    </row>
    <row r="172">
      <c r="A172" s="1">
        <v>136.0</v>
      </c>
      <c r="B172" s="1" t="s">
        <v>1829</v>
      </c>
      <c r="C172" s="1" t="s">
        <v>1830</v>
      </c>
      <c r="D172" s="1" t="s">
        <v>1831</v>
      </c>
      <c r="E172" s="1" t="s">
        <v>58</v>
      </c>
      <c r="F172" s="2">
        <v>22700.0</v>
      </c>
      <c r="G172" s="1" t="s">
        <v>1832</v>
      </c>
      <c r="H172" s="1">
        <v>21.0</v>
      </c>
      <c r="I172" s="1" t="s">
        <v>1220</v>
      </c>
      <c r="J172" s="1">
        <v>3.0</v>
      </c>
      <c r="K172" s="2">
        <v>42907.0</v>
      </c>
      <c r="M172" s="1">
        <v>0.0</v>
      </c>
      <c r="N172" s="1" t="s">
        <v>75</v>
      </c>
      <c r="O172" s="1" t="s">
        <v>76</v>
      </c>
      <c r="P172" s="1" t="s">
        <v>1833</v>
      </c>
      <c r="S172" s="1" t="s">
        <v>1834</v>
      </c>
      <c r="T172" s="1">
        <v>294.0</v>
      </c>
      <c r="U172" s="3" t="s">
        <v>1835</v>
      </c>
      <c r="V172" s="1">
        <v>719186.0</v>
      </c>
      <c r="W172" s="1" t="s">
        <v>1836</v>
      </c>
      <c r="X172" s="3" t="s">
        <v>1837</v>
      </c>
      <c r="Y172" s="3" t="s">
        <v>1838</v>
      </c>
      <c r="Z172" s="1">
        <v>1.0</v>
      </c>
      <c r="AA172" s="1" t="s">
        <v>1839</v>
      </c>
      <c r="AB172" s="1">
        <v>22.0</v>
      </c>
      <c r="AC172" s="1">
        <v>42.0</v>
      </c>
      <c r="AD172" s="1">
        <v>5.0</v>
      </c>
      <c r="AE172" s="1">
        <v>4.0</v>
      </c>
      <c r="AF172" s="1">
        <v>1.0</v>
      </c>
      <c r="AG172" s="1">
        <v>0.0</v>
      </c>
      <c r="AH172" s="1">
        <v>63.0</v>
      </c>
      <c r="AI172" s="1">
        <v>25.0</v>
      </c>
      <c r="AJ172" s="1">
        <v>0.0</v>
      </c>
      <c r="AK172" s="1">
        <v>0.0</v>
      </c>
      <c r="AL172" s="1">
        <v>5.0</v>
      </c>
      <c r="AM172" s="1">
        <v>2.0</v>
      </c>
      <c r="AN172" s="1">
        <v>2.0</v>
      </c>
    </row>
    <row r="173">
      <c r="A173" s="1">
        <v>363.0</v>
      </c>
      <c r="B173" s="1" t="s">
        <v>1840</v>
      </c>
      <c r="C173" s="1" t="s">
        <v>1841</v>
      </c>
      <c r="D173" s="1" t="s">
        <v>1822</v>
      </c>
      <c r="E173" s="1" t="s">
        <v>43</v>
      </c>
      <c r="F173" s="2">
        <v>28149.0</v>
      </c>
      <c r="G173" s="1" t="s">
        <v>1842</v>
      </c>
      <c r="H173" s="1">
        <v>89.0</v>
      </c>
      <c r="I173" s="1" t="s">
        <v>877</v>
      </c>
      <c r="J173" s="1">
        <v>1.0</v>
      </c>
      <c r="K173" s="2">
        <v>42907.0</v>
      </c>
      <c r="M173" s="1">
        <v>0.0</v>
      </c>
      <c r="N173" s="1" t="s">
        <v>61</v>
      </c>
      <c r="O173" s="1" t="s">
        <v>62</v>
      </c>
      <c r="P173" s="1" t="s">
        <v>1843</v>
      </c>
      <c r="S173" s="1" t="s">
        <v>1844</v>
      </c>
      <c r="T173" s="1">
        <v>45.0</v>
      </c>
      <c r="U173" s="3" t="s">
        <v>1845</v>
      </c>
      <c r="V173" s="1">
        <v>267785.0</v>
      </c>
      <c r="W173" s="1" t="s">
        <v>1846</v>
      </c>
      <c r="X173" s="3" t="s">
        <v>1847</v>
      </c>
      <c r="Y173" s="3" t="s">
        <v>1848</v>
      </c>
      <c r="Z173" s="1">
        <v>1.0</v>
      </c>
      <c r="AA173" s="1" t="s">
        <v>1849</v>
      </c>
      <c r="AB173" s="1">
        <v>22.0</v>
      </c>
      <c r="AC173" s="1">
        <v>37.0</v>
      </c>
      <c r="AD173" s="1">
        <v>56.0</v>
      </c>
      <c r="AE173" s="1">
        <v>152.0</v>
      </c>
      <c r="AF173" s="1">
        <v>55.0</v>
      </c>
      <c r="AG173" s="1">
        <v>67.0</v>
      </c>
      <c r="AH173" s="1">
        <v>523.0</v>
      </c>
      <c r="AI173" s="1">
        <v>21.0</v>
      </c>
      <c r="AJ173" s="1">
        <v>0.0</v>
      </c>
      <c r="AK173" s="1">
        <v>5.0</v>
      </c>
      <c r="AL173" s="1">
        <v>20.0</v>
      </c>
      <c r="AM173" s="1">
        <v>25.0</v>
      </c>
      <c r="AN173" s="1">
        <v>2.0</v>
      </c>
    </row>
    <row r="174">
      <c r="A174" s="1">
        <v>56.0</v>
      </c>
      <c r="B174" s="1" t="s">
        <v>1850</v>
      </c>
      <c r="C174" s="1" t="s">
        <v>1851</v>
      </c>
      <c r="D174" s="1" t="s">
        <v>42</v>
      </c>
      <c r="E174" s="1" t="s">
        <v>43</v>
      </c>
      <c r="F174" s="2">
        <v>27505.0</v>
      </c>
      <c r="G174" s="1" t="s">
        <v>1852</v>
      </c>
      <c r="H174" s="1">
        <v>85.0</v>
      </c>
      <c r="I174" s="1" t="s">
        <v>1853</v>
      </c>
      <c r="J174" s="1">
        <v>1.0</v>
      </c>
      <c r="K174" s="2">
        <v>42907.0</v>
      </c>
      <c r="M174" s="1">
        <v>0.0</v>
      </c>
      <c r="N174" s="1" t="s">
        <v>280</v>
      </c>
      <c r="O174" s="1" t="s">
        <v>281</v>
      </c>
      <c r="P174" s="3" t="s">
        <v>1854</v>
      </c>
      <c r="S174" s="1" t="s">
        <v>234</v>
      </c>
      <c r="T174" s="1">
        <v>253.0</v>
      </c>
      <c r="U174" s="3" t="s">
        <v>1855</v>
      </c>
      <c r="V174" s="1">
        <v>721984.0</v>
      </c>
      <c r="W174" s="1" t="s">
        <v>1856</v>
      </c>
      <c r="X174" s="3" t="s">
        <v>1857</v>
      </c>
      <c r="Y174" s="3" t="s">
        <v>1858</v>
      </c>
      <c r="Z174" s="1">
        <v>1.0</v>
      </c>
      <c r="AA174" s="1" t="s">
        <v>1859</v>
      </c>
      <c r="AB174" s="1">
        <v>22.0</v>
      </c>
      <c r="AC174" s="1">
        <v>40.0</v>
      </c>
      <c r="AD174" s="1">
        <v>48.0</v>
      </c>
      <c r="AE174" s="1">
        <v>47.0</v>
      </c>
      <c r="AF174" s="1">
        <v>6.0</v>
      </c>
      <c r="AG174" s="1">
        <v>20.0</v>
      </c>
      <c r="AH174" s="1">
        <v>261.0</v>
      </c>
      <c r="AI174" s="1">
        <v>25.0</v>
      </c>
      <c r="AJ174" s="1">
        <v>0.0</v>
      </c>
      <c r="AK174" s="1">
        <v>1.0</v>
      </c>
      <c r="AL174" s="1">
        <v>5.0</v>
      </c>
      <c r="AM174" s="1">
        <v>6.0</v>
      </c>
      <c r="AN174" s="1">
        <v>0.0</v>
      </c>
    </row>
    <row r="175">
      <c r="A175" s="1">
        <v>141.0</v>
      </c>
      <c r="B175" s="1" t="s">
        <v>1860</v>
      </c>
      <c r="C175" s="1" t="s">
        <v>1861</v>
      </c>
      <c r="D175" s="1" t="s">
        <v>810</v>
      </c>
      <c r="E175" s="1" t="s">
        <v>43</v>
      </c>
      <c r="F175" s="2">
        <v>20899.0</v>
      </c>
      <c r="G175" s="1" t="s">
        <v>1862</v>
      </c>
      <c r="H175" s="1">
        <v>47.0</v>
      </c>
      <c r="I175" s="1" t="s">
        <v>907</v>
      </c>
      <c r="J175" s="1">
        <v>1.0</v>
      </c>
      <c r="K175" s="2">
        <v>42907.0</v>
      </c>
      <c r="M175" s="1">
        <v>0.0</v>
      </c>
      <c r="N175" s="1" t="s">
        <v>75</v>
      </c>
      <c r="O175" s="1" t="s">
        <v>76</v>
      </c>
      <c r="P175" s="3" t="s">
        <v>1863</v>
      </c>
      <c r="S175" s="1" t="s">
        <v>151</v>
      </c>
      <c r="T175" s="1">
        <v>400.0</v>
      </c>
      <c r="U175" s="3" t="s">
        <v>1864</v>
      </c>
      <c r="V175" s="1">
        <v>720022.0</v>
      </c>
      <c r="W175" s="1" t="s">
        <v>1865</v>
      </c>
      <c r="X175" s="3" t="s">
        <v>1866</v>
      </c>
      <c r="Y175" s="3" t="s">
        <v>1867</v>
      </c>
      <c r="Z175" s="1">
        <v>2.0</v>
      </c>
      <c r="AA175" s="1" t="s">
        <v>1868</v>
      </c>
      <c r="AB175" s="1">
        <v>22.0</v>
      </c>
      <c r="AC175" s="1">
        <v>65.0</v>
      </c>
      <c r="AD175" s="1">
        <v>25.0</v>
      </c>
      <c r="AE175" s="1">
        <v>6.0</v>
      </c>
      <c r="AF175" s="1">
        <v>0.0</v>
      </c>
      <c r="AG175" s="1">
        <v>0.0</v>
      </c>
      <c r="AH175" s="1">
        <v>152.0</v>
      </c>
      <c r="AI175" s="1">
        <v>104.0</v>
      </c>
      <c r="AJ175" s="1">
        <v>1.0</v>
      </c>
      <c r="AK175" s="1">
        <v>0.0</v>
      </c>
      <c r="AL175" s="1">
        <v>6.0</v>
      </c>
      <c r="AM175" s="1">
        <v>6.0</v>
      </c>
      <c r="AN175" s="1">
        <v>1.0</v>
      </c>
    </row>
    <row r="176">
      <c r="A176" s="1">
        <v>341.0</v>
      </c>
      <c r="B176" s="1" t="s">
        <v>1869</v>
      </c>
      <c r="C176" s="1" t="s">
        <v>1870</v>
      </c>
      <c r="D176" s="1" t="s">
        <v>1871</v>
      </c>
      <c r="E176" s="1" t="s">
        <v>58</v>
      </c>
      <c r="F176" s="2">
        <v>29180.0</v>
      </c>
      <c r="G176" s="1" t="s">
        <v>1872</v>
      </c>
      <c r="H176" s="1">
        <v>26.0</v>
      </c>
      <c r="I176" s="1" t="s">
        <v>1873</v>
      </c>
      <c r="J176" s="1">
        <v>3.0</v>
      </c>
      <c r="K176" s="2">
        <v>42907.0</v>
      </c>
      <c r="M176" s="1">
        <v>0.0</v>
      </c>
      <c r="N176" s="1" t="s">
        <v>75</v>
      </c>
      <c r="O176" s="1" t="s">
        <v>76</v>
      </c>
      <c r="P176" s="1" t="s">
        <v>1874</v>
      </c>
      <c r="S176" s="1" t="s">
        <v>827</v>
      </c>
      <c r="T176" s="1">
        <v>473.0</v>
      </c>
      <c r="U176" s="3" t="s">
        <v>1875</v>
      </c>
      <c r="V176" s="1">
        <v>719310.0</v>
      </c>
      <c r="W176" s="1" t="s">
        <v>1876</v>
      </c>
      <c r="X176" s="3" t="s">
        <v>1877</v>
      </c>
      <c r="Y176" s="3" t="s">
        <v>1878</v>
      </c>
      <c r="Z176" s="1">
        <v>1.0</v>
      </c>
      <c r="AA176" s="1" t="s">
        <v>1879</v>
      </c>
      <c r="AB176" s="1">
        <v>22.0</v>
      </c>
      <c r="AC176" s="1">
        <v>40.0</v>
      </c>
      <c r="AD176" s="1">
        <v>51.0</v>
      </c>
      <c r="AE176" s="1">
        <v>28.0</v>
      </c>
      <c r="AF176" s="1">
        <v>2.0</v>
      </c>
      <c r="AG176" s="1">
        <v>73.0</v>
      </c>
      <c r="AH176" s="1">
        <v>173.0</v>
      </c>
      <c r="AI176" s="1">
        <v>140.0</v>
      </c>
      <c r="AJ176" s="1">
        <v>2.0</v>
      </c>
      <c r="AK176" s="1">
        <v>0.0</v>
      </c>
      <c r="AL176" s="1">
        <v>5.0</v>
      </c>
      <c r="AM176" s="1">
        <v>0.0</v>
      </c>
      <c r="AN176" s="1">
        <v>1.0</v>
      </c>
    </row>
    <row r="177">
      <c r="A177" s="1">
        <v>252.0</v>
      </c>
      <c r="B177" s="1" t="s">
        <v>1880</v>
      </c>
      <c r="C177" s="1" t="s">
        <v>1881</v>
      </c>
      <c r="D177" s="1" t="s">
        <v>944</v>
      </c>
      <c r="E177" s="1" t="s">
        <v>43</v>
      </c>
      <c r="F177" s="2">
        <v>20787.0</v>
      </c>
      <c r="G177" s="1" t="s">
        <v>1882</v>
      </c>
      <c r="H177" s="1">
        <v>22.0</v>
      </c>
      <c r="I177" s="1" t="s">
        <v>1883</v>
      </c>
      <c r="J177" s="1">
        <v>3.0</v>
      </c>
      <c r="K177" s="2">
        <v>42907.0</v>
      </c>
      <c r="M177" s="1">
        <v>0.0</v>
      </c>
      <c r="N177" s="1" t="s">
        <v>61</v>
      </c>
      <c r="O177" s="1" t="s">
        <v>62</v>
      </c>
      <c r="P177" s="1" t="s">
        <v>1884</v>
      </c>
      <c r="S177" s="1" t="s">
        <v>1885</v>
      </c>
      <c r="T177" s="1">
        <v>96.0</v>
      </c>
      <c r="U177" s="3" t="s">
        <v>1886</v>
      </c>
      <c r="V177" s="1">
        <v>1874.0</v>
      </c>
      <c r="W177" s="1" t="s">
        <v>1887</v>
      </c>
      <c r="X177" s="3" t="s">
        <v>1888</v>
      </c>
      <c r="Y177" s="3" t="s">
        <v>1889</v>
      </c>
      <c r="Z177" s="1">
        <v>1.0</v>
      </c>
      <c r="AA177" s="1" t="s">
        <v>1890</v>
      </c>
      <c r="AB177" s="1">
        <v>22.0</v>
      </c>
      <c r="AC177" s="1">
        <v>39.0</v>
      </c>
      <c r="AD177" s="1">
        <v>89.0</v>
      </c>
      <c r="AE177" s="1">
        <v>638.0</v>
      </c>
      <c r="AF177" s="1">
        <v>2335.0</v>
      </c>
      <c r="AG177" s="1">
        <v>545.0</v>
      </c>
      <c r="AH177" s="1">
        <v>1604.0</v>
      </c>
      <c r="AI177" s="1">
        <v>49.0</v>
      </c>
      <c r="AJ177" s="1">
        <v>1.0</v>
      </c>
      <c r="AK177" s="1">
        <v>14.0</v>
      </c>
      <c r="AL177" s="1">
        <v>81.0</v>
      </c>
      <c r="AM177" s="1">
        <v>9.0</v>
      </c>
      <c r="AN177" s="1">
        <v>1.0</v>
      </c>
    </row>
    <row r="178">
      <c r="A178" s="1">
        <v>344.0</v>
      </c>
      <c r="B178" s="1" t="s">
        <v>1891</v>
      </c>
      <c r="C178" s="1" t="s">
        <v>1892</v>
      </c>
      <c r="D178" s="1" t="s">
        <v>567</v>
      </c>
      <c r="E178" s="1" t="s">
        <v>43</v>
      </c>
      <c r="F178" s="2">
        <v>21318.0</v>
      </c>
      <c r="G178" s="1" t="s">
        <v>1893</v>
      </c>
      <c r="H178" s="1">
        <v>75.0</v>
      </c>
      <c r="I178" s="1" t="s">
        <v>232</v>
      </c>
      <c r="J178" s="1">
        <v>2.0</v>
      </c>
      <c r="K178" s="2">
        <v>42907.0</v>
      </c>
      <c r="M178" s="1">
        <v>0.0</v>
      </c>
      <c r="N178" s="1" t="s">
        <v>75</v>
      </c>
      <c r="O178" s="1" t="s">
        <v>76</v>
      </c>
      <c r="P178" s="1" t="s">
        <v>1894</v>
      </c>
      <c r="S178" s="1" t="s">
        <v>198</v>
      </c>
      <c r="T178" s="1">
        <v>436.0</v>
      </c>
      <c r="U178" s="3" t="s">
        <v>1895</v>
      </c>
      <c r="V178" s="1">
        <v>721466.0</v>
      </c>
      <c r="W178" s="1" t="s">
        <v>1896</v>
      </c>
      <c r="X178" s="3" t="s">
        <v>1897</v>
      </c>
      <c r="Y178" s="3" t="s">
        <v>1898</v>
      </c>
      <c r="Z178" s="1">
        <v>1.0</v>
      </c>
      <c r="AA178" s="1" t="s">
        <v>1899</v>
      </c>
      <c r="AB178" s="1">
        <v>22.0</v>
      </c>
      <c r="AC178" s="1">
        <v>48.0</v>
      </c>
      <c r="AD178" s="1">
        <v>9.0</v>
      </c>
      <c r="AE178" s="1">
        <v>38.0</v>
      </c>
      <c r="AF178" s="1">
        <v>17.0</v>
      </c>
      <c r="AG178" s="1">
        <v>0.0</v>
      </c>
      <c r="AH178" s="1">
        <v>149.0</v>
      </c>
      <c r="AI178" s="1">
        <v>103.0</v>
      </c>
      <c r="AJ178" s="1">
        <v>1.0</v>
      </c>
      <c r="AK178" s="1">
        <v>0.0</v>
      </c>
      <c r="AL178" s="1">
        <v>5.0</v>
      </c>
      <c r="AM178" s="1">
        <v>0.0</v>
      </c>
      <c r="AN178" s="1">
        <v>0.0</v>
      </c>
    </row>
    <row r="179">
      <c r="A179" s="1">
        <v>485.0</v>
      </c>
      <c r="B179" s="1" t="s">
        <v>1900</v>
      </c>
      <c r="C179" s="1" t="s">
        <v>1901</v>
      </c>
      <c r="D179" s="1" t="s">
        <v>1902</v>
      </c>
      <c r="E179" s="1" t="s">
        <v>58</v>
      </c>
      <c r="F179" s="2">
        <v>21821.0</v>
      </c>
      <c r="G179" s="1" t="s">
        <v>1903</v>
      </c>
      <c r="H179" s="1">
        <v>56.0</v>
      </c>
      <c r="I179" s="1" t="s">
        <v>1343</v>
      </c>
      <c r="J179" s="1">
        <v>3.0</v>
      </c>
      <c r="K179" s="2">
        <v>42907.0</v>
      </c>
      <c r="M179" s="1">
        <v>0.0</v>
      </c>
      <c r="N179" s="1" t="s">
        <v>75</v>
      </c>
      <c r="O179" s="1" t="s">
        <v>76</v>
      </c>
      <c r="P179" s="1" t="s">
        <v>1904</v>
      </c>
      <c r="S179" s="1" t="s">
        <v>1905</v>
      </c>
      <c r="T179" s="1">
        <v>220.0</v>
      </c>
      <c r="U179" s="3" t="s">
        <v>1906</v>
      </c>
      <c r="V179" s="1">
        <v>720342.0</v>
      </c>
      <c r="W179" s="1" t="s">
        <v>1907</v>
      </c>
      <c r="X179" s="3" t="s">
        <v>1908</v>
      </c>
      <c r="Y179" s="3" t="s">
        <v>1909</v>
      </c>
      <c r="Z179" s="1">
        <v>1.0</v>
      </c>
      <c r="AA179" s="1" t="s">
        <v>1910</v>
      </c>
      <c r="AB179" s="1">
        <v>22.0</v>
      </c>
      <c r="AC179" s="1">
        <v>68.0</v>
      </c>
      <c r="AD179" s="1">
        <v>3.0</v>
      </c>
      <c r="AE179" s="1">
        <v>0.0</v>
      </c>
      <c r="AF179" s="1">
        <v>0.0</v>
      </c>
      <c r="AG179" s="1">
        <v>0.0</v>
      </c>
      <c r="AH179" s="1">
        <v>88.0</v>
      </c>
      <c r="AI179" s="1">
        <v>41.0</v>
      </c>
      <c r="AJ179" s="1">
        <v>0.0</v>
      </c>
      <c r="AK179" s="1">
        <v>0.0</v>
      </c>
      <c r="AL179" s="1">
        <v>6.0</v>
      </c>
      <c r="AM179" s="1">
        <v>6.0</v>
      </c>
      <c r="AN179" s="1">
        <v>0.0</v>
      </c>
    </row>
    <row r="180">
      <c r="A180" s="1">
        <v>276.0</v>
      </c>
      <c r="B180" s="1" t="s">
        <v>1911</v>
      </c>
      <c r="C180" s="1" t="s">
        <v>1912</v>
      </c>
      <c r="D180" s="1" t="s">
        <v>1913</v>
      </c>
      <c r="E180" s="1" t="s">
        <v>58</v>
      </c>
      <c r="F180" s="2">
        <v>28323.0</v>
      </c>
      <c r="G180" s="1" t="s">
        <v>1914</v>
      </c>
      <c r="H180" s="1">
        <v>59.0</v>
      </c>
      <c r="I180" s="1" t="s">
        <v>172</v>
      </c>
      <c r="J180" s="1">
        <v>6.0</v>
      </c>
      <c r="K180" s="2">
        <v>42907.0</v>
      </c>
      <c r="M180" s="1">
        <v>0.0</v>
      </c>
      <c r="N180" s="1" t="s">
        <v>75</v>
      </c>
      <c r="O180" s="1" t="s">
        <v>76</v>
      </c>
      <c r="P180" s="1" t="s">
        <v>1915</v>
      </c>
      <c r="S180" s="1" t="s">
        <v>198</v>
      </c>
      <c r="T180" s="1">
        <v>393.0</v>
      </c>
      <c r="U180" s="3" t="s">
        <v>1916</v>
      </c>
      <c r="V180" s="1">
        <v>720480.0</v>
      </c>
      <c r="W180" s="1" t="s">
        <v>1917</v>
      </c>
      <c r="X180" s="3" t="s">
        <v>1918</v>
      </c>
      <c r="Y180" s="3" t="s">
        <v>1919</v>
      </c>
      <c r="Z180" s="1">
        <v>1.0</v>
      </c>
      <c r="AA180" s="1" t="s">
        <v>1920</v>
      </c>
      <c r="AB180" s="1">
        <v>22.0</v>
      </c>
      <c r="AC180" s="1">
        <v>48.0</v>
      </c>
      <c r="AD180" s="1">
        <v>15.0</v>
      </c>
      <c r="AE180" s="1">
        <v>6.0</v>
      </c>
      <c r="AF180" s="1">
        <v>1.0</v>
      </c>
      <c r="AG180" s="1">
        <v>4.0</v>
      </c>
      <c r="AH180" s="1">
        <v>73.0</v>
      </c>
      <c r="AI180" s="1">
        <v>27.0</v>
      </c>
      <c r="AJ180" s="1">
        <v>1.0</v>
      </c>
      <c r="AK180" s="1">
        <v>0.0</v>
      </c>
      <c r="AL180" s="1">
        <v>7.0</v>
      </c>
      <c r="AM180" s="1">
        <v>13.0</v>
      </c>
      <c r="AN180" s="1">
        <v>1.0</v>
      </c>
    </row>
    <row r="181">
      <c r="A181" s="1">
        <v>398.0</v>
      </c>
      <c r="B181" s="1" t="s">
        <v>1921</v>
      </c>
      <c r="C181" s="1" t="s">
        <v>1922</v>
      </c>
      <c r="D181" s="1" t="s">
        <v>1511</v>
      </c>
      <c r="E181" s="1" t="s">
        <v>43</v>
      </c>
      <c r="F181" s="2">
        <v>24279.0</v>
      </c>
      <c r="G181" s="1" t="s">
        <v>1923</v>
      </c>
      <c r="H181" s="1">
        <v>59.0</v>
      </c>
      <c r="I181" s="1" t="s">
        <v>172</v>
      </c>
      <c r="J181" s="1">
        <v>10.0</v>
      </c>
      <c r="K181" s="2">
        <v>42907.0</v>
      </c>
      <c r="M181" s="1">
        <v>0.0</v>
      </c>
      <c r="N181" s="1" t="s">
        <v>46</v>
      </c>
      <c r="O181" s="1" t="s">
        <v>47</v>
      </c>
      <c r="P181" s="1" t="s">
        <v>1924</v>
      </c>
      <c r="S181" s="1" t="s">
        <v>1925</v>
      </c>
      <c r="T181" s="1">
        <v>129.0</v>
      </c>
      <c r="U181" s="3" t="s">
        <v>1926</v>
      </c>
      <c r="V181" s="1">
        <v>712014.0</v>
      </c>
      <c r="W181" s="1" t="s">
        <v>1927</v>
      </c>
      <c r="X181" s="3" t="s">
        <v>1928</v>
      </c>
      <c r="Y181" s="3" t="s">
        <v>1929</v>
      </c>
      <c r="Z181" s="1">
        <v>2.0</v>
      </c>
      <c r="AA181" s="1" t="s">
        <v>1930</v>
      </c>
      <c r="AB181" s="1">
        <v>22.0</v>
      </c>
      <c r="AC181" s="1">
        <v>29.0</v>
      </c>
      <c r="AD181" s="1">
        <v>10.0</v>
      </c>
      <c r="AE181" s="1">
        <v>45.0</v>
      </c>
      <c r="AF181" s="1">
        <v>8.0</v>
      </c>
      <c r="AG181" s="1">
        <v>22.0</v>
      </c>
      <c r="AH181" s="1">
        <v>629.0</v>
      </c>
      <c r="AI181" s="1">
        <v>36.0</v>
      </c>
      <c r="AJ181" s="1">
        <v>1.0</v>
      </c>
      <c r="AK181" s="1">
        <v>1.0</v>
      </c>
      <c r="AL181" s="1">
        <v>35.0</v>
      </c>
      <c r="AM181" s="1">
        <v>9.0</v>
      </c>
      <c r="AN181" s="1">
        <v>6.0</v>
      </c>
    </row>
    <row r="182">
      <c r="A182" s="1">
        <v>572.0</v>
      </c>
      <c r="B182" s="1" t="s">
        <v>1931</v>
      </c>
      <c r="C182" s="1" t="s">
        <v>1932</v>
      </c>
      <c r="D182" s="1" t="s">
        <v>1933</v>
      </c>
      <c r="E182" s="1" t="s">
        <v>58</v>
      </c>
      <c r="F182" s="2">
        <v>30576.0</v>
      </c>
      <c r="G182" s="1" t="s">
        <v>1075</v>
      </c>
      <c r="H182" s="1">
        <v>13.0</v>
      </c>
      <c r="I182" s="1" t="s">
        <v>279</v>
      </c>
      <c r="J182" s="1">
        <v>3.0</v>
      </c>
      <c r="K182" s="2">
        <v>42907.0</v>
      </c>
      <c r="M182" s="1">
        <v>0.0</v>
      </c>
      <c r="N182" s="1" t="s">
        <v>75</v>
      </c>
      <c r="O182" s="1" t="s">
        <v>76</v>
      </c>
      <c r="S182" s="1" t="s">
        <v>304</v>
      </c>
      <c r="T182" s="1">
        <v>456.0</v>
      </c>
      <c r="U182" s="3" t="s">
        <v>1934</v>
      </c>
      <c r="V182" s="1">
        <v>718918.0</v>
      </c>
      <c r="W182" s="1" t="s">
        <v>1935</v>
      </c>
      <c r="X182" s="3" t="s">
        <v>1936</v>
      </c>
      <c r="Y182" s="3" t="s">
        <v>1937</v>
      </c>
      <c r="Z182" s="1">
        <v>1.0</v>
      </c>
      <c r="AB182" s="1">
        <v>22.0</v>
      </c>
      <c r="AC182" s="1">
        <v>37.0</v>
      </c>
      <c r="AD182" s="1">
        <v>7.0</v>
      </c>
      <c r="AE182" s="1">
        <v>22.0</v>
      </c>
      <c r="AF182" s="1">
        <v>3.0</v>
      </c>
      <c r="AG182" s="1">
        <v>0.0</v>
      </c>
      <c r="AH182" s="1">
        <v>59.0</v>
      </c>
      <c r="AI182" s="1">
        <v>25.0</v>
      </c>
      <c r="AJ182" s="1">
        <v>0.0</v>
      </c>
      <c r="AK182" s="1">
        <v>0.0</v>
      </c>
      <c r="AL182" s="1">
        <v>5.0</v>
      </c>
      <c r="AM182" s="1">
        <v>0.0</v>
      </c>
      <c r="AN182" s="1">
        <v>1.0</v>
      </c>
    </row>
    <row r="183">
      <c r="A183" s="1">
        <v>259.0</v>
      </c>
      <c r="B183" s="1" t="s">
        <v>1938</v>
      </c>
      <c r="C183" s="1" t="s">
        <v>1939</v>
      </c>
      <c r="D183" s="1" t="s">
        <v>1940</v>
      </c>
      <c r="E183" s="1" t="s">
        <v>58</v>
      </c>
      <c r="F183" s="2">
        <v>31047.0</v>
      </c>
      <c r="G183" s="1" t="s">
        <v>1941</v>
      </c>
      <c r="H183" s="1">
        <v>51.0</v>
      </c>
      <c r="I183" s="1" t="s">
        <v>208</v>
      </c>
      <c r="J183" s="1">
        <v>4.0</v>
      </c>
      <c r="K183" s="2">
        <v>42907.0</v>
      </c>
      <c r="M183" s="1">
        <v>0.0</v>
      </c>
      <c r="N183" s="1" t="s">
        <v>46</v>
      </c>
      <c r="O183" s="1" t="s">
        <v>47</v>
      </c>
      <c r="P183" s="1" t="s">
        <v>1942</v>
      </c>
      <c r="S183" s="1" t="s">
        <v>1943</v>
      </c>
      <c r="T183" s="1">
        <v>156.0</v>
      </c>
      <c r="U183" s="3" t="s">
        <v>1944</v>
      </c>
      <c r="V183" s="1">
        <v>720230.0</v>
      </c>
      <c r="W183" s="1" t="s">
        <v>1945</v>
      </c>
      <c r="X183" s="3" t="s">
        <v>1946</v>
      </c>
      <c r="Y183" s="3" t="s">
        <v>1947</v>
      </c>
      <c r="Z183" s="1">
        <v>2.0</v>
      </c>
      <c r="AA183" s="1" t="s">
        <v>1948</v>
      </c>
      <c r="AB183" s="1">
        <v>22.0</v>
      </c>
      <c r="AC183" s="1">
        <v>45.0</v>
      </c>
      <c r="AD183" s="1">
        <v>41.0</v>
      </c>
      <c r="AE183" s="1">
        <v>87.0</v>
      </c>
      <c r="AF183" s="1">
        <v>24.0</v>
      </c>
      <c r="AG183" s="1">
        <v>146.0</v>
      </c>
      <c r="AH183" s="1">
        <v>662.0</v>
      </c>
      <c r="AI183" s="1">
        <v>33.0</v>
      </c>
      <c r="AJ183" s="1">
        <v>0.0</v>
      </c>
      <c r="AK183" s="1">
        <v>0.0</v>
      </c>
      <c r="AL183" s="1">
        <v>22.0</v>
      </c>
      <c r="AM183" s="1">
        <v>13.0</v>
      </c>
      <c r="AN183" s="1">
        <v>3.0</v>
      </c>
    </row>
    <row r="184">
      <c r="A184" s="1">
        <v>565.0</v>
      </c>
      <c r="B184" s="1" t="s">
        <v>1949</v>
      </c>
      <c r="C184" s="1" t="s">
        <v>1950</v>
      </c>
      <c r="D184" s="1" t="s">
        <v>905</v>
      </c>
      <c r="E184" s="1" t="s">
        <v>43</v>
      </c>
      <c r="F184" s="2">
        <v>25970.0</v>
      </c>
      <c r="G184" s="1" t="s">
        <v>695</v>
      </c>
      <c r="H184" s="1">
        <v>28.0</v>
      </c>
      <c r="I184" s="1" t="s">
        <v>45</v>
      </c>
      <c r="J184" s="1">
        <v>2.0</v>
      </c>
      <c r="K184" s="2">
        <v>42907.0</v>
      </c>
      <c r="M184" s="1">
        <v>0.0</v>
      </c>
      <c r="N184" s="1" t="s">
        <v>61</v>
      </c>
      <c r="O184" s="1" t="s">
        <v>62</v>
      </c>
      <c r="P184" s="1" t="s">
        <v>1951</v>
      </c>
      <c r="S184" s="1" t="s">
        <v>118</v>
      </c>
      <c r="T184" s="1">
        <v>33.0</v>
      </c>
      <c r="U184" s="3" t="s">
        <v>1952</v>
      </c>
      <c r="V184" s="1">
        <v>606098.0</v>
      </c>
      <c r="W184" s="1" t="s">
        <v>1953</v>
      </c>
      <c r="X184" s="3" t="s">
        <v>1954</v>
      </c>
      <c r="Y184" s="3" t="s">
        <v>1955</v>
      </c>
      <c r="Z184" s="1">
        <v>2.0</v>
      </c>
      <c r="AA184" s="1" t="s">
        <v>1956</v>
      </c>
      <c r="AB184" s="1">
        <v>22.0</v>
      </c>
      <c r="AC184" s="1">
        <v>57.0</v>
      </c>
      <c r="AD184" s="1">
        <v>201.0</v>
      </c>
      <c r="AE184" s="1">
        <v>62.0</v>
      </c>
      <c r="AF184" s="1">
        <v>51.0</v>
      </c>
      <c r="AG184" s="1">
        <v>34.0</v>
      </c>
      <c r="AH184" s="1">
        <v>537.0</v>
      </c>
      <c r="AI184" s="1">
        <v>19.0</v>
      </c>
      <c r="AJ184" s="1">
        <v>2.0</v>
      </c>
      <c r="AK184" s="1">
        <v>2.0</v>
      </c>
      <c r="AL184" s="1">
        <v>27.0</v>
      </c>
      <c r="AM184" s="1">
        <v>3.0</v>
      </c>
      <c r="AN184" s="1">
        <v>1.0</v>
      </c>
    </row>
    <row r="185">
      <c r="A185" s="1">
        <v>569.0</v>
      </c>
      <c r="B185" s="1" t="s">
        <v>1957</v>
      </c>
      <c r="C185" s="1" t="s">
        <v>1958</v>
      </c>
      <c r="D185" s="1" t="s">
        <v>1540</v>
      </c>
      <c r="E185" s="1" t="s">
        <v>43</v>
      </c>
      <c r="F185" s="2">
        <v>25287.0</v>
      </c>
      <c r="G185" s="1" t="s">
        <v>1959</v>
      </c>
      <c r="H185" s="1">
        <v>12.0</v>
      </c>
      <c r="I185" s="1" t="s">
        <v>685</v>
      </c>
      <c r="J185" s="1">
        <v>1.0</v>
      </c>
      <c r="K185" s="2">
        <v>42907.0</v>
      </c>
      <c r="M185" s="1">
        <v>0.0</v>
      </c>
      <c r="N185" s="1" t="s">
        <v>75</v>
      </c>
      <c r="O185" s="1" t="s">
        <v>76</v>
      </c>
      <c r="P185" s="1" t="s">
        <v>1960</v>
      </c>
      <c r="S185" s="1" t="s">
        <v>304</v>
      </c>
      <c r="T185" s="1">
        <v>407.0</v>
      </c>
      <c r="U185" s="3" t="s">
        <v>1961</v>
      </c>
      <c r="V185" s="1">
        <v>677483.0</v>
      </c>
      <c r="W185" s="1" t="s">
        <v>1962</v>
      </c>
      <c r="X185" s="3" t="s">
        <v>1963</v>
      </c>
      <c r="Y185" s="3" t="s">
        <v>1964</v>
      </c>
      <c r="Z185" s="1">
        <v>1.0</v>
      </c>
      <c r="AA185" s="1" t="s">
        <v>1965</v>
      </c>
      <c r="AB185" s="1">
        <v>22.0</v>
      </c>
      <c r="AC185" s="1">
        <v>50.0</v>
      </c>
      <c r="AD185" s="1">
        <v>57.0</v>
      </c>
      <c r="AE185" s="1">
        <v>15.0</v>
      </c>
      <c r="AF185" s="1">
        <v>3.0</v>
      </c>
      <c r="AG185" s="1">
        <v>11.0</v>
      </c>
      <c r="AH185" s="1">
        <v>149.0</v>
      </c>
      <c r="AI185" s="1">
        <v>65.0</v>
      </c>
      <c r="AJ185" s="1">
        <v>1.0</v>
      </c>
      <c r="AK185" s="1">
        <v>0.0</v>
      </c>
      <c r="AL185" s="1">
        <v>5.0</v>
      </c>
      <c r="AM185" s="1">
        <v>1.0</v>
      </c>
      <c r="AN185" s="1">
        <v>2.0</v>
      </c>
    </row>
    <row r="186">
      <c r="A186" s="1">
        <v>412.0</v>
      </c>
      <c r="B186" s="1" t="s">
        <v>1966</v>
      </c>
      <c r="C186" s="1" t="s">
        <v>1967</v>
      </c>
      <c r="D186" s="1" t="s">
        <v>1968</v>
      </c>
      <c r="E186" s="1" t="s">
        <v>43</v>
      </c>
      <c r="F186" s="2">
        <v>19121.0</v>
      </c>
      <c r="G186" s="1" t="s">
        <v>1969</v>
      </c>
      <c r="H186" s="1">
        <v>10.0</v>
      </c>
      <c r="I186" s="1" t="s">
        <v>1970</v>
      </c>
      <c r="J186" s="1">
        <v>3.0</v>
      </c>
      <c r="K186" s="2">
        <v>42907.0</v>
      </c>
      <c r="M186" s="1">
        <v>0.0</v>
      </c>
      <c r="N186" s="1" t="s">
        <v>61</v>
      </c>
      <c r="O186" s="1" t="s">
        <v>62</v>
      </c>
      <c r="S186" s="1" t="s">
        <v>1067</v>
      </c>
      <c r="T186" s="1">
        <v>118.0</v>
      </c>
      <c r="U186" s="3" t="s">
        <v>1971</v>
      </c>
      <c r="V186" s="1">
        <v>2155.0</v>
      </c>
      <c r="W186" s="1" t="s">
        <v>1972</v>
      </c>
      <c r="X186" s="3" t="s">
        <v>1973</v>
      </c>
      <c r="Y186" s="3" t="s">
        <v>1974</v>
      </c>
      <c r="Z186" s="1">
        <v>2.0</v>
      </c>
      <c r="AB186" s="1">
        <v>22.0</v>
      </c>
      <c r="AC186" s="1">
        <v>43.0</v>
      </c>
      <c r="AD186" s="1">
        <v>13.0</v>
      </c>
      <c r="AE186" s="1">
        <v>8.0</v>
      </c>
      <c r="AF186" s="1">
        <v>5.0</v>
      </c>
      <c r="AG186" s="1">
        <v>1.0</v>
      </c>
      <c r="AH186" s="1">
        <v>640.0</v>
      </c>
      <c r="AI186" s="1">
        <v>20.0</v>
      </c>
      <c r="AJ186" s="1">
        <v>1.0</v>
      </c>
      <c r="AK186" s="1">
        <v>0.0</v>
      </c>
      <c r="AL186" s="1">
        <v>18.0</v>
      </c>
      <c r="AM186" s="1">
        <v>14.0</v>
      </c>
      <c r="AN186" s="1">
        <v>1.0</v>
      </c>
    </row>
    <row r="187">
      <c r="A187" s="1">
        <v>29.0</v>
      </c>
      <c r="B187" s="1" t="s">
        <v>1975</v>
      </c>
      <c r="C187" s="1" t="s">
        <v>1976</v>
      </c>
      <c r="D187" s="1" t="s">
        <v>846</v>
      </c>
      <c r="E187" s="1" t="s">
        <v>43</v>
      </c>
      <c r="F187" s="2">
        <v>22787.0</v>
      </c>
      <c r="G187" s="1" t="s">
        <v>1977</v>
      </c>
      <c r="H187" s="1">
        <v>56.0</v>
      </c>
      <c r="I187" s="1" t="s">
        <v>1343</v>
      </c>
      <c r="J187" s="1">
        <v>4.0</v>
      </c>
      <c r="K187" s="2">
        <v>42907.0</v>
      </c>
      <c r="M187" s="1">
        <v>0.0</v>
      </c>
      <c r="N187" s="1" t="s">
        <v>75</v>
      </c>
      <c r="O187" s="1" t="s">
        <v>815</v>
      </c>
      <c r="P187" s="1" t="s">
        <v>1978</v>
      </c>
      <c r="S187" s="1" t="s">
        <v>1979</v>
      </c>
      <c r="T187" s="1">
        <v>448.0</v>
      </c>
      <c r="U187" s="3" t="s">
        <v>1980</v>
      </c>
      <c r="V187" s="1">
        <v>607619.0</v>
      </c>
      <c r="W187" s="1" t="s">
        <v>1981</v>
      </c>
      <c r="X187" s="3" t="s">
        <v>1982</v>
      </c>
      <c r="Y187" s="3" t="s">
        <v>1983</v>
      </c>
      <c r="Z187" s="1">
        <v>1.0</v>
      </c>
      <c r="AA187" s="1" t="s">
        <v>1984</v>
      </c>
      <c r="AB187" s="1">
        <v>22.0</v>
      </c>
      <c r="AC187" s="1">
        <v>48.0</v>
      </c>
      <c r="AD187" s="1">
        <v>35.0</v>
      </c>
      <c r="AE187" s="1">
        <v>43.0</v>
      </c>
      <c r="AF187" s="1">
        <v>19.0</v>
      </c>
      <c r="AG187" s="1">
        <v>37.0</v>
      </c>
      <c r="AH187" s="1">
        <v>132.0</v>
      </c>
      <c r="AI187" s="1">
        <v>42.0</v>
      </c>
      <c r="AJ187" s="1">
        <v>1.0</v>
      </c>
      <c r="AK187" s="1">
        <v>0.0</v>
      </c>
      <c r="AL187" s="1">
        <v>7.0</v>
      </c>
      <c r="AM187" s="1">
        <v>29.0</v>
      </c>
      <c r="AN187" s="1">
        <v>1.0</v>
      </c>
    </row>
    <row r="188">
      <c r="A188" s="1">
        <v>400.0</v>
      </c>
      <c r="B188" s="1" t="s">
        <v>1985</v>
      </c>
      <c r="C188" s="1" t="s">
        <v>1986</v>
      </c>
      <c r="D188" s="1" t="s">
        <v>1987</v>
      </c>
      <c r="E188" s="1" t="s">
        <v>43</v>
      </c>
      <c r="F188" s="2">
        <v>28170.0</v>
      </c>
      <c r="G188" s="1" t="s">
        <v>1988</v>
      </c>
      <c r="H188" s="1">
        <v>23.0</v>
      </c>
      <c r="I188" s="1" t="s">
        <v>1989</v>
      </c>
      <c r="J188" s="1">
        <v>1.0</v>
      </c>
      <c r="K188" s="2">
        <v>42907.0</v>
      </c>
      <c r="M188" s="1">
        <v>0.0</v>
      </c>
      <c r="N188" s="1" t="s">
        <v>75</v>
      </c>
      <c r="O188" s="1" t="s">
        <v>76</v>
      </c>
      <c r="P188" s="1" t="s">
        <v>1990</v>
      </c>
      <c r="S188" s="1" t="s">
        <v>1905</v>
      </c>
      <c r="T188" s="1">
        <v>337.0</v>
      </c>
      <c r="U188" s="3" t="s">
        <v>1991</v>
      </c>
      <c r="V188" s="1">
        <v>719242.0</v>
      </c>
      <c r="W188" s="1" t="s">
        <v>1992</v>
      </c>
      <c r="X188" s="3" t="s">
        <v>1993</v>
      </c>
      <c r="Y188" s="3" t="s">
        <v>1994</v>
      </c>
      <c r="Z188" s="1">
        <v>1.0</v>
      </c>
      <c r="AA188" s="1" t="s">
        <v>1995</v>
      </c>
      <c r="AB188" s="1">
        <v>22.0</v>
      </c>
      <c r="AC188" s="1">
        <v>50.0</v>
      </c>
      <c r="AD188" s="1">
        <v>55.0</v>
      </c>
      <c r="AE188" s="1">
        <v>23.0</v>
      </c>
      <c r="AF188" s="1">
        <v>4.0</v>
      </c>
      <c r="AG188" s="1">
        <v>5.0</v>
      </c>
      <c r="AH188" s="1">
        <v>116.0</v>
      </c>
      <c r="AI188" s="1">
        <v>58.0</v>
      </c>
      <c r="AJ188" s="1">
        <v>1.0</v>
      </c>
      <c r="AK188" s="1">
        <v>0.0</v>
      </c>
      <c r="AL188" s="1">
        <v>5.0</v>
      </c>
      <c r="AM188" s="1">
        <v>0.0</v>
      </c>
      <c r="AN188" s="1">
        <v>1.0</v>
      </c>
    </row>
    <row r="189">
      <c r="A189" s="1">
        <v>114.0</v>
      </c>
      <c r="B189" s="1" t="s">
        <v>1996</v>
      </c>
      <c r="C189" s="1" t="s">
        <v>1997</v>
      </c>
      <c r="D189" s="1" t="s">
        <v>522</v>
      </c>
      <c r="E189" s="1" t="s">
        <v>43</v>
      </c>
      <c r="F189" s="2">
        <v>30680.0</v>
      </c>
      <c r="G189" s="1" t="s">
        <v>1998</v>
      </c>
      <c r="H189" s="1">
        <v>88.0</v>
      </c>
      <c r="I189" s="1" t="s">
        <v>1542</v>
      </c>
      <c r="J189" s="1">
        <v>3.0</v>
      </c>
      <c r="K189" s="2">
        <v>42907.0</v>
      </c>
      <c r="M189" s="1">
        <v>0.0</v>
      </c>
      <c r="N189" s="1" t="s">
        <v>46</v>
      </c>
      <c r="O189" s="1" t="s">
        <v>47</v>
      </c>
      <c r="P189" s="1" t="s">
        <v>1999</v>
      </c>
      <c r="S189" s="1" t="s">
        <v>198</v>
      </c>
      <c r="T189" s="1">
        <v>155.0</v>
      </c>
      <c r="U189" s="3" t="s">
        <v>2000</v>
      </c>
      <c r="V189" s="1">
        <v>721486.0</v>
      </c>
      <c r="W189" s="1" t="s">
        <v>2001</v>
      </c>
      <c r="X189" s="3" t="s">
        <v>2002</v>
      </c>
      <c r="Y189" s="3" t="s">
        <v>2003</v>
      </c>
      <c r="Z189" s="1">
        <v>1.0</v>
      </c>
      <c r="AA189" s="1" t="s">
        <v>2004</v>
      </c>
      <c r="AB189" s="1">
        <v>22.0</v>
      </c>
      <c r="AC189" s="1">
        <v>52.0</v>
      </c>
      <c r="AD189" s="1">
        <v>37.0</v>
      </c>
      <c r="AE189" s="1">
        <v>69.0</v>
      </c>
      <c r="AF189" s="1">
        <v>27.0</v>
      </c>
      <c r="AG189" s="1">
        <v>54.0</v>
      </c>
      <c r="AH189" s="1">
        <v>448.0</v>
      </c>
      <c r="AI189" s="1">
        <v>17.0</v>
      </c>
      <c r="AJ189" s="1">
        <v>2.0</v>
      </c>
      <c r="AK189" s="1">
        <v>2.0</v>
      </c>
      <c r="AL189" s="1">
        <v>28.0</v>
      </c>
      <c r="AM189" s="1">
        <v>25.0</v>
      </c>
      <c r="AN189" s="1">
        <v>6.0</v>
      </c>
    </row>
    <row r="190">
      <c r="A190" s="1">
        <v>297.0</v>
      </c>
      <c r="B190" s="1" t="s">
        <v>2005</v>
      </c>
      <c r="C190" s="1" t="s">
        <v>2006</v>
      </c>
      <c r="D190" s="1" t="s">
        <v>2007</v>
      </c>
      <c r="E190" s="1" t="s">
        <v>43</v>
      </c>
      <c r="F190" s="2">
        <v>22781.0</v>
      </c>
      <c r="G190" s="1" t="s">
        <v>207</v>
      </c>
      <c r="H190" s="1">
        <v>56.0</v>
      </c>
      <c r="I190" s="1" t="s">
        <v>1343</v>
      </c>
      <c r="J190" s="1">
        <v>2.0</v>
      </c>
      <c r="K190" s="2">
        <v>42907.0</v>
      </c>
      <c r="M190" s="1">
        <v>0.0</v>
      </c>
      <c r="N190" s="1" t="s">
        <v>280</v>
      </c>
      <c r="O190" s="1" t="s">
        <v>281</v>
      </c>
      <c r="P190" s="1" t="s">
        <v>2008</v>
      </c>
      <c r="S190" s="1" t="s">
        <v>2009</v>
      </c>
      <c r="T190" s="1">
        <v>187.0</v>
      </c>
      <c r="U190" s="3" t="s">
        <v>2010</v>
      </c>
      <c r="V190" s="1">
        <v>720334.0</v>
      </c>
      <c r="W190" s="1" t="s">
        <v>2011</v>
      </c>
      <c r="X190" s="3" t="s">
        <v>2012</v>
      </c>
      <c r="Y190" s="3" t="s">
        <v>2013</v>
      </c>
      <c r="Z190" s="1">
        <v>1.0</v>
      </c>
      <c r="AA190" s="1" t="s">
        <v>2014</v>
      </c>
      <c r="AB190" s="1">
        <v>22.0</v>
      </c>
      <c r="AC190" s="1">
        <v>36.0</v>
      </c>
      <c r="AD190" s="1">
        <v>17.0</v>
      </c>
      <c r="AE190" s="1">
        <v>19.0</v>
      </c>
      <c r="AF190" s="1">
        <v>40.0</v>
      </c>
      <c r="AG190" s="1">
        <v>7.0</v>
      </c>
      <c r="AH190" s="1">
        <v>207.0</v>
      </c>
      <c r="AI190" s="1">
        <v>21.0</v>
      </c>
      <c r="AJ190" s="1">
        <v>1.0</v>
      </c>
      <c r="AK190" s="1">
        <v>0.0</v>
      </c>
      <c r="AL190" s="1">
        <v>6.0</v>
      </c>
      <c r="AM190" s="1">
        <v>4.0</v>
      </c>
      <c r="AN190" s="1">
        <v>2.0</v>
      </c>
    </row>
    <row r="191">
      <c r="A191" s="1">
        <v>246.0</v>
      </c>
      <c r="B191" s="1" t="s">
        <v>2015</v>
      </c>
      <c r="C191" s="1" t="s">
        <v>2016</v>
      </c>
      <c r="D191" s="1" t="s">
        <v>403</v>
      </c>
      <c r="E191" s="1" t="s">
        <v>58</v>
      </c>
      <c r="F191" s="2">
        <v>25188.0</v>
      </c>
      <c r="G191" s="1" t="s">
        <v>347</v>
      </c>
      <c r="H191" s="1">
        <v>33.0</v>
      </c>
      <c r="I191" s="1" t="s">
        <v>348</v>
      </c>
      <c r="J191" s="1">
        <v>8.0</v>
      </c>
      <c r="K191" s="2">
        <v>42907.0</v>
      </c>
      <c r="M191" s="1">
        <v>0.0</v>
      </c>
      <c r="N191" s="1" t="s">
        <v>75</v>
      </c>
      <c r="O191" s="1" t="s">
        <v>76</v>
      </c>
      <c r="P191" s="3" t="s">
        <v>2017</v>
      </c>
      <c r="S191" s="1">
        <v>0.0</v>
      </c>
      <c r="T191" s="1">
        <v>281.0</v>
      </c>
      <c r="U191" s="3" t="s">
        <v>2018</v>
      </c>
      <c r="V191" s="1">
        <v>719632.0</v>
      </c>
      <c r="W191" s="1" t="s">
        <v>2019</v>
      </c>
      <c r="X191" s="3" t="s">
        <v>2020</v>
      </c>
      <c r="Y191" s="3" t="s">
        <v>2021</v>
      </c>
      <c r="Z191" s="1">
        <v>1.0</v>
      </c>
      <c r="AA191" s="1" t="s">
        <v>2022</v>
      </c>
      <c r="AB191" s="1">
        <v>22.0</v>
      </c>
      <c r="AC191" s="1">
        <v>37.0</v>
      </c>
      <c r="AD191" s="1">
        <v>23.0</v>
      </c>
      <c r="AE191" s="1">
        <v>6.0</v>
      </c>
      <c r="AF191" s="1">
        <v>3.0</v>
      </c>
      <c r="AG191" s="1">
        <v>2.0</v>
      </c>
      <c r="AH191" s="1">
        <v>101.0</v>
      </c>
      <c r="AI191" s="1">
        <v>44.0</v>
      </c>
      <c r="AJ191" s="1">
        <v>1.0</v>
      </c>
      <c r="AK191" s="1">
        <v>0.0</v>
      </c>
      <c r="AL191" s="1">
        <v>5.0</v>
      </c>
      <c r="AM191" s="1">
        <v>22.0</v>
      </c>
      <c r="AN191" s="1">
        <v>1.0</v>
      </c>
    </row>
    <row r="192">
      <c r="A192" s="1">
        <v>307.0</v>
      </c>
      <c r="B192" s="1" t="s">
        <v>2023</v>
      </c>
      <c r="C192" s="1" t="s">
        <v>2024</v>
      </c>
      <c r="D192" s="1" t="s">
        <v>137</v>
      </c>
      <c r="E192" s="1" t="s">
        <v>43</v>
      </c>
      <c r="F192" s="2">
        <v>18392.0</v>
      </c>
      <c r="G192" s="1" t="s">
        <v>2025</v>
      </c>
      <c r="H192" s="1">
        <v>62.0</v>
      </c>
      <c r="I192" s="1" t="s">
        <v>427</v>
      </c>
      <c r="J192" s="1">
        <v>5.0</v>
      </c>
      <c r="K192" s="2">
        <v>42907.0</v>
      </c>
      <c r="M192" s="1">
        <v>0.0</v>
      </c>
      <c r="N192" s="1" t="s">
        <v>75</v>
      </c>
      <c r="O192" s="1" t="s">
        <v>76</v>
      </c>
      <c r="P192" s="1" t="s">
        <v>2026</v>
      </c>
      <c r="S192" s="1" t="s">
        <v>151</v>
      </c>
      <c r="T192" s="1">
        <v>234.0</v>
      </c>
      <c r="U192" s="3" t="s">
        <v>2027</v>
      </c>
      <c r="V192" s="1">
        <v>2449.0</v>
      </c>
      <c r="W192" s="1" t="s">
        <v>2028</v>
      </c>
      <c r="X192" s="3" t="s">
        <v>2029</v>
      </c>
      <c r="Y192" s="3" t="s">
        <v>2030</v>
      </c>
      <c r="Z192" s="1">
        <v>2.0</v>
      </c>
      <c r="AA192" s="1" t="s">
        <v>2031</v>
      </c>
      <c r="AB192" s="1">
        <v>22.0</v>
      </c>
      <c r="AC192" s="1">
        <v>55.0</v>
      </c>
      <c r="AD192" s="1">
        <v>2.0</v>
      </c>
      <c r="AE192" s="1">
        <v>0.0</v>
      </c>
      <c r="AF192" s="1">
        <v>0.0</v>
      </c>
      <c r="AG192" s="1">
        <v>0.0</v>
      </c>
      <c r="AH192" s="1">
        <v>65.0</v>
      </c>
      <c r="AI192" s="1">
        <v>26.0</v>
      </c>
      <c r="AJ192" s="1">
        <v>0.0</v>
      </c>
      <c r="AK192" s="1">
        <v>0.0</v>
      </c>
      <c r="AL192" s="1">
        <v>10.0</v>
      </c>
      <c r="AM192" s="1">
        <v>7.0</v>
      </c>
      <c r="AN192" s="1">
        <v>0.0</v>
      </c>
    </row>
    <row r="193">
      <c r="A193" s="1">
        <v>292.0</v>
      </c>
      <c r="B193" s="1" t="s">
        <v>2032</v>
      </c>
      <c r="C193" s="1" t="s">
        <v>2033</v>
      </c>
      <c r="D193" s="1" t="s">
        <v>2034</v>
      </c>
      <c r="E193" s="1" t="s">
        <v>43</v>
      </c>
      <c r="F193" s="2">
        <v>18413.0</v>
      </c>
      <c r="G193" s="1" t="s">
        <v>2035</v>
      </c>
      <c r="H193" s="1">
        <v>61.0</v>
      </c>
      <c r="I193" s="1" t="s">
        <v>1188</v>
      </c>
      <c r="J193" s="1">
        <v>1.0</v>
      </c>
      <c r="K193" s="2">
        <v>42907.0</v>
      </c>
      <c r="M193" s="1">
        <v>0.0</v>
      </c>
      <c r="N193" s="1" t="s">
        <v>115</v>
      </c>
      <c r="O193" s="1" t="s">
        <v>116</v>
      </c>
      <c r="P193" s="1" t="s">
        <v>2036</v>
      </c>
      <c r="S193" s="1" t="s">
        <v>1616</v>
      </c>
      <c r="T193" s="1">
        <v>516.0</v>
      </c>
      <c r="U193" s="3" t="s">
        <v>2037</v>
      </c>
      <c r="V193" s="1">
        <v>608011.0</v>
      </c>
      <c r="W193" s="1" t="s">
        <v>2038</v>
      </c>
      <c r="X193" s="3" t="s">
        <v>2039</v>
      </c>
      <c r="Y193" s="3" t="s">
        <v>2040</v>
      </c>
      <c r="Z193" s="1">
        <v>2.0</v>
      </c>
      <c r="AA193" s="1" t="s">
        <v>2041</v>
      </c>
      <c r="AB193" s="1">
        <v>22.0</v>
      </c>
      <c r="AC193" s="1">
        <v>46.0</v>
      </c>
      <c r="AD193" s="1">
        <v>37.0</v>
      </c>
      <c r="AE193" s="1">
        <v>32.0</v>
      </c>
      <c r="AF193" s="1">
        <v>6.0</v>
      </c>
      <c r="AG193" s="1">
        <v>2.0</v>
      </c>
      <c r="AH193" s="1">
        <v>1049.0</v>
      </c>
      <c r="AI193" s="1">
        <v>72.0</v>
      </c>
      <c r="AJ193" s="1">
        <v>0.0</v>
      </c>
      <c r="AK193" s="1">
        <v>0.0</v>
      </c>
      <c r="AL193" s="1">
        <v>5.0</v>
      </c>
      <c r="AM193" s="1">
        <v>4.0</v>
      </c>
      <c r="AN193" s="1">
        <v>3.0</v>
      </c>
    </row>
    <row r="194">
      <c r="A194" s="1">
        <v>250.0</v>
      </c>
      <c r="B194" s="1" t="s">
        <v>2042</v>
      </c>
      <c r="C194" s="1" t="s">
        <v>2043</v>
      </c>
      <c r="D194" s="1" t="s">
        <v>1490</v>
      </c>
      <c r="E194" s="1" t="s">
        <v>43</v>
      </c>
      <c r="F194" s="2">
        <v>22858.0</v>
      </c>
      <c r="G194" s="1" t="s">
        <v>2044</v>
      </c>
      <c r="H194" s="1">
        <v>95.0</v>
      </c>
      <c r="I194" s="1" t="s">
        <v>302</v>
      </c>
      <c r="J194" s="1">
        <v>8.0</v>
      </c>
      <c r="K194" s="2">
        <v>42907.0</v>
      </c>
      <c r="M194" s="1">
        <v>0.0</v>
      </c>
      <c r="N194" s="1" t="s">
        <v>115</v>
      </c>
      <c r="O194" s="1" t="s">
        <v>116</v>
      </c>
      <c r="P194" s="1" t="s">
        <v>2045</v>
      </c>
      <c r="S194" s="1" t="s">
        <v>2046</v>
      </c>
      <c r="T194" s="1">
        <v>510.0</v>
      </c>
      <c r="U194" s="3" t="s">
        <v>2047</v>
      </c>
      <c r="V194" s="1">
        <v>405480.0</v>
      </c>
      <c r="W194" s="1" t="s">
        <v>2048</v>
      </c>
      <c r="X194" s="3" t="s">
        <v>2049</v>
      </c>
      <c r="Y194" s="3" t="s">
        <v>2050</v>
      </c>
      <c r="Z194" s="1">
        <v>2.0</v>
      </c>
      <c r="AA194" s="1" t="s">
        <v>2051</v>
      </c>
      <c r="AB194" s="1">
        <v>22.0</v>
      </c>
      <c r="AC194" s="1">
        <v>41.0</v>
      </c>
      <c r="AD194" s="1">
        <v>120.0</v>
      </c>
      <c r="AE194" s="1">
        <v>272.0</v>
      </c>
      <c r="AF194" s="1">
        <v>288.0</v>
      </c>
      <c r="AG194" s="1">
        <v>274.0</v>
      </c>
      <c r="AH194" s="1">
        <v>1130.0</v>
      </c>
      <c r="AI194" s="1">
        <v>86.0</v>
      </c>
      <c r="AJ194" s="1">
        <v>0.0</v>
      </c>
      <c r="AK194" s="1">
        <v>0.0</v>
      </c>
      <c r="AL194" s="1">
        <v>6.0</v>
      </c>
      <c r="AM194" s="1">
        <v>1.0</v>
      </c>
      <c r="AN194" s="1">
        <v>3.0</v>
      </c>
    </row>
    <row r="195">
      <c r="A195" s="1">
        <v>402.0</v>
      </c>
      <c r="B195" s="1" t="s">
        <v>2052</v>
      </c>
      <c r="C195" s="1" t="s">
        <v>2053</v>
      </c>
      <c r="D195" s="1" t="s">
        <v>1115</v>
      </c>
      <c r="E195" s="1" t="s">
        <v>43</v>
      </c>
      <c r="F195" s="2">
        <v>17159.0</v>
      </c>
      <c r="G195" s="1" t="s">
        <v>2054</v>
      </c>
      <c r="H195" s="1">
        <v>17.0</v>
      </c>
      <c r="I195" s="1" t="s">
        <v>2055</v>
      </c>
      <c r="J195" s="1">
        <v>5.0</v>
      </c>
      <c r="K195" s="2">
        <v>42907.0</v>
      </c>
      <c r="M195" s="1">
        <v>0.0</v>
      </c>
      <c r="N195" s="1" t="s">
        <v>61</v>
      </c>
      <c r="O195" s="1" t="s">
        <v>62</v>
      </c>
      <c r="P195" s="1" t="s">
        <v>2056</v>
      </c>
      <c r="S195" s="1" t="s">
        <v>2057</v>
      </c>
      <c r="T195" s="1">
        <v>28.0</v>
      </c>
      <c r="U195" s="3" t="s">
        <v>2058</v>
      </c>
      <c r="V195" s="1">
        <v>2492.0</v>
      </c>
      <c r="W195" s="1" t="s">
        <v>2059</v>
      </c>
      <c r="X195" s="3" t="s">
        <v>2060</v>
      </c>
      <c r="Y195" s="3" t="s">
        <v>2061</v>
      </c>
      <c r="Z195" s="1">
        <v>2.0</v>
      </c>
      <c r="AA195" s="1" t="s">
        <v>2062</v>
      </c>
      <c r="AB195" s="1">
        <v>22.0</v>
      </c>
      <c r="AC195" s="1">
        <v>54.0</v>
      </c>
      <c r="AD195" s="1">
        <v>15.0</v>
      </c>
      <c r="AE195" s="1">
        <v>9.0</v>
      </c>
      <c r="AF195" s="1">
        <v>3.0</v>
      </c>
      <c r="AG195" s="1">
        <v>0.0</v>
      </c>
      <c r="AH195" s="1">
        <v>1051.0</v>
      </c>
      <c r="AI195" s="1">
        <v>35.0</v>
      </c>
      <c r="AJ195" s="1">
        <v>1.0</v>
      </c>
      <c r="AK195" s="1">
        <v>0.0</v>
      </c>
      <c r="AL195" s="1">
        <v>50.0</v>
      </c>
      <c r="AM195" s="1">
        <v>23.0</v>
      </c>
      <c r="AN195" s="1">
        <v>1.0</v>
      </c>
    </row>
    <row r="196">
      <c r="A196" s="1">
        <v>222.0</v>
      </c>
      <c r="B196" s="1" t="s">
        <v>2063</v>
      </c>
      <c r="C196" s="1" t="s">
        <v>2064</v>
      </c>
      <c r="D196" s="1" t="s">
        <v>916</v>
      </c>
      <c r="E196" s="1" t="s">
        <v>43</v>
      </c>
      <c r="F196" s="2">
        <v>21374.0</v>
      </c>
      <c r="G196" s="1" t="s">
        <v>207</v>
      </c>
      <c r="H196" s="1">
        <v>93.0</v>
      </c>
      <c r="I196" s="1" t="s">
        <v>196</v>
      </c>
      <c r="J196" s="1">
        <v>10.0</v>
      </c>
      <c r="K196" s="2">
        <v>42907.0</v>
      </c>
      <c r="M196" s="1">
        <v>0.0</v>
      </c>
      <c r="N196" s="1" t="s">
        <v>61</v>
      </c>
      <c r="O196" s="1" t="s">
        <v>62</v>
      </c>
      <c r="P196" s="1" t="s">
        <v>2065</v>
      </c>
      <c r="S196" s="1" t="s">
        <v>2066</v>
      </c>
      <c r="T196" s="1">
        <v>48.0</v>
      </c>
      <c r="U196" s="3" t="s">
        <v>2067</v>
      </c>
      <c r="V196" s="1">
        <v>721286.0</v>
      </c>
      <c r="W196" s="1" t="s">
        <v>2068</v>
      </c>
      <c r="X196" s="3" t="s">
        <v>2069</v>
      </c>
      <c r="Y196" s="3" t="s">
        <v>2070</v>
      </c>
      <c r="Z196" s="1">
        <v>2.0</v>
      </c>
      <c r="AA196" s="1" t="s">
        <v>2071</v>
      </c>
      <c r="AB196" s="1">
        <v>22.0</v>
      </c>
      <c r="AC196" s="1">
        <v>42.0</v>
      </c>
      <c r="AD196" s="1">
        <v>20.0</v>
      </c>
      <c r="AE196" s="1">
        <v>33.0</v>
      </c>
      <c r="AF196" s="1">
        <v>20.0</v>
      </c>
      <c r="AG196" s="1">
        <v>49.0</v>
      </c>
      <c r="AH196" s="1">
        <v>790.0</v>
      </c>
      <c r="AI196" s="1">
        <v>29.0</v>
      </c>
      <c r="AJ196" s="1">
        <v>0.0</v>
      </c>
      <c r="AK196" s="1">
        <v>0.0</v>
      </c>
      <c r="AL196" s="1">
        <v>48.0</v>
      </c>
      <c r="AM196" s="1">
        <v>8.0</v>
      </c>
      <c r="AN196" s="1">
        <v>1.0</v>
      </c>
    </row>
    <row r="197">
      <c r="A197" s="1">
        <v>342.0</v>
      </c>
      <c r="B197" s="1" t="s">
        <v>2072</v>
      </c>
      <c r="C197" s="1" t="s">
        <v>2073</v>
      </c>
      <c r="D197" s="1" t="s">
        <v>469</v>
      </c>
      <c r="E197" s="1" t="s">
        <v>43</v>
      </c>
      <c r="F197" s="2">
        <v>25309.0</v>
      </c>
      <c r="G197" s="1" t="s">
        <v>955</v>
      </c>
      <c r="H197" s="1">
        <v>59.0</v>
      </c>
      <c r="I197" s="1" t="s">
        <v>172</v>
      </c>
      <c r="J197" s="1">
        <v>20.0</v>
      </c>
      <c r="K197" s="2">
        <v>42907.0</v>
      </c>
      <c r="M197" s="1">
        <v>0.0</v>
      </c>
      <c r="N197" s="1" t="s">
        <v>101</v>
      </c>
      <c r="O197" s="1" t="s">
        <v>102</v>
      </c>
      <c r="P197" s="1" t="s">
        <v>2074</v>
      </c>
      <c r="S197" s="1" t="s">
        <v>2075</v>
      </c>
      <c r="T197" s="1">
        <v>590.0</v>
      </c>
      <c r="U197" s="3" t="s">
        <v>2076</v>
      </c>
      <c r="V197" s="1">
        <v>720692.0</v>
      </c>
      <c r="W197" s="1" t="s">
        <v>2077</v>
      </c>
      <c r="X197" s="3" t="s">
        <v>2078</v>
      </c>
      <c r="Y197" s="3" t="s">
        <v>2079</v>
      </c>
      <c r="Z197" s="1">
        <v>2.0</v>
      </c>
      <c r="AA197" s="1" t="s">
        <v>2080</v>
      </c>
      <c r="AB197" s="1">
        <v>22.0</v>
      </c>
      <c r="AC197" s="1">
        <v>31.0</v>
      </c>
      <c r="AD197" s="1">
        <v>59.0</v>
      </c>
      <c r="AE197" s="1">
        <v>311.0</v>
      </c>
      <c r="AF197" s="1">
        <v>210.0</v>
      </c>
      <c r="AG197" s="1">
        <v>162.0</v>
      </c>
      <c r="AH197" s="1">
        <v>726.0</v>
      </c>
      <c r="AI197" s="1">
        <v>31.0</v>
      </c>
      <c r="AJ197" s="1">
        <v>1.0</v>
      </c>
      <c r="AK197" s="1">
        <v>2.0</v>
      </c>
      <c r="AL197" s="1">
        <v>19.0</v>
      </c>
      <c r="AM197" s="1">
        <v>8.0</v>
      </c>
      <c r="AN197" s="1">
        <v>3.0</v>
      </c>
    </row>
    <row r="198">
      <c r="A198" s="1">
        <v>92.0</v>
      </c>
      <c r="B198" s="1" t="s">
        <v>2081</v>
      </c>
      <c r="C198" s="1" t="s">
        <v>2082</v>
      </c>
      <c r="D198" s="1" t="s">
        <v>1695</v>
      </c>
      <c r="E198" s="1" t="s">
        <v>58</v>
      </c>
      <c r="F198" s="2">
        <v>22753.0</v>
      </c>
      <c r="G198" s="1" t="s">
        <v>44</v>
      </c>
      <c r="H198" s="1">
        <v>42.0</v>
      </c>
      <c r="I198" s="1" t="s">
        <v>536</v>
      </c>
      <c r="J198" s="1">
        <v>5.0</v>
      </c>
      <c r="K198" s="2">
        <v>42907.0</v>
      </c>
      <c r="M198" s="1">
        <v>0.0</v>
      </c>
      <c r="N198" s="1" t="s">
        <v>75</v>
      </c>
      <c r="O198" s="1" t="s">
        <v>76</v>
      </c>
      <c r="P198" s="3" t="s">
        <v>2083</v>
      </c>
      <c r="S198" s="1" t="s">
        <v>986</v>
      </c>
      <c r="T198" s="1">
        <v>290.0</v>
      </c>
      <c r="U198" s="3" t="s">
        <v>2084</v>
      </c>
      <c r="V198" s="1">
        <v>719972.0</v>
      </c>
      <c r="W198" s="1" t="s">
        <v>2085</v>
      </c>
      <c r="X198" s="3" t="s">
        <v>2086</v>
      </c>
      <c r="Y198" s="3" t="s">
        <v>2087</v>
      </c>
      <c r="Z198" s="1">
        <v>1.0</v>
      </c>
      <c r="AB198" s="1">
        <v>22.0</v>
      </c>
      <c r="AC198" s="1">
        <v>35.0</v>
      </c>
      <c r="AD198" s="1">
        <v>3.0</v>
      </c>
      <c r="AE198" s="1">
        <v>4.0</v>
      </c>
      <c r="AF198" s="1">
        <v>0.0</v>
      </c>
      <c r="AG198" s="1">
        <v>0.0</v>
      </c>
      <c r="AH198" s="1">
        <v>89.0</v>
      </c>
      <c r="AI198" s="1">
        <v>43.0</v>
      </c>
      <c r="AJ198" s="1">
        <v>0.0</v>
      </c>
      <c r="AK198" s="1">
        <v>0.0</v>
      </c>
      <c r="AL198" s="1">
        <v>5.0</v>
      </c>
      <c r="AM198" s="1">
        <v>7.0</v>
      </c>
      <c r="AN198" s="1">
        <v>2.0</v>
      </c>
    </row>
    <row r="199">
      <c r="A199" s="1">
        <v>419.0</v>
      </c>
      <c r="B199" s="1" t="s">
        <v>2088</v>
      </c>
      <c r="C199" s="1" t="s">
        <v>2089</v>
      </c>
      <c r="D199" s="1" t="s">
        <v>2090</v>
      </c>
      <c r="E199" s="1" t="s">
        <v>58</v>
      </c>
      <c r="F199" s="2">
        <v>18714.0</v>
      </c>
      <c r="G199" s="1" t="s">
        <v>207</v>
      </c>
      <c r="H199" s="1">
        <v>75.0</v>
      </c>
      <c r="I199" s="1" t="s">
        <v>232</v>
      </c>
      <c r="J199" s="1">
        <v>11.0</v>
      </c>
      <c r="K199" s="2">
        <v>42907.0</v>
      </c>
      <c r="M199" s="1">
        <v>0.0</v>
      </c>
      <c r="N199" s="1" t="s">
        <v>280</v>
      </c>
      <c r="O199" s="1" t="s">
        <v>281</v>
      </c>
      <c r="P199" s="1" t="s">
        <v>2091</v>
      </c>
      <c r="S199" s="1" t="s">
        <v>440</v>
      </c>
      <c r="T199" s="1">
        <v>257.0</v>
      </c>
      <c r="U199" s="3" t="s">
        <v>2092</v>
      </c>
      <c r="V199" s="1">
        <v>717151.0</v>
      </c>
      <c r="W199" s="1" t="s">
        <v>2093</v>
      </c>
      <c r="X199" s="3" t="s">
        <v>2094</v>
      </c>
      <c r="Y199" s="3" t="s">
        <v>2095</v>
      </c>
      <c r="Z199" s="1">
        <v>3.0</v>
      </c>
      <c r="AA199" s="1" t="s">
        <v>2096</v>
      </c>
      <c r="AB199" s="1">
        <v>22.0</v>
      </c>
      <c r="AC199" s="1">
        <v>46.0</v>
      </c>
      <c r="AD199" s="1">
        <v>121.0</v>
      </c>
      <c r="AE199" s="1">
        <v>23.0</v>
      </c>
      <c r="AF199" s="1">
        <v>13.0</v>
      </c>
      <c r="AG199" s="1">
        <v>2.0</v>
      </c>
      <c r="AH199" s="1">
        <v>183.0</v>
      </c>
      <c r="AI199" s="1">
        <v>16.0</v>
      </c>
      <c r="AJ199" s="1">
        <v>0.0</v>
      </c>
      <c r="AK199" s="1">
        <v>0.0</v>
      </c>
      <c r="AL199" s="1">
        <v>9.0</v>
      </c>
      <c r="AM199" s="1">
        <v>24.0</v>
      </c>
      <c r="AN199" s="1">
        <v>2.0</v>
      </c>
    </row>
    <row r="200">
      <c r="A200" s="1">
        <v>72.0</v>
      </c>
      <c r="B200" s="1" t="s">
        <v>2097</v>
      </c>
      <c r="C200" s="1" t="s">
        <v>2098</v>
      </c>
      <c r="D200" s="1" t="s">
        <v>2099</v>
      </c>
      <c r="E200" s="1" t="s">
        <v>43</v>
      </c>
      <c r="F200" s="2">
        <v>32918.0</v>
      </c>
      <c r="G200" s="1" t="s">
        <v>1842</v>
      </c>
      <c r="H200" s="1">
        <v>68.0</v>
      </c>
      <c r="I200" s="1" t="s">
        <v>1501</v>
      </c>
      <c r="J200" s="1">
        <v>4.0</v>
      </c>
      <c r="K200" s="2">
        <v>42907.0</v>
      </c>
      <c r="M200" s="1">
        <v>0.0</v>
      </c>
      <c r="N200" s="1" t="s">
        <v>61</v>
      </c>
      <c r="O200" s="1" t="s">
        <v>62</v>
      </c>
      <c r="P200" s="3" t="s">
        <v>2100</v>
      </c>
      <c r="S200" s="1" t="s">
        <v>2101</v>
      </c>
      <c r="T200" s="1">
        <v>72.0</v>
      </c>
      <c r="U200" s="3" t="s">
        <v>2102</v>
      </c>
      <c r="V200" s="1">
        <v>721314.0</v>
      </c>
      <c r="W200" s="1" t="s">
        <v>2103</v>
      </c>
      <c r="X200" s="3" t="s">
        <v>2104</v>
      </c>
      <c r="Y200" s="3" t="s">
        <v>2105</v>
      </c>
      <c r="Z200" s="1">
        <v>3.0</v>
      </c>
      <c r="AA200" s="1" t="s">
        <v>2106</v>
      </c>
      <c r="AB200" s="1">
        <v>22.0</v>
      </c>
      <c r="AC200" s="1">
        <v>35.0</v>
      </c>
      <c r="AD200" s="1">
        <v>64.0</v>
      </c>
      <c r="AE200" s="1">
        <v>113.0</v>
      </c>
      <c r="AF200" s="1">
        <v>239.0</v>
      </c>
      <c r="AG200" s="1">
        <v>69.0</v>
      </c>
      <c r="AH200" s="1">
        <v>884.0</v>
      </c>
      <c r="AI200" s="1">
        <v>25.0</v>
      </c>
      <c r="AJ200" s="1">
        <v>0.0</v>
      </c>
      <c r="AK200" s="1">
        <v>4.0</v>
      </c>
      <c r="AL200" s="1">
        <v>83.0</v>
      </c>
      <c r="AM200" s="1">
        <v>16.0</v>
      </c>
      <c r="AN200" s="1">
        <v>3.0</v>
      </c>
    </row>
    <row r="201">
      <c r="A201" s="1">
        <v>251.0</v>
      </c>
      <c r="B201" s="1" t="s">
        <v>2107</v>
      </c>
      <c r="C201" s="1" t="s">
        <v>2108</v>
      </c>
      <c r="D201" s="1" t="s">
        <v>2109</v>
      </c>
      <c r="E201" s="1" t="s">
        <v>43</v>
      </c>
      <c r="F201" s="2">
        <v>21086.0</v>
      </c>
      <c r="G201" s="1" t="s">
        <v>2110</v>
      </c>
      <c r="H201" s="1">
        <v>25.0</v>
      </c>
      <c r="I201" s="1" t="s">
        <v>149</v>
      </c>
      <c r="J201" s="1">
        <v>3.0</v>
      </c>
      <c r="K201" s="2">
        <v>42907.0</v>
      </c>
      <c r="M201" s="1">
        <v>0.0</v>
      </c>
      <c r="N201" s="1" t="s">
        <v>75</v>
      </c>
      <c r="O201" s="1" t="s">
        <v>76</v>
      </c>
      <c r="P201" s="1" t="s">
        <v>2111</v>
      </c>
      <c r="S201" s="1" t="s">
        <v>269</v>
      </c>
      <c r="T201" s="1">
        <v>623.0</v>
      </c>
      <c r="U201" s="3" t="s">
        <v>2112</v>
      </c>
      <c r="V201" s="1">
        <v>719420.0</v>
      </c>
      <c r="W201" s="1" t="s">
        <v>2113</v>
      </c>
      <c r="X201" s="3" t="s">
        <v>2114</v>
      </c>
      <c r="Y201" s="3" t="s">
        <v>2115</v>
      </c>
      <c r="Z201" s="1">
        <v>2.0</v>
      </c>
      <c r="AA201" s="1" t="s">
        <v>2116</v>
      </c>
      <c r="AB201" s="1">
        <v>22.0</v>
      </c>
      <c r="AC201" s="1">
        <v>37.0</v>
      </c>
      <c r="AD201" s="1">
        <v>16.0</v>
      </c>
      <c r="AE201" s="1">
        <v>10.0</v>
      </c>
      <c r="AF201" s="1">
        <v>2.0</v>
      </c>
      <c r="AG201" s="1">
        <v>21.0</v>
      </c>
      <c r="AH201" s="1">
        <v>86.0</v>
      </c>
      <c r="AI201" s="1">
        <v>25.0</v>
      </c>
      <c r="AJ201" s="1">
        <v>0.0</v>
      </c>
      <c r="AK201" s="1">
        <v>0.0</v>
      </c>
      <c r="AL201" s="1">
        <v>5.0</v>
      </c>
      <c r="AM201" s="1">
        <v>17.0</v>
      </c>
      <c r="AN201" s="1">
        <v>1.0</v>
      </c>
    </row>
    <row r="202">
      <c r="A202" s="1">
        <v>522.0</v>
      </c>
      <c r="B202" s="1" t="s">
        <v>2117</v>
      </c>
      <c r="C202" s="1" t="s">
        <v>2118</v>
      </c>
      <c r="D202" s="1" t="s">
        <v>2119</v>
      </c>
      <c r="E202" s="1" t="s">
        <v>58</v>
      </c>
      <c r="F202" s="2">
        <v>30042.0</v>
      </c>
      <c r="G202" s="1" t="s">
        <v>2120</v>
      </c>
      <c r="H202" s="1">
        <v>46.0</v>
      </c>
      <c r="I202" s="1" t="s">
        <v>325</v>
      </c>
      <c r="J202" s="1">
        <v>2.0</v>
      </c>
      <c r="K202" s="2">
        <v>42907.0</v>
      </c>
      <c r="M202" s="1">
        <v>0.0</v>
      </c>
      <c r="N202" s="1" t="s">
        <v>75</v>
      </c>
      <c r="O202" s="1" t="s">
        <v>76</v>
      </c>
      <c r="P202" s="1" t="s">
        <v>2121</v>
      </c>
      <c r="S202" s="1" t="s">
        <v>2122</v>
      </c>
      <c r="T202" s="1">
        <v>455.0</v>
      </c>
      <c r="U202" s="3" t="s">
        <v>2123</v>
      </c>
      <c r="V202" s="1">
        <v>720014.0</v>
      </c>
      <c r="W202" s="1" t="s">
        <v>2124</v>
      </c>
      <c r="X202" s="3" t="s">
        <v>2125</v>
      </c>
      <c r="Y202" s="3" t="s">
        <v>2126</v>
      </c>
      <c r="Z202" s="1">
        <v>1.0</v>
      </c>
      <c r="AA202" s="1" t="s">
        <v>2127</v>
      </c>
      <c r="AB202" s="1">
        <v>22.0</v>
      </c>
      <c r="AC202" s="1">
        <v>49.0</v>
      </c>
      <c r="AD202" s="1">
        <v>45.0</v>
      </c>
      <c r="AE202" s="1">
        <v>17.0</v>
      </c>
      <c r="AF202" s="1">
        <v>4.0</v>
      </c>
      <c r="AG202" s="1">
        <v>7.0</v>
      </c>
      <c r="AH202" s="1">
        <v>133.0</v>
      </c>
      <c r="AI202" s="1">
        <v>61.0</v>
      </c>
      <c r="AJ202" s="1">
        <v>0.0</v>
      </c>
      <c r="AK202" s="1">
        <v>0.0</v>
      </c>
      <c r="AL202" s="1">
        <v>6.0</v>
      </c>
      <c r="AM202" s="1">
        <v>0.0</v>
      </c>
      <c r="AN202" s="1">
        <v>2.0</v>
      </c>
    </row>
    <row r="203">
      <c r="A203" s="1">
        <v>162.0</v>
      </c>
      <c r="B203" s="1" t="s">
        <v>2128</v>
      </c>
      <c r="C203" s="1" t="s">
        <v>2129</v>
      </c>
      <c r="D203" s="1" t="s">
        <v>694</v>
      </c>
      <c r="E203" s="1" t="s">
        <v>58</v>
      </c>
      <c r="F203" s="2">
        <v>25694.0</v>
      </c>
      <c r="G203" s="1" t="s">
        <v>2130</v>
      </c>
      <c r="H203" s="1">
        <v>3.0</v>
      </c>
      <c r="I203" s="1" t="s">
        <v>100</v>
      </c>
      <c r="J203" s="1">
        <v>2.0</v>
      </c>
      <c r="K203" s="2">
        <v>42907.0</v>
      </c>
      <c r="M203" s="1">
        <v>0.0</v>
      </c>
      <c r="N203" s="1" t="s">
        <v>75</v>
      </c>
      <c r="O203" s="1" t="s">
        <v>76</v>
      </c>
      <c r="P203" s="3" t="s">
        <v>2131</v>
      </c>
      <c r="S203" s="1" t="s">
        <v>429</v>
      </c>
      <c r="T203" s="1">
        <v>292.0</v>
      </c>
      <c r="U203" s="3" t="s">
        <v>2132</v>
      </c>
      <c r="V203" s="1">
        <v>718728.0</v>
      </c>
      <c r="W203" s="1" t="s">
        <v>2133</v>
      </c>
      <c r="X203" s="3" t="s">
        <v>2134</v>
      </c>
      <c r="Y203" s="3" t="s">
        <v>2135</v>
      </c>
      <c r="Z203" s="1">
        <v>1.0</v>
      </c>
      <c r="AB203" s="1">
        <v>22.0</v>
      </c>
      <c r="AC203" s="1">
        <v>31.0</v>
      </c>
      <c r="AD203" s="1">
        <v>3.0</v>
      </c>
      <c r="AE203" s="1">
        <v>7.0</v>
      </c>
      <c r="AF203" s="1">
        <v>1.0</v>
      </c>
      <c r="AG203" s="1">
        <v>7.0</v>
      </c>
      <c r="AH203" s="1">
        <v>105.0</v>
      </c>
      <c r="AI203" s="1">
        <v>43.0</v>
      </c>
      <c r="AJ203" s="1">
        <v>0.0</v>
      </c>
      <c r="AK203" s="1">
        <v>0.0</v>
      </c>
      <c r="AL203" s="1">
        <v>6.0</v>
      </c>
      <c r="AM203" s="1">
        <v>17.0</v>
      </c>
      <c r="AN203" s="1">
        <v>1.0</v>
      </c>
    </row>
    <row r="204">
      <c r="A204" s="1">
        <v>308.0</v>
      </c>
      <c r="B204" s="1" t="s">
        <v>2136</v>
      </c>
      <c r="C204" s="1" t="s">
        <v>2137</v>
      </c>
      <c r="D204" s="1" t="s">
        <v>905</v>
      </c>
      <c r="E204" s="1" t="s">
        <v>43</v>
      </c>
      <c r="F204" s="2">
        <v>29333.0</v>
      </c>
      <c r="G204" s="1" t="s">
        <v>381</v>
      </c>
      <c r="H204" s="1">
        <v>38.0</v>
      </c>
      <c r="I204" s="1" t="s">
        <v>267</v>
      </c>
      <c r="J204" s="1">
        <v>1.0</v>
      </c>
      <c r="K204" s="2">
        <v>42907.0</v>
      </c>
      <c r="M204" s="1">
        <v>0.0</v>
      </c>
      <c r="N204" s="1" t="s">
        <v>75</v>
      </c>
      <c r="O204" s="1" t="s">
        <v>76</v>
      </c>
      <c r="P204" s="1" t="s">
        <v>2138</v>
      </c>
      <c r="S204" s="1" t="s">
        <v>2139</v>
      </c>
      <c r="T204" s="1">
        <v>540.0</v>
      </c>
      <c r="U204" s="3" t="s">
        <v>2140</v>
      </c>
      <c r="V204" s="1">
        <v>642788.0</v>
      </c>
      <c r="W204" s="1" t="s">
        <v>2141</v>
      </c>
      <c r="X204" s="3" t="s">
        <v>2142</v>
      </c>
      <c r="Y204" s="3" t="s">
        <v>2143</v>
      </c>
      <c r="Z204" s="1">
        <v>1.0</v>
      </c>
      <c r="AA204" s="1" t="s">
        <v>2144</v>
      </c>
      <c r="AB204" s="1">
        <v>22.0</v>
      </c>
      <c r="AC204" s="1">
        <v>43.0</v>
      </c>
      <c r="AD204" s="1">
        <v>317.0</v>
      </c>
      <c r="AE204" s="1">
        <v>384.0</v>
      </c>
      <c r="AF204" s="1">
        <v>290.0</v>
      </c>
      <c r="AG204" s="1">
        <v>263.0</v>
      </c>
      <c r="AH204" s="1">
        <v>357.0</v>
      </c>
      <c r="AI204" s="1">
        <v>288.0</v>
      </c>
      <c r="AJ204" s="1">
        <v>4.0</v>
      </c>
      <c r="AK204" s="1">
        <v>0.0</v>
      </c>
      <c r="AL204" s="1">
        <v>5.0</v>
      </c>
      <c r="AM204" s="1">
        <v>3.0</v>
      </c>
      <c r="AN204" s="1">
        <v>2.0</v>
      </c>
    </row>
    <row r="205">
      <c r="A205" s="1">
        <v>480.0</v>
      </c>
      <c r="B205" s="1" t="s">
        <v>2145</v>
      </c>
      <c r="C205" s="1" t="s">
        <v>2146</v>
      </c>
      <c r="D205" s="1" t="s">
        <v>1352</v>
      </c>
      <c r="E205" s="1" t="s">
        <v>43</v>
      </c>
      <c r="F205" s="2">
        <v>27027.0</v>
      </c>
      <c r="G205" s="1" t="s">
        <v>1675</v>
      </c>
      <c r="H205" s="1">
        <v>69.0</v>
      </c>
      <c r="I205" s="1" t="s">
        <v>1363</v>
      </c>
      <c r="J205" s="1">
        <v>8.0</v>
      </c>
      <c r="K205" s="2">
        <v>42907.0</v>
      </c>
      <c r="M205" s="1">
        <v>0.0</v>
      </c>
      <c r="N205" s="1" t="s">
        <v>61</v>
      </c>
      <c r="O205" s="1" t="s">
        <v>62</v>
      </c>
      <c r="P205" s="1" t="s">
        <v>2147</v>
      </c>
      <c r="S205" s="1" t="s">
        <v>1492</v>
      </c>
      <c r="T205" s="1">
        <v>126.0</v>
      </c>
      <c r="U205" s="3" t="s">
        <v>2148</v>
      </c>
      <c r="V205" s="1">
        <v>334843.0</v>
      </c>
      <c r="W205" s="1" t="s">
        <v>2149</v>
      </c>
      <c r="X205" s="3" t="s">
        <v>2150</v>
      </c>
      <c r="Y205" s="3" t="s">
        <v>2151</v>
      </c>
      <c r="Z205" s="1">
        <v>1.0</v>
      </c>
      <c r="AA205" s="1" t="s">
        <v>2152</v>
      </c>
      <c r="AB205" s="1">
        <v>22.0</v>
      </c>
      <c r="AC205" s="1">
        <v>27.0</v>
      </c>
      <c r="AD205" s="1">
        <v>16.0</v>
      </c>
      <c r="AE205" s="1">
        <v>27.0</v>
      </c>
      <c r="AF205" s="1">
        <v>54.0</v>
      </c>
      <c r="AG205" s="1">
        <v>16.0</v>
      </c>
      <c r="AH205" s="1">
        <v>575.0</v>
      </c>
      <c r="AI205" s="1">
        <v>24.0</v>
      </c>
      <c r="AJ205" s="1">
        <v>0.0</v>
      </c>
      <c r="AK205" s="1">
        <v>0.0</v>
      </c>
      <c r="AL205" s="1">
        <v>66.0</v>
      </c>
      <c r="AM205" s="1">
        <v>28.0</v>
      </c>
      <c r="AN205" s="1">
        <v>2.0</v>
      </c>
    </row>
    <row r="206">
      <c r="A206" s="1">
        <v>175.0</v>
      </c>
      <c r="B206" s="1" t="s">
        <v>2153</v>
      </c>
      <c r="C206" s="1" t="s">
        <v>2154</v>
      </c>
      <c r="D206" s="1" t="s">
        <v>2155</v>
      </c>
      <c r="E206" s="1" t="s">
        <v>58</v>
      </c>
      <c r="F206" s="2">
        <v>20715.0</v>
      </c>
      <c r="G206" s="1" t="s">
        <v>2156</v>
      </c>
      <c r="H206" s="1">
        <v>76.0</v>
      </c>
      <c r="I206" s="1" t="s">
        <v>371</v>
      </c>
      <c r="J206" s="1">
        <v>2.0</v>
      </c>
      <c r="K206" s="2">
        <v>42907.0</v>
      </c>
      <c r="M206" s="1">
        <v>0.0</v>
      </c>
      <c r="N206" s="1" t="s">
        <v>75</v>
      </c>
      <c r="O206" s="1" t="s">
        <v>76</v>
      </c>
      <c r="P206" s="1" t="s">
        <v>2157</v>
      </c>
      <c r="S206" s="1" t="s">
        <v>2158</v>
      </c>
      <c r="T206" s="1">
        <v>433.0</v>
      </c>
      <c r="U206" s="3" t="s">
        <v>2159</v>
      </c>
      <c r="V206" s="1">
        <v>722102.0</v>
      </c>
      <c r="W206" s="1" t="s">
        <v>2160</v>
      </c>
      <c r="X206" s="3" t="s">
        <v>2161</v>
      </c>
      <c r="Y206" s="3" t="s">
        <v>2162</v>
      </c>
      <c r="Z206" s="1">
        <v>1.0</v>
      </c>
      <c r="AA206" s="1" t="s">
        <v>2163</v>
      </c>
      <c r="AB206" s="1">
        <v>22.0</v>
      </c>
      <c r="AC206" s="1">
        <v>46.0</v>
      </c>
      <c r="AD206" s="1">
        <v>13.0</v>
      </c>
      <c r="AE206" s="1">
        <v>22.0</v>
      </c>
      <c r="AF206" s="1">
        <v>3.0</v>
      </c>
      <c r="AG206" s="1">
        <v>4.0</v>
      </c>
      <c r="AH206" s="1">
        <v>58.0</v>
      </c>
      <c r="AI206" s="1">
        <v>26.0</v>
      </c>
      <c r="AJ206" s="1">
        <v>0.0</v>
      </c>
      <c r="AK206" s="1">
        <v>0.0</v>
      </c>
      <c r="AL206" s="1">
        <v>5.0</v>
      </c>
      <c r="AM206" s="1">
        <v>2.0</v>
      </c>
      <c r="AN206" s="1">
        <v>1.0</v>
      </c>
    </row>
    <row r="207">
      <c r="A207" s="1">
        <v>258.0</v>
      </c>
      <c r="B207" s="1" t="s">
        <v>2164</v>
      </c>
      <c r="C207" s="1" t="s">
        <v>2165</v>
      </c>
      <c r="D207" s="1" t="s">
        <v>2166</v>
      </c>
      <c r="E207" s="1" t="s">
        <v>58</v>
      </c>
      <c r="F207" s="2">
        <v>23172.0</v>
      </c>
      <c r="G207" s="1" t="s">
        <v>2167</v>
      </c>
      <c r="H207" s="1">
        <v>31.0</v>
      </c>
      <c r="I207" s="1" t="s">
        <v>360</v>
      </c>
      <c r="J207" s="1">
        <v>3.0</v>
      </c>
      <c r="K207" s="2">
        <v>42907.0</v>
      </c>
      <c r="M207" s="1">
        <v>0.0</v>
      </c>
      <c r="N207" s="1" t="s">
        <v>75</v>
      </c>
      <c r="O207" s="1" t="s">
        <v>76</v>
      </c>
      <c r="P207" s="1" t="s">
        <v>2168</v>
      </c>
      <c r="S207" s="1" t="s">
        <v>234</v>
      </c>
      <c r="T207" s="1">
        <v>375.0</v>
      </c>
      <c r="U207" s="3" t="s">
        <v>2169</v>
      </c>
      <c r="V207" s="1">
        <v>719512.0</v>
      </c>
      <c r="W207" s="1" t="s">
        <v>2170</v>
      </c>
      <c r="X207" s="3" t="s">
        <v>2171</v>
      </c>
      <c r="Y207" s="3" t="s">
        <v>2172</v>
      </c>
      <c r="Z207" s="1">
        <v>2.0</v>
      </c>
      <c r="AA207" s="1" t="s">
        <v>2173</v>
      </c>
      <c r="AB207" s="1">
        <v>22.0</v>
      </c>
      <c r="AC207" s="1">
        <v>51.0</v>
      </c>
      <c r="AD207" s="1">
        <v>14.0</v>
      </c>
      <c r="AE207" s="1">
        <v>2.0</v>
      </c>
      <c r="AF207" s="1">
        <v>0.0</v>
      </c>
      <c r="AG207" s="1">
        <v>0.0</v>
      </c>
      <c r="AH207" s="1">
        <v>55.0</v>
      </c>
      <c r="AI207" s="1">
        <v>25.0</v>
      </c>
      <c r="AJ207" s="1">
        <v>1.0</v>
      </c>
      <c r="AK207" s="1">
        <v>0.0</v>
      </c>
      <c r="AL207" s="1">
        <v>6.0</v>
      </c>
      <c r="AM207" s="1">
        <v>9.0</v>
      </c>
      <c r="AN207" s="1">
        <v>1.0</v>
      </c>
    </row>
    <row r="208">
      <c r="A208" s="1">
        <v>192.0</v>
      </c>
      <c r="B208" s="1" t="s">
        <v>2174</v>
      </c>
      <c r="C208" s="1" t="s">
        <v>2175</v>
      </c>
      <c r="D208" s="1" t="s">
        <v>148</v>
      </c>
      <c r="E208" s="1" t="s">
        <v>43</v>
      </c>
      <c r="F208" s="2">
        <v>20483.0</v>
      </c>
      <c r="G208" s="1" t="s">
        <v>2176</v>
      </c>
      <c r="H208" s="1">
        <v>60.0</v>
      </c>
      <c r="I208" s="1" t="s">
        <v>769</v>
      </c>
      <c r="J208" s="1">
        <v>4.0</v>
      </c>
      <c r="K208" s="2">
        <v>42907.0</v>
      </c>
      <c r="M208" s="1">
        <v>0.0</v>
      </c>
      <c r="N208" s="1" t="s">
        <v>61</v>
      </c>
      <c r="O208" s="1" t="s">
        <v>62</v>
      </c>
      <c r="P208" s="1" t="s">
        <v>2177</v>
      </c>
      <c r="S208" s="1" t="s">
        <v>2178</v>
      </c>
      <c r="T208" s="1">
        <v>89.0</v>
      </c>
      <c r="U208" s="3" t="s">
        <v>2179</v>
      </c>
      <c r="V208" s="1">
        <v>2960.0</v>
      </c>
      <c r="W208" s="1" t="s">
        <v>2180</v>
      </c>
      <c r="X208" s="3" t="s">
        <v>2181</v>
      </c>
      <c r="Y208" s="3" t="s">
        <v>2182</v>
      </c>
      <c r="Z208" s="1">
        <v>2.0</v>
      </c>
      <c r="AA208" s="1" t="s">
        <v>2183</v>
      </c>
      <c r="AB208" s="1">
        <v>22.0</v>
      </c>
      <c r="AC208" s="1">
        <v>79.0</v>
      </c>
      <c r="AD208" s="1">
        <v>563.0</v>
      </c>
      <c r="AE208" s="1">
        <v>269.0</v>
      </c>
      <c r="AF208" s="1">
        <v>112.0</v>
      </c>
      <c r="AG208" s="1">
        <v>93.0</v>
      </c>
      <c r="AH208" s="1">
        <v>308.0</v>
      </c>
      <c r="AI208" s="1">
        <v>22.0</v>
      </c>
      <c r="AJ208" s="1">
        <v>0.0</v>
      </c>
      <c r="AK208" s="1">
        <v>0.0</v>
      </c>
      <c r="AL208" s="1">
        <v>5.0</v>
      </c>
      <c r="AM208" s="1">
        <v>6.0</v>
      </c>
      <c r="AN208" s="1">
        <v>2.0</v>
      </c>
    </row>
    <row r="209">
      <c r="A209" s="1">
        <v>26.0</v>
      </c>
      <c r="B209" s="1" t="s">
        <v>2184</v>
      </c>
      <c r="C209" s="1" t="s">
        <v>2185</v>
      </c>
      <c r="D209" s="1" t="s">
        <v>2186</v>
      </c>
      <c r="E209" s="1" t="s">
        <v>58</v>
      </c>
      <c r="F209" s="2">
        <v>23463.0</v>
      </c>
      <c r="G209" s="1" t="s">
        <v>2187</v>
      </c>
      <c r="H209" s="1">
        <v>67.0</v>
      </c>
      <c r="I209" s="1" t="s">
        <v>244</v>
      </c>
      <c r="J209" s="1">
        <v>4.0</v>
      </c>
      <c r="K209" s="2">
        <v>42907.0</v>
      </c>
      <c r="M209" s="1">
        <v>0.0</v>
      </c>
      <c r="N209" s="1" t="s">
        <v>75</v>
      </c>
      <c r="O209" s="1" t="s">
        <v>76</v>
      </c>
      <c r="P209" s="1" t="s">
        <v>2188</v>
      </c>
      <c r="S209" s="1" t="s">
        <v>2189</v>
      </c>
      <c r="T209" s="1">
        <v>488.0</v>
      </c>
      <c r="U209" s="3" t="s">
        <v>2190</v>
      </c>
      <c r="V209" s="1">
        <v>722268.0</v>
      </c>
      <c r="W209" s="1" t="s">
        <v>2191</v>
      </c>
      <c r="X209" s="3" t="s">
        <v>2192</v>
      </c>
      <c r="Y209" s="3" t="s">
        <v>2193</v>
      </c>
      <c r="Z209" s="1">
        <v>1.0</v>
      </c>
      <c r="AA209" s="1" t="s">
        <v>2194</v>
      </c>
      <c r="AB209" s="1">
        <v>22.0</v>
      </c>
      <c r="AC209" s="1">
        <v>45.0</v>
      </c>
      <c r="AD209" s="1">
        <v>24.0</v>
      </c>
      <c r="AE209" s="1">
        <v>30.0</v>
      </c>
      <c r="AF209" s="1">
        <v>6.0</v>
      </c>
      <c r="AG209" s="1">
        <v>2.0</v>
      </c>
      <c r="AH209" s="1">
        <v>83.0</v>
      </c>
      <c r="AI209" s="1">
        <v>32.0</v>
      </c>
      <c r="AJ209" s="1">
        <v>0.0</v>
      </c>
      <c r="AK209" s="1">
        <v>0.0</v>
      </c>
      <c r="AL209" s="1">
        <v>7.0</v>
      </c>
      <c r="AM209" s="1">
        <v>8.0</v>
      </c>
      <c r="AN209" s="1">
        <v>2.0</v>
      </c>
    </row>
    <row r="210">
      <c r="A210" s="1">
        <v>31.0</v>
      </c>
      <c r="B210" s="1" t="s">
        <v>2195</v>
      </c>
      <c r="C210" s="1" t="s">
        <v>2196</v>
      </c>
      <c r="D210" s="1" t="s">
        <v>2197</v>
      </c>
      <c r="E210" s="1" t="s">
        <v>43</v>
      </c>
      <c r="F210" s="2">
        <v>32300.0</v>
      </c>
      <c r="G210" s="1" t="s">
        <v>718</v>
      </c>
      <c r="H210" s="1">
        <v>13.0</v>
      </c>
      <c r="I210" s="1" t="s">
        <v>279</v>
      </c>
      <c r="J210" s="1">
        <v>8.0</v>
      </c>
      <c r="K210" s="2">
        <v>42907.0</v>
      </c>
      <c r="M210" s="1">
        <v>0.0</v>
      </c>
      <c r="N210" s="1" t="s">
        <v>75</v>
      </c>
      <c r="O210" s="1" t="s">
        <v>76</v>
      </c>
      <c r="P210" s="1" t="s">
        <v>2198</v>
      </c>
      <c r="S210" s="1" t="s">
        <v>162</v>
      </c>
      <c r="T210" s="1">
        <v>305.0</v>
      </c>
      <c r="U210" s="3" t="s">
        <v>2199</v>
      </c>
      <c r="V210" s="1">
        <v>718962.0</v>
      </c>
      <c r="W210" s="1" t="s">
        <v>2200</v>
      </c>
      <c r="X210" s="3" t="s">
        <v>2201</v>
      </c>
      <c r="Y210" s="3" t="s">
        <v>2202</v>
      </c>
      <c r="Z210" s="1">
        <v>1.0</v>
      </c>
      <c r="AA210" s="1" t="s">
        <v>2203</v>
      </c>
      <c r="AB210" s="1">
        <v>22.0</v>
      </c>
      <c r="AC210" s="1">
        <v>41.0</v>
      </c>
      <c r="AD210" s="1">
        <v>34.0</v>
      </c>
      <c r="AE210" s="1">
        <v>41.0</v>
      </c>
      <c r="AF210" s="1">
        <v>16.0</v>
      </c>
      <c r="AG210" s="1">
        <v>33.0</v>
      </c>
      <c r="AH210" s="1">
        <v>142.0</v>
      </c>
      <c r="AI210" s="1">
        <v>75.0</v>
      </c>
      <c r="AJ210" s="1">
        <v>2.0</v>
      </c>
      <c r="AK210" s="1">
        <v>0.0</v>
      </c>
      <c r="AL210" s="1">
        <v>6.0</v>
      </c>
      <c r="AM210" s="1">
        <v>13.0</v>
      </c>
      <c r="AN210" s="1">
        <v>1.0</v>
      </c>
    </row>
    <row r="211">
      <c r="A211" s="1">
        <v>382.0</v>
      </c>
      <c r="B211" s="1" t="s">
        <v>2204</v>
      </c>
      <c r="C211" s="1" t="s">
        <v>2205</v>
      </c>
      <c r="D211" s="1" t="s">
        <v>1352</v>
      </c>
      <c r="E211" s="1" t="s">
        <v>43</v>
      </c>
      <c r="F211" s="2">
        <v>27833.0</v>
      </c>
      <c r="G211" s="1" t="s">
        <v>2206</v>
      </c>
      <c r="H211" s="1">
        <v>93.0</v>
      </c>
      <c r="I211" s="1" t="s">
        <v>196</v>
      </c>
      <c r="J211" s="1">
        <v>3.0</v>
      </c>
      <c r="K211" s="2">
        <v>42907.0</v>
      </c>
      <c r="M211" s="1">
        <v>0.0</v>
      </c>
      <c r="N211" s="1" t="s">
        <v>75</v>
      </c>
      <c r="O211" s="1" t="s">
        <v>76</v>
      </c>
      <c r="P211" s="1" t="s">
        <v>2207</v>
      </c>
      <c r="S211" s="1" t="s">
        <v>2208</v>
      </c>
      <c r="T211" s="1">
        <v>352.0</v>
      </c>
      <c r="U211" s="3" t="s">
        <v>2209</v>
      </c>
      <c r="V211" s="1">
        <v>721278.0</v>
      </c>
      <c r="W211" s="1" t="s">
        <v>2210</v>
      </c>
      <c r="X211" s="3" t="s">
        <v>2211</v>
      </c>
      <c r="Y211" s="3" t="s">
        <v>2212</v>
      </c>
      <c r="Z211" s="1">
        <v>1.0</v>
      </c>
      <c r="AA211" s="1" t="s">
        <v>2213</v>
      </c>
      <c r="AB211" s="1">
        <v>21.0</v>
      </c>
      <c r="AC211" s="1">
        <v>44.0</v>
      </c>
      <c r="AD211" s="1">
        <v>20.0</v>
      </c>
      <c r="AE211" s="1">
        <v>5.0</v>
      </c>
      <c r="AF211" s="1">
        <v>1.0</v>
      </c>
      <c r="AG211" s="1">
        <v>3.0</v>
      </c>
      <c r="AH211" s="1">
        <v>73.0</v>
      </c>
      <c r="AI211" s="1">
        <v>31.0</v>
      </c>
      <c r="AJ211" s="1">
        <v>1.0</v>
      </c>
      <c r="AK211" s="1">
        <v>0.0</v>
      </c>
      <c r="AL211" s="1">
        <v>5.0</v>
      </c>
      <c r="AM211" s="1">
        <v>1.0</v>
      </c>
      <c r="AN211" s="1">
        <v>0.0</v>
      </c>
    </row>
    <row r="212">
      <c r="A212" s="1">
        <v>441.0</v>
      </c>
      <c r="B212" s="1" t="s">
        <v>2214</v>
      </c>
      <c r="C212" s="1" t="s">
        <v>2215</v>
      </c>
      <c r="D212" s="1" t="s">
        <v>2216</v>
      </c>
      <c r="E212" s="1" t="s">
        <v>43</v>
      </c>
      <c r="F212" s="2">
        <v>31718.0</v>
      </c>
      <c r="G212" s="1" t="s">
        <v>2217</v>
      </c>
      <c r="H212" s="1">
        <v>999.0</v>
      </c>
      <c r="I212" s="1" t="s">
        <v>256</v>
      </c>
      <c r="J212" s="1">
        <v>4.0</v>
      </c>
      <c r="K212" s="2">
        <v>42907.0</v>
      </c>
      <c r="M212" s="1">
        <v>0.0</v>
      </c>
      <c r="N212" s="1" t="s">
        <v>75</v>
      </c>
      <c r="O212" s="1" t="s">
        <v>76</v>
      </c>
      <c r="P212" s="1" t="s">
        <v>2218</v>
      </c>
      <c r="S212" s="1" t="s">
        <v>2219</v>
      </c>
      <c r="T212" s="1">
        <v>227.0</v>
      </c>
      <c r="U212" s="3" t="s">
        <v>2220</v>
      </c>
      <c r="V212" s="1">
        <v>721158.0</v>
      </c>
      <c r="W212" s="1" t="s">
        <v>2221</v>
      </c>
      <c r="X212" s="3" t="s">
        <v>2222</v>
      </c>
      <c r="Y212" s="3" t="s">
        <v>2223</v>
      </c>
      <c r="Z212" s="1">
        <v>1.0</v>
      </c>
      <c r="AA212" s="1" t="s">
        <v>2224</v>
      </c>
      <c r="AB212" s="1">
        <v>21.0</v>
      </c>
      <c r="AC212" s="1">
        <v>48.0</v>
      </c>
      <c r="AD212" s="1">
        <v>26.0</v>
      </c>
      <c r="AE212" s="1">
        <v>2.0</v>
      </c>
      <c r="AF212" s="1">
        <v>1.0</v>
      </c>
      <c r="AG212" s="1">
        <v>0.0</v>
      </c>
      <c r="AH212" s="1">
        <v>15.0</v>
      </c>
      <c r="AI212" s="1">
        <v>6.0</v>
      </c>
      <c r="AJ212" s="1">
        <v>1.0</v>
      </c>
      <c r="AK212" s="1">
        <v>0.0</v>
      </c>
      <c r="AL212" s="1">
        <v>5.0</v>
      </c>
      <c r="AM212" s="1">
        <v>5.0</v>
      </c>
      <c r="AN212" s="1">
        <v>0.0</v>
      </c>
    </row>
    <row r="213">
      <c r="A213" s="1">
        <v>500.0</v>
      </c>
      <c r="B213" s="1" t="s">
        <v>2225</v>
      </c>
      <c r="C213" s="1" t="s">
        <v>2226</v>
      </c>
      <c r="D213" s="1" t="s">
        <v>738</v>
      </c>
      <c r="E213" s="1" t="s">
        <v>58</v>
      </c>
      <c r="F213" s="2">
        <v>26746.0</v>
      </c>
      <c r="G213" s="1" t="s">
        <v>2227</v>
      </c>
      <c r="H213" s="1">
        <v>79.0</v>
      </c>
      <c r="I213" s="1" t="s">
        <v>2228</v>
      </c>
      <c r="J213" s="1">
        <v>2.0</v>
      </c>
      <c r="K213" s="2">
        <v>42907.0</v>
      </c>
      <c r="M213" s="1">
        <v>0.0</v>
      </c>
      <c r="N213" s="1" t="s">
        <v>115</v>
      </c>
      <c r="O213" s="1" t="s">
        <v>116</v>
      </c>
      <c r="P213" s="1" t="s">
        <v>2229</v>
      </c>
      <c r="S213" s="1" t="s">
        <v>90</v>
      </c>
      <c r="T213" s="1">
        <v>500.0</v>
      </c>
      <c r="U213" s="3" t="s">
        <v>2230</v>
      </c>
      <c r="V213" s="1">
        <v>335999.0</v>
      </c>
      <c r="W213" s="1" t="s">
        <v>2231</v>
      </c>
      <c r="X213" s="3" t="s">
        <v>2232</v>
      </c>
      <c r="Y213" s="3" t="s">
        <v>2233</v>
      </c>
      <c r="Z213" s="1">
        <v>1.0</v>
      </c>
      <c r="AA213" s="1" t="s">
        <v>2234</v>
      </c>
      <c r="AB213" s="1">
        <v>21.0</v>
      </c>
      <c r="AC213" s="1">
        <v>40.0</v>
      </c>
      <c r="AD213" s="1">
        <v>126.0</v>
      </c>
      <c r="AE213" s="1">
        <v>174.0</v>
      </c>
      <c r="AF213" s="1">
        <v>146.0</v>
      </c>
      <c r="AG213" s="1">
        <v>151.0</v>
      </c>
      <c r="AH213" s="1">
        <v>1144.0</v>
      </c>
      <c r="AI213" s="1">
        <v>89.0</v>
      </c>
      <c r="AJ213" s="1">
        <v>0.0</v>
      </c>
      <c r="AK213" s="1">
        <v>0.0</v>
      </c>
      <c r="AL213" s="1">
        <v>7.0</v>
      </c>
      <c r="AM213" s="1">
        <v>7.0</v>
      </c>
      <c r="AN213" s="1">
        <v>1.0</v>
      </c>
    </row>
    <row r="214">
      <c r="A214" s="1">
        <v>387.0</v>
      </c>
      <c r="B214" s="1" t="s">
        <v>2235</v>
      </c>
      <c r="C214" s="1" t="s">
        <v>2236</v>
      </c>
      <c r="D214" s="1" t="s">
        <v>717</v>
      </c>
      <c r="E214" s="1" t="s">
        <v>43</v>
      </c>
      <c r="F214" s="2">
        <v>28977.0</v>
      </c>
      <c r="G214" s="1" t="s">
        <v>2237</v>
      </c>
      <c r="H214" s="1">
        <v>42.0</v>
      </c>
      <c r="I214" s="1" t="s">
        <v>536</v>
      </c>
      <c r="J214" s="1">
        <v>6.0</v>
      </c>
      <c r="K214" s="2">
        <v>42907.0</v>
      </c>
      <c r="M214" s="1">
        <v>0.0</v>
      </c>
      <c r="N214" s="1" t="s">
        <v>75</v>
      </c>
      <c r="O214" s="1" t="s">
        <v>76</v>
      </c>
      <c r="P214" s="1" t="s">
        <v>2238</v>
      </c>
      <c r="S214" s="1" t="s">
        <v>151</v>
      </c>
      <c r="T214" s="1">
        <v>387.0</v>
      </c>
      <c r="U214" s="3" t="s">
        <v>2239</v>
      </c>
      <c r="V214" s="1">
        <v>719980.0</v>
      </c>
      <c r="W214" s="1" t="s">
        <v>2240</v>
      </c>
      <c r="X214" s="3" t="s">
        <v>2241</v>
      </c>
      <c r="Y214" s="3" t="s">
        <v>2242</v>
      </c>
      <c r="Z214" s="1">
        <v>1.0</v>
      </c>
      <c r="AA214" s="1" t="s">
        <v>2243</v>
      </c>
      <c r="AB214" s="1">
        <v>21.0</v>
      </c>
      <c r="AC214" s="1">
        <v>43.0</v>
      </c>
      <c r="AD214" s="1">
        <v>22.0</v>
      </c>
      <c r="AE214" s="1">
        <v>22.0</v>
      </c>
      <c r="AF214" s="1">
        <v>4.0</v>
      </c>
      <c r="AG214" s="1">
        <v>0.0</v>
      </c>
      <c r="AH214" s="1">
        <v>58.0</v>
      </c>
      <c r="AI214" s="1">
        <v>25.0</v>
      </c>
      <c r="AJ214" s="1">
        <v>0.0</v>
      </c>
      <c r="AK214" s="1">
        <v>0.0</v>
      </c>
      <c r="AL214" s="1">
        <v>7.0</v>
      </c>
      <c r="AM214" s="1">
        <v>11.0</v>
      </c>
      <c r="AN214" s="1">
        <v>0.0</v>
      </c>
    </row>
    <row r="215">
      <c r="A215" s="1">
        <v>64.0</v>
      </c>
      <c r="B215" s="1" t="s">
        <v>2244</v>
      </c>
      <c r="C215" s="1" t="s">
        <v>2245</v>
      </c>
      <c r="D215" s="1" t="s">
        <v>2246</v>
      </c>
      <c r="E215" s="1" t="s">
        <v>43</v>
      </c>
      <c r="F215" s="2">
        <v>26929.0</v>
      </c>
      <c r="G215" s="1" t="s">
        <v>2247</v>
      </c>
      <c r="H215" s="1">
        <v>33.0</v>
      </c>
      <c r="I215" s="1" t="s">
        <v>348</v>
      </c>
      <c r="J215" s="1">
        <v>10.0</v>
      </c>
      <c r="K215" s="2">
        <v>42907.0</v>
      </c>
      <c r="M215" s="1">
        <v>0.0</v>
      </c>
      <c r="N215" s="1" t="s">
        <v>75</v>
      </c>
      <c r="O215" s="1" t="s">
        <v>76</v>
      </c>
      <c r="P215" s="1" t="s">
        <v>2248</v>
      </c>
      <c r="S215" s="1" t="s">
        <v>2249</v>
      </c>
      <c r="T215" s="1">
        <v>233.0</v>
      </c>
      <c r="U215" s="3" t="s">
        <v>2250</v>
      </c>
      <c r="V215" s="1">
        <v>606507.0</v>
      </c>
      <c r="W215" s="1" t="s">
        <v>2251</v>
      </c>
      <c r="X215" s="3" t="s">
        <v>2252</v>
      </c>
      <c r="Y215" s="3" t="s">
        <v>2253</v>
      </c>
      <c r="Z215" s="1">
        <v>1.0</v>
      </c>
      <c r="AA215" s="1" t="s">
        <v>2254</v>
      </c>
      <c r="AB215" s="1">
        <v>21.0</v>
      </c>
      <c r="AC215" s="1">
        <v>37.0</v>
      </c>
      <c r="AD215" s="1">
        <v>6.0</v>
      </c>
      <c r="AE215" s="1">
        <v>10.0</v>
      </c>
      <c r="AF215" s="1">
        <v>1.0</v>
      </c>
      <c r="AG215" s="1">
        <v>1.0</v>
      </c>
      <c r="AH215" s="1">
        <v>33.0</v>
      </c>
      <c r="AI215" s="1">
        <v>14.0</v>
      </c>
      <c r="AJ215" s="1">
        <v>0.0</v>
      </c>
      <c r="AK215" s="1">
        <v>0.0</v>
      </c>
      <c r="AL215" s="1">
        <v>5.0</v>
      </c>
      <c r="AM215" s="1">
        <v>7.0</v>
      </c>
      <c r="AN215" s="1">
        <v>2.0</v>
      </c>
    </row>
    <row r="216">
      <c r="A216" s="1">
        <v>334.0</v>
      </c>
      <c r="B216" s="1" t="s">
        <v>2255</v>
      </c>
      <c r="C216" s="1" t="s">
        <v>2256</v>
      </c>
      <c r="D216" s="1" t="s">
        <v>2257</v>
      </c>
      <c r="E216" s="1" t="s">
        <v>43</v>
      </c>
      <c r="F216" s="2">
        <v>28368.0</v>
      </c>
      <c r="G216" s="1" t="s">
        <v>2258</v>
      </c>
      <c r="H216" s="1">
        <v>75.0</v>
      </c>
      <c r="I216" s="1" t="s">
        <v>232</v>
      </c>
      <c r="J216" s="1">
        <v>18.0</v>
      </c>
      <c r="K216" s="2">
        <v>42907.0</v>
      </c>
      <c r="M216" s="1">
        <v>0.0</v>
      </c>
      <c r="N216" s="1" t="s">
        <v>46</v>
      </c>
      <c r="O216" s="1" t="s">
        <v>47</v>
      </c>
      <c r="P216" s="1" t="s">
        <v>2259</v>
      </c>
      <c r="S216" s="1" t="s">
        <v>2260</v>
      </c>
      <c r="T216" s="1">
        <v>146.0</v>
      </c>
      <c r="U216" s="3" t="s">
        <v>2261</v>
      </c>
      <c r="V216" s="1">
        <v>722030.0</v>
      </c>
      <c r="W216" s="1" t="s">
        <v>2262</v>
      </c>
      <c r="X216" s="3" t="s">
        <v>2263</v>
      </c>
      <c r="Y216" s="3" t="s">
        <v>2264</v>
      </c>
      <c r="Z216" s="1">
        <v>2.0</v>
      </c>
      <c r="AA216" s="1" t="s">
        <v>2265</v>
      </c>
      <c r="AB216" s="1">
        <v>21.0</v>
      </c>
      <c r="AC216" s="1">
        <v>30.0</v>
      </c>
      <c r="AD216" s="1">
        <v>35.0</v>
      </c>
      <c r="AE216" s="1">
        <v>66.0</v>
      </c>
      <c r="AF216" s="1">
        <v>15.0</v>
      </c>
      <c r="AG216" s="1">
        <v>21.0</v>
      </c>
      <c r="AH216" s="1">
        <v>453.0</v>
      </c>
      <c r="AI216" s="1">
        <v>25.0</v>
      </c>
      <c r="AJ216" s="1">
        <v>1.0</v>
      </c>
      <c r="AK216" s="1">
        <v>0.0</v>
      </c>
      <c r="AL216" s="1">
        <v>6.0</v>
      </c>
      <c r="AM216" s="1">
        <v>13.0</v>
      </c>
      <c r="AN216" s="1">
        <v>5.0</v>
      </c>
    </row>
    <row r="217">
      <c r="A217" s="1">
        <v>512.0</v>
      </c>
      <c r="B217" s="1" t="s">
        <v>2266</v>
      </c>
      <c r="C217" s="1" t="s">
        <v>2267</v>
      </c>
      <c r="D217" s="1" t="s">
        <v>1135</v>
      </c>
      <c r="E217" s="1" t="s">
        <v>43</v>
      </c>
      <c r="F217" s="2">
        <v>24930.0</v>
      </c>
      <c r="G217" s="1" t="s">
        <v>2268</v>
      </c>
      <c r="H217" s="1">
        <v>7.0</v>
      </c>
      <c r="I217" s="1" t="s">
        <v>2269</v>
      </c>
      <c r="J217" s="1">
        <v>3.0</v>
      </c>
      <c r="K217" s="2">
        <v>42907.0</v>
      </c>
      <c r="M217" s="1">
        <v>0.0</v>
      </c>
      <c r="N217" s="1" t="s">
        <v>61</v>
      </c>
      <c r="O217" s="1" t="s">
        <v>62</v>
      </c>
      <c r="P217" s="1" t="s">
        <v>2270</v>
      </c>
      <c r="S217" s="1" t="s">
        <v>198</v>
      </c>
      <c r="T217" s="1">
        <v>137.0</v>
      </c>
      <c r="U217" s="3" t="s">
        <v>2271</v>
      </c>
      <c r="V217" s="1">
        <v>718838.0</v>
      </c>
      <c r="W217" s="1" t="s">
        <v>2272</v>
      </c>
      <c r="X217" s="3" t="s">
        <v>2273</v>
      </c>
      <c r="Y217" s="3" t="s">
        <v>2274</v>
      </c>
      <c r="Z217" s="1">
        <v>1.0</v>
      </c>
      <c r="AA217" s="1" t="s">
        <v>2275</v>
      </c>
      <c r="AB217" s="1">
        <v>21.0</v>
      </c>
      <c r="AC217" s="1">
        <v>36.0</v>
      </c>
      <c r="AD217" s="1">
        <v>81.0</v>
      </c>
      <c r="AE217" s="1">
        <v>119.0</v>
      </c>
      <c r="AF217" s="1">
        <v>85.0</v>
      </c>
      <c r="AG217" s="1">
        <v>157.0</v>
      </c>
      <c r="AH217" s="1">
        <v>1656.0</v>
      </c>
      <c r="AI217" s="1">
        <v>50.0</v>
      </c>
      <c r="AJ217" s="1">
        <v>2.0</v>
      </c>
      <c r="AK217" s="1">
        <v>12.0</v>
      </c>
      <c r="AL217" s="1">
        <v>97.0</v>
      </c>
      <c r="AM217" s="1">
        <v>33.0</v>
      </c>
      <c r="AN217" s="1">
        <v>3.0</v>
      </c>
    </row>
    <row r="218">
      <c r="A218" s="1">
        <v>407.0</v>
      </c>
      <c r="B218" s="1" t="s">
        <v>2276</v>
      </c>
      <c r="C218" s="1" t="s">
        <v>2277</v>
      </c>
      <c r="D218" s="1" t="s">
        <v>916</v>
      </c>
      <c r="E218" s="1" t="s">
        <v>43</v>
      </c>
      <c r="F218" s="2">
        <v>19060.0</v>
      </c>
      <c r="G218" s="1" t="s">
        <v>2278</v>
      </c>
      <c r="H218" s="1">
        <v>59.0</v>
      </c>
      <c r="I218" s="1" t="s">
        <v>172</v>
      </c>
      <c r="J218" s="1">
        <v>16.0</v>
      </c>
      <c r="K218" s="2">
        <v>42907.0</v>
      </c>
      <c r="M218" s="1">
        <v>0.0</v>
      </c>
      <c r="N218" s="1" t="s">
        <v>101</v>
      </c>
      <c r="O218" s="1" t="s">
        <v>102</v>
      </c>
      <c r="P218" s="3" t="s">
        <v>2279</v>
      </c>
      <c r="S218" s="1" t="s">
        <v>2280</v>
      </c>
      <c r="T218" s="1">
        <v>586.0</v>
      </c>
      <c r="U218" s="3" t="s">
        <v>2281</v>
      </c>
      <c r="V218" s="1">
        <v>720546.0</v>
      </c>
      <c r="W218" s="1" t="s">
        <v>2282</v>
      </c>
      <c r="X218" s="3" t="s">
        <v>2283</v>
      </c>
      <c r="Y218" s="3" t="s">
        <v>2284</v>
      </c>
      <c r="Z218" s="1">
        <v>1.0</v>
      </c>
      <c r="AA218" s="1" t="s">
        <v>2285</v>
      </c>
      <c r="AB218" s="1">
        <v>21.0</v>
      </c>
      <c r="AC218" s="1">
        <v>29.0</v>
      </c>
      <c r="AD218" s="1">
        <v>35.0</v>
      </c>
      <c r="AE218" s="1">
        <v>116.0</v>
      </c>
      <c r="AF218" s="1">
        <v>68.0</v>
      </c>
      <c r="AG218" s="1">
        <v>26.0</v>
      </c>
      <c r="AH218" s="1">
        <v>668.0</v>
      </c>
      <c r="AI218" s="1">
        <v>25.0</v>
      </c>
      <c r="AJ218" s="1">
        <v>0.0</v>
      </c>
      <c r="AK218" s="1">
        <v>1.0</v>
      </c>
      <c r="AL218" s="1">
        <v>19.0</v>
      </c>
      <c r="AM218" s="1">
        <v>16.0</v>
      </c>
      <c r="AN218" s="1">
        <v>6.0</v>
      </c>
    </row>
    <row r="219">
      <c r="A219" s="1">
        <v>289.0</v>
      </c>
      <c r="B219" s="1" t="s">
        <v>2286</v>
      </c>
      <c r="C219" s="1" t="s">
        <v>2287</v>
      </c>
      <c r="D219" s="1" t="s">
        <v>866</v>
      </c>
      <c r="E219" s="1" t="s">
        <v>43</v>
      </c>
      <c r="F219" s="2">
        <v>21166.0</v>
      </c>
      <c r="G219" s="1" t="s">
        <v>404</v>
      </c>
      <c r="H219" s="1">
        <v>31.0</v>
      </c>
      <c r="I219" s="1" t="s">
        <v>360</v>
      </c>
      <c r="J219" s="1">
        <v>1.0</v>
      </c>
      <c r="K219" s="2">
        <v>42907.0</v>
      </c>
      <c r="M219" s="1">
        <v>0.0</v>
      </c>
      <c r="N219" s="1" t="s">
        <v>75</v>
      </c>
      <c r="O219" s="1" t="s">
        <v>76</v>
      </c>
      <c r="P219" s="1" t="s">
        <v>2288</v>
      </c>
      <c r="S219" s="1" t="s">
        <v>2289</v>
      </c>
      <c r="T219" s="1">
        <v>637.0</v>
      </c>
      <c r="U219" s="3" t="s">
        <v>2290</v>
      </c>
      <c r="V219" s="1">
        <v>719496.0</v>
      </c>
      <c r="W219" s="1" t="s">
        <v>2291</v>
      </c>
      <c r="X219" s="3" t="s">
        <v>2292</v>
      </c>
      <c r="Y219" s="3" t="s">
        <v>2293</v>
      </c>
      <c r="Z219" s="1">
        <v>1.0</v>
      </c>
      <c r="AA219" s="1" t="s">
        <v>2294</v>
      </c>
      <c r="AB219" s="1">
        <v>21.0</v>
      </c>
      <c r="AC219" s="1">
        <v>47.0</v>
      </c>
      <c r="AD219" s="1">
        <v>10.0</v>
      </c>
      <c r="AE219" s="1">
        <v>18.0</v>
      </c>
      <c r="AF219" s="1">
        <v>0.0</v>
      </c>
      <c r="AG219" s="1">
        <v>0.0</v>
      </c>
      <c r="AH219" s="1">
        <v>15.0</v>
      </c>
      <c r="AI219" s="1">
        <v>7.0</v>
      </c>
      <c r="AJ219" s="1">
        <v>0.0</v>
      </c>
      <c r="AK219" s="1">
        <v>0.0</v>
      </c>
      <c r="AL219" s="1">
        <v>5.0</v>
      </c>
      <c r="AM219" s="1">
        <v>1.0</v>
      </c>
      <c r="AN219" s="1">
        <v>2.0</v>
      </c>
    </row>
    <row r="220">
      <c r="A220" s="1">
        <v>465.0</v>
      </c>
      <c r="B220" s="1" t="s">
        <v>2295</v>
      </c>
      <c r="C220" s="1" t="s">
        <v>2296</v>
      </c>
      <c r="D220" s="1" t="s">
        <v>2297</v>
      </c>
      <c r="E220" s="1" t="s">
        <v>43</v>
      </c>
      <c r="F220" s="2">
        <v>27546.0</v>
      </c>
      <c r="G220" s="1" t="s">
        <v>2298</v>
      </c>
      <c r="H220" s="1">
        <v>30.0</v>
      </c>
      <c r="I220" s="1" t="s">
        <v>1751</v>
      </c>
      <c r="J220" s="1">
        <v>3.0</v>
      </c>
      <c r="K220" s="2">
        <v>42907.0</v>
      </c>
      <c r="M220" s="1">
        <v>0.0</v>
      </c>
      <c r="N220" s="1" t="s">
        <v>75</v>
      </c>
      <c r="O220" s="1" t="s">
        <v>76</v>
      </c>
      <c r="P220" s="1" t="s">
        <v>2299</v>
      </c>
      <c r="S220" s="1" t="s">
        <v>162</v>
      </c>
      <c r="T220" s="1">
        <v>615.0</v>
      </c>
      <c r="U220" s="3" t="s">
        <v>2300</v>
      </c>
      <c r="V220" s="1">
        <v>719440.0</v>
      </c>
      <c r="W220" s="1" t="s">
        <v>2301</v>
      </c>
      <c r="X220" s="3" t="s">
        <v>2302</v>
      </c>
      <c r="Y220" s="3" t="s">
        <v>2303</v>
      </c>
      <c r="Z220" s="1">
        <v>1.0</v>
      </c>
      <c r="AA220" s="1" t="s">
        <v>2304</v>
      </c>
      <c r="AB220" s="1">
        <v>21.0</v>
      </c>
      <c r="AC220" s="1">
        <v>35.0</v>
      </c>
      <c r="AD220" s="1">
        <v>16.0</v>
      </c>
      <c r="AE220" s="1">
        <v>5.0</v>
      </c>
      <c r="AF220" s="1">
        <v>3.0</v>
      </c>
      <c r="AG220" s="1">
        <v>1.0</v>
      </c>
      <c r="AH220" s="1">
        <v>74.0</v>
      </c>
      <c r="AI220" s="1">
        <v>27.0</v>
      </c>
      <c r="AJ220" s="1">
        <v>0.0</v>
      </c>
      <c r="AK220" s="1">
        <v>0.0</v>
      </c>
      <c r="AL220" s="1">
        <v>5.0</v>
      </c>
      <c r="AM220" s="1">
        <v>4.0</v>
      </c>
      <c r="AN220" s="1">
        <v>1.0</v>
      </c>
    </row>
    <row r="221">
      <c r="A221" s="1">
        <v>142.0</v>
      </c>
      <c r="B221" s="1" t="s">
        <v>2305</v>
      </c>
      <c r="C221" s="1" t="s">
        <v>2306</v>
      </c>
      <c r="D221" s="1" t="s">
        <v>42</v>
      </c>
      <c r="E221" s="1" t="s">
        <v>43</v>
      </c>
      <c r="F221" s="2">
        <v>23323.0</v>
      </c>
      <c r="G221" s="1" t="s">
        <v>2307</v>
      </c>
      <c r="H221" s="1">
        <v>37.0</v>
      </c>
      <c r="I221" s="1" t="s">
        <v>547</v>
      </c>
      <c r="J221" s="1">
        <v>1.0</v>
      </c>
      <c r="K221" s="2">
        <v>42907.0</v>
      </c>
      <c r="M221" s="1">
        <v>0.0</v>
      </c>
      <c r="N221" s="1" t="s">
        <v>75</v>
      </c>
      <c r="O221" s="1" t="s">
        <v>76</v>
      </c>
      <c r="P221" s="1" t="s">
        <v>2308</v>
      </c>
      <c r="S221" s="1" t="s">
        <v>151</v>
      </c>
      <c r="T221" s="1">
        <v>444.0</v>
      </c>
      <c r="U221" s="3" t="s">
        <v>2309</v>
      </c>
      <c r="V221" s="1">
        <v>719790.0</v>
      </c>
      <c r="W221" s="1" t="s">
        <v>2310</v>
      </c>
      <c r="X221" s="3" t="s">
        <v>2311</v>
      </c>
      <c r="Y221" s="3" t="s">
        <v>2312</v>
      </c>
      <c r="Z221" s="1">
        <v>1.0</v>
      </c>
      <c r="AA221" s="1" t="s">
        <v>2313</v>
      </c>
      <c r="AB221" s="1">
        <v>21.0</v>
      </c>
      <c r="AC221" s="1">
        <v>31.0</v>
      </c>
      <c r="AD221" s="1">
        <v>7.0</v>
      </c>
      <c r="AE221" s="1">
        <v>11.0</v>
      </c>
      <c r="AF221" s="1">
        <v>1.0</v>
      </c>
      <c r="AG221" s="1">
        <v>1.0</v>
      </c>
      <c r="AH221" s="1">
        <v>5.0</v>
      </c>
      <c r="AI221" s="1">
        <v>2.0</v>
      </c>
      <c r="AJ221" s="1">
        <v>0.0</v>
      </c>
      <c r="AK221" s="1">
        <v>0.0</v>
      </c>
      <c r="AL221" s="1">
        <v>5.0</v>
      </c>
      <c r="AM221" s="1">
        <v>5.0</v>
      </c>
      <c r="AN221" s="1">
        <v>1.0</v>
      </c>
    </row>
    <row r="222">
      <c r="A222" s="1">
        <v>94.0</v>
      </c>
      <c r="B222" s="1" t="s">
        <v>2314</v>
      </c>
      <c r="C222" s="1" t="s">
        <v>2315</v>
      </c>
      <c r="D222" s="1" t="s">
        <v>2316</v>
      </c>
      <c r="E222" s="1" t="s">
        <v>43</v>
      </c>
      <c r="F222" s="2">
        <v>18446.0</v>
      </c>
      <c r="G222" s="1" t="s">
        <v>2317</v>
      </c>
      <c r="H222" s="1">
        <v>63.0</v>
      </c>
      <c r="I222" s="1" t="s">
        <v>114</v>
      </c>
      <c r="J222" s="1">
        <v>5.0</v>
      </c>
      <c r="K222" s="2">
        <v>42907.0</v>
      </c>
      <c r="M222" s="1">
        <v>0.0</v>
      </c>
      <c r="N222" s="1" t="s">
        <v>101</v>
      </c>
      <c r="O222" s="1" t="s">
        <v>102</v>
      </c>
      <c r="P222" s="1" t="s">
        <v>2318</v>
      </c>
      <c r="S222" s="1" t="s">
        <v>2319</v>
      </c>
      <c r="T222" s="1">
        <v>587.0</v>
      </c>
      <c r="U222" s="3" t="s">
        <v>2320</v>
      </c>
      <c r="V222" s="1">
        <v>267306.0</v>
      </c>
      <c r="W222" s="1" t="s">
        <v>2321</v>
      </c>
      <c r="X222" s="3" t="s">
        <v>2322</v>
      </c>
      <c r="Y222" s="3" t="s">
        <v>2323</v>
      </c>
      <c r="Z222" s="1">
        <v>1.0</v>
      </c>
      <c r="AA222" s="1" t="s">
        <v>2324</v>
      </c>
      <c r="AB222" s="1">
        <v>21.0</v>
      </c>
      <c r="AC222" s="1">
        <v>34.0</v>
      </c>
      <c r="AD222" s="1">
        <v>51.0</v>
      </c>
      <c r="AE222" s="1">
        <v>159.0</v>
      </c>
      <c r="AF222" s="1">
        <v>209.0</v>
      </c>
      <c r="AG222" s="1">
        <v>43.0</v>
      </c>
      <c r="AH222" s="1">
        <v>659.0</v>
      </c>
      <c r="AI222" s="1">
        <v>22.0</v>
      </c>
      <c r="AJ222" s="1">
        <v>0.0</v>
      </c>
      <c r="AK222" s="1">
        <v>2.0</v>
      </c>
      <c r="AL222" s="1">
        <v>20.0</v>
      </c>
      <c r="AM222" s="1">
        <v>31.0</v>
      </c>
      <c r="AN222" s="1">
        <v>2.0</v>
      </c>
    </row>
    <row r="223">
      <c r="A223" s="1">
        <v>236.0</v>
      </c>
      <c r="B223" s="1" t="s">
        <v>2325</v>
      </c>
      <c r="C223" s="1" t="s">
        <v>2326</v>
      </c>
      <c r="D223" s="1" t="s">
        <v>42</v>
      </c>
      <c r="E223" s="1" t="s">
        <v>43</v>
      </c>
      <c r="F223" s="2">
        <v>26437.0</v>
      </c>
      <c r="G223" s="1" t="s">
        <v>672</v>
      </c>
      <c r="H223" s="1">
        <v>24.0</v>
      </c>
      <c r="I223" s="1" t="s">
        <v>2327</v>
      </c>
      <c r="J223" s="1">
        <v>1.0</v>
      </c>
      <c r="K223" s="2">
        <v>42907.0</v>
      </c>
      <c r="M223" s="1">
        <v>0.0</v>
      </c>
      <c r="N223" s="1" t="s">
        <v>75</v>
      </c>
      <c r="O223" s="1" t="s">
        <v>76</v>
      </c>
      <c r="P223" s="1" t="s">
        <v>2328</v>
      </c>
      <c r="S223" s="1" t="s">
        <v>1979</v>
      </c>
      <c r="T223" s="1">
        <v>405.0</v>
      </c>
      <c r="U223" s="3" t="s">
        <v>2329</v>
      </c>
      <c r="V223" s="1">
        <v>719250.0</v>
      </c>
      <c r="W223" s="1" t="s">
        <v>2330</v>
      </c>
      <c r="X223" s="3" t="s">
        <v>2331</v>
      </c>
      <c r="Y223" s="3" t="s">
        <v>2332</v>
      </c>
      <c r="Z223" s="1">
        <v>1.0</v>
      </c>
      <c r="AB223" s="1">
        <v>21.0</v>
      </c>
      <c r="AC223" s="1">
        <v>48.0</v>
      </c>
      <c r="AD223" s="1">
        <v>15.0</v>
      </c>
      <c r="AE223" s="1">
        <v>5.0</v>
      </c>
      <c r="AF223" s="1">
        <v>0.0</v>
      </c>
      <c r="AG223" s="1">
        <v>0.0</v>
      </c>
      <c r="AH223" s="1">
        <v>149.0</v>
      </c>
      <c r="AI223" s="1">
        <v>101.0</v>
      </c>
      <c r="AJ223" s="1">
        <v>1.0</v>
      </c>
      <c r="AK223" s="1">
        <v>0.0</v>
      </c>
      <c r="AL223" s="1">
        <v>5.0</v>
      </c>
      <c r="AM223" s="1">
        <v>2.0</v>
      </c>
      <c r="AN223" s="1">
        <v>0.0</v>
      </c>
    </row>
    <row r="224">
      <c r="A224" s="1">
        <v>261.0</v>
      </c>
      <c r="B224" s="1" t="s">
        <v>2333</v>
      </c>
      <c r="C224" s="1" t="s">
        <v>2334</v>
      </c>
      <c r="D224" s="1" t="s">
        <v>1490</v>
      </c>
      <c r="E224" s="1" t="s">
        <v>43</v>
      </c>
      <c r="F224" s="2">
        <v>26622.0</v>
      </c>
      <c r="G224" s="1" t="s">
        <v>2335</v>
      </c>
      <c r="H224" s="1">
        <v>18.0</v>
      </c>
      <c r="I224" s="1" t="s">
        <v>2336</v>
      </c>
      <c r="J224" s="1">
        <v>1.0</v>
      </c>
      <c r="K224" s="2">
        <v>42907.0</v>
      </c>
      <c r="M224" s="1">
        <v>0.0</v>
      </c>
      <c r="N224" s="1" t="s">
        <v>75</v>
      </c>
      <c r="O224" s="1" t="s">
        <v>76</v>
      </c>
      <c r="P224" s="3" t="s">
        <v>2337</v>
      </c>
      <c r="S224" s="1" t="s">
        <v>2338</v>
      </c>
      <c r="T224" s="1">
        <v>300.0</v>
      </c>
      <c r="U224" s="3" t="s">
        <v>2339</v>
      </c>
      <c r="V224" s="1">
        <v>719118.0</v>
      </c>
      <c r="W224" s="1" t="s">
        <v>2340</v>
      </c>
      <c r="X224" s="3" t="s">
        <v>2341</v>
      </c>
      <c r="Y224" s="3" t="s">
        <v>2342</v>
      </c>
      <c r="Z224" s="1">
        <v>1.0</v>
      </c>
      <c r="AB224" s="1">
        <v>21.0</v>
      </c>
      <c r="AC224" s="1">
        <v>27.0</v>
      </c>
      <c r="AD224" s="1">
        <v>8.0</v>
      </c>
      <c r="AE224" s="1">
        <v>26.0</v>
      </c>
      <c r="AF224" s="1">
        <v>18.0</v>
      </c>
      <c r="AG224" s="1">
        <v>1.0</v>
      </c>
      <c r="AH224" s="1">
        <v>46.0</v>
      </c>
      <c r="AI224" s="1">
        <v>13.0</v>
      </c>
      <c r="AJ224" s="1">
        <v>0.0</v>
      </c>
      <c r="AK224" s="1">
        <v>0.0</v>
      </c>
      <c r="AL224" s="1">
        <v>5.0</v>
      </c>
      <c r="AM224" s="1">
        <v>5.0</v>
      </c>
      <c r="AN224" s="1">
        <v>1.0</v>
      </c>
    </row>
    <row r="225">
      <c r="A225" s="1">
        <v>515.0</v>
      </c>
      <c r="B225" s="1" t="s">
        <v>2343</v>
      </c>
      <c r="C225" s="1" t="s">
        <v>2344</v>
      </c>
      <c r="D225" s="1" t="s">
        <v>2345</v>
      </c>
      <c r="E225" s="1" t="s">
        <v>58</v>
      </c>
      <c r="F225" s="2">
        <v>21823.0</v>
      </c>
      <c r="G225" s="1" t="s">
        <v>2346</v>
      </c>
      <c r="H225" s="1">
        <v>71.0</v>
      </c>
      <c r="I225" s="1" t="s">
        <v>336</v>
      </c>
      <c r="J225" s="1">
        <v>2.0</v>
      </c>
      <c r="K225" s="2">
        <v>42907.0</v>
      </c>
      <c r="M225" s="1">
        <v>0.0</v>
      </c>
      <c r="N225" s="1" t="s">
        <v>61</v>
      </c>
      <c r="O225" s="1" t="s">
        <v>62</v>
      </c>
      <c r="P225" s="3" t="s">
        <v>2347</v>
      </c>
      <c r="S225" s="1" t="s">
        <v>2348</v>
      </c>
      <c r="T225" s="1">
        <v>6.0</v>
      </c>
      <c r="U225" s="3" t="s">
        <v>2349</v>
      </c>
      <c r="V225" s="1">
        <v>722390.0</v>
      </c>
      <c r="W225" s="1" t="s">
        <v>2350</v>
      </c>
      <c r="X225" s="3" t="s">
        <v>2351</v>
      </c>
      <c r="Y225" s="3" t="s">
        <v>2352</v>
      </c>
      <c r="Z225" s="1">
        <v>2.0</v>
      </c>
      <c r="AB225" s="1">
        <v>21.0</v>
      </c>
      <c r="AC225" s="1">
        <v>33.0</v>
      </c>
      <c r="AD225" s="1">
        <v>18.0</v>
      </c>
      <c r="AE225" s="1">
        <v>15.0</v>
      </c>
      <c r="AF225" s="1">
        <v>4.0</v>
      </c>
      <c r="AG225" s="1">
        <v>16.0</v>
      </c>
      <c r="AH225" s="1">
        <v>710.0</v>
      </c>
      <c r="AI225" s="1">
        <v>30.0</v>
      </c>
      <c r="AJ225" s="1">
        <v>0.0</v>
      </c>
      <c r="AK225" s="1">
        <v>0.0</v>
      </c>
      <c r="AL225" s="1">
        <v>25.0</v>
      </c>
      <c r="AM225" s="1">
        <v>16.0</v>
      </c>
      <c r="AN225" s="1">
        <v>2.0</v>
      </c>
    </row>
    <row r="226">
      <c r="A226" s="1">
        <v>391.0</v>
      </c>
      <c r="B226" s="1" t="s">
        <v>2353</v>
      </c>
      <c r="C226" s="1" t="s">
        <v>2354</v>
      </c>
      <c r="D226" s="1" t="s">
        <v>2355</v>
      </c>
      <c r="E226" s="1" t="s">
        <v>58</v>
      </c>
      <c r="F226" s="2">
        <v>31617.0</v>
      </c>
      <c r="G226" s="1" t="s">
        <v>780</v>
      </c>
      <c r="H226" s="1">
        <v>33.0</v>
      </c>
      <c r="I226" s="1" t="s">
        <v>348</v>
      </c>
      <c r="J226" s="1">
        <v>7.0</v>
      </c>
      <c r="K226" s="2">
        <v>42907.0</v>
      </c>
      <c r="M226" s="1">
        <v>0.0</v>
      </c>
      <c r="N226" s="1" t="s">
        <v>75</v>
      </c>
      <c r="O226" s="1" t="s">
        <v>76</v>
      </c>
      <c r="P226" s="1" t="s">
        <v>2356</v>
      </c>
      <c r="S226" s="1" t="s">
        <v>162</v>
      </c>
      <c r="T226" s="1">
        <v>322.0</v>
      </c>
      <c r="U226" s="3" t="s">
        <v>2357</v>
      </c>
      <c r="V226" s="1">
        <v>719624.0</v>
      </c>
      <c r="W226" s="1" t="s">
        <v>2358</v>
      </c>
      <c r="X226" s="3" t="s">
        <v>2359</v>
      </c>
      <c r="Y226" s="3" t="s">
        <v>2360</v>
      </c>
      <c r="Z226" s="1">
        <v>1.0</v>
      </c>
      <c r="AA226" s="1" t="s">
        <v>2361</v>
      </c>
      <c r="AB226" s="1">
        <v>21.0</v>
      </c>
      <c r="AC226" s="1">
        <v>39.0</v>
      </c>
      <c r="AD226" s="1">
        <v>15.0</v>
      </c>
      <c r="AE226" s="1">
        <v>3.0</v>
      </c>
      <c r="AF226" s="1">
        <v>0.0</v>
      </c>
      <c r="AG226" s="1">
        <v>0.0</v>
      </c>
      <c r="AH226" s="1">
        <v>77.0</v>
      </c>
      <c r="AI226" s="1">
        <v>42.0</v>
      </c>
      <c r="AJ226" s="1">
        <v>0.0</v>
      </c>
      <c r="AK226" s="1">
        <v>0.0</v>
      </c>
      <c r="AL226" s="1">
        <v>5.0</v>
      </c>
      <c r="AM226" s="1">
        <v>11.0</v>
      </c>
      <c r="AN226" s="1">
        <v>2.0</v>
      </c>
    </row>
    <row r="227">
      <c r="A227" s="1">
        <v>521.0</v>
      </c>
      <c r="B227" s="1" t="s">
        <v>2362</v>
      </c>
      <c r="C227" s="1" t="s">
        <v>2363</v>
      </c>
      <c r="D227" s="1" t="s">
        <v>810</v>
      </c>
      <c r="E227" s="1" t="s">
        <v>43</v>
      </c>
      <c r="F227" s="2">
        <v>18123.0</v>
      </c>
      <c r="G227" s="1" t="s">
        <v>2364</v>
      </c>
      <c r="H227" s="1">
        <v>24.0</v>
      </c>
      <c r="I227" s="1" t="s">
        <v>2327</v>
      </c>
      <c r="J227" s="1">
        <v>2.0</v>
      </c>
      <c r="K227" s="2">
        <v>42907.0</v>
      </c>
      <c r="M227" s="1">
        <v>0.0</v>
      </c>
      <c r="N227" s="1" t="s">
        <v>75</v>
      </c>
      <c r="O227" s="1" t="s">
        <v>76</v>
      </c>
      <c r="P227" s="1" t="s">
        <v>2365</v>
      </c>
      <c r="S227" s="1" t="s">
        <v>2366</v>
      </c>
      <c r="T227" s="1">
        <v>437.0</v>
      </c>
      <c r="U227" s="3" t="s">
        <v>2367</v>
      </c>
      <c r="V227" s="1">
        <v>719258.0</v>
      </c>
      <c r="W227" s="1" t="s">
        <v>2368</v>
      </c>
      <c r="X227" s="3" t="s">
        <v>2369</v>
      </c>
      <c r="Y227" s="3" t="s">
        <v>2370</v>
      </c>
      <c r="Z227" s="1">
        <v>1.0</v>
      </c>
      <c r="AA227" s="1" t="s">
        <v>2371</v>
      </c>
      <c r="AB227" s="1">
        <v>21.0</v>
      </c>
      <c r="AC227" s="1">
        <v>47.0</v>
      </c>
      <c r="AD227" s="1">
        <v>16.0</v>
      </c>
      <c r="AE227" s="1">
        <v>7.0</v>
      </c>
      <c r="AF227" s="1">
        <v>1.0</v>
      </c>
      <c r="AG227" s="1">
        <v>0.0</v>
      </c>
      <c r="AH227" s="1">
        <v>64.0</v>
      </c>
      <c r="AI227" s="1">
        <v>26.0</v>
      </c>
      <c r="AJ227" s="1">
        <v>0.0</v>
      </c>
      <c r="AK227" s="1">
        <v>0.0</v>
      </c>
      <c r="AL227" s="1">
        <v>5.0</v>
      </c>
      <c r="AM227" s="1">
        <v>3.0</v>
      </c>
      <c r="AN227" s="1">
        <v>2.0</v>
      </c>
    </row>
    <row r="228">
      <c r="A228" s="1">
        <v>386.0</v>
      </c>
      <c r="B228" s="1" t="s">
        <v>2372</v>
      </c>
      <c r="C228" s="1" t="s">
        <v>2373</v>
      </c>
      <c r="D228" s="1" t="s">
        <v>2374</v>
      </c>
      <c r="E228" s="1" t="s">
        <v>43</v>
      </c>
      <c r="F228" s="2">
        <v>26502.0</v>
      </c>
      <c r="G228" s="1" t="s">
        <v>347</v>
      </c>
      <c r="H228" s="1">
        <v>34.0</v>
      </c>
      <c r="I228" s="1" t="s">
        <v>1252</v>
      </c>
      <c r="J228" s="1">
        <v>8.0</v>
      </c>
      <c r="K228" s="2">
        <v>42907.0</v>
      </c>
      <c r="M228" s="1">
        <v>0.0</v>
      </c>
      <c r="N228" s="1" t="s">
        <v>75</v>
      </c>
      <c r="O228" s="1" t="s">
        <v>76</v>
      </c>
      <c r="P228" s="1" t="s">
        <v>2375</v>
      </c>
      <c r="S228" s="1" t="s">
        <v>2376</v>
      </c>
      <c r="T228" s="1">
        <v>487.0</v>
      </c>
      <c r="U228" s="3" t="s">
        <v>2377</v>
      </c>
      <c r="V228" s="1">
        <v>719830.0</v>
      </c>
      <c r="W228" s="1" t="s">
        <v>2378</v>
      </c>
      <c r="X228" s="3" t="s">
        <v>2379</v>
      </c>
      <c r="Y228" s="3" t="s">
        <v>2380</v>
      </c>
      <c r="Z228" s="1">
        <v>1.0</v>
      </c>
      <c r="AA228" s="1" t="s">
        <v>2381</v>
      </c>
      <c r="AB228" s="1">
        <v>21.0</v>
      </c>
      <c r="AC228" s="1">
        <v>32.0</v>
      </c>
      <c r="AD228" s="1">
        <v>28.0</v>
      </c>
      <c r="AE228" s="1">
        <v>0.0</v>
      </c>
      <c r="AF228" s="1">
        <v>1.0</v>
      </c>
      <c r="AG228" s="1">
        <v>47.0</v>
      </c>
      <c r="AH228" s="1">
        <v>102.0</v>
      </c>
      <c r="AI228" s="1">
        <v>70.0</v>
      </c>
      <c r="AJ228" s="1">
        <v>1.0</v>
      </c>
      <c r="AK228" s="1">
        <v>0.0</v>
      </c>
      <c r="AL228" s="1">
        <v>5.0</v>
      </c>
      <c r="AM228" s="1">
        <v>3.0</v>
      </c>
      <c r="AN228" s="1">
        <v>0.0</v>
      </c>
    </row>
    <row r="229">
      <c r="A229" s="1">
        <v>518.0</v>
      </c>
      <c r="B229" s="1" t="s">
        <v>2382</v>
      </c>
      <c r="C229" s="1" t="s">
        <v>2383</v>
      </c>
      <c r="D229" s="1" t="s">
        <v>2384</v>
      </c>
      <c r="E229" s="1" t="s">
        <v>43</v>
      </c>
      <c r="F229" s="2">
        <v>28880.0</v>
      </c>
      <c r="G229" s="1" t="s">
        <v>2385</v>
      </c>
      <c r="H229" s="1">
        <v>71.0</v>
      </c>
      <c r="I229" s="1" t="s">
        <v>336</v>
      </c>
      <c r="J229" s="1">
        <v>1.0</v>
      </c>
      <c r="K229" s="2">
        <v>42907.0</v>
      </c>
      <c r="M229" s="1">
        <v>0.0</v>
      </c>
      <c r="N229" s="1" t="s">
        <v>75</v>
      </c>
      <c r="O229" s="1" t="s">
        <v>76</v>
      </c>
      <c r="P229" s="3" t="s">
        <v>2386</v>
      </c>
      <c r="S229" s="1" t="s">
        <v>198</v>
      </c>
      <c r="T229" s="1">
        <v>205.0</v>
      </c>
      <c r="U229" s="3" t="s">
        <v>2387</v>
      </c>
      <c r="V229" s="1">
        <v>722382.0</v>
      </c>
      <c r="W229" s="1" t="s">
        <v>2388</v>
      </c>
      <c r="X229" s="3" t="s">
        <v>2389</v>
      </c>
      <c r="Y229" s="3" t="s">
        <v>2390</v>
      </c>
      <c r="Z229" s="1">
        <v>1.0</v>
      </c>
      <c r="AA229" s="1" t="s">
        <v>2391</v>
      </c>
      <c r="AB229" s="1">
        <v>21.0</v>
      </c>
      <c r="AC229" s="1">
        <v>36.0</v>
      </c>
      <c r="AD229" s="1">
        <v>2.0</v>
      </c>
      <c r="AE229" s="1">
        <v>2.0</v>
      </c>
      <c r="AF229" s="1">
        <v>0.0</v>
      </c>
      <c r="AG229" s="1">
        <v>0.0</v>
      </c>
      <c r="AH229" s="1">
        <v>15.0</v>
      </c>
      <c r="AI229" s="1">
        <v>7.0</v>
      </c>
      <c r="AJ229" s="1">
        <v>0.0</v>
      </c>
      <c r="AK229" s="1">
        <v>0.0</v>
      </c>
      <c r="AL229" s="1">
        <v>5.0</v>
      </c>
      <c r="AM229" s="1">
        <v>0.0</v>
      </c>
      <c r="AN229" s="1">
        <v>1.0</v>
      </c>
    </row>
    <row r="230">
      <c r="A230" s="1">
        <v>78.0</v>
      </c>
      <c r="B230" s="1" t="s">
        <v>2392</v>
      </c>
      <c r="C230" s="1" t="s">
        <v>2393</v>
      </c>
      <c r="D230" s="1" t="s">
        <v>2394</v>
      </c>
      <c r="E230" s="1" t="s">
        <v>58</v>
      </c>
      <c r="F230" s="2">
        <v>21188.0</v>
      </c>
      <c r="G230" s="1" t="s">
        <v>2395</v>
      </c>
      <c r="H230" s="1">
        <v>65.0</v>
      </c>
      <c r="I230" s="1" t="s">
        <v>2396</v>
      </c>
      <c r="J230" s="1">
        <v>2.0</v>
      </c>
      <c r="K230" s="2">
        <v>42907.0</v>
      </c>
      <c r="M230" s="1">
        <v>0.0</v>
      </c>
      <c r="N230" s="1" t="s">
        <v>814</v>
      </c>
      <c r="O230" s="1" t="s">
        <v>2397</v>
      </c>
      <c r="P230" s="1" t="s">
        <v>2398</v>
      </c>
      <c r="S230" s="1" t="s">
        <v>118</v>
      </c>
      <c r="T230" s="1">
        <v>191.0</v>
      </c>
      <c r="U230" s="3" t="s">
        <v>2399</v>
      </c>
      <c r="V230" s="1">
        <v>608292.0</v>
      </c>
      <c r="W230" s="1" t="s">
        <v>2400</v>
      </c>
      <c r="X230" s="3" t="s">
        <v>2401</v>
      </c>
      <c r="Y230" s="3" t="s">
        <v>2402</v>
      </c>
      <c r="Z230" s="1">
        <v>1.0</v>
      </c>
      <c r="AB230" s="1">
        <v>21.0</v>
      </c>
      <c r="AC230" s="1">
        <v>48.0</v>
      </c>
      <c r="AD230" s="1">
        <v>74.0</v>
      </c>
      <c r="AE230" s="1">
        <v>51.0</v>
      </c>
      <c r="AF230" s="1">
        <v>14.0</v>
      </c>
      <c r="AG230" s="1">
        <v>95.0</v>
      </c>
      <c r="AH230" s="1">
        <v>147.0</v>
      </c>
      <c r="AI230" s="1">
        <v>5.0</v>
      </c>
      <c r="AJ230" s="1">
        <v>0.0</v>
      </c>
      <c r="AK230" s="1">
        <v>0.0</v>
      </c>
      <c r="AL230" s="1">
        <v>3.0</v>
      </c>
      <c r="AM230" s="1">
        <v>17.0</v>
      </c>
      <c r="AN230" s="1">
        <v>0.0</v>
      </c>
    </row>
    <row r="231">
      <c r="A231" s="1">
        <v>254.0</v>
      </c>
      <c r="B231" s="1" t="s">
        <v>2403</v>
      </c>
      <c r="C231" s="1" t="s">
        <v>2404</v>
      </c>
      <c r="D231" s="1" t="s">
        <v>1902</v>
      </c>
      <c r="E231" s="1" t="s">
        <v>58</v>
      </c>
      <c r="F231" s="2">
        <v>18980.0</v>
      </c>
      <c r="G231" s="1" t="s">
        <v>2405</v>
      </c>
      <c r="H231" s="1">
        <v>49.0</v>
      </c>
      <c r="I231" s="1" t="s">
        <v>220</v>
      </c>
      <c r="J231" s="1">
        <v>6.0</v>
      </c>
      <c r="K231" s="2">
        <v>42907.0</v>
      </c>
      <c r="M231" s="1">
        <v>0.0</v>
      </c>
      <c r="N231" s="1" t="s">
        <v>75</v>
      </c>
      <c r="O231" s="1" t="s">
        <v>76</v>
      </c>
      <c r="P231" s="1" t="s">
        <v>2406</v>
      </c>
      <c r="S231" s="1" t="s">
        <v>2407</v>
      </c>
      <c r="T231" s="1">
        <v>302.0</v>
      </c>
      <c r="U231" s="3" t="s">
        <v>2408</v>
      </c>
      <c r="V231" s="1">
        <v>720154.0</v>
      </c>
      <c r="W231" s="1" t="s">
        <v>2409</v>
      </c>
      <c r="X231" s="3" t="s">
        <v>2410</v>
      </c>
      <c r="Y231" s="3" t="s">
        <v>2411</v>
      </c>
      <c r="Z231" s="1">
        <v>1.0</v>
      </c>
      <c r="AA231" s="1" t="s">
        <v>2412</v>
      </c>
      <c r="AB231" s="1">
        <v>21.0</v>
      </c>
      <c r="AC231" s="1">
        <v>35.0</v>
      </c>
      <c r="AD231" s="1">
        <v>0.0</v>
      </c>
      <c r="AE231" s="1">
        <v>10.0</v>
      </c>
      <c r="AF231" s="1">
        <v>1.0</v>
      </c>
      <c r="AG231" s="1">
        <v>0.0</v>
      </c>
      <c r="AH231" s="1">
        <v>66.0</v>
      </c>
      <c r="AI231" s="1">
        <v>25.0</v>
      </c>
      <c r="AJ231" s="1">
        <v>0.0</v>
      </c>
      <c r="AK231" s="1">
        <v>0.0</v>
      </c>
      <c r="AL231" s="1">
        <v>5.0</v>
      </c>
      <c r="AM231" s="1">
        <v>5.0</v>
      </c>
      <c r="AN231" s="1">
        <v>2.0</v>
      </c>
    </row>
    <row r="232">
      <c r="A232" s="1">
        <v>291.0</v>
      </c>
      <c r="B232" s="1" t="s">
        <v>2413</v>
      </c>
      <c r="C232" s="1" t="s">
        <v>2414</v>
      </c>
      <c r="D232" s="1" t="s">
        <v>2415</v>
      </c>
      <c r="E232" s="1" t="s">
        <v>58</v>
      </c>
      <c r="F232" s="2">
        <v>29083.0</v>
      </c>
      <c r="G232" s="1" t="s">
        <v>1440</v>
      </c>
      <c r="H232" s="1">
        <v>74.0</v>
      </c>
      <c r="I232" s="1" t="s">
        <v>1441</v>
      </c>
      <c r="J232" s="1">
        <v>4.0</v>
      </c>
      <c r="K232" s="2">
        <v>42907.0</v>
      </c>
      <c r="M232" s="1">
        <v>0.0</v>
      </c>
      <c r="N232" s="1" t="s">
        <v>61</v>
      </c>
      <c r="O232" s="1" t="s">
        <v>62</v>
      </c>
      <c r="P232" s="1" t="s">
        <v>2416</v>
      </c>
      <c r="S232" s="1" t="s">
        <v>472</v>
      </c>
      <c r="T232" s="1">
        <v>95.0</v>
      </c>
      <c r="U232" s="3" t="s">
        <v>2417</v>
      </c>
      <c r="V232" s="1">
        <v>608826.0</v>
      </c>
      <c r="W232" s="1" t="s">
        <v>2418</v>
      </c>
      <c r="X232" s="3" t="s">
        <v>2419</v>
      </c>
      <c r="Y232" s="3" t="s">
        <v>2420</v>
      </c>
      <c r="Z232" s="1">
        <v>1.0</v>
      </c>
      <c r="AA232" s="1" t="s">
        <v>2421</v>
      </c>
      <c r="AB232" s="1">
        <v>21.0</v>
      </c>
      <c r="AC232" s="1">
        <v>39.0</v>
      </c>
      <c r="AD232" s="1">
        <v>20.0</v>
      </c>
      <c r="AE232" s="1">
        <v>20.0</v>
      </c>
      <c r="AF232" s="1">
        <v>3.0</v>
      </c>
      <c r="AG232" s="1">
        <v>13.0</v>
      </c>
      <c r="AH232" s="1">
        <v>1310.0</v>
      </c>
      <c r="AI232" s="1">
        <v>45.0</v>
      </c>
      <c r="AJ232" s="1">
        <v>0.0</v>
      </c>
      <c r="AK232" s="1">
        <v>6.0</v>
      </c>
      <c r="AL232" s="1">
        <v>80.0</v>
      </c>
      <c r="AM232" s="1">
        <v>31.0</v>
      </c>
      <c r="AN232" s="1">
        <v>3.0</v>
      </c>
    </row>
    <row r="233">
      <c r="A233" s="1">
        <v>24.0</v>
      </c>
      <c r="B233" s="1" t="s">
        <v>2422</v>
      </c>
      <c r="C233" s="1" t="s">
        <v>2423</v>
      </c>
      <c r="D233" s="1" t="s">
        <v>589</v>
      </c>
      <c r="E233" s="1" t="s">
        <v>43</v>
      </c>
      <c r="F233" s="2">
        <v>20913.0</v>
      </c>
      <c r="G233" s="1" t="s">
        <v>2424</v>
      </c>
      <c r="H233" s="1">
        <v>62.0</v>
      </c>
      <c r="I233" s="1" t="s">
        <v>427</v>
      </c>
      <c r="J233" s="1">
        <v>1.0</v>
      </c>
      <c r="K233" s="2">
        <v>42907.0</v>
      </c>
      <c r="M233" s="1">
        <v>0.0</v>
      </c>
      <c r="N233" s="1" t="s">
        <v>280</v>
      </c>
      <c r="O233" s="1" t="s">
        <v>281</v>
      </c>
      <c r="P233" s="1" t="s">
        <v>2425</v>
      </c>
      <c r="S233" s="1" t="s">
        <v>234</v>
      </c>
      <c r="T233" s="1">
        <v>171.0</v>
      </c>
      <c r="U233" s="3" t="s">
        <v>2426</v>
      </c>
      <c r="V233" s="1">
        <v>720652.0</v>
      </c>
      <c r="W233" s="1" t="s">
        <v>2427</v>
      </c>
      <c r="X233" s="3" t="s">
        <v>2428</v>
      </c>
      <c r="Y233" s="3" t="s">
        <v>2429</v>
      </c>
      <c r="Z233" s="1">
        <v>1.0</v>
      </c>
      <c r="AA233" s="1" t="s">
        <v>2430</v>
      </c>
      <c r="AB233" s="1">
        <v>21.0</v>
      </c>
      <c r="AC233" s="1">
        <v>31.0</v>
      </c>
      <c r="AD233" s="1">
        <v>19.0</v>
      </c>
      <c r="AE233" s="1">
        <v>20.0</v>
      </c>
      <c r="AF233" s="1">
        <v>6.0</v>
      </c>
      <c r="AG233" s="1">
        <v>8.0</v>
      </c>
      <c r="AH233" s="1">
        <v>208.0</v>
      </c>
      <c r="AI233" s="1">
        <v>22.0</v>
      </c>
      <c r="AJ233" s="1">
        <v>0.0</v>
      </c>
      <c r="AK233" s="1">
        <v>0.0</v>
      </c>
      <c r="AL233" s="1">
        <v>5.0</v>
      </c>
      <c r="AM233" s="1">
        <v>2.0</v>
      </c>
      <c r="AN233" s="1">
        <v>1.0</v>
      </c>
    </row>
    <row r="234">
      <c r="A234" s="1">
        <v>30.0</v>
      </c>
      <c r="B234" s="1" t="s">
        <v>2431</v>
      </c>
      <c r="C234" s="1" t="s">
        <v>2432</v>
      </c>
      <c r="D234" s="1" t="s">
        <v>522</v>
      </c>
      <c r="E234" s="1" t="s">
        <v>43</v>
      </c>
      <c r="F234" s="2">
        <v>24564.0</v>
      </c>
      <c r="G234" s="1" t="s">
        <v>1772</v>
      </c>
      <c r="H234" s="1">
        <v>34.0</v>
      </c>
      <c r="I234" s="1" t="s">
        <v>1252</v>
      </c>
      <c r="J234" s="1">
        <v>7.0</v>
      </c>
      <c r="K234" s="2">
        <v>42907.0</v>
      </c>
      <c r="M234" s="1">
        <v>0.0</v>
      </c>
      <c r="N234" s="1" t="s">
        <v>75</v>
      </c>
      <c r="O234" s="1" t="s">
        <v>76</v>
      </c>
      <c r="P234" s="1" t="s">
        <v>2433</v>
      </c>
      <c r="S234" s="1" t="s">
        <v>2434</v>
      </c>
      <c r="T234" s="1">
        <v>312.0</v>
      </c>
      <c r="U234" s="3" t="s">
        <v>2435</v>
      </c>
      <c r="V234" s="1">
        <v>719616.0</v>
      </c>
      <c r="W234" s="1" t="s">
        <v>2436</v>
      </c>
      <c r="X234" s="3" t="s">
        <v>2437</v>
      </c>
      <c r="Y234" s="3" t="s">
        <v>2438</v>
      </c>
      <c r="Z234" s="1">
        <v>1.0</v>
      </c>
      <c r="AA234" s="1" t="s">
        <v>2439</v>
      </c>
      <c r="AB234" s="1">
        <v>21.0</v>
      </c>
      <c r="AC234" s="1">
        <v>41.0</v>
      </c>
      <c r="AD234" s="1">
        <v>25.0</v>
      </c>
      <c r="AE234" s="1">
        <v>32.0</v>
      </c>
      <c r="AF234" s="1">
        <v>9.0</v>
      </c>
      <c r="AG234" s="1">
        <v>27.0</v>
      </c>
      <c r="AH234" s="1">
        <v>91.0</v>
      </c>
      <c r="AI234" s="1">
        <v>52.0</v>
      </c>
      <c r="AJ234" s="1">
        <v>2.0</v>
      </c>
      <c r="AK234" s="1">
        <v>0.0</v>
      </c>
      <c r="AL234" s="1">
        <v>5.0</v>
      </c>
      <c r="AM234" s="1">
        <v>4.0</v>
      </c>
      <c r="AN234" s="1">
        <v>1.0</v>
      </c>
    </row>
    <row r="235">
      <c r="A235" s="1">
        <v>284.0</v>
      </c>
      <c r="B235" s="1" t="s">
        <v>2440</v>
      </c>
      <c r="C235" s="1" t="s">
        <v>2441</v>
      </c>
      <c r="D235" s="1" t="s">
        <v>705</v>
      </c>
      <c r="E235" s="1" t="s">
        <v>43</v>
      </c>
      <c r="F235" s="2">
        <v>25534.0</v>
      </c>
      <c r="G235" s="1" t="s">
        <v>2442</v>
      </c>
      <c r="H235" s="1">
        <v>69.0</v>
      </c>
      <c r="I235" s="1" t="s">
        <v>1363</v>
      </c>
      <c r="J235" s="1">
        <v>11.0</v>
      </c>
      <c r="K235" s="2">
        <v>42907.0</v>
      </c>
      <c r="M235" s="1">
        <v>0.0</v>
      </c>
      <c r="N235" s="1" t="s">
        <v>75</v>
      </c>
      <c r="O235" s="1" t="s">
        <v>76</v>
      </c>
      <c r="P235" s="3" t="s">
        <v>2443</v>
      </c>
      <c r="S235" s="1" t="s">
        <v>1592</v>
      </c>
      <c r="T235" s="1">
        <v>374.0</v>
      </c>
      <c r="U235" s="3" t="s">
        <v>2444</v>
      </c>
      <c r="V235" s="1">
        <v>722366.0</v>
      </c>
      <c r="W235" s="1" t="s">
        <v>2445</v>
      </c>
      <c r="X235" s="3" t="s">
        <v>2446</v>
      </c>
      <c r="Y235" s="3" t="s">
        <v>2447</v>
      </c>
      <c r="Z235" s="1">
        <v>1.0</v>
      </c>
      <c r="AA235" s="1" t="s">
        <v>2448</v>
      </c>
      <c r="AB235" s="1">
        <v>21.0</v>
      </c>
      <c r="AC235" s="1">
        <v>34.0</v>
      </c>
      <c r="AD235" s="1">
        <v>13.0</v>
      </c>
      <c r="AE235" s="1">
        <v>23.0</v>
      </c>
      <c r="AF235" s="1">
        <v>7.0</v>
      </c>
      <c r="AG235" s="1">
        <v>0.0</v>
      </c>
      <c r="AH235" s="1">
        <v>115.0</v>
      </c>
      <c r="AI235" s="1">
        <v>50.0</v>
      </c>
      <c r="AJ235" s="1">
        <v>0.0</v>
      </c>
      <c r="AK235" s="1">
        <v>0.0</v>
      </c>
      <c r="AL235" s="1">
        <v>6.0</v>
      </c>
      <c r="AM235" s="1">
        <v>5.0</v>
      </c>
      <c r="AN235" s="1">
        <v>3.0</v>
      </c>
    </row>
    <row r="236">
      <c r="A236" s="1">
        <v>476.0</v>
      </c>
      <c r="B236" s="1" t="s">
        <v>2449</v>
      </c>
      <c r="C236" s="1" t="s">
        <v>2450</v>
      </c>
      <c r="D236" s="1" t="s">
        <v>2451</v>
      </c>
      <c r="E236" s="1" t="s">
        <v>58</v>
      </c>
      <c r="F236" s="2">
        <v>26121.0</v>
      </c>
      <c r="G236" s="1" t="s">
        <v>2452</v>
      </c>
      <c r="H236" s="1">
        <v>94.0</v>
      </c>
      <c r="I236" s="1" t="s">
        <v>642</v>
      </c>
      <c r="J236" s="1">
        <v>11.0</v>
      </c>
      <c r="K236" s="2">
        <v>42907.0</v>
      </c>
      <c r="M236" s="1">
        <v>0.0</v>
      </c>
      <c r="N236" s="1" t="s">
        <v>75</v>
      </c>
      <c r="O236" s="1" t="s">
        <v>76</v>
      </c>
      <c r="P236" s="1" t="s">
        <v>2453</v>
      </c>
      <c r="S236" s="1" t="s">
        <v>2454</v>
      </c>
      <c r="T236" s="1">
        <v>216.0</v>
      </c>
      <c r="U236" s="3" t="s">
        <v>2455</v>
      </c>
      <c r="V236" s="1">
        <v>721246.0</v>
      </c>
      <c r="W236" s="1" t="s">
        <v>2456</v>
      </c>
      <c r="X236" s="3" t="s">
        <v>2457</v>
      </c>
      <c r="Y236" s="3" t="s">
        <v>2458</v>
      </c>
      <c r="Z236" s="1">
        <v>1.0</v>
      </c>
      <c r="AA236" s="1" t="s">
        <v>2459</v>
      </c>
      <c r="AB236" s="1">
        <v>21.0</v>
      </c>
      <c r="AC236" s="1">
        <v>51.0</v>
      </c>
      <c r="AD236" s="1">
        <v>13.0</v>
      </c>
      <c r="AE236" s="1">
        <v>7.0</v>
      </c>
      <c r="AF236" s="1">
        <v>2.0</v>
      </c>
      <c r="AG236" s="1">
        <v>0.0</v>
      </c>
      <c r="AH236" s="1">
        <v>60.0</v>
      </c>
      <c r="AI236" s="1">
        <v>27.0</v>
      </c>
      <c r="AJ236" s="1">
        <v>1.0</v>
      </c>
      <c r="AK236" s="1">
        <v>0.0</v>
      </c>
      <c r="AL236" s="1">
        <v>5.0</v>
      </c>
      <c r="AM236" s="1">
        <v>4.0</v>
      </c>
      <c r="AN236" s="1">
        <v>0.0</v>
      </c>
    </row>
    <row r="237">
      <c r="A237" s="1">
        <v>475.0</v>
      </c>
      <c r="B237" s="1" t="s">
        <v>2460</v>
      </c>
      <c r="C237" s="1" t="s">
        <v>2461</v>
      </c>
      <c r="D237" s="1" t="s">
        <v>2155</v>
      </c>
      <c r="E237" s="1" t="s">
        <v>58</v>
      </c>
      <c r="F237" s="2">
        <v>20705.0</v>
      </c>
      <c r="G237" s="1" t="s">
        <v>2462</v>
      </c>
      <c r="H237" s="1">
        <v>25.0</v>
      </c>
      <c r="I237" s="1" t="s">
        <v>149</v>
      </c>
      <c r="J237" s="1">
        <v>5.0</v>
      </c>
      <c r="K237" s="2">
        <v>42907.0</v>
      </c>
      <c r="M237" s="1">
        <v>0.0</v>
      </c>
      <c r="N237" s="1" t="s">
        <v>61</v>
      </c>
      <c r="O237" s="1" t="s">
        <v>62</v>
      </c>
      <c r="P237" s="1" t="s">
        <v>2463</v>
      </c>
      <c r="S237" s="1" t="s">
        <v>1979</v>
      </c>
      <c r="T237" s="1">
        <v>90.0</v>
      </c>
      <c r="U237" s="3" t="s">
        <v>2464</v>
      </c>
      <c r="V237" s="1">
        <v>605991.0</v>
      </c>
      <c r="W237" s="1" t="s">
        <v>2465</v>
      </c>
      <c r="X237" s="3" t="s">
        <v>2466</v>
      </c>
      <c r="Y237" s="3" t="s">
        <v>2467</v>
      </c>
      <c r="Z237" s="1">
        <v>2.0</v>
      </c>
      <c r="AA237" s="1" t="s">
        <v>2468</v>
      </c>
      <c r="AB237" s="1">
        <v>21.0</v>
      </c>
      <c r="AC237" s="1">
        <v>30.0</v>
      </c>
      <c r="AD237" s="1">
        <v>25.0</v>
      </c>
      <c r="AE237" s="1">
        <v>383.0</v>
      </c>
      <c r="AF237" s="1">
        <v>1772.0</v>
      </c>
      <c r="AG237" s="1">
        <v>66.0</v>
      </c>
      <c r="AH237" s="1">
        <v>780.0</v>
      </c>
      <c r="AI237" s="1">
        <v>32.0</v>
      </c>
      <c r="AJ237" s="1">
        <v>0.0</v>
      </c>
      <c r="AK237" s="1">
        <v>5.0</v>
      </c>
      <c r="AL237" s="1">
        <v>77.0</v>
      </c>
      <c r="AM237" s="1">
        <v>12.0</v>
      </c>
      <c r="AN237" s="1">
        <v>1.0</v>
      </c>
    </row>
    <row r="238">
      <c r="A238" s="1">
        <v>47.0</v>
      </c>
      <c r="B238" s="1" t="s">
        <v>2469</v>
      </c>
      <c r="C238" s="1" t="s">
        <v>2470</v>
      </c>
      <c r="D238" s="1" t="s">
        <v>42</v>
      </c>
      <c r="E238" s="1" t="s">
        <v>43</v>
      </c>
      <c r="F238" s="2">
        <v>24403.0</v>
      </c>
      <c r="G238" s="1" t="s">
        <v>2471</v>
      </c>
      <c r="H238" s="1">
        <v>50.0</v>
      </c>
      <c r="I238" s="1" t="s">
        <v>2472</v>
      </c>
      <c r="J238" s="1">
        <v>1.0</v>
      </c>
      <c r="K238" s="2">
        <v>42907.0</v>
      </c>
      <c r="M238" s="1">
        <v>0.0</v>
      </c>
      <c r="N238" s="1" t="s">
        <v>61</v>
      </c>
      <c r="O238" s="1" t="s">
        <v>62</v>
      </c>
      <c r="P238" s="1" t="s">
        <v>2473</v>
      </c>
      <c r="S238" s="1" t="s">
        <v>2474</v>
      </c>
      <c r="T238" s="1">
        <v>27.0</v>
      </c>
      <c r="U238" s="3" t="s">
        <v>2475</v>
      </c>
      <c r="V238" s="1">
        <v>266797.0</v>
      </c>
      <c r="W238" s="1" t="s">
        <v>2476</v>
      </c>
      <c r="X238" s="3" t="s">
        <v>2477</v>
      </c>
      <c r="Y238" s="3" t="s">
        <v>2478</v>
      </c>
      <c r="Z238" s="1">
        <v>2.0</v>
      </c>
      <c r="AA238" s="1" t="s">
        <v>2479</v>
      </c>
      <c r="AB238" s="1">
        <v>21.0</v>
      </c>
      <c r="AC238" s="1">
        <v>40.0</v>
      </c>
      <c r="AD238" s="1">
        <v>109.0</v>
      </c>
      <c r="AE238" s="1">
        <v>150.0</v>
      </c>
      <c r="AF238" s="1">
        <v>392.0</v>
      </c>
      <c r="AG238" s="1">
        <v>143.0</v>
      </c>
      <c r="AH238" s="1">
        <v>1176.0</v>
      </c>
      <c r="AI238" s="1">
        <v>50.0</v>
      </c>
      <c r="AJ238" s="1">
        <v>0.0</v>
      </c>
      <c r="AK238" s="1">
        <v>2.0</v>
      </c>
      <c r="AL238" s="1">
        <v>60.0</v>
      </c>
      <c r="AM238" s="1">
        <v>15.0</v>
      </c>
      <c r="AN238" s="1">
        <v>1.0</v>
      </c>
    </row>
    <row r="239">
      <c r="A239" s="1">
        <v>388.0</v>
      </c>
      <c r="B239" s="1" t="s">
        <v>2480</v>
      </c>
      <c r="C239" s="1" t="s">
        <v>2481</v>
      </c>
      <c r="D239" s="1" t="s">
        <v>2482</v>
      </c>
      <c r="E239" s="1" t="s">
        <v>58</v>
      </c>
      <c r="F239" s="2">
        <v>28763.0</v>
      </c>
      <c r="G239" s="1" t="s">
        <v>207</v>
      </c>
      <c r="H239" s="1">
        <v>75.0</v>
      </c>
      <c r="I239" s="1" t="s">
        <v>232</v>
      </c>
      <c r="J239" s="1">
        <v>12.0</v>
      </c>
      <c r="K239" s="2">
        <v>42907.0</v>
      </c>
      <c r="M239" s="1">
        <v>0.0</v>
      </c>
      <c r="N239" s="1" t="s">
        <v>75</v>
      </c>
      <c r="O239" s="1" t="s">
        <v>76</v>
      </c>
      <c r="P239" s="1" t="s">
        <v>2483</v>
      </c>
      <c r="S239" s="1" t="s">
        <v>2484</v>
      </c>
      <c r="T239" s="1">
        <v>284.0</v>
      </c>
      <c r="U239" s="3" t="s">
        <v>2485</v>
      </c>
      <c r="V239" s="1">
        <v>721764.0</v>
      </c>
      <c r="W239" s="1" t="s">
        <v>2486</v>
      </c>
      <c r="X239" s="3" t="s">
        <v>2487</v>
      </c>
      <c r="Y239" s="3" t="s">
        <v>2488</v>
      </c>
      <c r="Z239" s="1">
        <v>1.0</v>
      </c>
      <c r="AA239" s="1" t="s">
        <v>2489</v>
      </c>
      <c r="AB239" s="1">
        <v>21.0</v>
      </c>
      <c r="AC239" s="1">
        <v>47.0</v>
      </c>
      <c r="AD239" s="1">
        <v>14.0</v>
      </c>
      <c r="AE239" s="1">
        <v>52.0</v>
      </c>
      <c r="AF239" s="1">
        <v>25.0</v>
      </c>
      <c r="AG239" s="1">
        <v>4.0</v>
      </c>
      <c r="AH239" s="1">
        <v>168.0</v>
      </c>
      <c r="AI239" s="1">
        <v>111.0</v>
      </c>
      <c r="AJ239" s="1">
        <v>1.0</v>
      </c>
      <c r="AK239" s="1">
        <v>0.0</v>
      </c>
      <c r="AL239" s="1">
        <v>6.0</v>
      </c>
      <c r="AM239" s="1">
        <v>1.0</v>
      </c>
      <c r="AN239" s="1">
        <v>0.0</v>
      </c>
    </row>
    <row r="240">
      <c r="A240" s="1">
        <v>146.0</v>
      </c>
      <c r="B240" s="1" t="s">
        <v>2490</v>
      </c>
      <c r="C240" s="1" t="s">
        <v>2491</v>
      </c>
      <c r="D240" s="1" t="s">
        <v>2492</v>
      </c>
      <c r="E240" s="1" t="s">
        <v>43</v>
      </c>
      <c r="F240" s="2">
        <v>24181.0</v>
      </c>
      <c r="G240" s="1" t="s">
        <v>2493</v>
      </c>
      <c r="H240" s="1">
        <v>72.0</v>
      </c>
      <c r="I240" s="1" t="s">
        <v>2494</v>
      </c>
      <c r="J240" s="1">
        <v>5.0</v>
      </c>
      <c r="K240" s="2">
        <v>42907.0</v>
      </c>
      <c r="M240" s="1">
        <v>0.0</v>
      </c>
      <c r="N240" s="1" t="s">
        <v>61</v>
      </c>
      <c r="O240" s="1" t="s">
        <v>62</v>
      </c>
      <c r="P240" s="1" t="s">
        <v>2495</v>
      </c>
      <c r="S240" s="1" t="s">
        <v>304</v>
      </c>
      <c r="T240" s="1">
        <v>71.0</v>
      </c>
      <c r="U240" s="3" t="s">
        <v>2496</v>
      </c>
      <c r="V240" s="1">
        <v>267318.0</v>
      </c>
      <c r="W240" s="1" t="s">
        <v>2497</v>
      </c>
      <c r="X240" s="3" t="s">
        <v>2498</v>
      </c>
      <c r="Y240" s="3" t="s">
        <v>2499</v>
      </c>
      <c r="Z240" s="1">
        <v>1.0</v>
      </c>
      <c r="AA240" s="1" t="s">
        <v>2500</v>
      </c>
      <c r="AB240" s="1">
        <v>21.0</v>
      </c>
      <c r="AC240" s="1">
        <v>32.0</v>
      </c>
      <c r="AD240" s="1">
        <v>14.0</v>
      </c>
      <c r="AE240" s="1">
        <v>22.0</v>
      </c>
      <c r="AF240" s="1">
        <v>3.0</v>
      </c>
      <c r="AG240" s="1">
        <v>11.0</v>
      </c>
      <c r="AH240" s="1">
        <v>696.0</v>
      </c>
      <c r="AI240" s="1">
        <v>29.0</v>
      </c>
      <c r="AJ240" s="1">
        <v>0.0</v>
      </c>
      <c r="AK240" s="1">
        <v>2.0</v>
      </c>
      <c r="AL240" s="1">
        <v>61.0</v>
      </c>
      <c r="AM240" s="1">
        <v>19.0</v>
      </c>
      <c r="AN240" s="1">
        <v>0.0</v>
      </c>
    </row>
    <row r="241">
      <c r="A241" s="1">
        <v>229.0</v>
      </c>
      <c r="B241" s="1" t="s">
        <v>2501</v>
      </c>
      <c r="C241" s="1" t="s">
        <v>2502</v>
      </c>
      <c r="D241" s="1" t="s">
        <v>2503</v>
      </c>
      <c r="E241" s="1" t="s">
        <v>58</v>
      </c>
      <c r="F241" s="2">
        <v>28066.0</v>
      </c>
      <c r="G241" s="1" t="s">
        <v>1731</v>
      </c>
      <c r="H241" s="1">
        <v>91.0</v>
      </c>
      <c r="I241" s="1" t="s">
        <v>610</v>
      </c>
      <c r="J241" s="1">
        <v>9.0</v>
      </c>
      <c r="K241" s="2">
        <v>42907.0</v>
      </c>
      <c r="M241" s="1">
        <v>0.0</v>
      </c>
      <c r="N241" s="1" t="s">
        <v>75</v>
      </c>
      <c r="O241" s="1" t="s">
        <v>76</v>
      </c>
      <c r="P241" s="1" t="s">
        <v>2504</v>
      </c>
      <c r="S241" s="1" t="s">
        <v>2505</v>
      </c>
      <c r="T241" s="1">
        <v>307.0</v>
      </c>
      <c r="U241" s="3" t="s">
        <v>2506</v>
      </c>
      <c r="V241" s="1">
        <v>721880.0</v>
      </c>
      <c r="W241" s="1" t="s">
        <v>2507</v>
      </c>
      <c r="X241" s="3" t="s">
        <v>2508</v>
      </c>
      <c r="Y241" s="3" t="s">
        <v>2509</v>
      </c>
      <c r="Z241" s="1">
        <v>1.0</v>
      </c>
      <c r="AA241" s="1" t="s">
        <v>2510</v>
      </c>
      <c r="AB241" s="1">
        <v>21.0</v>
      </c>
      <c r="AC241" s="1">
        <v>33.0</v>
      </c>
      <c r="AD241" s="1">
        <v>17.0</v>
      </c>
      <c r="AE241" s="1">
        <v>47.0</v>
      </c>
      <c r="AF241" s="1">
        <v>9.0</v>
      </c>
      <c r="AG241" s="1">
        <v>12.0</v>
      </c>
      <c r="AH241" s="1">
        <v>76.0</v>
      </c>
      <c r="AI241" s="1">
        <v>30.0</v>
      </c>
      <c r="AJ241" s="1">
        <v>0.0</v>
      </c>
      <c r="AK241" s="1">
        <v>0.0</v>
      </c>
      <c r="AL241" s="1">
        <v>5.0</v>
      </c>
      <c r="AM241" s="1">
        <v>3.0</v>
      </c>
      <c r="AN241" s="1">
        <v>2.0</v>
      </c>
    </row>
    <row r="242">
      <c r="A242" s="1">
        <v>104.0</v>
      </c>
      <c r="B242" s="1" t="s">
        <v>2511</v>
      </c>
      <c r="C242" s="1" t="s">
        <v>2512</v>
      </c>
      <c r="D242" s="1" t="s">
        <v>112</v>
      </c>
      <c r="E242" s="1" t="s">
        <v>58</v>
      </c>
      <c r="F242" s="2">
        <v>20324.0</v>
      </c>
      <c r="G242" s="1" t="s">
        <v>2513</v>
      </c>
      <c r="H242" s="1">
        <v>92.0</v>
      </c>
      <c r="I242" s="1" t="s">
        <v>781</v>
      </c>
      <c r="J242" s="1">
        <v>3.0</v>
      </c>
      <c r="K242" s="2">
        <v>42907.0</v>
      </c>
      <c r="M242" s="1">
        <v>0.0</v>
      </c>
      <c r="N242" s="1" t="s">
        <v>75</v>
      </c>
      <c r="O242" s="1" t="s">
        <v>76</v>
      </c>
      <c r="P242" s="1" t="s">
        <v>2514</v>
      </c>
      <c r="S242" s="1" t="s">
        <v>234</v>
      </c>
      <c r="T242" s="1">
        <v>239.0</v>
      </c>
      <c r="U242" s="3" t="s">
        <v>2515</v>
      </c>
      <c r="V242" s="1">
        <v>722094.0</v>
      </c>
      <c r="W242" s="1" t="s">
        <v>2516</v>
      </c>
      <c r="X242" s="3" t="s">
        <v>2517</v>
      </c>
      <c r="Y242" s="3" t="s">
        <v>2518</v>
      </c>
      <c r="Z242" s="1">
        <v>1.0</v>
      </c>
      <c r="AA242" s="1" t="s">
        <v>2519</v>
      </c>
      <c r="AB242" s="1">
        <v>21.0</v>
      </c>
      <c r="AC242" s="1">
        <v>51.0</v>
      </c>
      <c r="AD242" s="1">
        <v>24.0</v>
      </c>
      <c r="AE242" s="1">
        <v>13.0</v>
      </c>
      <c r="AF242" s="1">
        <v>5.0</v>
      </c>
      <c r="AG242" s="1">
        <v>6.0</v>
      </c>
      <c r="AH242" s="1">
        <v>61.0</v>
      </c>
      <c r="AI242" s="1">
        <v>28.0</v>
      </c>
      <c r="AJ242" s="1">
        <v>2.0</v>
      </c>
      <c r="AK242" s="1">
        <v>0.0</v>
      </c>
      <c r="AL242" s="1">
        <v>5.0</v>
      </c>
      <c r="AM242" s="1">
        <v>2.0</v>
      </c>
      <c r="AN242" s="1">
        <v>0.0</v>
      </c>
    </row>
    <row r="243">
      <c r="A243" s="1">
        <v>507.0</v>
      </c>
      <c r="B243" s="1" t="s">
        <v>2520</v>
      </c>
      <c r="C243" s="1" t="s">
        <v>2521</v>
      </c>
      <c r="D243" s="1" t="s">
        <v>2522</v>
      </c>
      <c r="E243" s="1" t="s">
        <v>43</v>
      </c>
      <c r="F243" s="2">
        <v>33281.0</v>
      </c>
      <c r="G243" s="1" t="s">
        <v>2513</v>
      </c>
      <c r="H243" s="1">
        <v>59.0</v>
      </c>
      <c r="I243" s="1" t="s">
        <v>172</v>
      </c>
      <c r="J243" s="1">
        <v>17.0</v>
      </c>
      <c r="K243" s="2">
        <v>42907.0</v>
      </c>
      <c r="M243" s="1">
        <v>0.0</v>
      </c>
      <c r="N243" s="1" t="s">
        <v>75</v>
      </c>
      <c r="O243" s="1" t="s">
        <v>76</v>
      </c>
      <c r="P243" s="1" t="s">
        <v>2523</v>
      </c>
      <c r="S243" s="1" t="s">
        <v>1386</v>
      </c>
      <c r="T243" s="1">
        <v>406.0</v>
      </c>
      <c r="U243" s="3" t="s">
        <v>2524</v>
      </c>
      <c r="V243" s="1">
        <v>720454.0</v>
      </c>
      <c r="W243" s="1" t="s">
        <v>2525</v>
      </c>
      <c r="X243" s="3" t="s">
        <v>2526</v>
      </c>
      <c r="Y243" s="3" t="s">
        <v>2527</v>
      </c>
      <c r="Z243" s="1">
        <v>1.0</v>
      </c>
      <c r="AA243" s="1" t="s">
        <v>2528</v>
      </c>
      <c r="AB243" s="1">
        <v>21.0</v>
      </c>
      <c r="AC243" s="1">
        <v>33.0</v>
      </c>
      <c r="AD243" s="1">
        <v>4.0</v>
      </c>
      <c r="AE243" s="1">
        <v>8.0</v>
      </c>
      <c r="AF243" s="1">
        <v>2.0</v>
      </c>
      <c r="AG243" s="1">
        <v>0.0</v>
      </c>
      <c r="AH243" s="1">
        <v>63.0</v>
      </c>
      <c r="AI243" s="1">
        <v>25.0</v>
      </c>
      <c r="AJ243" s="1">
        <v>0.0</v>
      </c>
      <c r="AK243" s="1">
        <v>0.0</v>
      </c>
      <c r="AL243" s="1">
        <v>7.0</v>
      </c>
      <c r="AM243" s="1">
        <v>14.0</v>
      </c>
      <c r="AN243" s="1">
        <v>0.0</v>
      </c>
    </row>
    <row r="244">
      <c r="A244" s="1">
        <v>243.0</v>
      </c>
      <c r="B244" s="1" t="s">
        <v>2529</v>
      </c>
      <c r="C244" s="1" t="s">
        <v>2530</v>
      </c>
      <c r="D244" s="1" t="s">
        <v>380</v>
      </c>
      <c r="E244" s="1" t="s">
        <v>58</v>
      </c>
      <c r="F244" s="2">
        <v>30019.0</v>
      </c>
      <c r="G244" s="1" t="s">
        <v>1291</v>
      </c>
      <c r="H244" s="1">
        <v>45.0</v>
      </c>
      <c r="I244" s="1" t="s">
        <v>2531</v>
      </c>
      <c r="J244" s="1">
        <v>2.0</v>
      </c>
      <c r="K244" s="2">
        <v>42907.0</v>
      </c>
      <c r="M244" s="1">
        <v>0.0</v>
      </c>
      <c r="N244" s="1" t="s">
        <v>75</v>
      </c>
      <c r="O244" s="1" t="s">
        <v>76</v>
      </c>
      <c r="P244" s="1" t="s">
        <v>2532</v>
      </c>
      <c r="S244" s="1" t="s">
        <v>162</v>
      </c>
      <c r="T244" s="1">
        <v>277.0</v>
      </c>
      <c r="U244" s="3" t="s">
        <v>2533</v>
      </c>
      <c r="V244" s="1">
        <v>720074.0</v>
      </c>
      <c r="W244" s="1" t="s">
        <v>2534</v>
      </c>
      <c r="X244" s="3" t="s">
        <v>2535</v>
      </c>
      <c r="Y244" s="3" t="s">
        <v>2536</v>
      </c>
      <c r="Z244" s="1">
        <v>1.0</v>
      </c>
      <c r="AA244" s="1" t="s">
        <v>2537</v>
      </c>
      <c r="AB244" s="1">
        <v>21.0</v>
      </c>
      <c r="AC244" s="1">
        <v>39.0</v>
      </c>
      <c r="AD244" s="1">
        <v>10.0</v>
      </c>
      <c r="AE244" s="1">
        <v>15.0</v>
      </c>
      <c r="AF244" s="1">
        <v>3.0</v>
      </c>
      <c r="AG244" s="1">
        <v>3.0</v>
      </c>
      <c r="AH244" s="1">
        <v>65.0</v>
      </c>
      <c r="AI244" s="1">
        <v>26.0</v>
      </c>
      <c r="AJ244" s="1">
        <v>0.0</v>
      </c>
      <c r="AK244" s="1">
        <v>0.0</v>
      </c>
      <c r="AL244" s="1">
        <v>5.0</v>
      </c>
      <c r="AM244" s="1">
        <v>18.0</v>
      </c>
      <c r="AN244" s="1">
        <v>0.0</v>
      </c>
    </row>
    <row r="245">
      <c r="A245" s="1">
        <v>51.0</v>
      </c>
      <c r="B245" s="1" t="s">
        <v>2538</v>
      </c>
      <c r="C245" s="1" t="s">
        <v>2539</v>
      </c>
      <c r="D245" s="1" t="s">
        <v>2540</v>
      </c>
      <c r="E245" s="1" t="s">
        <v>58</v>
      </c>
      <c r="F245" s="2">
        <v>23729.0</v>
      </c>
      <c r="G245" s="1" t="s">
        <v>2541</v>
      </c>
      <c r="H245" s="1">
        <v>72.0</v>
      </c>
      <c r="I245" s="1" t="s">
        <v>2494</v>
      </c>
      <c r="J245" s="1">
        <v>2.0</v>
      </c>
      <c r="K245" s="2">
        <v>42907.0</v>
      </c>
      <c r="M245" s="1">
        <v>0.0</v>
      </c>
      <c r="N245" s="1" t="s">
        <v>115</v>
      </c>
      <c r="O245" s="1" t="s">
        <v>116</v>
      </c>
      <c r="P245" s="1" t="s">
        <v>2542</v>
      </c>
      <c r="S245" s="1" t="s">
        <v>2543</v>
      </c>
      <c r="T245" s="1">
        <v>502.0</v>
      </c>
      <c r="U245" s="3" t="s">
        <v>2544</v>
      </c>
      <c r="V245" s="1">
        <v>335054.0</v>
      </c>
      <c r="W245" s="1" t="s">
        <v>2545</v>
      </c>
      <c r="X245" s="3" t="s">
        <v>2546</v>
      </c>
      <c r="Y245" s="3" t="s">
        <v>2547</v>
      </c>
      <c r="Z245" s="1">
        <v>2.0</v>
      </c>
      <c r="AA245" s="1" t="s">
        <v>2548</v>
      </c>
      <c r="AB245" s="1">
        <v>21.0</v>
      </c>
      <c r="AC245" s="1">
        <v>43.0</v>
      </c>
      <c r="AD245" s="1">
        <v>53.0</v>
      </c>
      <c r="AE245" s="1">
        <v>57.0</v>
      </c>
      <c r="AF245" s="1">
        <v>19.0</v>
      </c>
      <c r="AG245" s="1">
        <v>53.0</v>
      </c>
      <c r="AH245" s="1">
        <v>1162.0</v>
      </c>
      <c r="AI245" s="1">
        <v>80.0</v>
      </c>
      <c r="AJ245" s="1">
        <v>0.0</v>
      </c>
      <c r="AK245" s="1">
        <v>0.0</v>
      </c>
      <c r="AL245" s="1">
        <v>5.0</v>
      </c>
      <c r="AM245" s="1">
        <v>24.0</v>
      </c>
      <c r="AN245" s="1">
        <v>4.0</v>
      </c>
    </row>
    <row r="246">
      <c r="A246" s="1">
        <v>49.0</v>
      </c>
      <c r="B246" s="1" t="s">
        <v>2549</v>
      </c>
      <c r="C246" s="1" t="s">
        <v>2550</v>
      </c>
      <c r="D246" s="1" t="s">
        <v>2551</v>
      </c>
      <c r="E246" s="1" t="s">
        <v>43</v>
      </c>
      <c r="F246" s="2">
        <v>27096.0</v>
      </c>
      <c r="G246" s="1" t="s">
        <v>2552</v>
      </c>
      <c r="H246" s="1">
        <v>77.0</v>
      </c>
      <c r="I246" s="1" t="s">
        <v>503</v>
      </c>
      <c r="J246" s="1">
        <v>7.0</v>
      </c>
      <c r="K246" s="2">
        <v>42907.0</v>
      </c>
      <c r="M246" s="1">
        <v>0.0</v>
      </c>
      <c r="N246" s="1" t="s">
        <v>75</v>
      </c>
      <c r="O246" s="1" t="s">
        <v>76</v>
      </c>
      <c r="P246" s="1" t="s">
        <v>2553</v>
      </c>
      <c r="S246" s="1" t="s">
        <v>162</v>
      </c>
      <c r="T246" s="1">
        <v>245.0</v>
      </c>
      <c r="U246" s="3" t="s">
        <v>2554</v>
      </c>
      <c r="V246" s="1">
        <v>721644.0</v>
      </c>
      <c r="W246" s="1" t="s">
        <v>2555</v>
      </c>
      <c r="X246" s="3" t="s">
        <v>2556</v>
      </c>
      <c r="Y246" s="3" t="s">
        <v>2557</v>
      </c>
      <c r="Z246" s="1">
        <v>1.0</v>
      </c>
      <c r="AA246" s="1" t="s">
        <v>2558</v>
      </c>
      <c r="AB246" s="1">
        <v>21.0</v>
      </c>
      <c r="AC246" s="1">
        <v>40.0</v>
      </c>
      <c r="AD246" s="1">
        <v>6.0</v>
      </c>
      <c r="AE246" s="1">
        <v>2.0</v>
      </c>
      <c r="AF246" s="1">
        <v>0.0</v>
      </c>
      <c r="AG246" s="1">
        <v>0.0</v>
      </c>
      <c r="AH246" s="1">
        <v>38.0</v>
      </c>
      <c r="AI246" s="1">
        <v>11.0</v>
      </c>
      <c r="AJ246" s="1">
        <v>0.0</v>
      </c>
      <c r="AK246" s="1">
        <v>0.0</v>
      </c>
      <c r="AL246" s="1">
        <v>5.0</v>
      </c>
      <c r="AM246" s="1">
        <v>6.0</v>
      </c>
      <c r="AN246" s="1">
        <v>0.0</v>
      </c>
    </row>
    <row r="247">
      <c r="A247" s="1">
        <v>333.0</v>
      </c>
      <c r="B247" s="1" t="s">
        <v>2559</v>
      </c>
      <c r="C247" s="1" t="s">
        <v>2560</v>
      </c>
      <c r="D247" s="1" t="s">
        <v>2561</v>
      </c>
      <c r="E247" s="1" t="s">
        <v>58</v>
      </c>
      <c r="F247" s="2">
        <v>31912.0</v>
      </c>
      <c r="G247" s="1" t="s">
        <v>2176</v>
      </c>
      <c r="H247" s="1">
        <v>51.0</v>
      </c>
      <c r="I247" s="1" t="s">
        <v>208</v>
      </c>
      <c r="J247" s="1">
        <v>2.0</v>
      </c>
      <c r="K247" s="2">
        <v>42907.0</v>
      </c>
      <c r="M247" s="1">
        <v>0.0</v>
      </c>
      <c r="N247" s="1" t="s">
        <v>75</v>
      </c>
      <c r="O247" s="1" t="s">
        <v>76</v>
      </c>
      <c r="P247" s="1" t="s">
        <v>2562</v>
      </c>
      <c r="S247" s="1" t="s">
        <v>2563</v>
      </c>
      <c r="T247" s="1">
        <v>643.0</v>
      </c>
      <c r="U247" s="3" t="s">
        <v>2564</v>
      </c>
      <c r="V247" s="1">
        <v>720214.0</v>
      </c>
      <c r="W247" s="1" t="s">
        <v>2565</v>
      </c>
      <c r="X247" s="3" t="s">
        <v>2566</v>
      </c>
      <c r="Y247" s="3" t="s">
        <v>2567</v>
      </c>
      <c r="Z247" s="1">
        <v>1.0</v>
      </c>
      <c r="AA247" s="1" t="s">
        <v>2568</v>
      </c>
      <c r="AB247" s="1">
        <v>21.0</v>
      </c>
      <c r="AC247" s="1">
        <v>38.0</v>
      </c>
      <c r="AD247" s="1">
        <v>3.0</v>
      </c>
      <c r="AE247" s="1">
        <v>8.0</v>
      </c>
      <c r="AF247" s="1">
        <v>3.0</v>
      </c>
      <c r="AG247" s="1">
        <v>0.0</v>
      </c>
      <c r="AH247" s="1">
        <v>155.0</v>
      </c>
      <c r="AI247" s="1">
        <v>103.0</v>
      </c>
      <c r="AJ247" s="1">
        <v>1.0</v>
      </c>
      <c r="AK247" s="1">
        <v>0.0</v>
      </c>
      <c r="AL247" s="1">
        <v>5.0</v>
      </c>
      <c r="AM247" s="1">
        <v>10.0</v>
      </c>
      <c r="AN247" s="1">
        <v>0.0</v>
      </c>
    </row>
    <row r="248">
      <c r="A248" s="1">
        <v>163.0</v>
      </c>
      <c r="B248" s="1" t="s">
        <v>2569</v>
      </c>
      <c r="C248" s="1" t="s">
        <v>2570</v>
      </c>
      <c r="D248" s="1" t="s">
        <v>2503</v>
      </c>
      <c r="E248" s="1" t="s">
        <v>58</v>
      </c>
      <c r="F248" s="2">
        <v>33224.0</v>
      </c>
      <c r="G248" s="1" t="s">
        <v>2571</v>
      </c>
      <c r="H248" s="1">
        <v>78.0</v>
      </c>
      <c r="I248" s="1" t="s">
        <v>74</v>
      </c>
      <c r="J248" s="1">
        <v>4.0</v>
      </c>
      <c r="K248" s="2">
        <v>42907.0</v>
      </c>
      <c r="M248" s="1">
        <v>0.0</v>
      </c>
      <c r="N248" s="1" t="s">
        <v>75</v>
      </c>
      <c r="O248" s="1" t="s">
        <v>76</v>
      </c>
      <c r="P248" s="1" t="s">
        <v>2572</v>
      </c>
      <c r="S248" s="1" t="s">
        <v>2573</v>
      </c>
      <c r="T248" s="1">
        <v>338.0</v>
      </c>
      <c r="U248" s="3" t="s">
        <v>2574</v>
      </c>
      <c r="V248" s="1">
        <v>721852.0</v>
      </c>
      <c r="W248" s="1" t="s">
        <v>2575</v>
      </c>
      <c r="X248" s="3" t="s">
        <v>2576</v>
      </c>
      <c r="Y248" s="3" t="s">
        <v>2577</v>
      </c>
      <c r="Z248" s="1">
        <v>1.0</v>
      </c>
      <c r="AA248" s="1" t="s">
        <v>2578</v>
      </c>
      <c r="AB248" s="1">
        <v>21.0</v>
      </c>
      <c r="AC248" s="1">
        <v>44.0</v>
      </c>
      <c r="AD248" s="1">
        <v>12.0</v>
      </c>
      <c r="AE248" s="1">
        <v>4.0</v>
      </c>
      <c r="AF248" s="1">
        <v>2.0</v>
      </c>
      <c r="AG248" s="1">
        <v>0.0</v>
      </c>
      <c r="AH248" s="1">
        <v>51.0</v>
      </c>
      <c r="AI248" s="1">
        <v>26.0</v>
      </c>
      <c r="AJ248" s="1">
        <v>1.0</v>
      </c>
      <c r="AK248" s="1">
        <v>0.0</v>
      </c>
      <c r="AL248" s="1">
        <v>5.0</v>
      </c>
      <c r="AM248" s="1">
        <v>0.0</v>
      </c>
      <c r="AN248" s="1">
        <v>1.0</v>
      </c>
    </row>
    <row r="249">
      <c r="A249" s="1">
        <v>283.0</v>
      </c>
      <c r="B249" s="1" t="s">
        <v>2579</v>
      </c>
      <c r="C249" s="1" t="s">
        <v>2580</v>
      </c>
      <c r="D249" s="1" t="s">
        <v>1453</v>
      </c>
      <c r="E249" s="1" t="s">
        <v>58</v>
      </c>
      <c r="F249" s="2">
        <v>24702.0</v>
      </c>
      <c r="G249" s="1" t="s">
        <v>2581</v>
      </c>
      <c r="H249" s="1">
        <v>77.0</v>
      </c>
      <c r="I249" s="1" t="s">
        <v>503</v>
      </c>
      <c r="J249" s="1">
        <v>1.0</v>
      </c>
      <c r="K249" s="2">
        <v>42907.0</v>
      </c>
      <c r="M249" s="1">
        <v>0.0</v>
      </c>
      <c r="N249" s="1" t="s">
        <v>280</v>
      </c>
      <c r="O249" s="1" t="s">
        <v>281</v>
      </c>
      <c r="P249" s="1" t="s">
        <v>2582</v>
      </c>
      <c r="S249" s="1" t="s">
        <v>440</v>
      </c>
      <c r="T249" s="1">
        <v>254.0</v>
      </c>
      <c r="U249" s="3" t="s">
        <v>2583</v>
      </c>
      <c r="V249" s="1">
        <v>721530.0</v>
      </c>
      <c r="W249" s="1" t="s">
        <v>2584</v>
      </c>
      <c r="X249" s="3" t="s">
        <v>2585</v>
      </c>
      <c r="Y249" s="3" t="s">
        <v>2586</v>
      </c>
      <c r="Z249" s="1">
        <v>1.0</v>
      </c>
      <c r="AA249" s="1" t="s">
        <v>2587</v>
      </c>
      <c r="AB249" s="1">
        <v>21.0</v>
      </c>
      <c r="AC249" s="1">
        <v>31.0</v>
      </c>
      <c r="AD249" s="1">
        <v>12.0</v>
      </c>
      <c r="AE249" s="1">
        <v>6.0</v>
      </c>
      <c r="AF249" s="1">
        <v>1.0</v>
      </c>
      <c r="AG249" s="1">
        <v>1.0</v>
      </c>
      <c r="AH249" s="1">
        <v>207.0</v>
      </c>
      <c r="AI249" s="1">
        <v>22.0</v>
      </c>
      <c r="AJ249" s="1">
        <v>1.0</v>
      </c>
      <c r="AK249" s="1">
        <v>0.0</v>
      </c>
      <c r="AL249" s="1">
        <v>4.0</v>
      </c>
      <c r="AM249" s="1">
        <v>3.0</v>
      </c>
      <c r="AN249" s="1">
        <v>3.0</v>
      </c>
    </row>
    <row r="250">
      <c r="A250" s="1">
        <v>489.0</v>
      </c>
      <c r="B250" s="1" t="s">
        <v>2588</v>
      </c>
      <c r="C250" s="1" t="s">
        <v>2589</v>
      </c>
      <c r="D250" s="1" t="s">
        <v>694</v>
      </c>
      <c r="E250" s="1" t="s">
        <v>58</v>
      </c>
      <c r="F250" s="2">
        <v>24567.0</v>
      </c>
      <c r="G250" s="1" t="s">
        <v>207</v>
      </c>
      <c r="H250" s="1">
        <v>35.0</v>
      </c>
      <c r="I250" s="1" t="s">
        <v>415</v>
      </c>
      <c r="J250" s="1">
        <v>2.0</v>
      </c>
      <c r="K250" s="2">
        <v>42907.0</v>
      </c>
      <c r="M250" s="1">
        <v>0.0</v>
      </c>
      <c r="N250" s="1" t="s">
        <v>75</v>
      </c>
      <c r="O250" s="1" t="s">
        <v>76</v>
      </c>
      <c r="P250" s="1" t="s">
        <v>2590</v>
      </c>
      <c r="S250" s="1" t="s">
        <v>2591</v>
      </c>
      <c r="T250" s="1">
        <v>569.0</v>
      </c>
      <c r="U250" s="3" t="s">
        <v>2592</v>
      </c>
      <c r="V250" s="1">
        <v>719718.0</v>
      </c>
      <c r="W250" s="1" t="s">
        <v>2593</v>
      </c>
      <c r="X250" s="3" t="s">
        <v>2594</v>
      </c>
      <c r="Y250" s="3" t="s">
        <v>2595</v>
      </c>
      <c r="Z250" s="1">
        <v>1.0</v>
      </c>
      <c r="AA250" s="1" t="s">
        <v>2596</v>
      </c>
      <c r="AB250" s="1">
        <v>21.0</v>
      </c>
      <c r="AC250" s="1">
        <v>33.0</v>
      </c>
      <c r="AD250" s="1">
        <v>5.0</v>
      </c>
      <c r="AE250" s="1">
        <v>1.0</v>
      </c>
      <c r="AF250" s="1">
        <v>1.0</v>
      </c>
      <c r="AG250" s="1">
        <v>0.0</v>
      </c>
      <c r="AH250" s="1">
        <v>102.0</v>
      </c>
      <c r="AI250" s="1">
        <v>48.0</v>
      </c>
      <c r="AJ250" s="1">
        <v>0.0</v>
      </c>
      <c r="AK250" s="1">
        <v>0.0</v>
      </c>
      <c r="AL250" s="1">
        <v>5.0</v>
      </c>
      <c r="AM250" s="1">
        <v>6.0</v>
      </c>
      <c r="AN250" s="1">
        <v>1.0</v>
      </c>
    </row>
    <row r="251">
      <c r="A251" s="1">
        <v>157.0</v>
      </c>
      <c r="B251" s="1" t="s">
        <v>2597</v>
      </c>
      <c r="C251" s="1" t="s">
        <v>2598</v>
      </c>
      <c r="D251" s="1" t="s">
        <v>1801</v>
      </c>
      <c r="E251" s="1" t="s">
        <v>43</v>
      </c>
      <c r="F251" s="2">
        <v>21392.0</v>
      </c>
      <c r="G251" s="1" t="s">
        <v>2599</v>
      </c>
      <c r="H251" s="1">
        <v>92.0</v>
      </c>
      <c r="I251" s="1" t="s">
        <v>781</v>
      </c>
      <c r="J251" s="1">
        <v>7.0</v>
      </c>
      <c r="K251" s="2">
        <v>42907.0</v>
      </c>
      <c r="M251" s="1">
        <v>0.0</v>
      </c>
      <c r="N251" s="1" t="s">
        <v>75</v>
      </c>
      <c r="O251" s="1" t="s">
        <v>76</v>
      </c>
      <c r="P251" s="1" t="s">
        <v>2600</v>
      </c>
      <c r="S251" s="1" t="s">
        <v>234</v>
      </c>
      <c r="T251" s="1">
        <v>483.0</v>
      </c>
      <c r="U251" s="3" t="s">
        <v>2601</v>
      </c>
      <c r="V251" s="1">
        <v>721946.0</v>
      </c>
      <c r="W251" s="1" t="s">
        <v>2602</v>
      </c>
      <c r="X251" s="3" t="s">
        <v>2603</v>
      </c>
      <c r="Y251" s="3" t="s">
        <v>2604</v>
      </c>
      <c r="Z251" s="1">
        <v>1.0</v>
      </c>
      <c r="AA251" s="1" t="s">
        <v>2605</v>
      </c>
      <c r="AB251" s="1">
        <v>21.0</v>
      </c>
      <c r="AC251" s="1">
        <v>44.0</v>
      </c>
      <c r="AD251" s="1">
        <v>29.0</v>
      </c>
      <c r="AE251" s="1">
        <v>14.0</v>
      </c>
      <c r="AF251" s="1">
        <v>32.0</v>
      </c>
      <c r="AG251" s="1">
        <v>0.0</v>
      </c>
      <c r="AH251" s="1">
        <v>15.0</v>
      </c>
      <c r="AI251" s="1">
        <v>3.0</v>
      </c>
      <c r="AJ251" s="1">
        <v>1.0</v>
      </c>
      <c r="AK251" s="1">
        <v>0.0</v>
      </c>
      <c r="AL251" s="1">
        <v>5.0</v>
      </c>
      <c r="AM251" s="1">
        <v>29.0</v>
      </c>
      <c r="AN251" s="1">
        <v>0.0</v>
      </c>
    </row>
    <row r="252">
      <c r="A252" s="1">
        <v>131.0</v>
      </c>
      <c r="B252" s="1" t="s">
        <v>2606</v>
      </c>
      <c r="C252" s="1" t="s">
        <v>2607</v>
      </c>
      <c r="D252" s="1" t="s">
        <v>2608</v>
      </c>
      <c r="E252" s="1" t="s">
        <v>58</v>
      </c>
      <c r="F252" s="2">
        <v>22012.0</v>
      </c>
      <c r="G252" s="1" t="s">
        <v>2609</v>
      </c>
      <c r="H252" s="1">
        <v>29.0</v>
      </c>
      <c r="I252" s="1" t="s">
        <v>393</v>
      </c>
      <c r="J252" s="1">
        <v>5.0</v>
      </c>
      <c r="K252" s="2">
        <v>42907.0</v>
      </c>
      <c r="M252" s="1">
        <v>0.0</v>
      </c>
      <c r="N252" s="1" t="s">
        <v>75</v>
      </c>
      <c r="O252" s="1" t="s">
        <v>76</v>
      </c>
      <c r="P252" s="1" t="s">
        <v>2610</v>
      </c>
      <c r="S252" s="1" t="s">
        <v>2611</v>
      </c>
      <c r="T252" s="1">
        <v>231.0</v>
      </c>
      <c r="U252" s="3" t="s">
        <v>2612</v>
      </c>
      <c r="V252" s="1">
        <v>719338.0</v>
      </c>
      <c r="W252" s="1" t="s">
        <v>2613</v>
      </c>
      <c r="X252" s="3" t="s">
        <v>2614</v>
      </c>
      <c r="Y252" s="3" t="s">
        <v>2615</v>
      </c>
      <c r="Z252" s="1">
        <v>1.0</v>
      </c>
      <c r="AA252" s="1" t="s">
        <v>2616</v>
      </c>
      <c r="AB252" s="1">
        <v>21.0</v>
      </c>
      <c r="AC252" s="1">
        <v>38.0</v>
      </c>
      <c r="AD252" s="1">
        <v>6.0</v>
      </c>
      <c r="AE252" s="1">
        <v>1.0</v>
      </c>
      <c r="AF252" s="1">
        <v>0.0</v>
      </c>
      <c r="AG252" s="1">
        <v>0.0</v>
      </c>
      <c r="AH252" s="1">
        <v>62.0</v>
      </c>
      <c r="AI252" s="1">
        <v>27.0</v>
      </c>
      <c r="AJ252" s="1">
        <v>0.0</v>
      </c>
      <c r="AK252" s="1">
        <v>0.0</v>
      </c>
      <c r="AL252" s="1">
        <v>5.0</v>
      </c>
      <c r="AM252" s="1">
        <v>13.0</v>
      </c>
      <c r="AN252" s="1">
        <v>0.0</v>
      </c>
    </row>
    <row r="253">
      <c r="A253" s="1">
        <v>425.0</v>
      </c>
      <c r="B253" s="1" t="s">
        <v>2617</v>
      </c>
      <c r="C253" s="1" t="s">
        <v>2618</v>
      </c>
      <c r="D253" s="1" t="s">
        <v>2619</v>
      </c>
      <c r="E253" s="1" t="s">
        <v>43</v>
      </c>
      <c r="F253" s="2">
        <v>31978.0</v>
      </c>
      <c r="G253" s="1" t="s">
        <v>2620</v>
      </c>
      <c r="H253" s="1">
        <v>60.0</v>
      </c>
      <c r="I253" s="1" t="s">
        <v>769</v>
      </c>
      <c r="J253" s="1">
        <v>7.0</v>
      </c>
      <c r="K253" s="2">
        <v>42907.0</v>
      </c>
      <c r="M253" s="1">
        <v>0.0</v>
      </c>
      <c r="N253" s="1" t="s">
        <v>61</v>
      </c>
      <c r="O253" s="1" t="s">
        <v>62</v>
      </c>
      <c r="P253" s="1" t="s">
        <v>2621</v>
      </c>
      <c r="S253" s="1" t="s">
        <v>967</v>
      </c>
      <c r="T253" s="1">
        <v>17.0</v>
      </c>
      <c r="U253" s="3" t="s">
        <v>2622</v>
      </c>
      <c r="V253" s="1">
        <v>720630.0</v>
      </c>
      <c r="W253" s="1" t="s">
        <v>2623</v>
      </c>
      <c r="X253" s="3" t="s">
        <v>2624</v>
      </c>
      <c r="Y253" s="3" t="s">
        <v>2625</v>
      </c>
      <c r="Z253" s="1">
        <v>1.0</v>
      </c>
      <c r="AA253" s="1" t="s">
        <v>2626</v>
      </c>
      <c r="AB253" s="1">
        <v>21.0</v>
      </c>
      <c r="AC253" s="1">
        <v>31.0</v>
      </c>
      <c r="AD253" s="1">
        <v>23.0</v>
      </c>
      <c r="AE253" s="1">
        <v>27.0</v>
      </c>
      <c r="AF253" s="1">
        <v>38.0</v>
      </c>
      <c r="AG253" s="1">
        <v>23.0</v>
      </c>
      <c r="AH253" s="1">
        <v>534.0</v>
      </c>
      <c r="AI253" s="1">
        <v>21.0</v>
      </c>
      <c r="AJ253" s="1">
        <v>1.0</v>
      </c>
      <c r="AK253" s="1">
        <v>0.0</v>
      </c>
      <c r="AL253" s="1">
        <v>38.0</v>
      </c>
      <c r="AM253" s="1">
        <v>10.0</v>
      </c>
      <c r="AN253" s="1">
        <v>2.0</v>
      </c>
    </row>
    <row r="254">
      <c r="A254" s="1">
        <v>423.0</v>
      </c>
      <c r="B254" s="1" t="s">
        <v>2627</v>
      </c>
      <c r="C254" s="1" t="s">
        <v>2628</v>
      </c>
      <c r="D254" s="1" t="s">
        <v>866</v>
      </c>
      <c r="E254" s="1" t="s">
        <v>43</v>
      </c>
      <c r="F254" s="2">
        <v>21540.0</v>
      </c>
      <c r="G254" s="1" t="s">
        <v>1273</v>
      </c>
      <c r="H254" s="1">
        <v>48.0</v>
      </c>
      <c r="I254" s="1" t="s">
        <v>2629</v>
      </c>
      <c r="J254" s="1">
        <v>1.0</v>
      </c>
      <c r="K254" s="2">
        <v>42907.0</v>
      </c>
      <c r="M254" s="1">
        <v>0.0</v>
      </c>
      <c r="N254" s="1" t="s">
        <v>46</v>
      </c>
      <c r="O254" s="1" t="s">
        <v>62</v>
      </c>
      <c r="P254" s="1" t="s">
        <v>2630</v>
      </c>
      <c r="S254" s="1" t="s">
        <v>304</v>
      </c>
      <c r="T254" s="1">
        <v>105.0</v>
      </c>
      <c r="U254" s="3" t="s">
        <v>2631</v>
      </c>
      <c r="V254" s="1">
        <v>266788.0</v>
      </c>
      <c r="W254" s="1" t="s">
        <v>2632</v>
      </c>
      <c r="X254" s="3" t="s">
        <v>2633</v>
      </c>
      <c r="Y254" s="3" t="s">
        <v>2634</v>
      </c>
      <c r="Z254" s="1">
        <v>2.0</v>
      </c>
      <c r="AA254" s="1" t="s">
        <v>2635</v>
      </c>
      <c r="AB254" s="1">
        <v>21.0</v>
      </c>
      <c r="AC254" s="1">
        <v>37.0</v>
      </c>
      <c r="AD254" s="1">
        <v>17.0</v>
      </c>
      <c r="AE254" s="1">
        <v>18.0</v>
      </c>
      <c r="AF254" s="1">
        <v>6.0</v>
      </c>
      <c r="AG254" s="1">
        <v>9.0</v>
      </c>
      <c r="AH254" s="1">
        <v>631.0</v>
      </c>
      <c r="AI254" s="1">
        <v>29.0</v>
      </c>
      <c r="AJ254" s="1">
        <v>0.0</v>
      </c>
      <c r="AK254" s="1">
        <v>22.0</v>
      </c>
      <c r="AL254" s="1">
        <v>43.0</v>
      </c>
      <c r="AM254" s="1">
        <v>10.0</v>
      </c>
      <c r="AN254" s="1">
        <v>2.0</v>
      </c>
    </row>
    <row r="255">
      <c r="A255" s="1">
        <v>227.0</v>
      </c>
      <c r="B255" s="1" t="s">
        <v>2636</v>
      </c>
      <c r="C255" s="1" t="s">
        <v>2637</v>
      </c>
      <c r="D255" s="1" t="s">
        <v>2638</v>
      </c>
      <c r="E255" s="1" t="s">
        <v>43</v>
      </c>
      <c r="F255" s="2">
        <v>34291.0</v>
      </c>
      <c r="G255" s="1" t="s">
        <v>2639</v>
      </c>
      <c r="H255" s="1">
        <v>62.0</v>
      </c>
      <c r="I255" s="1" t="s">
        <v>427</v>
      </c>
      <c r="J255" s="1">
        <v>10.0</v>
      </c>
      <c r="K255" s="2">
        <v>42907.0</v>
      </c>
      <c r="M255" s="1">
        <v>0.0</v>
      </c>
      <c r="N255" s="1" t="s">
        <v>814</v>
      </c>
      <c r="O255" s="1" t="s">
        <v>837</v>
      </c>
      <c r="P255" s="1" t="s">
        <v>2640</v>
      </c>
      <c r="S255" s="1">
        <v>0.0</v>
      </c>
      <c r="T255" s="1">
        <v>56.0</v>
      </c>
      <c r="U255" s="3" t="s">
        <v>2641</v>
      </c>
      <c r="V255" s="1">
        <v>720606.0</v>
      </c>
      <c r="W255" s="1" t="s">
        <v>2642</v>
      </c>
      <c r="X255" s="3" t="s">
        <v>2643</v>
      </c>
      <c r="Y255" s="3" t="s">
        <v>2644</v>
      </c>
      <c r="Z255" s="1">
        <v>1.0</v>
      </c>
      <c r="AA255" s="1" t="s">
        <v>2645</v>
      </c>
      <c r="AB255" s="1">
        <v>21.0</v>
      </c>
      <c r="AC255" s="1">
        <v>23.0</v>
      </c>
      <c r="AD255" s="1">
        <v>8.0</v>
      </c>
      <c r="AE255" s="1">
        <v>56.0</v>
      </c>
      <c r="AF255" s="1">
        <v>43.0</v>
      </c>
      <c r="AG255" s="1">
        <v>45.0</v>
      </c>
      <c r="AH255" s="1">
        <v>258.0</v>
      </c>
      <c r="AI255" s="1">
        <v>0.0</v>
      </c>
      <c r="AJ255" s="1">
        <v>0.0</v>
      </c>
      <c r="AK255" s="1">
        <v>1.0</v>
      </c>
      <c r="AL255" s="1">
        <v>7.0</v>
      </c>
      <c r="AM255" s="1">
        <v>23.0</v>
      </c>
      <c r="AN255" s="1">
        <v>1.0</v>
      </c>
    </row>
    <row r="256">
      <c r="A256" s="1">
        <v>529.0</v>
      </c>
      <c r="B256" s="1" t="s">
        <v>2646</v>
      </c>
      <c r="C256" s="1" t="s">
        <v>2647</v>
      </c>
      <c r="D256" s="1" t="s">
        <v>2648</v>
      </c>
      <c r="E256" s="1" t="s">
        <v>58</v>
      </c>
      <c r="F256" s="2">
        <v>31069.0</v>
      </c>
      <c r="G256" s="1" t="s">
        <v>2649</v>
      </c>
      <c r="H256" s="1">
        <v>95.0</v>
      </c>
      <c r="I256" s="1" t="s">
        <v>302</v>
      </c>
      <c r="J256" s="1">
        <v>9.0</v>
      </c>
      <c r="K256" s="2">
        <v>42907.0</v>
      </c>
      <c r="M256" s="1">
        <v>0.0</v>
      </c>
      <c r="N256" s="1" t="s">
        <v>75</v>
      </c>
      <c r="O256" s="1" t="s">
        <v>76</v>
      </c>
      <c r="P256" s="1" t="s">
        <v>2650</v>
      </c>
      <c r="S256" s="1" t="s">
        <v>162</v>
      </c>
      <c r="T256" s="1">
        <v>204.0</v>
      </c>
      <c r="U256" s="3" t="s">
        <v>2651</v>
      </c>
      <c r="V256" s="1">
        <v>720944.0</v>
      </c>
      <c r="W256" s="1" t="s">
        <v>2652</v>
      </c>
      <c r="X256" s="3" t="s">
        <v>2653</v>
      </c>
      <c r="Y256" s="3" t="s">
        <v>2654</v>
      </c>
      <c r="Z256" s="1">
        <v>1.0</v>
      </c>
      <c r="AA256" s="1" t="s">
        <v>2655</v>
      </c>
      <c r="AB256" s="1">
        <v>21.0</v>
      </c>
      <c r="AC256" s="1">
        <v>29.0</v>
      </c>
      <c r="AD256" s="1">
        <v>5.0</v>
      </c>
      <c r="AE256" s="1">
        <v>4.0</v>
      </c>
      <c r="AF256" s="1">
        <v>0.0</v>
      </c>
      <c r="AG256" s="1">
        <v>0.0</v>
      </c>
      <c r="AH256" s="1">
        <v>92.0</v>
      </c>
      <c r="AI256" s="1">
        <v>45.0</v>
      </c>
      <c r="AJ256" s="1">
        <v>1.0</v>
      </c>
      <c r="AK256" s="1">
        <v>0.0</v>
      </c>
      <c r="AL256" s="1">
        <v>5.0</v>
      </c>
      <c r="AM256" s="1">
        <v>0.0</v>
      </c>
      <c r="AN256" s="1">
        <v>1.0</v>
      </c>
    </row>
    <row r="257">
      <c r="A257" s="1">
        <v>170.0</v>
      </c>
      <c r="B257" s="1" t="s">
        <v>2656</v>
      </c>
      <c r="C257" s="1" t="s">
        <v>2657</v>
      </c>
      <c r="D257" s="1" t="s">
        <v>866</v>
      </c>
      <c r="E257" s="1" t="s">
        <v>43</v>
      </c>
      <c r="F257" s="2">
        <v>32530.0</v>
      </c>
      <c r="G257" s="1" t="s">
        <v>73</v>
      </c>
      <c r="H257" s="1">
        <v>75.0</v>
      </c>
      <c r="I257" s="1" t="s">
        <v>232</v>
      </c>
      <c r="J257" s="1">
        <v>6.0</v>
      </c>
      <c r="K257" s="2">
        <v>42907.0</v>
      </c>
      <c r="M257" s="1">
        <v>0.0</v>
      </c>
      <c r="N257" s="1" t="s">
        <v>75</v>
      </c>
      <c r="O257" s="1" t="s">
        <v>76</v>
      </c>
      <c r="P257" s="1" t="s">
        <v>2658</v>
      </c>
      <c r="S257" s="1" t="s">
        <v>162</v>
      </c>
      <c r="T257" s="1">
        <v>558.0</v>
      </c>
      <c r="U257" s="3" t="s">
        <v>2659</v>
      </c>
      <c r="V257" s="1">
        <v>721568.0</v>
      </c>
      <c r="W257" s="1" t="s">
        <v>2660</v>
      </c>
      <c r="X257" s="3" t="s">
        <v>2661</v>
      </c>
      <c r="Y257" s="3" t="s">
        <v>2662</v>
      </c>
      <c r="Z257" s="1">
        <v>1.0</v>
      </c>
      <c r="AA257" s="1" t="s">
        <v>2663</v>
      </c>
      <c r="AB257" s="1">
        <v>21.0</v>
      </c>
      <c r="AC257" s="1">
        <v>37.0</v>
      </c>
      <c r="AD257" s="1">
        <v>3.0</v>
      </c>
      <c r="AE257" s="1">
        <v>17.0</v>
      </c>
      <c r="AF257" s="1">
        <v>6.0</v>
      </c>
      <c r="AG257" s="1">
        <v>0.0</v>
      </c>
      <c r="AH257" s="1">
        <v>152.0</v>
      </c>
      <c r="AI257" s="1">
        <v>104.0</v>
      </c>
      <c r="AJ257" s="1">
        <v>1.0</v>
      </c>
      <c r="AK257" s="1">
        <v>0.0</v>
      </c>
      <c r="AL257" s="1">
        <v>5.0</v>
      </c>
      <c r="AM257" s="1">
        <v>0.0</v>
      </c>
      <c r="AN257" s="1">
        <v>0.0</v>
      </c>
    </row>
    <row r="258">
      <c r="A258" s="1">
        <v>325.0</v>
      </c>
      <c r="B258" s="1" t="s">
        <v>2664</v>
      </c>
      <c r="C258" s="1" t="s">
        <v>2665</v>
      </c>
      <c r="D258" s="1" t="s">
        <v>1540</v>
      </c>
      <c r="E258" s="1" t="s">
        <v>43</v>
      </c>
      <c r="F258" s="2">
        <v>22851.0</v>
      </c>
      <c r="G258" s="1" t="s">
        <v>2666</v>
      </c>
      <c r="H258" s="1">
        <v>93.0</v>
      </c>
      <c r="I258" s="1" t="s">
        <v>196</v>
      </c>
      <c r="J258" s="1">
        <v>2.0</v>
      </c>
      <c r="K258" s="2">
        <v>42907.0</v>
      </c>
      <c r="M258" s="1">
        <v>0.0</v>
      </c>
      <c r="N258" s="1" t="s">
        <v>101</v>
      </c>
      <c r="O258" s="1" t="s">
        <v>102</v>
      </c>
      <c r="P258" s="1" t="s">
        <v>2667</v>
      </c>
      <c r="S258" s="1" t="s">
        <v>2668</v>
      </c>
      <c r="T258" s="1">
        <v>589.0</v>
      </c>
      <c r="U258" s="3" t="s">
        <v>2669</v>
      </c>
      <c r="V258" s="1">
        <v>721270.0</v>
      </c>
      <c r="W258" s="1" t="s">
        <v>2670</v>
      </c>
      <c r="X258" s="3" t="s">
        <v>2671</v>
      </c>
      <c r="Y258" s="3" t="s">
        <v>2672</v>
      </c>
      <c r="Z258" s="1">
        <v>2.0</v>
      </c>
      <c r="AA258" s="1" t="s">
        <v>2673</v>
      </c>
      <c r="AB258" s="1">
        <v>21.0</v>
      </c>
      <c r="AC258" s="1">
        <v>29.0</v>
      </c>
      <c r="AD258" s="1">
        <v>25.0</v>
      </c>
      <c r="AE258" s="1">
        <v>180.0</v>
      </c>
      <c r="AF258" s="1">
        <v>118.0</v>
      </c>
      <c r="AG258" s="1">
        <v>63.0</v>
      </c>
      <c r="AH258" s="1">
        <v>672.0</v>
      </c>
      <c r="AI258" s="1">
        <v>22.0</v>
      </c>
      <c r="AJ258" s="1">
        <v>0.0</v>
      </c>
      <c r="AK258" s="1">
        <v>2.0</v>
      </c>
      <c r="AL258" s="1">
        <v>19.0</v>
      </c>
      <c r="AM258" s="1">
        <v>14.0</v>
      </c>
      <c r="AN258" s="1">
        <v>5.0</v>
      </c>
    </row>
    <row r="259">
      <c r="A259" s="1">
        <v>327.0</v>
      </c>
      <c r="B259" s="1" t="s">
        <v>2674</v>
      </c>
      <c r="C259" s="1" t="s">
        <v>2675</v>
      </c>
      <c r="D259" s="1" t="s">
        <v>2676</v>
      </c>
      <c r="E259" s="1" t="s">
        <v>58</v>
      </c>
      <c r="F259" s="2">
        <v>27558.0</v>
      </c>
      <c r="G259" s="1" t="s">
        <v>2677</v>
      </c>
      <c r="H259" s="1">
        <v>80.0</v>
      </c>
      <c r="I259" s="1" t="s">
        <v>1148</v>
      </c>
      <c r="J259" s="1">
        <v>2.0</v>
      </c>
      <c r="K259" s="2">
        <v>42907.0</v>
      </c>
      <c r="M259" s="1">
        <v>0.0</v>
      </c>
      <c r="N259" s="1" t="s">
        <v>75</v>
      </c>
      <c r="O259" s="1" t="s">
        <v>76</v>
      </c>
      <c r="P259" s="1" t="s">
        <v>2678</v>
      </c>
      <c r="S259" s="1" t="s">
        <v>2679</v>
      </c>
      <c r="T259" s="1">
        <v>348.0</v>
      </c>
      <c r="U259" s="3" t="s">
        <v>2680</v>
      </c>
      <c r="V259" s="1">
        <v>609520.0</v>
      </c>
      <c r="W259" s="1" t="s">
        <v>2681</v>
      </c>
      <c r="X259" s="3" t="s">
        <v>2682</v>
      </c>
      <c r="Y259" s="3" t="s">
        <v>2683</v>
      </c>
      <c r="Z259" s="1">
        <v>1.0</v>
      </c>
      <c r="AA259" s="1" t="s">
        <v>2684</v>
      </c>
      <c r="AB259" s="1">
        <v>21.0</v>
      </c>
      <c r="AC259" s="1">
        <v>39.0</v>
      </c>
      <c r="AD259" s="1">
        <v>140.0</v>
      </c>
      <c r="AE259" s="1">
        <v>33.0</v>
      </c>
      <c r="AF259" s="1">
        <v>26.0</v>
      </c>
      <c r="AG259" s="1">
        <v>1.0</v>
      </c>
      <c r="AH259" s="1">
        <v>95.0</v>
      </c>
      <c r="AI259" s="1">
        <v>47.0</v>
      </c>
      <c r="AJ259" s="1">
        <v>1.0</v>
      </c>
      <c r="AK259" s="1">
        <v>1.0</v>
      </c>
      <c r="AL259" s="1">
        <v>5.0</v>
      </c>
      <c r="AM259" s="1">
        <v>18.0</v>
      </c>
      <c r="AN259" s="1">
        <v>1.0</v>
      </c>
    </row>
    <row r="260">
      <c r="A260" s="1">
        <v>379.0</v>
      </c>
      <c r="B260" s="1" t="s">
        <v>2685</v>
      </c>
      <c r="C260" s="1" t="s">
        <v>2686</v>
      </c>
      <c r="D260" s="1" t="s">
        <v>346</v>
      </c>
      <c r="E260" s="1" t="s">
        <v>43</v>
      </c>
      <c r="F260" s="2">
        <v>24676.0</v>
      </c>
      <c r="G260" s="1" t="s">
        <v>2687</v>
      </c>
      <c r="H260" s="1">
        <v>62.0</v>
      </c>
      <c r="I260" s="1" t="s">
        <v>427</v>
      </c>
      <c r="J260" s="1">
        <v>8.0</v>
      </c>
      <c r="K260" s="2">
        <v>42907.0</v>
      </c>
      <c r="M260" s="1">
        <v>0.0</v>
      </c>
      <c r="N260" s="1" t="s">
        <v>75</v>
      </c>
      <c r="O260" s="1" t="s">
        <v>76</v>
      </c>
      <c r="P260" s="1" t="s">
        <v>2688</v>
      </c>
      <c r="S260" s="1" t="s">
        <v>2689</v>
      </c>
      <c r="T260" s="1">
        <v>198.0</v>
      </c>
      <c r="U260" s="3" t="s">
        <v>2690</v>
      </c>
      <c r="V260" s="1">
        <v>720590.0</v>
      </c>
      <c r="W260" s="1" t="s">
        <v>2691</v>
      </c>
      <c r="X260" s="3" t="s">
        <v>2692</v>
      </c>
      <c r="Y260" s="3" t="s">
        <v>2693</v>
      </c>
      <c r="Z260" s="1">
        <v>1.0</v>
      </c>
      <c r="AA260" s="1" t="s">
        <v>2694</v>
      </c>
      <c r="AB260" s="1">
        <v>21.0</v>
      </c>
      <c r="AC260" s="1">
        <v>46.0</v>
      </c>
      <c r="AD260" s="1">
        <v>4.0</v>
      </c>
      <c r="AE260" s="1">
        <v>2.0</v>
      </c>
      <c r="AF260" s="1">
        <v>0.0</v>
      </c>
      <c r="AG260" s="1">
        <v>0.0</v>
      </c>
      <c r="AH260" s="1">
        <v>116.0</v>
      </c>
      <c r="AI260" s="1">
        <v>58.0</v>
      </c>
      <c r="AJ260" s="1">
        <v>0.0</v>
      </c>
      <c r="AK260" s="1">
        <v>0.0</v>
      </c>
      <c r="AL260" s="1">
        <v>8.0</v>
      </c>
      <c r="AM260" s="1">
        <v>2.0</v>
      </c>
      <c r="AN260" s="1">
        <v>0.0</v>
      </c>
    </row>
    <row r="261">
      <c r="A261" s="1">
        <v>40.0</v>
      </c>
      <c r="B261" s="1" t="s">
        <v>2695</v>
      </c>
      <c r="C261" s="1" t="s">
        <v>2696</v>
      </c>
      <c r="D261" s="1" t="s">
        <v>589</v>
      </c>
      <c r="E261" s="1" t="s">
        <v>43</v>
      </c>
      <c r="F261" s="2">
        <v>24462.0</v>
      </c>
      <c r="G261" s="1" t="s">
        <v>2697</v>
      </c>
      <c r="H261" s="1">
        <v>27.0</v>
      </c>
      <c r="I261" s="1" t="s">
        <v>2698</v>
      </c>
      <c r="J261" s="1">
        <v>4.0</v>
      </c>
      <c r="K261" s="2">
        <v>42907.0</v>
      </c>
      <c r="M261" s="1">
        <v>0.0</v>
      </c>
      <c r="N261" s="1" t="s">
        <v>75</v>
      </c>
      <c r="O261" s="1" t="s">
        <v>76</v>
      </c>
      <c r="P261" s="1" t="s">
        <v>2699</v>
      </c>
      <c r="S261" s="1" t="s">
        <v>304</v>
      </c>
      <c r="T261" s="1">
        <v>383.0</v>
      </c>
      <c r="U261" s="3" t="s">
        <v>2700</v>
      </c>
      <c r="V261" s="1">
        <v>643127.0</v>
      </c>
      <c r="W261" s="1" t="s">
        <v>2701</v>
      </c>
      <c r="X261" s="3" t="s">
        <v>2702</v>
      </c>
      <c r="Y261" s="3" t="s">
        <v>2703</v>
      </c>
      <c r="Z261" s="1">
        <v>1.0</v>
      </c>
      <c r="AA261" s="1" t="s">
        <v>2704</v>
      </c>
      <c r="AB261" s="1">
        <v>21.0</v>
      </c>
      <c r="AC261" s="1">
        <v>38.0</v>
      </c>
      <c r="AD261" s="1">
        <v>21.0</v>
      </c>
      <c r="AE261" s="1">
        <v>42.0</v>
      </c>
      <c r="AF261" s="1">
        <v>26.0</v>
      </c>
      <c r="AG261" s="1">
        <v>0.0</v>
      </c>
      <c r="AH261" s="1">
        <v>138.0</v>
      </c>
      <c r="AI261" s="1">
        <v>58.0</v>
      </c>
      <c r="AJ261" s="1">
        <v>1.0</v>
      </c>
      <c r="AK261" s="1">
        <v>0.0</v>
      </c>
      <c r="AL261" s="1">
        <v>5.0</v>
      </c>
      <c r="AM261" s="1">
        <v>7.0</v>
      </c>
      <c r="AN261" s="1">
        <v>2.0</v>
      </c>
    </row>
    <row r="262">
      <c r="A262" s="1">
        <v>70.0</v>
      </c>
      <c r="B262" s="1" t="s">
        <v>2705</v>
      </c>
      <c r="C262" s="1" t="s">
        <v>2706</v>
      </c>
      <c r="D262" s="1" t="s">
        <v>2707</v>
      </c>
      <c r="E262" s="1" t="s">
        <v>43</v>
      </c>
      <c r="F262" s="2">
        <v>24920.0</v>
      </c>
      <c r="G262" s="1" t="s">
        <v>2708</v>
      </c>
      <c r="H262" s="1">
        <v>45.0</v>
      </c>
      <c r="I262" s="1" t="s">
        <v>2531</v>
      </c>
      <c r="J262" s="1">
        <v>6.0</v>
      </c>
      <c r="K262" s="2">
        <v>42907.0</v>
      </c>
      <c r="M262" s="1">
        <v>0.0</v>
      </c>
      <c r="N262" s="1" t="s">
        <v>280</v>
      </c>
      <c r="O262" s="1" t="s">
        <v>281</v>
      </c>
      <c r="S262" s="1" t="s">
        <v>162</v>
      </c>
      <c r="T262" s="1">
        <v>264.0</v>
      </c>
      <c r="U262" s="3" t="s">
        <v>2709</v>
      </c>
      <c r="V262" s="1">
        <v>720092.0</v>
      </c>
      <c r="W262" s="1" t="s">
        <v>2710</v>
      </c>
      <c r="X262" s="3" t="s">
        <v>2711</v>
      </c>
      <c r="Y262" s="3" t="s">
        <v>2712</v>
      </c>
      <c r="Z262" s="1">
        <v>2.0</v>
      </c>
      <c r="AB262" s="1">
        <v>21.0</v>
      </c>
      <c r="AC262" s="1">
        <v>32.0</v>
      </c>
      <c r="AD262" s="1">
        <v>38.0</v>
      </c>
      <c r="AE262" s="1">
        <v>12.0</v>
      </c>
      <c r="AF262" s="1">
        <v>4.0</v>
      </c>
      <c r="AG262" s="1">
        <v>2.0</v>
      </c>
      <c r="AH262" s="1">
        <v>187.0</v>
      </c>
      <c r="AI262" s="1">
        <v>16.0</v>
      </c>
      <c r="AJ262" s="1">
        <v>0.0</v>
      </c>
      <c r="AK262" s="1">
        <v>0.0</v>
      </c>
      <c r="AL262" s="1">
        <v>5.0</v>
      </c>
      <c r="AM262" s="1">
        <v>3.0</v>
      </c>
      <c r="AN262" s="1">
        <v>2.0</v>
      </c>
    </row>
    <row r="263">
      <c r="A263" s="1">
        <v>436.0</v>
      </c>
      <c r="B263" s="1" t="s">
        <v>2713</v>
      </c>
      <c r="C263" s="1" t="s">
        <v>2714</v>
      </c>
      <c r="D263" s="1" t="s">
        <v>2715</v>
      </c>
      <c r="E263" s="1" t="s">
        <v>43</v>
      </c>
      <c r="F263" s="2">
        <v>24648.0</v>
      </c>
      <c r="G263" s="1" t="s">
        <v>2716</v>
      </c>
      <c r="H263" s="1">
        <v>974.0</v>
      </c>
      <c r="I263" s="1" t="s">
        <v>2717</v>
      </c>
      <c r="J263" s="1">
        <v>5.0</v>
      </c>
      <c r="K263" s="2">
        <v>42907.0</v>
      </c>
      <c r="M263" s="1">
        <v>0.0</v>
      </c>
      <c r="N263" s="1" t="s">
        <v>173</v>
      </c>
      <c r="O263" s="1" t="s">
        <v>174</v>
      </c>
      <c r="P263" s="3" t="s">
        <v>2718</v>
      </c>
      <c r="S263" s="1" t="s">
        <v>967</v>
      </c>
      <c r="T263" s="1">
        <v>619.0</v>
      </c>
      <c r="U263" s="3" t="s">
        <v>2719</v>
      </c>
      <c r="V263" s="1">
        <v>721062.0</v>
      </c>
      <c r="W263" s="1" t="s">
        <v>2720</v>
      </c>
      <c r="X263" s="3" t="s">
        <v>2721</v>
      </c>
      <c r="Y263" s="3" t="s">
        <v>2722</v>
      </c>
      <c r="Z263" s="1">
        <v>1.0</v>
      </c>
      <c r="AA263" s="1" t="s">
        <v>2723</v>
      </c>
      <c r="AB263" s="1">
        <v>21.0</v>
      </c>
      <c r="AC263" s="1">
        <v>41.0</v>
      </c>
      <c r="AD263" s="1">
        <v>51.0</v>
      </c>
      <c r="AE263" s="1">
        <v>139.0</v>
      </c>
      <c r="AF263" s="1">
        <v>58.0</v>
      </c>
      <c r="AG263" s="1">
        <v>156.0</v>
      </c>
      <c r="AH263" s="1">
        <v>2065.0</v>
      </c>
      <c r="AI263" s="1">
        <v>32.0</v>
      </c>
      <c r="AJ263" s="1">
        <v>0.0</v>
      </c>
      <c r="AK263" s="1">
        <v>0.0</v>
      </c>
      <c r="AL263" s="1">
        <v>12.0</v>
      </c>
      <c r="AM263" s="1">
        <v>20.0</v>
      </c>
      <c r="AN263" s="1">
        <v>4.0</v>
      </c>
    </row>
    <row r="264">
      <c r="A264" s="1">
        <v>161.0</v>
      </c>
      <c r="B264" s="1" t="s">
        <v>2724</v>
      </c>
      <c r="C264" s="1" t="s">
        <v>2725</v>
      </c>
      <c r="D264" s="1" t="s">
        <v>2726</v>
      </c>
      <c r="E264" s="1" t="s">
        <v>43</v>
      </c>
      <c r="F264" s="2">
        <v>33368.0</v>
      </c>
      <c r="G264" s="1" t="s">
        <v>2727</v>
      </c>
      <c r="H264" s="1">
        <v>91.0</v>
      </c>
      <c r="I264" s="1" t="s">
        <v>610</v>
      </c>
      <c r="J264" s="1">
        <v>7.0</v>
      </c>
      <c r="K264" s="2">
        <v>42907.0</v>
      </c>
      <c r="M264" s="1">
        <v>0.0</v>
      </c>
      <c r="N264" s="1" t="s">
        <v>61</v>
      </c>
      <c r="O264" s="1" t="s">
        <v>62</v>
      </c>
      <c r="P264" s="1" t="s">
        <v>2728</v>
      </c>
      <c r="S264" s="1" t="s">
        <v>2729</v>
      </c>
      <c r="T264" s="1">
        <v>47.0</v>
      </c>
      <c r="U264" s="3" t="s">
        <v>2730</v>
      </c>
      <c r="V264" s="1">
        <v>721678.0</v>
      </c>
      <c r="W264" s="1" t="s">
        <v>2731</v>
      </c>
      <c r="X264" s="3" t="s">
        <v>2732</v>
      </c>
      <c r="Y264" s="3" t="s">
        <v>2733</v>
      </c>
      <c r="Z264" s="1">
        <v>3.0</v>
      </c>
      <c r="AA264" s="1" t="s">
        <v>2734</v>
      </c>
      <c r="AB264" s="1">
        <v>21.0</v>
      </c>
      <c r="AC264" s="1">
        <v>30.0</v>
      </c>
      <c r="AD264" s="1">
        <v>14.0</v>
      </c>
      <c r="AE264" s="1">
        <v>26.0</v>
      </c>
      <c r="AF264" s="1">
        <v>14.0</v>
      </c>
      <c r="AG264" s="1">
        <v>9.0</v>
      </c>
      <c r="AH264" s="1">
        <v>471.0</v>
      </c>
      <c r="AI264" s="1">
        <v>21.0</v>
      </c>
      <c r="AJ264" s="1">
        <v>1.0</v>
      </c>
      <c r="AK264" s="1">
        <v>0.0</v>
      </c>
      <c r="AL264" s="1">
        <v>25.0</v>
      </c>
      <c r="AM264" s="1">
        <v>3.0</v>
      </c>
      <c r="AN264" s="1">
        <v>2.0</v>
      </c>
    </row>
    <row r="265">
      <c r="A265" s="1">
        <v>469.0</v>
      </c>
      <c r="B265" s="1" t="s">
        <v>2735</v>
      </c>
      <c r="C265" s="1" t="s">
        <v>2736</v>
      </c>
      <c r="D265" s="1" t="s">
        <v>705</v>
      </c>
      <c r="E265" s="1" t="s">
        <v>43</v>
      </c>
      <c r="F265" s="2">
        <v>18991.0</v>
      </c>
      <c r="G265" s="1" t="s">
        <v>2737</v>
      </c>
      <c r="H265" s="1">
        <v>68.0</v>
      </c>
      <c r="I265" s="1" t="s">
        <v>1501</v>
      </c>
      <c r="J265" s="1">
        <v>3.0</v>
      </c>
      <c r="K265" s="2">
        <v>42907.0</v>
      </c>
      <c r="M265" s="1">
        <v>0.0</v>
      </c>
      <c r="N265" s="1" t="s">
        <v>61</v>
      </c>
      <c r="O265" s="1" t="s">
        <v>62</v>
      </c>
      <c r="P265" s="1" t="s">
        <v>2738</v>
      </c>
      <c r="S265" s="1" t="s">
        <v>2739</v>
      </c>
      <c r="T265" s="1">
        <v>75.0</v>
      </c>
      <c r="U265" s="3" t="s">
        <v>2740</v>
      </c>
      <c r="V265" s="1">
        <v>2529.0</v>
      </c>
      <c r="W265" s="1" t="s">
        <v>2741</v>
      </c>
      <c r="X265" s="3" t="s">
        <v>2742</v>
      </c>
      <c r="Y265" s="3" t="s">
        <v>2743</v>
      </c>
      <c r="Z265" s="1">
        <v>2.0</v>
      </c>
      <c r="AA265" s="1" t="s">
        <v>2744</v>
      </c>
      <c r="AB265" s="1">
        <v>21.0</v>
      </c>
      <c r="AC265" s="1">
        <v>19.0</v>
      </c>
      <c r="AD265" s="1">
        <v>6.0</v>
      </c>
      <c r="AE265" s="1">
        <v>26.0</v>
      </c>
      <c r="AF265" s="1">
        <v>183.0</v>
      </c>
      <c r="AG265" s="1">
        <v>1.0</v>
      </c>
      <c r="AH265" s="1">
        <v>333.0</v>
      </c>
      <c r="AI265" s="1">
        <v>19.0</v>
      </c>
      <c r="AJ265" s="1">
        <v>1.0</v>
      </c>
      <c r="AK265" s="1">
        <v>0.0</v>
      </c>
      <c r="AL265" s="1">
        <v>101.0</v>
      </c>
      <c r="AM265" s="1">
        <v>8.0</v>
      </c>
      <c r="AN265" s="1">
        <v>0.0</v>
      </c>
    </row>
    <row r="266">
      <c r="A266" s="1">
        <v>50.0</v>
      </c>
      <c r="B266" s="1" t="s">
        <v>2745</v>
      </c>
      <c r="C266" s="1" t="s">
        <v>2746</v>
      </c>
      <c r="D266" s="1" t="s">
        <v>651</v>
      </c>
      <c r="E266" s="1" t="s">
        <v>58</v>
      </c>
      <c r="F266" s="2">
        <v>27140.0</v>
      </c>
      <c r="G266" s="1" t="s">
        <v>2747</v>
      </c>
      <c r="H266" s="1">
        <v>95.0</v>
      </c>
      <c r="I266" s="1" t="s">
        <v>302</v>
      </c>
      <c r="J266" s="1">
        <v>3.0</v>
      </c>
      <c r="K266" s="2">
        <v>42907.0</v>
      </c>
      <c r="M266" s="1">
        <v>0.0</v>
      </c>
      <c r="N266" s="1" t="s">
        <v>75</v>
      </c>
      <c r="O266" s="1" t="s">
        <v>76</v>
      </c>
      <c r="P266" s="3" t="s">
        <v>2748</v>
      </c>
      <c r="S266" s="1" t="s">
        <v>373</v>
      </c>
      <c r="T266" s="1">
        <v>344.0</v>
      </c>
      <c r="U266" s="3" t="s">
        <v>2749</v>
      </c>
      <c r="V266" s="1">
        <v>720900.0</v>
      </c>
      <c r="W266" s="1" t="s">
        <v>2750</v>
      </c>
      <c r="X266" s="3" t="s">
        <v>2751</v>
      </c>
      <c r="Y266" s="3" t="s">
        <v>2752</v>
      </c>
      <c r="Z266" s="1">
        <v>1.0</v>
      </c>
      <c r="AA266" s="1" t="s">
        <v>2753</v>
      </c>
      <c r="AB266" s="1">
        <v>21.0</v>
      </c>
      <c r="AC266" s="1">
        <v>33.0</v>
      </c>
      <c r="AD266" s="1">
        <v>20.0</v>
      </c>
      <c r="AE266" s="1">
        <v>26.0</v>
      </c>
      <c r="AF266" s="1">
        <v>1.0</v>
      </c>
      <c r="AG266" s="1">
        <v>1.0</v>
      </c>
      <c r="AH266" s="1">
        <v>80.0</v>
      </c>
      <c r="AI266" s="1">
        <v>20.0</v>
      </c>
      <c r="AJ266" s="1">
        <v>0.0</v>
      </c>
      <c r="AK266" s="1">
        <v>0.0</v>
      </c>
      <c r="AL266" s="1">
        <v>6.0</v>
      </c>
      <c r="AM266" s="1">
        <v>7.0</v>
      </c>
      <c r="AN266" s="1">
        <v>1.0</v>
      </c>
    </row>
    <row r="267">
      <c r="A267" s="1">
        <v>86.0</v>
      </c>
      <c r="B267" s="1" t="s">
        <v>2754</v>
      </c>
      <c r="C267" s="1" t="s">
        <v>2755</v>
      </c>
      <c r="D267" s="1" t="s">
        <v>2756</v>
      </c>
      <c r="E267" s="1" t="s">
        <v>58</v>
      </c>
      <c r="F267" s="2">
        <v>28143.0</v>
      </c>
      <c r="G267" s="1" t="s">
        <v>2757</v>
      </c>
      <c r="H267" s="1">
        <v>91.0</v>
      </c>
      <c r="I267" s="1" t="s">
        <v>610</v>
      </c>
      <c r="J267" s="1">
        <v>4.0</v>
      </c>
      <c r="K267" s="2">
        <v>42907.0</v>
      </c>
      <c r="M267" s="1">
        <v>0.0</v>
      </c>
      <c r="N267" s="1" t="s">
        <v>75</v>
      </c>
      <c r="O267" s="1" t="s">
        <v>76</v>
      </c>
      <c r="P267" s="3" t="s">
        <v>2758</v>
      </c>
      <c r="S267" s="1" t="s">
        <v>2759</v>
      </c>
      <c r="T267" s="1">
        <v>475.0</v>
      </c>
      <c r="U267" s="3" t="s">
        <v>2760</v>
      </c>
      <c r="V267" s="1">
        <v>722252.0</v>
      </c>
      <c r="W267" s="1" t="s">
        <v>2761</v>
      </c>
      <c r="X267" s="3" t="s">
        <v>2762</v>
      </c>
      <c r="Y267" s="3" t="s">
        <v>2763</v>
      </c>
      <c r="Z267" s="1">
        <v>1.0</v>
      </c>
      <c r="AA267" s="1" t="s">
        <v>2764</v>
      </c>
      <c r="AB267" s="1">
        <v>21.0</v>
      </c>
      <c r="AC267" s="1">
        <v>43.0</v>
      </c>
      <c r="AD267" s="1">
        <v>57.0</v>
      </c>
      <c r="AE267" s="1">
        <v>13.0</v>
      </c>
      <c r="AF267" s="1">
        <v>6.0</v>
      </c>
      <c r="AG267" s="1">
        <v>6.0</v>
      </c>
      <c r="AH267" s="1">
        <v>56.0</v>
      </c>
      <c r="AI267" s="1">
        <v>17.0</v>
      </c>
      <c r="AJ267" s="1">
        <v>0.0</v>
      </c>
      <c r="AK267" s="1">
        <v>0.0</v>
      </c>
      <c r="AL267" s="1">
        <v>5.0</v>
      </c>
      <c r="AM267" s="1">
        <v>3.0</v>
      </c>
      <c r="AN267" s="1">
        <v>2.0</v>
      </c>
    </row>
    <row r="268">
      <c r="A268" s="1">
        <v>80.0</v>
      </c>
      <c r="B268" s="1" t="s">
        <v>2765</v>
      </c>
      <c r="C268" s="1" t="s">
        <v>2766</v>
      </c>
      <c r="D268" s="1" t="s">
        <v>2767</v>
      </c>
      <c r="E268" s="1" t="s">
        <v>58</v>
      </c>
      <c r="F268" s="2">
        <v>29601.0</v>
      </c>
      <c r="G268" s="1" t="s">
        <v>2768</v>
      </c>
      <c r="H268" s="1">
        <v>91.0</v>
      </c>
      <c r="I268" s="1" t="s">
        <v>610</v>
      </c>
      <c r="J268" s="1">
        <v>3.0</v>
      </c>
      <c r="K268" s="2">
        <v>42907.0</v>
      </c>
      <c r="M268" s="1">
        <v>0.0</v>
      </c>
      <c r="N268" s="1" t="s">
        <v>75</v>
      </c>
      <c r="O268" s="1" t="s">
        <v>76</v>
      </c>
      <c r="P268" s="1" t="s">
        <v>2769</v>
      </c>
      <c r="S268" s="1" t="s">
        <v>936</v>
      </c>
      <c r="T268" s="1">
        <v>642.0</v>
      </c>
      <c r="U268" s="3" t="s">
        <v>2770</v>
      </c>
      <c r="V268" s="1">
        <v>722022.0</v>
      </c>
      <c r="W268" s="1" t="s">
        <v>2771</v>
      </c>
      <c r="X268" s="3" t="s">
        <v>2772</v>
      </c>
      <c r="Y268" s="3" t="s">
        <v>2773</v>
      </c>
      <c r="Z268" s="1">
        <v>1.0</v>
      </c>
      <c r="AA268" s="1" t="s">
        <v>2774</v>
      </c>
      <c r="AB268" s="1">
        <v>21.0</v>
      </c>
      <c r="AC268" s="1">
        <v>38.0</v>
      </c>
      <c r="AD268" s="1">
        <v>8.0</v>
      </c>
      <c r="AE268" s="1">
        <v>4.0</v>
      </c>
      <c r="AF268" s="1">
        <v>0.0</v>
      </c>
      <c r="AG268" s="1">
        <v>0.0</v>
      </c>
      <c r="AH268" s="1">
        <v>64.0</v>
      </c>
      <c r="AI268" s="1">
        <v>27.0</v>
      </c>
      <c r="AJ268" s="1">
        <v>0.0</v>
      </c>
      <c r="AK268" s="1">
        <v>0.0</v>
      </c>
      <c r="AL268" s="1">
        <v>5.0</v>
      </c>
      <c r="AM268" s="1">
        <v>2.0</v>
      </c>
      <c r="AN268" s="1">
        <v>1.0</v>
      </c>
    </row>
    <row r="269">
      <c r="A269" s="1">
        <v>1.0</v>
      </c>
      <c r="B269" s="1" t="s">
        <v>2775</v>
      </c>
      <c r="C269" s="1" t="s">
        <v>2073</v>
      </c>
      <c r="D269" s="1" t="s">
        <v>2776</v>
      </c>
      <c r="E269" s="1" t="s">
        <v>43</v>
      </c>
      <c r="F269" s="2">
        <v>26582.0</v>
      </c>
      <c r="G269" s="1" t="s">
        <v>2609</v>
      </c>
      <c r="H269" s="1">
        <v>6.0</v>
      </c>
      <c r="I269" s="1" t="s">
        <v>438</v>
      </c>
      <c r="J269" s="1">
        <v>3.0</v>
      </c>
      <c r="K269" s="2">
        <v>42907.0</v>
      </c>
      <c r="M269" s="1">
        <v>0.0</v>
      </c>
      <c r="N269" s="1" t="s">
        <v>75</v>
      </c>
      <c r="O269" s="1" t="s">
        <v>76</v>
      </c>
      <c r="P269" s="1" t="s">
        <v>2777</v>
      </c>
      <c r="S269" s="1" t="s">
        <v>2778</v>
      </c>
      <c r="T269" s="1">
        <v>309.0</v>
      </c>
      <c r="U269" s="3" t="s">
        <v>2779</v>
      </c>
      <c r="V269" s="1">
        <v>718902.0</v>
      </c>
      <c r="W269" s="1" t="s">
        <v>2780</v>
      </c>
      <c r="X269" s="3" t="s">
        <v>2781</v>
      </c>
      <c r="Y269" s="3" t="s">
        <v>2782</v>
      </c>
      <c r="Z269" s="1">
        <v>1.0</v>
      </c>
      <c r="AA269" s="1" t="s">
        <v>2783</v>
      </c>
      <c r="AB269" s="1">
        <v>21.0</v>
      </c>
      <c r="AC269" s="1">
        <v>42.0</v>
      </c>
      <c r="AD269" s="1">
        <v>18.0</v>
      </c>
      <c r="AE269" s="1">
        <v>16.0</v>
      </c>
      <c r="AF269" s="1">
        <v>6.0</v>
      </c>
      <c r="AG269" s="1">
        <v>2.0</v>
      </c>
      <c r="AH269" s="1">
        <v>103.0</v>
      </c>
      <c r="AI269" s="1">
        <v>45.0</v>
      </c>
      <c r="AJ269" s="1">
        <v>0.0</v>
      </c>
      <c r="AK269" s="1">
        <v>0.0</v>
      </c>
      <c r="AL269" s="1">
        <v>6.0</v>
      </c>
      <c r="AM269" s="1">
        <v>0.0</v>
      </c>
      <c r="AN269" s="1">
        <v>1.0</v>
      </c>
    </row>
    <row r="270">
      <c r="A270" s="1">
        <v>255.0</v>
      </c>
      <c r="B270" s="1" t="s">
        <v>2784</v>
      </c>
      <c r="C270" s="1" t="s">
        <v>2785</v>
      </c>
      <c r="D270" s="1" t="s">
        <v>1490</v>
      </c>
      <c r="E270" s="1" t="s">
        <v>43</v>
      </c>
      <c r="F270" s="2">
        <v>27685.0</v>
      </c>
      <c r="G270" s="1" t="s">
        <v>2687</v>
      </c>
      <c r="H270" s="1">
        <v>80.0</v>
      </c>
      <c r="I270" s="1" t="s">
        <v>1148</v>
      </c>
      <c r="J270" s="1">
        <v>1.0</v>
      </c>
      <c r="K270" s="2">
        <v>42907.0</v>
      </c>
      <c r="M270" s="1">
        <v>0.0</v>
      </c>
      <c r="N270" s="1" t="s">
        <v>173</v>
      </c>
      <c r="O270" s="1" t="s">
        <v>174</v>
      </c>
      <c r="P270" s="1" t="s">
        <v>2786</v>
      </c>
      <c r="S270" s="1" t="s">
        <v>2787</v>
      </c>
      <c r="T270" s="1">
        <v>627.0</v>
      </c>
      <c r="U270" s="3" t="s">
        <v>2788</v>
      </c>
      <c r="V270" s="1">
        <v>722142.0</v>
      </c>
      <c r="W270" s="1" t="s">
        <v>2789</v>
      </c>
      <c r="X270" s="3" t="s">
        <v>2790</v>
      </c>
      <c r="Y270" s="3" t="s">
        <v>2791</v>
      </c>
      <c r="Z270" s="1">
        <v>1.0</v>
      </c>
      <c r="AA270" s="1" t="s">
        <v>2792</v>
      </c>
      <c r="AB270" s="1">
        <v>21.0</v>
      </c>
      <c r="AC270" s="1">
        <v>28.0</v>
      </c>
      <c r="AD270" s="1">
        <v>76.0</v>
      </c>
      <c r="AE270" s="1">
        <v>276.0</v>
      </c>
      <c r="AF270" s="1">
        <v>103.0</v>
      </c>
      <c r="AG270" s="1">
        <v>67.0</v>
      </c>
      <c r="AH270" s="1">
        <v>2066.0</v>
      </c>
      <c r="AI270" s="1">
        <v>32.0</v>
      </c>
      <c r="AJ270" s="1">
        <v>1.0</v>
      </c>
      <c r="AK270" s="1">
        <v>3.0</v>
      </c>
      <c r="AL270" s="1">
        <v>17.0</v>
      </c>
      <c r="AM270" s="1">
        <v>8.0</v>
      </c>
      <c r="AN270" s="1">
        <v>3.0</v>
      </c>
    </row>
    <row r="271">
      <c r="A271" s="1">
        <v>186.0</v>
      </c>
      <c r="B271" s="1" t="s">
        <v>2793</v>
      </c>
      <c r="C271" s="1" t="s">
        <v>2794</v>
      </c>
      <c r="D271" s="1" t="s">
        <v>2795</v>
      </c>
      <c r="E271" s="1" t="s">
        <v>43</v>
      </c>
      <c r="F271" s="2">
        <v>31072.0</v>
      </c>
      <c r="G271" s="1" t="s">
        <v>2796</v>
      </c>
      <c r="H271" s="1">
        <v>75.0</v>
      </c>
      <c r="I271" s="1" t="s">
        <v>232</v>
      </c>
      <c r="J271" s="1">
        <v>7.0</v>
      </c>
      <c r="K271" s="2">
        <v>42907.0</v>
      </c>
      <c r="M271" s="1">
        <v>0.0</v>
      </c>
      <c r="N271" s="1" t="s">
        <v>75</v>
      </c>
      <c r="O271" s="1" t="s">
        <v>76</v>
      </c>
      <c r="P271" s="1" t="s">
        <v>2797</v>
      </c>
      <c r="S271" s="1" t="s">
        <v>2798</v>
      </c>
      <c r="T271" s="1">
        <v>423.0</v>
      </c>
      <c r="U271" s="3" t="s">
        <v>2799</v>
      </c>
      <c r="V271" s="1">
        <v>721616.0</v>
      </c>
      <c r="W271" s="1" t="s">
        <v>2800</v>
      </c>
      <c r="X271" s="3" t="s">
        <v>2801</v>
      </c>
      <c r="Y271" s="3" t="s">
        <v>2802</v>
      </c>
      <c r="Z271" s="1">
        <v>1.0</v>
      </c>
      <c r="AA271" s="1" t="s">
        <v>2803</v>
      </c>
      <c r="AB271" s="1">
        <v>21.0</v>
      </c>
      <c r="AC271" s="1">
        <v>35.0</v>
      </c>
      <c r="AD271" s="1">
        <v>11.0</v>
      </c>
      <c r="AE271" s="1">
        <v>28.0</v>
      </c>
      <c r="AF271" s="1">
        <v>28.0</v>
      </c>
      <c r="AG271" s="1">
        <v>3.0</v>
      </c>
      <c r="AH271" s="1">
        <v>60.0</v>
      </c>
      <c r="AI271" s="1">
        <v>26.0</v>
      </c>
      <c r="AJ271" s="1">
        <v>0.0</v>
      </c>
      <c r="AK271" s="1">
        <v>0.0</v>
      </c>
      <c r="AL271" s="1">
        <v>5.0</v>
      </c>
      <c r="AM271" s="1">
        <v>1.0</v>
      </c>
      <c r="AN271" s="1">
        <v>1.0</v>
      </c>
    </row>
    <row r="272">
      <c r="A272" s="1">
        <v>546.0</v>
      </c>
      <c r="B272" s="1" t="s">
        <v>2804</v>
      </c>
      <c r="C272" s="1" t="s">
        <v>2805</v>
      </c>
      <c r="D272" s="1" t="s">
        <v>2806</v>
      </c>
      <c r="E272" s="1" t="s">
        <v>58</v>
      </c>
      <c r="F272" s="2">
        <v>24543.0</v>
      </c>
      <c r="G272" s="1" t="s">
        <v>2807</v>
      </c>
      <c r="H272" s="1">
        <v>29.0</v>
      </c>
      <c r="I272" s="1" t="s">
        <v>393</v>
      </c>
      <c r="J272" s="1">
        <v>7.0</v>
      </c>
      <c r="K272" s="2">
        <v>42907.0</v>
      </c>
      <c r="M272" s="1">
        <v>0.0</v>
      </c>
      <c r="N272" s="1" t="s">
        <v>75</v>
      </c>
      <c r="O272" s="1" t="s">
        <v>76</v>
      </c>
      <c r="P272" s="1" t="s">
        <v>2808</v>
      </c>
      <c r="S272" s="1" t="s">
        <v>118</v>
      </c>
      <c r="T272" s="1">
        <v>398.0</v>
      </c>
      <c r="U272" s="3" t="s">
        <v>2809</v>
      </c>
      <c r="V272" s="1">
        <v>719550.0</v>
      </c>
      <c r="W272" s="1" t="s">
        <v>2810</v>
      </c>
      <c r="X272" s="3" t="s">
        <v>2811</v>
      </c>
      <c r="Y272" s="3" t="s">
        <v>2812</v>
      </c>
      <c r="Z272" s="1">
        <v>2.0</v>
      </c>
      <c r="AA272" s="1" t="s">
        <v>2813</v>
      </c>
      <c r="AB272" s="1">
        <v>21.0</v>
      </c>
      <c r="AC272" s="1">
        <v>55.0</v>
      </c>
      <c r="AD272" s="1">
        <v>20.0</v>
      </c>
      <c r="AE272" s="1">
        <v>3.0</v>
      </c>
      <c r="AF272" s="1">
        <v>1.0</v>
      </c>
      <c r="AG272" s="1">
        <v>0.0</v>
      </c>
      <c r="AH272" s="1">
        <v>21.0</v>
      </c>
      <c r="AI272" s="1">
        <v>10.0</v>
      </c>
      <c r="AJ272" s="1">
        <v>0.0</v>
      </c>
      <c r="AK272" s="1">
        <v>0.0</v>
      </c>
      <c r="AL272" s="1">
        <v>5.0</v>
      </c>
      <c r="AM272" s="1">
        <v>2.0</v>
      </c>
      <c r="AN272" s="1">
        <v>0.0</v>
      </c>
    </row>
    <row r="273">
      <c r="A273" s="1">
        <v>182.0</v>
      </c>
      <c r="B273" s="1" t="s">
        <v>2814</v>
      </c>
      <c r="C273" s="1" t="s">
        <v>2815</v>
      </c>
      <c r="D273" s="1" t="s">
        <v>2816</v>
      </c>
      <c r="E273" s="1" t="s">
        <v>43</v>
      </c>
      <c r="F273" s="2">
        <v>28186.0</v>
      </c>
      <c r="G273" s="1" t="s">
        <v>1761</v>
      </c>
      <c r="H273" s="1">
        <v>81.0</v>
      </c>
      <c r="I273" s="1" t="s">
        <v>673</v>
      </c>
      <c r="J273" s="1">
        <v>3.0</v>
      </c>
      <c r="K273" s="2">
        <v>42907.0</v>
      </c>
      <c r="M273" s="1">
        <v>0.0</v>
      </c>
      <c r="N273" s="1" t="s">
        <v>75</v>
      </c>
      <c r="O273" s="1" t="s">
        <v>76</v>
      </c>
      <c r="P273" s="1" t="s">
        <v>2817</v>
      </c>
      <c r="S273" s="1" t="s">
        <v>304</v>
      </c>
      <c r="T273" s="1">
        <v>457.0</v>
      </c>
      <c r="U273" s="3" t="s">
        <v>2818</v>
      </c>
      <c r="V273" s="1">
        <v>721584.0</v>
      </c>
      <c r="W273" s="1" t="s">
        <v>2819</v>
      </c>
      <c r="X273" s="3" t="s">
        <v>2820</v>
      </c>
      <c r="Y273" s="3" t="s">
        <v>2821</v>
      </c>
      <c r="Z273" s="1">
        <v>1.0</v>
      </c>
      <c r="AA273" s="1" t="s">
        <v>2822</v>
      </c>
      <c r="AB273" s="1">
        <v>21.0</v>
      </c>
      <c r="AC273" s="1">
        <v>53.0</v>
      </c>
      <c r="AD273" s="1">
        <v>19.0</v>
      </c>
      <c r="AE273" s="1">
        <v>21.0</v>
      </c>
      <c r="AF273" s="1">
        <v>5.0</v>
      </c>
      <c r="AG273" s="1">
        <v>5.0</v>
      </c>
      <c r="AH273" s="1">
        <v>138.0</v>
      </c>
      <c r="AI273" s="1">
        <v>58.0</v>
      </c>
      <c r="AJ273" s="1">
        <v>0.0</v>
      </c>
      <c r="AK273" s="1">
        <v>0.0</v>
      </c>
      <c r="AL273" s="1">
        <v>6.0</v>
      </c>
      <c r="AM273" s="1">
        <v>2.0</v>
      </c>
      <c r="AN273" s="1">
        <v>1.0</v>
      </c>
    </row>
    <row r="274">
      <c r="A274" s="1">
        <v>180.0</v>
      </c>
      <c r="B274" s="1" t="s">
        <v>2823</v>
      </c>
      <c r="C274" s="1" t="s">
        <v>2824</v>
      </c>
      <c r="D274" s="1" t="s">
        <v>2825</v>
      </c>
      <c r="E274" s="1" t="s">
        <v>58</v>
      </c>
      <c r="F274" s="2">
        <v>23530.0</v>
      </c>
      <c r="G274" s="1" t="s">
        <v>2826</v>
      </c>
      <c r="H274" s="1">
        <v>60.0</v>
      </c>
      <c r="I274" s="1" t="s">
        <v>769</v>
      </c>
      <c r="J274" s="1">
        <v>2.0</v>
      </c>
      <c r="K274" s="2">
        <v>42907.0</v>
      </c>
      <c r="M274" s="1">
        <v>0.0</v>
      </c>
      <c r="N274" s="1" t="s">
        <v>75</v>
      </c>
      <c r="O274" s="1" t="s">
        <v>76</v>
      </c>
      <c r="P274" s="3" t="s">
        <v>2827</v>
      </c>
      <c r="S274" s="1" t="s">
        <v>2828</v>
      </c>
      <c r="T274" s="1">
        <v>221.0</v>
      </c>
      <c r="U274" s="3" t="s">
        <v>2829</v>
      </c>
      <c r="V274" s="1">
        <v>720568.0</v>
      </c>
      <c r="W274" s="1" t="s">
        <v>2830</v>
      </c>
      <c r="X274" s="3" t="s">
        <v>2831</v>
      </c>
      <c r="Y274" s="3" t="s">
        <v>2832</v>
      </c>
      <c r="Z274" s="1">
        <v>1.0</v>
      </c>
      <c r="AA274" s="1" t="s">
        <v>2833</v>
      </c>
      <c r="AB274" s="1">
        <v>21.0</v>
      </c>
      <c r="AC274" s="1">
        <v>41.0</v>
      </c>
      <c r="AD274" s="1">
        <v>13.0</v>
      </c>
      <c r="AE274" s="1">
        <v>3.0</v>
      </c>
      <c r="AF274" s="1">
        <v>13.0</v>
      </c>
      <c r="AG274" s="1">
        <v>0.0</v>
      </c>
      <c r="AH274" s="1">
        <v>53.0</v>
      </c>
      <c r="AI274" s="1">
        <v>14.0</v>
      </c>
      <c r="AJ274" s="1">
        <v>0.0</v>
      </c>
      <c r="AK274" s="1">
        <v>0.0</v>
      </c>
      <c r="AL274" s="1">
        <v>5.0</v>
      </c>
      <c r="AM274" s="1">
        <v>8.0</v>
      </c>
      <c r="AN274" s="1">
        <v>2.0</v>
      </c>
    </row>
    <row r="275">
      <c r="A275" s="1">
        <v>302.0</v>
      </c>
      <c r="B275" s="1" t="s">
        <v>2834</v>
      </c>
      <c r="C275" s="1" t="s">
        <v>2835</v>
      </c>
      <c r="D275" s="1" t="s">
        <v>1473</v>
      </c>
      <c r="E275" s="1" t="s">
        <v>58</v>
      </c>
      <c r="F275" s="2">
        <v>21688.0</v>
      </c>
      <c r="G275" s="1" t="s">
        <v>2836</v>
      </c>
      <c r="H275" s="1">
        <v>37.0</v>
      </c>
      <c r="I275" s="1" t="s">
        <v>547</v>
      </c>
      <c r="J275" s="1">
        <v>5.0</v>
      </c>
      <c r="K275" s="2">
        <v>42907.0</v>
      </c>
      <c r="M275" s="1">
        <v>0.0</v>
      </c>
      <c r="N275" s="1" t="s">
        <v>75</v>
      </c>
      <c r="O275" s="1" t="s">
        <v>76</v>
      </c>
      <c r="P275" s="1" t="s">
        <v>2837</v>
      </c>
      <c r="S275" s="1" t="s">
        <v>2484</v>
      </c>
      <c r="T275" s="1">
        <v>222.0</v>
      </c>
      <c r="U275" s="3" t="s">
        <v>2838</v>
      </c>
      <c r="V275" s="1">
        <v>719822.0</v>
      </c>
      <c r="W275" s="1" t="s">
        <v>2839</v>
      </c>
      <c r="X275" s="3" t="s">
        <v>2840</v>
      </c>
      <c r="Y275" s="3" t="s">
        <v>2841</v>
      </c>
      <c r="Z275" s="1">
        <v>1.0</v>
      </c>
      <c r="AA275" s="1" t="s">
        <v>2842</v>
      </c>
      <c r="AB275" s="1">
        <v>21.0</v>
      </c>
      <c r="AC275" s="1">
        <v>46.0</v>
      </c>
      <c r="AD275" s="1">
        <v>102.0</v>
      </c>
      <c r="AE275" s="1">
        <v>19.0</v>
      </c>
      <c r="AF275" s="1">
        <v>0.0</v>
      </c>
      <c r="AG275" s="1">
        <v>0.0</v>
      </c>
      <c r="AH275" s="1">
        <v>4.0</v>
      </c>
      <c r="AI275" s="1">
        <v>1.0</v>
      </c>
      <c r="AJ275" s="1">
        <v>0.0</v>
      </c>
      <c r="AK275" s="1">
        <v>0.0</v>
      </c>
      <c r="AL275" s="1">
        <v>7.0</v>
      </c>
      <c r="AM275" s="1">
        <v>4.0</v>
      </c>
      <c r="AN275" s="1">
        <v>1.0</v>
      </c>
    </row>
    <row r="276">
      <c r="A276" s="1">
        <v>304.0</v>
      </c>
      <c r="B276" s="1" t="s">
        <v>2843</v>
      </c>
      <c r="C276" s="1" t="s">
        <v>2844</v>
      </c>
      <c r="D276" s="1" t="s">
        <v>694</v>
      </c>
      <c r="E276" s="1" t="s">
        <v>58</v>
      </c>
      <c r="F276" s="2">
        <v>26364.0</v>
      </c>
      <c r="G276" s="1" t="s">
        <v>2845</v>
      </c>
      <c r="H276" s="1">
        <v>6.0</v>
      </c>
      <c r="I276" s="1" t="s">
        <v>438</v>
      </c>
      <c r="J276" s="1">
        <v>6.0</v>
      </c>
      <c r="K276" s="2">
        <v>42907.0</v>
      </c>
      <c r="M276" s="1">
        <v>0.0</v>
      </c>
      <c r="N276" s="1" t="s">
        <v>61</v>
      </c>
      <c r="O276" s="1" t="s">
        <v>62</v>
      </c>
      <c r="P276" s="1" t="s">
        <v>2846</v>
      </c>
      <c r="S276" s="1" t="s">
        <v>2847</v>
      </c>
      <c r="T276" s="1">
        <v>151.0</v>
      </c>
      <c r="U276" s="3" t="s">
        <v>2848</v>
      </c>
      <c r="V276" s="1">
        <v>718780.0</v>
      </c>
      <c r="W276" s="1" t="s">
        <v>2849</v>
      </c>
      <c r="X276" s="3" t="s">
        <v>2850</v>
      </c>
      <c r="Y276" s="3" t="s">
        <v>2851</v>
      </c>
      <c r="Z276" s="1">
        <v>1.0</v>
      </c>
      <c r="AA276" s="1" t="s">
        <v>2852</v>
      </c>
      <c r="AB276" s="1">
        <v>21.0</v>
      </c>
      <c r="AC276" s="1">
        <v>46.0</v>
      </c>
      <c r="AD276" s="1">
        <v>24.0</v>
      </c>
      <c r="AE276" s="1">
        <v>15.0</v>
      </c>
      <c r="AF276" s="1">
        <v>7.0</v>
      </c>
      <c r="AG276" s="1">
        <v>47.0</v>
      </c>
      <c r="AH276" s="1">
        <v>719.0</v>
      </c>
      <c r="AI276" s="1">
        <v>24.0</v>
      </c>
      <c r="AJ276" s="1">
        <v>0.0</v>
      </c>
      <c r="AK276" s="1">
        <v>2.0</v>
      </c>
      <c r="AL276" s="1">
        <v>67.0</v>
      </c>
      <c r="AM276" s="1">
        <v>9.0</v>
      </c>
      <c r="AN276" s="1">
        <v>3.0</v>
      </c>
    </row>
    <row r="277">
      <c r="A277" s="1">
        <v>7.0</v>
      </c>
      <c r="B277" s="1" t="s">
        <v>2853</v>
      </c>
      <c r="C277" s="1" t="s">
        <v>2854</v>
      </c>
      <c r="D277" s="1" t="s">
        <v>1822</v>
      </c>
      <c r="E277" s="1" t="s">
        <v>43</v>
      </c>
      <c r="F277" s="2">
        <v>24643.0</v>
      </c>
      <c r="G277" s="1" t="s">
        <v>836</v>
      </c>
      <c r="H277" s="1">
        <v>95.0</v>
      </c>
      <c r="I277" s="1" t="s">
        <v>302</v>
      </c>
      <c r="J277" s="1">
        <v>2.0</v>
      </c>
      <c r="K277" s="2">
        <v>42907.0</v>
      </c>
      <c r="M277" s="1">
        <v>0.0</v>
      </c>
      <c r="N277" s="1" t="s">
        <v>75</v>
      </c>
      <c r="O277" s="1" t="s">
        <v>76</v>
      </c>
      <c r="P277" s="1" t="s">
        <v>2855</v>
      </c>
      <c r="S277" s="1" t="s">
        <v>234</v>
      </c>
      <c r="T277" s="1">
        <v>373.0</v>
      </c>
      <c r="U277" s="3" t="s">
        <v>2856</v>
      </c>
      <c r="V277" s="1">
        <v>721262.0</v>
      </c>
      <c r="W277" s="1" t="s">
        <v>2857</v>
      </c>
      <c r="X277" s="3" t="s">
        <v>2858</v>
      </c>
      <c r="Y277" s="3" t="s">
        <v>2859</v>
      </c>
      <c r="Z277" s="1">
        <v>1.0</v>
      </c>
      <c r="AA277" s="1" t="s">
        <v>2860</v>
      </c>
      <c r="AB277" s="1">
        <v>21.0</v>
      </c>
      <c r="AC277" s="1">
        <v>37.0</v>
      </c>
      <c r="AD277" s="1">
        <v>17.0</v>
      </c>
      <c r="AE277" s="1">
        <v>28.0</v>
      </c>
      <c r="AF277" s="1">
        <v>7.0</v>
      </c>
      <c r="AG277" s="1">
        <v>5.0</v>
      </c>
      <c r="AH277" s="1">
        <v>68.0</v>
      </c>
      <c r="AI277" s="1">
        <v>26.0</v>
      </c>
      <c r="AJ277" s="1">
        <v>1.0</v>
      </c>
      <c r="AK277" s="1">
        <v>0.0</v>
      </c>
      <c r="AL277" s="1">
        <v>5.0</v>
      </c>
      <c r="AM277" s="1">
        <v>4.0</v>
      </c>
      <c r="AN277" s="1">
        <v>2.0</v>
      </c>
    </row>
    <row r="278">
      <c r="A278" s="1">
        <v>234.0</v>
      </c>
      <c r="B278" s="1" t="s">
        <v>2861</v>
      </c>
      <c r="C278" s="1" t="s">
        <v>2862</v>
      </c>
      <c r="D278" s="1" t="s">
        <v>1561</v>
      </c>
      <c r="E278" s="1" t="s">
        <v>43</v>
      </c>
      <c r="F278" s="2">
        <v>32687.0</v>
      </c>
      <c r="G278" s="1" t="s">
        <v>1095</v>
      </c>
      <c r="H278" s="1">
        <v>76.0</v>
      </c>
      <c r="I278" s="1" t="s">
        <v>371</v>
      </c>
      <c r="J278" s="1">
        <v>1.0</v>
      </c>
      <c r="K278" s="2">
        <v>42907.0</v>
      </c>
      <c r="M278" s="1">
        <v>0.0</v>
      </c>
      <c r="N278" s="1" t="s">
        <v>75</v>
      </c>
      <c r="O278" s="1" t="s">
        <v>76</v>
      </c>
      <c r="P278" s="1" t="s">
        <v>2863</v>
      </c>
      <c r="S278" s="1" t="s">
        <v>234</v>
      </c>
      <c r="T278" s="1">
        <v>319.0</v>
      </c>
      <c r="U278" s="3" t="s">
        <v>2864</v>
      </c>
      <c r="V278" s="1">
        <v>722038.0</v>
      </c>
      <c r="W278" s="1" t="s">
        <v>2865</v>
      </c>
      <c r="X278" s="3" t="s">
        <v>2866</v>
      </c>
      <c r="Y278" s="3" t="s">
        <v>2867</v>
      </c>
      <c r="Z278" s="1">
        <v>1.0</v>
      </c>
      <c r="AA278" s="1" t="s">
        <v>2868</v>
      </c>
      <c r="AB278" s="1">
        <v>20.0</v>
      </c>
      <c r="AC278" s="1">
        <v>46.0</v>
      </c>
      <c r="AD278" s="1">
        <v>34.0</v>
      </c>
      <c r="AE278" s="1">
        <v>11.0</v>
      </c>
      <c r="AF278" s="1">
        <v>1.0</v>
      </c>
      <c r="AG278" s="1">
        <v>2.0</v>
      </c>
      <c r="AH278" s="1">
        <v>62.0</v>
      </c>
      <c r="AI278" s="1">
        <v>35.0</v>
      </c>
      <c r="AJ278" s="1">
        <v>0.0</v>
      </c>
      <c r="AK278" s="1">
        <v>0.0</v>
      </c>
      <c r="AL278" s="1">
        <v>5.0</v>
      </c>
      <c r="AM278" s="1">
        <v>19.0</v>
      </c>
      <c r="AN278" s="1">
        <v>1.0</v>
      </c>
    </row>
    <row r="279">
      <c r="A279" s="1">
        <v>413.0</v>
      </c>
      <c r="B279" s="1" t="s">
        <v>2869</v>
      </c>
      <c r="C279" s="1" t="s">
        <v>2870</v>
      </c>
      <c r="D279" s="1" t="s">
        <v>1932</v>
      </c>
      <c r="E279" s="1" t="s">
        <v>43</v>
      </c>
      <c r="F279" s="2">
        <v>25450.0</v>
      </c>
      <c r="G279" s="1" t="s">
        <v>404</v>
      </c>
      <c r="H279" s="1">
        <v>66.0</v>
      </c>
      <c r="I279" s="1" t="s">
        <v>1773</v>
      </c>
      <c r="J279" s="1">
        <v>2.0</v>
      </c>
      <c r="K279" s="2">
        <v>42907.0</v>
      </c>
      <c r="M279" s="1">
        <v>0.0</v>
      </c>
      <c r="N279" s="1" t="s">
        <v>814</v>
      </c>
      <c r="O279" s="1" t="s">
        <v>837</v>
      </c>
      <c r="P279" s="1" t="s">
        <v>2871</v>
      </c>
      <c r="S279" s="1" t="s">
        <v>440</v>
      </c>
      <c r="T279" s="1">
        <v>59.0</v>
      </c>
      <c r="U279" s="3" t="s">
        <v>2872</v>
      </c>
      <c r="V279" s="1">
        <v>720798.0</v>
      </c>
      <c r="W279" s="1" t="s">
        <v>2873</v>
      </c>
      <c r="X279" s="3" t="s">
        <v>2874</v>
      </c>
      <c r="Y279" s="3" t="s">
        <v>2875</v>
      </c>
      <c r="Z279" s="1">
        <v>2.0</v>
      </c>
      <c r="AA279" s="1" t="s">
        <v>2876</v>
      </c>
      <c r="AB279" s="1">
        <v>20.0</v>
      </c>
      <c r="AC279" s="1">
        <v>26.0</v>
      </c>
      <c r="AD279" s="1">
        <v>19.0</v>
      </c>
      <c r="AE279" s="1">
        <v>19.0</v>
      </c>
      <c r="AF279" s="1">
        <v>15.0</v>
      </c>
      <c r="AG279" s="1">
        <v>19.0</v>
      </c>
      <c r="AH279" s="1">
        <v>265.0</v>
      </c>
      <c r="AI279" s="1">
        <v>0.0</v>
      </c>
      <c r="AJ279" s="1">
        <v>0.0</v>
      </c>
      <c r="AK279" s="1">
        <v>0.0</v>
      </c>
      <c r="AL279" s="1">
        <v>14.0</v>
      </c>
      <c r="AM279" s="1">
        <v>12.0</v>
      </c>
      <c r="AN279" s="1">
        <v>0.0</v>
      </c>
    </row>
    <row r="280">
      <c r="A280" s="1">
        <v>220.0</v>
      </c>
      <c r="B280" s="1" t="s">
        <v>2877</v>
      </c>
      <c r="C280" s="1" t="s">
        <v>2878</v>
      </c>
      <c r="D280" s="1" t="s">
        <v>522</v>
      </c>
      <c r="E280" s="1" t="s">
        <v>43</v>
      </c>
      <c r="F280" s="2">
        <v>27618.0</v>
      </c>
      <c r="G280" s="1" t="s">
        <v>2879</v>
      </c>
      <c r="H280" s="1">
        <v>57.0</v>
      </c>
      <c r="I280" s="1" t="s">
        <v>471</v>
      </c>
      <c r="J280" s="1">
        <v>6.0</v>
      </c>
      <c r="K280" s="2">
        <v>42907.0</v>
      </c>
      <c r="M280" s="1">
        <v>0.0</v>
      </c>
      <c r="N280" s="1" t="s">
        <v>75</v>
      </c>
      <c r="O280" s="1" t="s">
        <v>76</v>
      </c>
      <c r="P280" s="1" t="s">
        <v>2880</v>
      </c>
      <c r="S280" s="1" t="s">
        <v>2881</v>
      </c>
      <c r="T280" s="1">
        <v>439.0</v>
      </c>
      <c r="U280" s="3" t="s">
        <v>2882</v>
      </c>
      <c r="V280" s="1">
        <v>720310.0</v>
      </c>
      <c r="W280" s="1" t="s">
        <v>2883</v>
      </c>
      <c r="X280" s="3" t="s">
        <v>2884</v>
      </c>
      <c r="Y280" s="3" t="s">
        <v>2885</v>
      </c>
      <c r="Z280" s="1">
        <v>1.0</v>
      </c>
      <c r="AA280" s="1" t="s">
        <v>2886</v>
      </c>
      <c r="AB280" s="1">
        <v>20.0</v>
      </c>
      <c r="AC280" s="1">
        <v>30.0</v>
      </c>
      <c r="AD280" s="1">
        <v>7.0</v>
      </c>
      <c r="AE280" s="1">
        <v>12.0</v>
      </c>
      <c r="AF280" s="1">
        <v>1.0</v>
      </c>
      <c r="AG280" s="1">
        <v>0.0</v>
      </c>
      <c r="AH280" s="1">
        <v>91.0</v>
      </c>
      <c r="AI280" s="1">
        <v>44.0</v>
      </c>
      <c r="AJ280" s="1">
        <v>0.0</v>
      </c>
      <c r="AK280" s="1">
        <v>0.0</v>
      </c>
      <c r="AL280" s="1">
        <v>6.0</v>
      </c>
      <c r="AM280" s="1">
        <v>5.0</v>
      </c>
      <c r="AN280" s="1">
        <v>2.0</v>
      </c>
    </row>
    <row r="281">
      <c r="A281" s="1">
        <v>310.0</v>
      </c>
      <c r="B281" s="1" t="s">
        <v>2887</v>
      </c>
      <c r="C281" s="1" t="s">
        <v>2888</v>
      </c>
      <c r="D281" s="1" t="s">
        <v>2889</v>
      </c>
      <c r="E281" s="1" t="s">
        <v>43</v>
      </c>
      <c r="F281" s="2">
        <v>32583.0</v>
      </c>
      <c r="G281" s="1" t="s">
        <v>1872</v>
      </c>
      <c r="H281" s="1">
        <v>92.0</v>
      </c>
      <c r="I281" s="1" t="s">
        <v>781</v>
      </c>
      <c r="J281" s="1">
        <v>10.0</v>
      </c>
      <c r="K281" s="2">
        <v>42907.0</v>
      </c>
      <c r="M281" s="1">
        <v>0.0</v>
      </c>
      <c r="N281" s="1" t="s">
        <v>75</v>
      </c>
      <c r="O281" s="1" t="s">
        <v>76</v>
      </c>
      <c r="P281" s="1" t="s">
        <v>2890</v>
      </c>
      <c r="S281" s="1" t="s">
        <v>2208</v>
      </c>
      <c r="T281" s="1">
        <v>453.0</v>
      </c>
      <c r="U281" s="3" t="s">
        <v>2891</v>
      </c>
      <c r="V281" s="1">
        <v>722190.0</v>
      </c>
      <c r="W281" s="1" t="s">
        <v>2892</v>
      </c>
      <c r="X281" s="3" t="s">
        <v>2893</v>
      </c>
      <c r="Y281" s="3" t="s">
        <v>2894</v>
      </c>
      <c r="Z281" s="1">
        <v>1.0</v>
      </c>
      <c r="AA281" s="1" t="s">
        <v>2895</v>
      </c>
      <c r="AB281" s="1">
        <v>20.0</v>
      </c>
      <c r="AC281" s="1">
        <v>43.0</v>
      </c>
      <c r="AD281" s="1">
        <v>132.0</v>
      </c>
      <c r="AE281" s="1">
        <v>179.0</v>
      </c>
      <c r="AF281" s="1">
        <v>52.0</v>
      </c>
      <c r="AG281" s="1">
        <v>41.0</v>
      </c>
      <c r="AH281" s="1">
        <v>76.0</v>
      </c>
      <c r="AI281" s="1">
        <v>49.0</v>
      </c>
      <c r="AJ281" s="1">
        <v>1.0</v>
      </c>
      <c r="AK281" s="1">
        <v>0.0</v>
      </c>
      <c r="AL281" s="1">
        <v>5.0</v>
      </c>
      <c r="AM281" s="1">
        <v>1.0</v>
      </c>
      <c r="AN281" s="1">
        <v>1.0</v>
      </c>
    </row>
    <row r="282">
      <c r="A282" s="1">
        <v>41.0</v>
      </c>
      <c r="B282" s="1" t="s">
        <v>2896</v>
      </c>
      <c r="C282" s="1" t="s">
        <v>2897</v>
      </c>
      <c r="D282" s="1" t="s">
        <v>2898</v>
      </c>
      <c r="E282" s="1" t="s">
        <v>58</v>
      </c>
      <c r="F282" s="2">
        <v>29181.0</v>
      </c>
      <c r="G282" s="1" t="s">
        <v>2899</v>
      </c>
      <c r="H282" s="1">
        <v>53.0</v>
      </c>
      <c r="I282" s="1" t="s">
        <v>2900</v>
      </c>
      <c r="J282" s="1">
        <v>2.0</v>
      </c>
      <c r="K282" s="2">
        <v>42907.0</v>
      </c>
      <c r="M282" s="1">
        <v>0.0</v>
      </c>
      <c r="N282" s="1" t="s">
        <v>280</v>
      </c>
      <c r="O282" s="1" t="s">
        <v>281</v>
      </c>
      <c r="P282" s="1" t="s">
        <v>2901</v>
      </c>
      <c r="S282" s="1" t="s">
        <v>269</v>
      </c>
      <c r="T282" s="1">
        <v>163.0</v>
      </c>
      <c r="U282" s="3" t="s">
        <v>2902</v>
      </c>
      <c r="V282" s="1">
        <v>720256.0</v>
      </c>
      <c r="W282" s="1" t="s">
        <v>2903</v>
      </c>
      <c r="X282" s="3" t="s">
        <v>2904</v>
      </c>
      <c r="Y282" s="3" t="s">
        <v>2905</v>
      </c>
      <c r="Z282" s="1">
        <v>1.0</v>
      </c>
      <c r="AA282" s="1" t="s">
        <v>2906</v>
      </c>
      <c r="AB282" s="1">
        <v>20.0</v>
      </c>
      <c r="AC282" s="1">
        <v>37.0</v>
      </c>
      <c r="AD282" s="1">
        <v>20.0</v>
      </c>
      <c r="AE282" s="1">
        <v>18.0</v>
      </c>
      <c r="AF282" s="1">
        <v>2.0</v>
      </c>
      <c r="AG282" s="1">
        <v>3.0</v>
      </c>
      <c r="AH282" s="1">
        <v>192.0</v>
      </c>
      <c r="AI282" s="1">
        <v>16.0</v>
      </c>
      <c r="AJ282" s="1">
        <v>0.0</v>
      </c>
      <c r="AK282" s="1">
        <v>0.0</v>
      </c>
      <c r="AL282" s="1">
        <v>4.0</v>
      </c>
      <c r="AM282" s="1">
        <v>8.0</v>
      </c>
      <c r="AN282" s="1">
        <v>4.0</v>
      </c>
    </row>
    <row r="283">
      <c r="A283" s="1">
        <v>23.0</v>
      </c>
      <c r="B283" s="1" t="s">
        <v>2907</v>
      </c>
      <c r="C283" s="1" t="s">
        <v>2908</v>
      </c>
      <c r="D283" s="1" t="s">
        <v>2909</v>
      </c>
      <c r="E283" s="1" t="s">
        <v>58</v>
      </c>
      <c r="F283" s="2">
        <v>31729.0</v>
      </c>
      <c r="G283" s="1" t="s">
        <v>207</v>
      </c>
      <c r="H283" s="1">
        <v>78.0</v>
      </c>
      <c r="I283" s="1" t="s">
        <v>74</v>
      </c>
      <c r="J283" s="1">
        <v>10.0</v>
      </c>
      <c r="K283" s="2">
        <v>42907.0</v>
      </c>
      <c r="M283" s="1">
        <v>0.0</v>
      </c>
      <c r="N283" s="1" t="s">
        <v>75</v>
      </c>
      <c r="O283" s="1" t="s">
        <v>76</v>
      </c>
      <c r="P283" s="1" t="s">
        <v>2910</v>
      </c>
      <c r="S283" s="1" t="s">
        <v>234</v>
      </c>
      <c r="T283" s="1">
        <v>462.0</v>
      </c>
      <c r="U283" s="3" t="s">
        <v>2911</v>
      </c>
      <c r="V283" s="1">
        <v>722046.0</v>
      </c>
      <c r="W283" s="1" t="s">
        <v>2912</v>
      </c>
      <c r="X283" s="3" t="s">
        <v>2913</v>
      </c>
      <c r="Y283" s="3" t="s">
        <v>2914</v>
      </c>
      <c r="Z283" s="1">
        <v>2.0</v>
      </c>
      <c r="AA283" s="1" t="s">
        <v>2915</v>
      </c>
      <c r="AB283" s="1">
        <v>20.0</v>
      </c>
      <c r="AC283" s="1">
        <v>35.0</v>
      </c>
      <c r="AD283" s="1">
        <v>18.0</v>
      </c>
      <c r="AE283" s="1">
        <v>43.0</v>
      </c>
      <c r="AF283" s="1">
        <v>11.0</v>
      </c>
      <c r="AG283" s="1">
        <v>5.0</v>
      </c>
      <c r="AH283" s="1">
        <v>69.0</v>
      </c>
      <c r="AI283" s="1">
        <v>17.0</v>
      </c>
      <c r="AJ283" s="1">
        <v>0.0</v>
      </c>
      <c r="AK283" s="1">
        <v>0.0</v>
      </c>
      <c r="AL283" s="1">
        <v>5.0</v>
      </c>
      <c r="AM283" s="1">
        <v>4.0</v>
      </c>
      <c r="AN283" s="1">
        <v>1.0</v>
      </c>
    </row>
    <row r="284">
      <c r="A284" s="1">
        <v>268.0</v>
      </c>
      <c r="B284" s="1" t="s">
        <v>2916</v>
      </c>
      <c r="C284" s="1" t="s">
        <v>2917</v>
      </c>
      <c r="D284" s="1" t="s">
        <v>42</v>
      </c>
      <c r="E284" s="1" t="s">
        <v>43</v>
      </c>
      <c r="F284" s="2">
        <v>22017.0</v>
      </c>
      <c r="G284" s="1" t="s">
        <v>2918</v>
      </c>
      <c r="H284" s="1">
        <v>30.0</v>
      </c>
      <c r="I284" s="1" t="s">
        <v>1751</v>
      </c>
      <c r="J284" s="1">
        <v>6.0</v>
      </c>
      <c r="K284" s="2">
        <v>42907.0</v>
      </c>
      <c r="M284" s="1">
        <v>0.0</v>
      </c>
      <c r="N284" s="1" t="s">
        <v>280</v>
      </c>
      <c r="O284" s="1" t="s">
        <v>281</v>
      </c>
      <c r="P284" s="1" t="s">
        <v>2919</v>
      </c>
      <c r="S284" s="1" t="s">
        <v>1592</v>
      </c>
      <c r="T284" s="1">
        <v>164.0</v>
      </c>
      <c r="U284" s="3" t="s">
        <v>2920</v>
      </c>
      <c r="V284" s="1">
        <v>719488.0</v>
      </c>
      <c r="W284" s="1" t="s">
        <v>2921</v>
      </c>
      <c r="X284" s="3" t="s">
        <v>2922</v>
      </c>
      <c r="Y284" s="3" t="s">
        <v>2923</v>
      </c>
      <c r="Z284" s="1">
        <v>1.0</v>
      </c>
      <c r="AA284" s="1" t="s">
        <v>2924</v>
      </c>
      <c r="AB284" s="1">
        <v>20.0</v>
      </c>
      <c r="AC284" s="1">
        <v>41.0</v>
      </c>
      <c r="AD284" s="1">
        <v>40.0</v>
      </c>
      <c r="AE284" s="1">
        <v>31.0</v>
      </c>
      <c r="AF284" s="1">
        <v>15.0</v>
      </c>
      <c r="AG284" s="1">
        <v>23.0</v>
      </c>
      <c r="AH284" s="1">
        <v>217.0</v>
      </c>
      <c r="AI284" s="1">
        <v>20.0</v>
      </c>
      <c r="AJ284" s="1">
        <v>1.0</v>
      </c>
      <c r="AK284" s="1">
        <v>1.0</v>
      </c>
      <c r="AL284" s="1">
        <v>6.0</v>
      </c>
      <c r="AM284" s="1">
        <v>14.0</v>
      </c>
      <c r="AN284" s="1">
        <v>3.0</v>
      </c>
    </row>
    <row r="285">
      <c r="A285" s="1">
        <v>99.0</v>
      </c>
      <c r="B285" s="1" t="s">
        <v>2925</v>
      </c>
      <c r="C285" s="1" t="s">
        <v>2926</v>
      </c>
      <c r="D285" s="1" t="s">
        <v>2927</v>
      </c>
      <c r="E285" s="1" t="s">
        <v>43</v>
      </c>
      <c r="F285" s="2">
        <v>30139.0</v>
      </c>
      <c r="G285" s="1" t="s">
        <v>2928</v>
      </c>
      <c r="H285" s="1">
        <v>10.0</v>
      </c>
      <c r="I285" s="1" t="s">
        <v>1970</v>
      </c>
      <c r="J285" s="1">
        <v>1.0</v>
      </c>
      <c r="K285" s="2">
        <v>42907.0</v>
      </c>
      <c r="M285" s="1">
        <v>0.0</v>
      </c>
      <c r="N285" s="1" t="s">
        <v>75</v>
      </c>
      <c r="O285" s="1" t="s">
        <v>76</v>
      </c>
      <c r="P285" s="1" t="s">
        <v>2929</v>
      </c>
      <c r="S285" s="1" t="s">
        <v>2930</v>
      </c>
      <c r="T285" s="1">
        <v>482.0</v>
      </c>
      <c r="U285" s="3" t="s">
        <v>2931</v>
      </c>
      <c r="V285" s="1">
        <v>718876.0</v>
      </c>
      <c r="W285" s="1" t="s">
        <v>2932</v>
      </c>
      <c r="X285" s="3" t="s">
        <v>2933</v>
      </c>
      <c r="Y285" s="3" t="s">
        <v>2934</v>
      </c>
      <c r="Z285" s="1">
        <v>1.0</v>
      </c>
      <c r="AA285" s="1" t="s">
        <v>2935</v>
      </c>
      <c r="AB285" s="1">
        <v>20.0</v>
      </c>
      <c r="AC285" s="1">
        <v>33.0</v>
      </c>
      <c r="AD285" s="1">
        <v>8.0</v>
      </c>
      <c r="AE285" s="1">
        <v>3.0</v>
      </c>
      <c r="AF285" s="1">
        <v>7.0</v>
      </c>
      <c r="AG285" s="1">
        <v>3.0</v>
      </c>
      <c r="AH285" s="1">
        <v>148.0</v>
      </c>
      <c r="AI285" s="1">
        <v>59.0</v>
      </c>
      <c r="AJ285" s="1">
        <v>0.0</v>
      </c>
      <c r="AK285" s="1">
        <v>0.0</v>
      </c>
      <c r="AL285" s="1">
        <v>6.0</v>
      </c>
      <c r="AM285" s="1">
        <v>36.0</v>
      </c>
      <c r="AN285" s="1">
        <v>1.0</v>
      </c>
    </row>
    <row r="286">
      <c r="A286" s="1">
        <v>16.0</v>
      </c>
      <c r="B286" s="1" t="s">
        <v>2936</v>
      </c>
      <c r="C286" s="1" t="s">
        <v>2937</v>
      </c>
      <c r="D286" s="1" t="s">
        <v>2676</v>
      </c>
      <c r="E286" s="1" t="s">
        <v>58</v>
      </c>
      <c r="F286" s="2">
        <v>26402.0</v>
      </c>
      <c r="G286" s="1" t="s">
        <v>2918</v>
      </c>
      <c r="H286" s="1">
        <v>70.0</v>
      </c>
      <c r="I286" s="1" t="s">
        <v>2938</v>
      </c>
      <c r="J286" s="1">
        <v>1.0</v>
      </c>
      <c r="K286" s="2">
        <v>42907.0</v>
      </c>
      <c r="M286" s="1">
        <v>0.0</v>
      </c>
      <c r="N286" s="1" t="s">
        <v>75</v>
      </c>
      <c r="O286" s="1" t="s">
        <v>76</v>
      </c>
      <c r="P286" s="1" t="s">
        <v>2939</v>
      </c>
      <c r="S286" s="1" t="s">
        <v>2940</v>
      </c>
      <c r="T286" s="1">
        <v>268.0</v>
      </c>
      <c r="U286" s="3" t="s">
        <v>2941</v>
      </c>
      <c r="V286" s="1">
        <v>722312.0</v>
      </c>
      <c r="W286" s="1" t="s">
        <v>2942</v>
      </c>
      <c r="X286" s="3" t="s">
        <v>2943</v>
      </c>
      <c r="Y286" s="3" t="s">
        <v>2944</v>
      </c>
      <c r="Z286" s="1">
        <v>1.0</v>
      </c>
      <c r="AA286" s="1" t="s">
        <v>2945</v>
      </c>
      <c r="AB286" s="1">
        <v>20.0</v>
      </c>
      <c r="AC286" s="1">
        <v>33.0</v>
      </c>
      <c r="AD286" s="1">
        <v>26.0</v>
      </c>
      <c r="AE286" s="1">
        <v>11.0</v>
      </c>
      <c r="AF286" s="1">
        <v>3.0</v>
      </c>
      <c r="AG286" s="1">
        <v>2.0</v>
      </c>
      <c r="AH286" s="1">
        <v>62.0</v>
      </c>
      <c r="AI286" s="1">
        <v>25.0</v>
      </c>
      <c r="AJ286" s="1">
        <v>0.0</v>
      </c>
      <c r="AK286" s="1">
        <v>0.0</v>
      </c>
      <c r="AL286" s="1">
        <v>10.0</v>
      </c>
      <c r="AM286" s="1">
        <v>16.0</v>
      </c>
      <c r="AN286" s="1">
        <v>2.0</v>
      </c>
    </row>
    <row r="287">
      <c r="A287" s="1">
        <v>314.0</v>
      </c>
      <c r="B287" s="1" t="s">
        <v>2946</v>
      </c>
      <c r="C287" s="1" t="s">
        <v>2947</v>
      </c>
      <c r="D287" s="1" t="s">
        <v>589</v>
      </c>
      <c r="E287" s="1" t="s">
        <v>43</v>
      </c>
      <c r="F287" s="2">
        <v>28025.0</v>
      </c>
      <c r="G287" s="1" t="s">
        <v>2948</v>
      </c>
      <c r="H287" s="1">
        <v>62.0</v>
      </c>
      <c r="I287" s="1" t="s">
        <v>427</v>
      </c>
      <c r="J287" s="1">
        <v>12.0</v>
      </c>
      <c r="K287" s="2">
        <v>42907.0</v>
      </c>
      <c r="M287" s="1">
        <v>0.0</v>
      </c>
      <c r="N287" s="1" t="s">
        <v>814</v>
      </c>
      <c r="O287" s="1" t="s">
        <v>837</v>
      </c>
      <c r="P287" s="1" t="s">
        <v>2949</v>
      </c>
      <c r="S287" s="1" t="s">
        <v>936</v>
      </c>
      <c r="T287" s="1">
        <v>66.0</v>
      </c>
      <c r="U287" s="3" t="s">
        <v>2950</v>
      </c>
      <c r="V287" s="1">
        <v>720822.0</v>
      </c>
      <c r="W287" s="1" t="s">
        <v>2951</v>
      </c>
      <c r="X287" s="3" t="s">
        <v>2952</v>
      </c>
      <c r="Y287" s="3" t="s">
        <v>2953</v>
      </c>
      <c r="Z287" s="1">
        <v>2.0</v>
      </c>
      <c r="AA287" s="1" t="s">
        <v>2954</v>
      </c>
      <c r="AB287" s="1">
        <v>20.0</v>
      </c>
      <c r="AC287" s="1">
        <v>30.0</v>
      </c>
      <c r="AD287" s="1">
        <v>3.0</v>
      </c>
      <c r="AE287" s="1">
        <v>47.0</v>
      </c>
      <c r="AF287" s="1">
        <v>49.0</v>
      </c>
      <c r="AG287" s="1">
        <v>57.0</v>
      </c>
      <c r="AH287" s="1">
        <v>254.0</v>
      </c>
      <c r="AI287" s="1">
        <v>0.0</v>
      </c>
      <c r="AJ287" s="1">
        <v>0.0</v>
      </c>
      <c r="AK287" s="1">
        <v>2.0</v>
      </c>
      <c r="AL287" s="1">
        <v>11.0</v>
      </c>
      <c r="AM287" s="1">
        <v>12.0</v>
      </c>
      <c r="AN287" s="1">
        <v>0.0</v>
      </c>
    </row>
    <row r="288">
      <c r="A288" s="1">
        <v>505.0</v>
      </c>
      <c r="B288" s="1" t="s">
        <v>2955</v>
      </c>
      <c r="C288" s="1" t="s">
        <v>2956</v>
      </c>
      <c r="D288" s="1" t="s">
        <v>1652</v>
      </c>
      <c r="E288" s="1" t="s">
        <v>43</v>
      </c>
      <c r="F288" s="2">
        <v>20009.0</v>
      </c>
      <c r="G288" s="1" t="s">
        <v>739</v>
      </c>
      <c r="H288" s="1">
        <v>69.0</v>
      </c>
      <c r="I288" s="1" t="s">
        <v>1363</v>
      </c>
      <c r="J288" s="1">
        <v>14.0</v>
      </c>
      <c r="K288" s="2">
        <v>42907.0</v>
      </c>
      <c r="M288" s="1">
        <v>0.0</v>
      </c>
      <c r="N288" s="1" t="s">
        <v>75</v>
      </c>
      <c r="O288" s="1" t="s">
        <v>76</v>
      </c>
      <c r="P288" s="1" t="s">
        <v>2957</v>
      </c>
      <c r="S288" s="1" t="s">
        <v>570</v>
      </c>
      <c r="T288" s="1">
        <v>421.0</v>
      </c>
      <c r="U288" s="3" t="s">
        <v>2958</v>
      </c>
      <c r="V288" s="1">
        <v>608641.0</v>
      </c>
      <c r="W288" s="1" t="s">
        <v>2959</v>
      </c>
      <c r="X288" s="3" t="s">
        <v>2960</v>
      </c>
      <c r="Y288" s="3" t="s">
        <v>2961</v>
      </c>
      <c r="Z288" s="1">
        <v>1.0</v>
      </c>
      <c r="AA288" s="1" t="s">
        <v>2962</v>
      </c>
      <c r="AB288" s="1">
        <v>20.0</v>
      </c>
      <c r="AC288" s="1">
        <v>31.0</v>
      </c>
      <c r="AD288" s="1">
        <v>3.0</v>
      </c>
      <c r="AE288" s="1">
        <v>10.0</v>
      </c>
      <c r="AF288" s="1">
        <v>1.0</v>
      </c>
      <c r="AG288" s="1">
        <v>3.0</v>
      </c>
      <c r="AH288" s="1">
        <v>114.0</v>
      </c>
      <c r="AI288" s="1">
        <v>60.0</v>
      </c>
      <c r="AJ288" s="1">
        <v>1.0</v>
      </c>
      <c r="AK288" s="1">
        <v>0.0</v>
      </c>
      <c r="AL288" s="1">
        <v>6.0</v>
      </c>
      <c r="AM288" s="1">
        <v>6.0</v>
      </c>
      <c r="AN288" s="1">
        <v>1.0</v>
      </c>
    </row>
    <row r="289">
      <c r="A289" s="1">
        <v>177.0</v>
      </c>
      <c r="B289" s="1" t="s">
        <v>2963</v>
      </c>
      <c r="C289" s="1" t="s">
        <v>2964</v>
      </c>
      <c r="D289" s="1" t="s">
        <v>1453</v>
      </c>
      <c r="E289" s="1" t="s">
        <v>58</v>
      </c>
      <c r="F289" s="2">
        <v>22861.0</v>
      </c>
      <c r="G289" s="1" t="s">
        <v>945</v>
      </c>
      <c r="H289" s="1">
        <v>2.0</v>
      </c>
      <c r="I289" s="1" t="s">
        <v>185</v>
      </c>
      <c r="J289" s="1">
        <v>1.0</v>
      </c>
      <c r="K289" s="2">
        <v>42907.0</v>
      </c>
      <c r="M289" s="1">
        <v>0.0</v>
      </c>
      <c r="N289" s="1" t="s">
        <v>75</v>
      </c>
      <c r="O289" s="1" t="s">
        <v>76</v>
      </c>
      <c r="P289" s="1" t="s">
        <v>2965</v>
      </c>
      <c r="S289" s="1" t="s">
        <v>373</v>
      </c>
      <c r="T289" s="1">
        <v>287.0</v>
      </c>
      <c r="U289" s="3" t="s">
        <v>2966</v>
      </c>
      <c r="V289" s="1">
        <v>718756.0</v>
      </c>
      <c r="W289" s="1" t="s">
        <v>2967</v>
      </c>
      <c r="X289" s="3" t="s">
        <v>2968</v>
      </c>
      <c r="Y289" s="3" t="s">
        <v>2969</v>
      </c>
      <c r="Z289" s="1">
        <v>2.0</v>
      </c>
      <c r="AA289" s="1" t="s">
        <v>2970</v>
      </c>
      <c r="AB289" s="1">
        <v>20.0</v>
      </c>
      <c r="AC289" s="1">
        <v>54.0</v>
      </c>
      <c r="AD289" s="1">
        <v>14.0</v>
      </c>
      <c r="AE289" s="1">
        <v>8.0</v>
      </c>
      <c r="AF289" s="1">
        <v>2.0</v>
      </c>
      <c r="AG289" s="1">
        <v>0.0</v>
      </c>
      <c r="AH289" s="1">
        <v>8.0</v>
      </c>
      <c r="AI289" s="1">
        <v>2.0</v>
      </c>
      <c r="AJ289" s="1">
        <v>1.0</v>
      </c>
      <c r="AK289" s="1">
        <v>0.0</v>
      </c>
      <c r="AL289" s="1">
        <v>5.0</v>
      </c>
      <c r="AM289" s="1">
        <v>11.0</v>
      </c>
      <c r="AN289" s="1">
        <v>1.0</v>
      </c>
    </row>
    <row r="290">
      <c r="A290" s="1">
        <v>274.0</v>
      </c>
      <c r="B290" s="1" t="s">
        <v>2971</v>
      </c>
      <c r="C290" s="1" t="s">
        <v>2972</v>
      </c>
      <c r="D290" s="1" t="s">
        <v>148</v>
      </c>
      <c r="E290" s="1" t="s">
        <v>43</v>
      </c>
      <c r="F290" s="2">
        <v>24400.0</v>
      </c>
      <c r="G290" s="1" t="s">
        <v>2973</v>
      </c>
      <c r="H290" s="1">
        <v>22.0</v>
      </c>
      <c r="I290" s="1" t="s">
        <v>1883</v>
      </c>
      <c r="J290" s="1">
        <v>5.0</v>
      </c>
      <c r="K290" s="2">
        <v>42907.0</v>
      </c>
      <c r="M290" s="1">
        <v>0.0</v>
      </c>
      <c r="N290" s="1" t="s">
        <v>75</v>
      </c>
      <c r="O290" s="1" t="s">
        <v>76</v>
      </c>
      <c r="P290" s="1" t="s">
        <v>2974</v>
      </c>
      <c r="S290" s="1" t="s">
        <v>234</v>
      </c>
      <c r="T290" s="1">
        <v>554.0</v>
      </c>
      <c r="U290" s="3" t="s">
        <v>2975</v>
      </c>
      <c r="V290" s="1">
        <v>642695.0</v>
      </c>
      <c r="W290" s="1" t="s">
        <v>2976</v>
      </c>
      <c r="X290" s="3" t="s">
        <v>2977</v>
      </c>
      <c r="Y290" s="3" t="s">
        <v>2978</v>
      </c>
      <c r="Z290" s="1">
        <v>1.0</v>
      </c>
      <c r="AA290" s="1" t="s">
        <v>2979</v>
      </c>
      <c r="AB290" s="1">
        <v>20.0</v>
      </c>
      <c r="AC290" s="1">
        <v>61.0</v>
      </c>
      <c r="AD290" s="1">
        <v>59.0</v>
      </c>
      <c r="AE290" s="1">
        <v>10.0</v>
      </c>
      <c r="AF290" s="1">
        <v>9.0</v>
      </c>
      <c r="AG290" s="1">
        <v>36.0</v>
      </c>
      <c r="AH290" s="1">
        <v>171.0</v>
      </c>
      <c r="AI290" s="1">
        <v>64.0</v>
      </c>
      <c r="AJ290" s="1">
        <v>2.0</v>
      </c>
      <c r="AK290" s="1">
        <v>1.0</v>
      </c>
      <c r="AL290" s="1">
        <v>7.0</v>
      </c>
      <c r="AM290" s="1">
        <v>4.0</v>
      </c>
      <c r="AN290" s="1">
        <v>1.0</v>
      </c>
    </row>
    <row r="291">
      <c r="A291" s="1">
        <v>181.0</v>
      </c>
      <c r="B291" s="1" t="s">
        <v>2980</v>
      </c>
      <c r="C291" s="1" t="s">
        <v>2981</v>
      </c>
      <c r="D291" s="1" t="s">
        <v>2982</v>
      </c>
      <c r="E291" s="1" t="s">
        <v>43</v>
      </c>
      <c r="F291" s="2">
        <v>25714.0</v>
      </c>
      <c r="G291" s="1" t="s">
        <v>2983</v>
      </c>
      <c r="H291" s="1">
        <v>14.0</v>
      </c>
      <c r="I291" s="1" t="s">
        <v>1137</v>
      </c>
      <c r="J291" s="1">
        <v>5.0</v>
      </c>
      <c r="K291" s="2">
        <v>42907.0</v>
      </c>
      <c r="M291" s="1">
        <v>0.0</v>
      </c>
      <c r="N291" s="1" t="s">
        <v>75</v>
      </c>
      <c r="O291" s="1" t="s">
        <v>76</v>
      </c>
      <c r="P291" s="1" t="s">
        <v>2984</v>
      </c>
      <c r="S291" s="1" t="s">
        <v>1784</v>
      </c>
      <c r="T291" s="1">
        <v>210.0</v>
      </c>
      <c r="U291" s="3" t="s">
        <v>2985</v>
      </c>
      <c r="V291" s="1">
        <v>719032.0</v>
      </c>
      <c r="W291" s="1" t="s">
        <v>2986</v>
      </c>
      <c r="X291" s="3" t="s">
        <v>2987</v>
      </c>
      <c r="Y291" s="3" t="s">
        <v>2988</v>
      </c>
      <c r="Z291" s="1">
        <v>1.0</v>
      </c>
      <c r="AA291" s="1" t="s">
        <v>2989</v>
      </c>
      <c r="AB291" s="1">
        <v>20.0</v>
      </c>
      <c r="AC291" s="1">
        <v>52.0</v>
      </c>
      <c r="AD291" s="1">
        <v>19.0</v>
      </c>
      <c r="AE291" s="1">
        <v>15.0</v>
      </c>
      <c r="AF291" s="1">
        <v>2.0</v>
      </c>
      <c r="AG291" s="1">
        <v>2.0</v>
      </c>
      <c r="AH291" s="1">
        <v>38.0</v>
      </c>
      <c r="AI291" s="1">
        <v>8.0</v>
      </c>
      <c r="AJ291" s="1">
        <v>0.0</v>
      </c>
      <c r="AK291" s="1">
        <v>0.0</v>
      </c>
      <c r="AL291" s="1">
        <v>5.0</v>
      </c>
      <c r="AM291" s="1">
        <v>3.0</v>
      </c>
      <c r="AN291" s="1">
        <v>1.0</v>
      </c>
    </row>
    <row r="292">
      <c r="A292" s="1">
        <v>198.0</v>
      </c>
      <c r="B292" s="1" t="s">
        <v>2990</v>
      </c>
      <c r="C292" s="1" t="s">
        <v>182</v>
      </c>
      <c r="D292" s="1" t="s">
        <v>2991</v>
      </c>
      <c r="E292" s="1" t="s">
        <v>43</v>
      </c>
      <c r="F292" s="2">
        <v>16120.0</v>
      </c>
      <c r="G292" s="1" t="s">
        <v>2992</v>
      </c>
      <c r="H292" s="1">
        <v>59.0</v>
      </c>
      <c r="I292" s="1" t="s">
        <v>172</v>
      </c>
      <c r="J292" s="1">
        <v>18.0</v>
      </c>
      <c r="K292" s="2">
        <v>42907.0</v>
      </c>
      <c r="M292" s="1">
        <v>0.0</v>
      </c>
      <c r="N292" s="1" t="s">
        <v>46</v>
      </c>
      <c r="O292" s="1" t="s">
        <v>47</v>
      </c>
      <c r="P292" s="1" t="s">
        <v>2993</v>
      </c>
      <c r="S292" s="1" t="s">
        <v>1233</v>
      </c>
      <c r="T292" s="1">
        <v>140.0</v>
      </c>
      <c r="U292" s="3" t="s">
        <v>2994</v>
      </c>
      <c r="V292" s="1">
        <v>267766.0</v>
      </c>
      <c r="W292" s="1" t="s">
        <v>2995</v>
      </c>
      <c r="X292" s="3" t="s">
        <v>2996</v>
      </c>
      <c r="Y292" s="3" t="s">
        <v>2997</v>
      </c>
      <c r="Z292" s="1">
        <v>1.0</v>
      </c>
      <c r="AB292" s="1">
        <v>20.0</v>
      </c>
      <c r="AC292" s="1">
        <v>38.0</v>
      </c>
      <c r="AD292" s="1">
        <v>27.0</v>
      </c>
      <c r="AE292" s="1">
        <v>33.0</v>
      </c>
      <c r="AF292" s="1">
        <v>10.0</v>
      </c>
      <c r="AG292" s="1">
        <v>72.0</v>
      </c>
      <c r="AH292" s="1">
        <v>526.0</v>
      </c>
      <c r="AI292" s="1">
        <v>23.0</v>
      </c>
      <c r="AJ292" s="1">
        <v>0.0</v>
      </c>
      <c r="AK292" s="1">
        <v>0.0</v>
      </c>
      <c r="AL292" s="1">
        <v>29.0</v>
      </c>
      <c r="AM292" s="1">
        <v>9.0</v>
      </c>
      <c r="AN292" s="1">
        <v>3.0</v>
      </c>
    </row>
    <row r="293">
      <c r="A293" s="1">
        <v>188.0</v>
      </c>
      <c r="B293" s="1" t="s">
        <v>2998</v>
      </c>
      <c r="C293" s="1" t="s">
        <v>2999</v>
      </c>
      <c r="D293" s="1" t="s">
        <v>835</v>
      </c>
      <c r="E293" s="1" t="s">
        <v>43</v>
      </c>
      <c r="F293" s="2">
        <v>28122.0</v>
      </c>
      <c r="G293" s="1" t="s">
        <v>1772</v>
      </c>
      <c r="H293" s="1">
        <v>66.0</v>
      </c>
      <c r="I293" s="1" t="s">
        <v>1773</v>
      </c>
      <c r="J293" s="1">
        <v>4.0</v>
      </c>
      <c r="K293" s="2">
        <v>42907.0</v>
      </c>
      <c r="M293" s="1">
        <v>0.0</v>
      </c>
      <c r="N293" s="1" t="s">
        <v>75</v>
      </c>
      <c r="O293" s="1" t="s">
        <v>76</v>
      </c>
      <c r="P293" s="1" t="s">
        <v>3000</v>
      </c>
      <c r="S293" s="1" t="s">
        <v>538</v>
      </c>
      <c r="T293" s="1">
        <v>543.0</v>
      </c>
      <c r="U293" s="3" t="s">
        <v>3001</v>
      </c>
      <c r="V293" s="1">
        <v>720814.0</v>
      </c>
      <c r="W293" s="1" t="s">
        <v>3002</v>
      </c>
      <c r="X293" s="3" t="s">
        <v>3003</v>
      </c>
      <c r="Y293" s="3" t="s">
        <v>3004</v>
      </c>
      <c r="Z293" s="1">
        <v>1.0</v>
      </c>
      <c r="AA293" s="1" t="s">
        <v>3005</v>
      </c>
      <c r="AB293" s="1">
        <v>20.0</v>
      </c>
      <c r="AC293" s="1">
        <v>31.0</v>
      </c>
      <c r="AD293" s="1">
        <v>8.0</v>
      </c>
      <c r="AE293" s="1">
        <v>1.0</v>
      </c>
      <c r="AF293" s="1">
        <v>0.0</v>
      </c>
      <c r="AG293" s="1">
        <v>0.0</v>
      </c>
      <c r="AH293" s="1">
        <v>61.0</v>
      </c>
      <c r="AI293" s="1">
        <v>32.0</v>
      </c>
      <c r="AJ293" s="1">
        <v>0.0</v>
      </c>
      <c r="AK293" s="1">
        <v>0.0</v>
      </c>
      <c r="AL293" s="1">
        <v>5.0</v>
      </c>
      <c r="AM293" s="1">
        <v>15.0</v>
      </c>
      <c r="AN293" s="1">
        <v>0.0</v>
      </c>
    </row>
    <row r="294">
      <c r="A294" s="1">
        <v>428.0</v>
      </c>
      <c r="B294" s="1" t="s">
        <v>3006</v>
      </c>
      <c r="C294" s="1" t="s">
        <v>3007</v>
      </c>
      <c r="D294" s="1" t="s">
        <v>57</v>
      </c>
      <c r="E294" s="1" t="s">
        <v>58</v>
      </c>
      <c r="F294" s="2">
        <v>28416.0</v>
      </c>
      <c r="G294" s="1" t="s">
        <v>3008</v>
      </c>
      <c r="H294" s="1">
        <v>38.0</v>
      </c>
      <c r="I294" s="1" t="s">
        <v>267</v>
      </c>
      <c r="J294" s="1">
        <v>3.0</v>
      </c>
      <c r="K294" s="2">
        <v>42907.0</v>
      </c>
      <c r="M294" s="1">
        <v>0.0</v>
      </c>
      <c r="N294" s="1" t="s">
        <v>75</v>
      </c>
      <c r="O294" s="1" t="s">
        <v>76</v>
      </c>
      <c r="P294" s="1" t="s">
        <v>3009</v>
      </c>
      <c r="S294" s="1" t="s">
        <v>118</v>
      </c>
      <c r="T294" s="1">
        <v>485.0</v>
      </c>
      <c r="U294" s="3" t="s">
        <v>3010</v>
      </c>
      <c r="V294" s="1">
        <v>719748.0</v>
      </c>
      <c r="W294" s="1" t="s">
        <v>3011</v>
      </c>
      <c r="X294" s="3" t="s">
        <v>3012</v>
      </c>
      <c r="Y294" s="3" t="s">
        <v>3013</v>
      </c>
      <c r="Z294" s="1">
        <v>1.0</v>
      </c>
      <c r="AA294" s="1" t="s">
        <v>3014</v>
      </c>
      <c r="AB294" s="1">
        <v>20.0</v>
      </c>
      <c r="AC294" s="1">
        <v>31.0</v>
      </c>
      <c r="AD294" s="1">
        <v>38.0</v>
      </c>
      <c r="AE294" s="1">
        <v>126.0</v>
      </c>
      <c r="AF294" s="1">
        <v>42.0</v>
      </c>
      <c r="AG294" s="1">
        <v>8.0</v>
      </c>
      <c r="AH294" s="1">
        <v>70.0</v>
      </c>
      <c r="AI294" s="1">
        <v>30.0</v>
      </c>
      <c r="AJ294" s="1">
        <v>2.0</v>
      </c>
      <c r="AK294" s="1">
        <v>0.0</v>
      </c>
      <c r="AL294" s="1">
        <v>5.0</v>
      </c>
      <c r="AM294" s="1">
        <v>0.0</v>
      </c>
      <c r="AN294" s="1">
        <v>1.0</v>
      </c>
    </row>
    <row r="295">
      <c r="A295" s="1">
        <v>85.0</v>
      </c>
      <c r="B295" s="1" t="s">
        <v>3015</v>
      </c>
      <c r="C295" s="1" t="s">
        <v>3016</v>
      </c>
      <c r="D295" s="1" t="s">
        <v>2155</v>
      </c>
      <c r="E295" s="1" t="s">
        <v>58</v>
      </c>
      <c r="F295" s="2">
        <v>24783.0</v>
      </c>
      <c r="G295" s="1" t="s">
        <v>3017</v>
      </c>
      <c r="H295" s="1">
        <v>30.0</v>
      </c>
      <c r="I295" s="1" t="s">
        <v>1751</v>
      </c>
      <c r="J295" s="1">
        <v>4.0</v>
      </c>
      <c r="K295" s="2">
        <v>42907.0</v>
      </c>
      <c r="M295" s="1">
        <v>0.0</v>
      </c>
      <c r="N295" s="1" t="s">
        <v>75</v>
      </c>
      <c r="O295" s="1" t="s">
        <v>76</v>
      </c>
      <c r="P295" s="1" t="s">
        <v>3018</v>
      </c>
      <c r="S295" s="1" t="s">
        <v>3019</v>
      </c>
      <c r="T295" s="1">
        <v>425.0</v>
      </c>
      <c r="U295" s="3" t="s">
        <v>3020</v>
      </c>
      <c r="V295" s="1">
        <v>719448.0</v>
      </c>
      <c r="W295" s="1" t="s">
        <v>3021</v>
      </c>
      <c r="X295" s="3" t="s">
        <v>3022</v>
      </c>
      <c r="Y295" s="3" t="s">
        <v>3023</v>
      </c>
      <c r="Z295" s="1">
        <v>1.0</v>
      </c>
      <c r="AA295" s="1" t="s">
        <v>3024</v>
      </c>
      <c r="AB295" s="1">
        <v>20.0</v>
      </c>
      <c r="AC295" s="1">
        <v>40.0</v>
      </c>
      <c r="AD295" s="1">
        <v>8.0</v>
      </c>
      <c r="AE295" s="1">
        <v>10.0</v>
      </c>
      <c r="AF295" s="1">
        <v>3.0</v>
      </c>
      <c r="AG295" s="1">
        <v>0.0</v>
      </c>
      <c r="AH295" s="1">
        <v>31.0</v>
      </c>
      <c r="AI295" s="1">
        <v>8.0</v>
      </c>
      <c r="AJ295" s="1">
        <v>0.0</v>
      </c>
      <c r="AK295" s="1">
        <v>0.0</v>
      </c>
      <c r="AL295" s="1">
        <v>5.0</v>
      </c>
      <c r="AM295" s="1">
        <v>5.0</v>
      </c>
      <c r="AN295" s="1">
        <v>1.0</v>
      </c>
    </row>
    <row r="296">
      <c r="A296" s="1">
        <v>112.0</v>
      </c>
      <c r="B296" s="1" t="s">
        <v>3025</v>
      </c>
      <c r="C296" s="1" t="s">
        <v>3026</v>
      </c>
      <c r="D296" s="1" t="s">
        <v>1490</v>
      </c>
      <c r="E296" s="1" t="s">
        <v>43</v>
      </c>
      <c r="F296" s="2">
        <v>21327.0</v>
      </c>
      <c r="G296" s="1" t="s">
        <v>3027</v>
      </c>
      <c r="H296" s="1">
        <v>52.0</v>
      </c>
      <c r="I296" s="1" t="s">
        <v>3028</v>
      </c>
      <c r="J296" s="1">
        <v>2.0</v>
      </c>
      <c r="K296" s="2">
        <v>42907.0</v>
      </c>
      <c r="M296" s="1">
        <v>0.0</v>
      </c>
      <c r="N296" s="1" t="s">
        <v>61</v>
      </c>
      <c r="O296" s="1" t="s">
        <v>62</v>
      </c>
      <c r="P296" s="1" t="s">
        <v>3029</v>
      </c>
      <c r="S296" s="1" t="s">
        <v>1107</v>
      </c>
      <c r="T296" s="1">
        <v>99.0</v>
      </c>
      <c r="U296" s="3" t="s">
        <v>3030</v>
      </c>
      <c r="V296" s="1">
        <v>923.0</v>
      </c>
      <c r="W296" s="1" t="s">
        <v>3031</v>
      </c>
      <c r="X296" s="3" t="s">
        <v>3032</v>
      </c>
      <c r="Y296" s="3" t="s">
        <v>3033</v>
      </c>
      <c r="Z296" s="1">
        <v>2.0</v>
      </c>
      <c r="AA296" s="1" t="s">
        <v>3034</v>
      </c>
      <c r="AB296" s="1">
        <v>20.0</v>
      </c>
      <c r="AC296" s="1">
        <v>34.0</v>
      </c>
      <c r="AD296" s="1">
        <v>13.0</v>
      </c>
      <c r="AE296" s="1">
        <v>2.0</v>
      </c>
      <c r="AF296" s="1">
        <v>5.0</v>
      </c>
      <c r="AG296" s="1">
        <v>0.0</v>
      </c>
      <c r="AH296" s="1">
        <v>284.0</v>
      </c>
      <c r="AI296" s="1">
        <v>19.0</v>
      </c>
      <c r="AJ296" s="1">
        <v>1.0</v>
      </c>
      <c r="AK296" s="1">
        <v>0.0</v>
      </c>
      <c r="AL296" s="1">
        <v>2.0</v>
      </c>
      <c r="AM296" s="1">
        <v>26.0</v>
      </c>
      <c r="AN296" s="1">
        <v>0.0</v>
      </c>
    </row>
    <row r="297">
      <c r="A297" s="1">
        <v>98.0</v>
      </c>
      <c r="B297" s="1" t="s">
        <v>3035</v>
      </c>
      <c r="C297" s="1" t="s">
        <v>205</v>
      </c>
      <c r="D297" s="1" t="s">
        <v>3036</v>
      </c>
      <c r="E297" s="1" t="s">
        <v>58</v>
      </c>
      <c r="F297" s="2">
        <v>19919.0</v>
      </c>
      <c r="G297" s="1" t="s">
        <v>3037</v>
      </c>
      <c r="H297" s="1">
        <v>21.0</v>
      </c>
      <c r="I297" s="1" t="s">
        <v>1220</v>
      </c>
      <c r="J297" s="1">
        <v>4.0</v>
      </c>
      <c r="K297" s="2">
        <v>42907.0</v>
      </c>
      <c r="M297" s="1">
        <v>0.0</v>
      </c>
      <c r="N297" s="1" t="s">
        <v>75</v>
      </c>
      <c r="O297" s="1" t="s">
        <v>76</v>
      </c>
      <c r="P297" s="3" t="s">
        <v>3038</v>
      </c>
      <c r="S297" s="1" t="s">
        <v>3039</v>
      </c>
      <c r="T297" s="1">
        <v>238.0</v>
      </c>
      <c r="U297" s="3" t="s">
        <v>3040</v>
      </c>
      <c r="V297" s="1">
        <v>719194.0</v>
      </c>
      <c r="W297" s="1" t="s">
        <v>3041</v>
      </c>
      <c r="X297" s="3" t="s">
        <v>3042</v>
      </c>
      <c r="Y297" s="3" t="s">
        <v>3043</v>
      </c>
      <c r="Z297" s="1">
        <v>2.0</v>
      </c>
      <c r="AA297" s="1" t="s">
        <v>3044</v>
      </c>
      <c r="AB297" s="1">
        <v>20.0</v>
      </c>
      <c r="AC297" s="1">
        <v>43.0</v>
      </c>
      <c r="AD297" s="1">
        <v>9.0</v>
      </c>
      <c r="AE297" s="1">
        <v>1.0</v>
      </c>
      <c r="AF297" s="1">
        <v>2.0</v>
      </c>
      <c r="AG297" s="1">
        <v>0.0</v>
      </c>
      <c r="AH297" s="1">
        <v>95.0</v>
      </c>
      <c r="AI297" s="1">
        <v>45.0</v>
      </c>
      <c r="AJ297" s="1">
        <v>0.0</v>
      </c>
      <c r="AK297" s="1">
        <v>0.0</v>
      </c>
      <c r="AL297" s="1">
        <v>5.0</v>
      </c>
      <c r="AM297" s="1">
        <v>8.0</v>
      </c>
      <c r="AN297" s="1">
        <v>1.0</v>
      </c>
    </row>
    <row r="298">
      <c r="A298" s="1">
        <v>558.0</v>
      </c>
      <c r="B298" s="1" t="s">
        <v>3045</v>
      </c>
      <c r="C298" s="1" t="s">
        <v>3046</v>
      </c>
      <c r="D298" s="1" t="s">
        <v>3047</v>
      </c>
      <c r="E298" s="1" t="s">
        <v>43</v>
      </c>
      <c r="F298" s="2">
        <v>24578.0</v>
      </c>
      <c r="G298" s="1" t="s">
        <v>1893</v>
      </c>
      <c r="H298" s="1">
        <v>94.0</v>
      </c>
      <c r="I298" s="1" t="s">
        <v>642</v>
      </c>
      <c r="J298" s="1">
        <v>1.0</v>
      </c>
      <c r="K298" s="2">
        <v>42907.0</v>
      </c>
      <c r="M298" s="1">
        <v>0.0</v>
      </c>
      <c r="N298" s="1" t="s">
        <v>75</v>
      </c>
      <c r="O298" s="1" t="s">
        <v>76</v>
      </c>
      <c r="P298" s="1" t="s">
        <v>3048</v>
      </c>
      <c r="S298" s="1" t="s">
        <v>162</v>
      </c>
      <c r="T298" s="1">
        <v>467.0</v>
      </c>
      <c r="U298" s="3" t="s">
        <v>3049</v>
      </c>
      <c r="V298" s="1">
        <v>720862.0</v>
      </c>
      <c r="W298" s="1" t="s">
        <v>3050</v>
      </c>
      <c r="X298" s="3" t="s">
        <v>3051</v>
      </c>
      <c r="Y298" s="3" t="s">
        <v>3052</v>
      </c>
      <c r="Z298" s="1">
        <v>1.0</v>
      </c>
      <c r="AA298" s="1" t="s">
        <v>3053</v>
      </c>
      <c r="AB298" s="1">
        <v>20.0</v>
      </c>
      <c r="AC298" s="1">
        <v>21.0</v>
      </c>
      <c r="AD298" s="1">
        <v>3.0</v>
      </c>
      <c r="AE298" s="1">
        <v>53.0</v>
      </c>
      <c r="AF298" s="1">
        <v>5.0</v>
      </c>
      <c r="AG298" s="1">
        <v>0.0</v>
      </c>
      <c r="AH298" s="1">
        <v>67.0</v>
      </c>
      <c r="AI298" s="1">
        <v>26.0</v>
      </c>
      <c r="AJ298" s="1">
        <v>0.0</v>
      </c>
      <c r="AK298" s="1">
        <v>0.0</v>
      </c>
      <c r="AL298" s="1">
        <v>5.0</v>
      </c>
      <c r="AM298" s="1">
        <v>0.0</v>
      </c>
      <c r="AN298" s="1">
        <v>0.0</v>
      </c>
    </row>
    <row r="299">
      <c r="A299" s="1">
        <v>449.0</v>
      </c>
      <c r="B299" s="1" t="s">
        <v>3054</v>
      </c>
      <c r="C299" s="1" t="s">
        <v>3055</v>
      </c>
      <c r="D299" s="1" t="s">
        <v>3056</v>
      </c>
      <c r="E299" s="1" t="s">
        <v>43</v>
      </c>
      <c r="F299" s="2">
        <v>20680.0</v>
      </c>
      <c r="G299" s="1" t="s">
        <v>437</v>
      </c>
      <c r="H299" s="1">
        <v>34.0</v>
      </c>
      <c r="I299" s="1" t="s">
        <v>1252</v>
      </c>
      <c r="J299" s="1">
        <v>4.0</v>
      </c>
      <c r="K299" s="2">
        <v>42907.0</v>
      </c>
      <c r="M299" s="1">
        <v>0.0</v>
      </c>
      <c r="N299" s="1" t="s">
        <v>75</v>
      </c>
      <c r="O299" s="1" t="s">
        <v>76</v>
      </c>
      <c r="P299" s="1" t="s">
        <v>3057</v>
      </c>
      <c r="S299" s="1" t="s">
        <v>151</v>
      </c>
      <c r="T299" s="1">
        <v>551.0</v>
      </c>
      <c r="U299" s="3" t="s">
        <v>3058</v>
      </c>
      <c r="V299" s="1">
        <v>719692.0</v>
      </c>
      <c r="W299" s="1" t="s">
        <v>3059</v>
      </c>
      <c r="X299" s="3" t="s">
        <v>3060</v>
      </c>
      <c r="Y299" s="3" t="s">
        <v>3061</v>
      </c>
      <c r="Z299" s="1">
        <v>1.0</v>
      </c>
      <c r="AA299" s="1" t="s">
        <v>3062</v>
      </c>
      <c r="AB299" s="1">
        <v>20.0</v>
      </c>
      <c r="AC299" s="1">
        <v>42.0</v>
      </c>
      <c r="AD299" s="1">
        <v>11.0</v>
      </c>
      <c r="AE299" s="1">
        <v>10.0</v>
      </c>
      <c r="AF299" s="1">
        <v>1.0</v>
      </c>
      <c r="AG299" s="1">
        <v>1.0</v>
      </c>
      <c r="AH299" s="1">
        <v>33.0</v>
      </c>
      <c r="AI299" s="1">
        <v>7.0</v>
      </c>
      <c r="AJ299" s="1">
        <v>0.0</v>
      </c>
      <c r="AK299" s="1">
        <v>0.0</v>
      </c>
      <c r="AL299" s="1">
        <v>5.0</v>
      </c>
      <c r="AM299" s="1">
        <v>3.0</v>
      </c>
      <c r="AN299" s="1">
        <v>1.0</v>
      </c>
    </row>
    <row r="300">
      <c r="A300" s="1">
        <v>427.0</v>
      </c>
      <c r="B300" s="1" t="s">
        <v>3063</v>
      </c>
      <c r="C300" s="1" t="s">
        <v>3064</v>
      </c>
      <c r="D300" s="1" t="s">
        <v>1045</v>
      </c>
      <c r="E300" s="1" t="s">
        <v>58</v>
      </c>
      <c r="F300" s="2">
        <v>20977.0</v>
      </c>
      <c r="G300" s="1" t="s">
        <v>3065</v>
      </c>
      <c r="H300" s="1">
        <v>18.0</v>
      </c>
      <c r="I300" s="1" t="s">
        <v>2336</v>
      </c>
      <c r="J300" s="1">
        <v>2.0</v>
      </c>
      <c r="K300" s="2">
        <v>42907.0</v>
      </c>
      <c r="M300" s="1">
        <v>0.0</v>
      </c>
      <c r="N300" s="1" t="s">
        <v>280</v>
      </c>
      <c r="O300" s="1" t="s">
        <v>281</v>
      </c>
      <c r="P300" s="1" t="s">
        <v>3066</v>
      </c>
      <c r="S300" s="1" t="s">
        <v>3067</v>
      </c>
      <c r="T300" s="1">
        <v>174.0</v>
      </c>
      <c r="U300" s="3" t="s">
        <v>3068</v>
      </c>
      <c r="V300" s="1">
        <v>719044.0</v>
      </c>
      <c r="W300" s="1" t="s">
        <v>3069</v>
      </c>
      <c r="X300" s="3" t="s">
        <v>3070</v>
      </c>
      <c r="Y300" s="3" t="s">
        <v>3071</v>
      </c>
      <c r="Z300" s="1">
        <v>1.0</v>
      </c>
      <c r="AA300" s="1" t="s">
        <v>3072</v>
      </c>
      <c r="AB300" s="1">
        <v>20.0</v>
      </c>
      <c r="AC300" s="1">
        <v>37.0</v>
      </c>
      <c r="AD300" s="1">
        <v>15.0</v>
      </c>
      <c r="AE300" s="1">
        <v>16.0</v>
      </c>
      <c r="AF300" s="1">
        <v>5.0</v>
      </c>
      <c r="AG300" s="1">
        <v>0.0</v>
      </c>
      <c r="AH300" s="1">
        <v>208.0</v>
      </c>
      <c r="AI300" s="1">
        <v>18.0</v>
      </c>
      <c r="AJ300" s="1">
        <v>0.0</v>
      </c>
      <c r="AK300" s="1">
        <v>0.0</v>
      </c>
      <c r="AL300" s="1">
        <v>5.0</v>
      </c>
      <c r="AM300" s="1">
        <v>0.0</v>
      </c>
      <c r="AN300" s="1">
        <v>1.0</v>
      </c>
    </row>
    <row r="301">
      <c r="A301" s="1">
        <v>477.0</v>
      </c>
      <c r="B301" s="1" t="s">
        <v>3073</v>
      </c>
      <c r="C301" s="1" t="s">
        <v>3074</v>
      </c>
      <c r="D301" s="1" t="s">
        <v>905</v>
      </c>
      <c r="E301" s="1" t="s">
        <v>43</v>
      </c>
      <c r="F301" s="2">
        <v>26385.0</v>
      </c>
      <c r="G301" s="1" t="s">
        <v>3075</v>
      </c>
      <c r="H301" s="1">
        <v>17.0</v>
      </c>
      <c r="I301" s="1" t="s">
        <v>2055</v>
      </c>
      <c r="J301" s="1">
        <v>1.0</v>
      </c>
      <c r="K301" s="2">
        <v>42907.0</v>
      </c>
      <c r="M301" s="1">
        <v>0.0</v>
      </c>
      <c r="N301" s="1" t="s">
        <v>814</v>
      </c>
      <c r="O301" s="1" t="s">
        <v>2397</v>
      </c>
      <c r="P301" s="1" t="s">
        <v>3076</v>
      </c>
      <c r="S301" s="1" t="s">
        <v>1979</v>
      </c>
      <c r="T301" s="1">
        <v>190.0</v>
      </c>
      <c r="U301" s="3" t="s">
        <v>3077</v>
      </c>
      <c r="V301" s="1">
        <v>605694.0</v>
      </c>
      <c r="W301" s="1" t="s">
        <v>3078</v>
      </c>
      <c r="X301" s="3" t="s">
        <v>3079</v>
      </c>
      <c r="Y301" s="3" t="s">
        <v>3080</v>
      </c>
      <c r="Z301" s="1">
        <v>1.0</v>
      </c>
      <c r="AA301" s="1" t="s">
        <v>3081</v>
      </c>
      <c r="AB301" s="1">
        <v>20.0</v>
      </c>
      <c r="AC301" s="1">
        <v>25.0</v>
      </c>
      <c r="AD301" s="1">
        <v>0.0</v>
      </c>
      <c r="AE301" s="1">
        <v>5.0</v>
      </c>
      <c r="AF301" s="1">
        <v>2.0</v>
      </c>
      <c r="AG301" s="1">
        <v>30.0</v>
      </c>
      <c r="AH301" s="1">
        <v>103.0</v>
      </c>
      <c r="AI301" s="1">
        <v>4.0</v>
      </c>
      <c r="AJ301" s="1">
        <v>0.0</v>
      </c>
      <c r="AK301" s="1">
        <v>2.0</v>
      </c>
      <c r="AL301" s="1">
        <v>3.0</v>
      </c>
      <c r="AM301" s="1">
        <v>32.0</v>
      </c>
      <c r="AN301" s="1">
        <v>1.0</v>
      </c>
    </row>
    <row r="302">
      <c r="A302" s="1">
        <v>577.0</v>
      </c>
      <c r="B302" s="1" t="s">
        <v>3082</v>
      </c>
      <c r="C302" s="1" t="s">
        <v>3083</v>
      </c>
      <c r="D302" s="1" t="s">
        <v>3084</v>
      </c>
      <c r="E302" s="1" t="s">
        <v>58</v>
      </c>
      <c r="F302" s="2">
        <v>31632.0</v>
      </c>
      <c r="G302" s="1" t="s">
        <v>207</v>
      </c>
      <c r="H302" s="1">
        <v>999.0</v>
      </c>
      <c r="I302" s="1" t="s">
        <v>256</v>
      </c>
      <c r="J302" s="1">
        <v>2.0</v>
      </c>
      <c r="K302" s="2">
        <v>42907.0</v>
      </c>
      <c r="M302" s="1">
        <v>0.0</v>
      </c>
      <c r="N302" s="1" t="s">
        <v>75</v>
      </c>
      <c r="O302" s="1" t="s">
        <v>76</v>
      </c>
      <c r="P302" s="1" t="s">
        <v>3085</v>
      </c>
      <c r="S302" s="1" t="s">
        <v>234</v>
      </c>
      <c r="T302" s="1">
        <v>450.0</v>
      </c>
      <c r="U302" s="3" t="s">
        <v>3086</v>
      </c>
      <c r="V302" s="1">
        <v>721142.0</v>
      </c>
      <c r="W302" s="1" t="s">
        <v>3087</v>
      </c>
      <c r="X302" s="3" t="s">
        <v>3088</v>
      </c>
      <c r="Y302" s="3" t="s">
        <v>3089</v>
      </c>
      <c r="Z302" s="1">
        <v>1.0</v>
      </c>
      <c r="AA302" s="1" t="s">
        <v>3090</v>
      </c>
      <c r="AB302" s="1">
        <v>20.0</v>
      </c>
      <c r="AC302" s="1">
        <v>32.0</v>
      </c>
      <c r="AD302" s="1">
        <v>41.0</v>
      </c>
      <c r="AE302" s="1">
        <v>78.0</v>
      </c>
      <c r="AF302" s="1">
        <v>20.0</v>
      </c>
      <c r="AG302" s="1">
        <v>209.0</v>
      </c>
      <c r="AH302" s="1">
        <v>274.0</v>
      </c>
      <c r="AI302" s="1">
        <v>204.0</v>
      </c>
      <c r="AJ302" s="1">
        <v>1.0</v>
      </c>
      <c r="AK302" s="1">
        <v>0.0</v>
      </c>
      <c r="AL302" s="1">
        <v>5.0</v>
      </c>
      <c r="AM302" s="1">
        <v>1.0</v>
      </c>
      <c r="AN302" s="1">
        <v>2.0</v>
      </c>
    </row>
    <row r="303">
      <c r="A303" s="1">
        <v>528.0</v>
      </c>
      <c r="B303" s="1" t="s">
        <v>3091</v>
      </c>
      <c r="C303" s="1" t="s">
        <v>3092</v>
      </c>
      <c r="D303" s="1" t="s">
        <v>589</v>
      </c>
      <c r="E303" s="1" t="s">
        <v>43</v>
      </c>
      <c r="F303" s="2">
        <v>21647.0</v>
      </c>
      <c r="G303" s="1" t="s">
        <v>1500</v>
      </c>
      <c r="H303" s="1">
        <v>68.0</v>
      </c>
      <c r="I303" s="1" t="s">
        <v>1501</v>
      </c>
      <c r="J303" s="1">
        <v>6.0</v>
      </c>
      <c r="K303" s="2">
        <v>42907.0</v>
      </c>
      <c r="M303" s="1">
        <v>0.0</v>
      </c>
      <c r="N303" s="1" t="s">
        <v>280</v>
      </c>
      <c r="O303" s="1" t="s">
        <v>281</v>
      </c>
      <c r="P303" s="1" t="s">
        <v>3093</v>
      </c>
      <c r="S303" s="1" t="s">
        <v>198</v>
      </c>
      <c r="T303" s="1">
        <v>181.0</v>
      </c>
      <c r="U303" s="3" t="s">
        <v>3094</v>
      </c>
      <c r="V303" s="1">
        <v>722284.0</v>
      </c>
      <c r="W303" s="1" t="s">
        <v>3095</v>
      </c>
      <c r="X303" s="3" t="s">
        <v>3096</v>
      </c>
      <c r="Y303" s="3" t="s">
        <v>3097</v>
      </c>
      <c r="Z303" s="1">
        <v>1.0</v>
      </c>
      <c r="AA303" s="1" t="s">
        <v>3098</v>
      </c>
      <c r="AB303" s="1">
        <v>20.0</v>
      </c>
      <c r="AC303" s="1">
        <v>42.0</v>
      </c>
      <c r="AD303" s="1">
        <v>31.0</v>
      </c>
      <c r="AE303" s="1">
        <v>41.0</v>
      </c>
      <c r="AF303" s="1">
        <v>8.0</v>
      </c>
      <c r="AG303" s="1">
        <v>17.0</v>
      </c>
      <c r="AH303" s="1">
        <v>256.0</v>
      </c>
      <c r="AI303" s="1">
        <v>25.0</v>
      </c>
      <c r="AJ303" s="1">
        <v>1.0</v>
      </c>
      <c r="AK303" s="1">
        <v>0.0</v>
      </c>
      <c r="AL303" s="1">
        <v>7.0</v>
      </c>
      <c r="AM303" s="1">
        <v>5.0</v>
      </c>
      <c r="AN303" s="1">
        <v>3.0</v>
      </c>
    </row>
    <row r="304">
      <c r="A304" s="1">
        <v>467.0</v>
      </c>
      <c r="B304" s="1" t="s">
        <v>3099</v>
      </c>
      <c r="C304" s="1" t="s">
        <v>3100</v>
      </c>
      <c r="D304" s="1" t="s">
        <v>3101</v>
      </c>
      <c r="E304" s="1" t="s">
        <v>58</v>
      </c>
      <c r="F304" s="2">
        <v>19976.0</v>
      </c>
      <c r="G304" s="1" t="s">
        <v>207</v>
      </c>
      <c r="H304" s="1">
        <v>85.0</v>
      </c>
      <c r="I304" s="1" t="s">
        <v>1853</v>
      </c>
      <c r="J304" s="1">
        <v>2.0</v>
      </c>
      <c r="K304" s="2">
        <v>42907.0</v>
      </c>
      <c r="M304" s="1">
        <v>0.0</v>
      </c>
      <c r="N304" s="1" t="s">
        <v>280</v>
      </c>
      <c r="O304" s="1" t="s">
        <v>281</v>
      </c>
      <c r="P304" s="1" t="s">
        <v>3102</v>
      </c>
      <c r="S304" s="1" t="s">
        <v>2407</v>
      </c>
      <c r="T304" s="1">
        <v>176.0</v>
      </c>
      <c r="U304" s="3" t="s">
        <v>3103</v>
      </c>
      <c r="V304" s="1">
        <v>721992.0</v>
      </c>
      <c r="W304" s="1" t="s">
        <v>3104</v>
      </c>
      <c r="X304" s="3" t="s">
        <v>3105</v>
      </c>
      <c r="Y304" s="3" t="s">
        <v>3106</v>
      </c>
      <c r="Z304" s="1">
        <v>1.0</v>
      </c>
      <c r="AA304" s="1" t="s">
        <v>3107</v>
      </c>
      <c r="AB304" s="1">
        <v>20.0</v>
      </c>
      <c r="AC304" s="1">
        <v>33.0</v>
      </c>
      <c r="AD304" s="1">
        <v>2.0</v>
      </c>
      <c r="AE304" s="1">
        <v>18.0</v>
      </c>
      <c r="AF304" s="1">
        <v>7.0</v>
      </c>
      <c r="AG304" s="1">
        <v>0.0</v>
      </c>
      <c r="AH304" s="1">
        <v>258.0</v>
      </c>
      <c r="AI304" s="1">
        <v>25.0</v>
      </c>
      <c r="AJ304" s="1">
        <v>0.0</v>
      </c>
      <c r="AK304" s="1">
        <v>0.0</v>
      </c>
      <c r="AL304" s="1">
        <v>7.0</v>
      </c>
      <c r="AM304" s="1">
        <v>0.0</v>
      </c>
      <c r="AN304" s="1">
        <v>1.0</v>
      </c>
    </row>
    <row r="305">
      <c r="A305" s="1">
        <v>185.0</v>
      </c>
      <c r="B305" s="1" t="s">
        <v>3108</v>
      </c>
      <c r="C305" s="1" t="s">
        <v>3109</v>
      </c>
      <c r="D305" s="1" t="s">
        <v>2099</v>
      </c>
      <c r="E305" s="1" t="s">
        <v>43</v>
      </c>
      <c r="F305" s="2">
        <v>26764.0</v>
      </c>
      <c r="G305" s="1" t="s">
        <v>2826</v>
      </c>
      <c r="H305" s="1">
        <v>71.0</v>
      </c>
      <c r="I305" s="1" t="s">
        <v>336</v>
      </c>
      <c r="J305" s="1">
        <v>5.0</v>
      </c>
      <c r="K305" s="2">
        <v>42907.0</v>
      </c>
      <c r="M305" s="1">
        <v>0.0</v>
      </c>
      <c r="N305" s="1" t="s">
        <v>75</v>
      </c>
      <c r="O305" s="1" t="s">
        <v>76</v>
      </c>
      <c r="P305" s="1" t="s">
        <v>3110</v>
      </c>
      <c r="S305" s="1" t="s">
        <v>304</v>
      </c>
      <c r="T305" s="1">
        <v>241.0</v>
      </c>
      <c r="U305" s="3" t="s">
        <v>3111</v>
      </c>
      <c r="V305" s="1">
        <v>721364.0</v>
      </c>
      <c r="W305" s="1" t="s">
        <v>3112</v>
      </c>
      <c r="X305" s="3" t="s">
        <v>3113</v>
      </c>
      <c r="Y305" s="3" t="s">
        <v>3114</v>
      </c>
      <c r="Z305" s="1">
        <v>1.0</v>
      </c>
      <c r="AA305" s="1" t="s">
        <v>3115</v>
      </c>
      <c r="AB305" s="1">
        <v>20.0</v>
      </c>
      <c r="AC305" s="1">
        <v>33.0</v>
      </c>
      <c r="AD305" s="1">
        <v>136.0</v>
      </c>
      <c r="AE305" s="1">
        <v>197.0</v>
      </c>
      <c r="AF305" s="1">
        <v>103.0</v>
      </c>
      <c r="AG305" s="1">
        <v>63.0</v>
      </c>
      <c r="AH305" s="1">
        <v>108.0</v>
      </c>
      <c r="AI305" s="1">
        <v>80.0</v>
      </c>
      <c r="AJ305" s="1">
        <v>2.0</v>
      </c>
      <c r="AK305" s="1">
        <v>0.0</v>
      </c>
      <c r="AL305" s="1">
        <v>6.0</v>
      </c>
      <c r="AM305" s="1">
        <v>6.0</v>
      </c>
      <c r="AN305" s="1">
        <v>0.0</v>
      </c>
    </row>
    <row r="306">
      <c r="A306" s="1">
        <v>313.0</v>
      </c>
      <c r="B306" s="1" t="s">
        <v>3116</v>
      </c>
      <c r="C306" s="1" t="s">
        <v>1968</v>
      </c>
      <c r="D306" s="1" t="s">
        <v>2099</v>
      </c>
      <c r="E306" s="1" t="s">
        <v>43</v>
      </c>
      <c r="F306" s="2">
        <v>25128.0</v>
      </c>
      <c r="G306" s="1" t="s">
        <v>3117</v>
      </c>
      <c r="H306" s="1">
        <v>17.0</v>
      </c>
      <c r="I306" s="1" t="s">
        <v>2055</v>
      </c>
      <c r="J306" s="1">
        <v>4.0</v>
      </c>
      <c r="K306" s="2">
        <v>42907.0</v>
      </c>
      <c r="M306" s="1">
        <v>0.0</v>
      </c>
      <c r="N306" s="1" t="s">
        <v>75</v>
      </c>
      <c r="O306" s="1" t="s">
        <v>76</v>
      </c>
      <c r="P306" s="1" t="s">
        <v>3118</v>
      </c>
      <c r="S306" s="1" t="s">
        <v>234</v>
      </c>
      <c r="T306" s="1">
        <v>392.0</v>
      </c>
      <c r="U306" s="3" t="s">
        <v>3119</v>
      </c>
      <c r="V306" s="1">
        <v>719108.0</v>
      </c>
      <c r="W306" s="1" t="s">
        <v>3120</v>
      </c>
      <c r="X306" s="3" t="s">
        <v>3121</v>
      </c>
      <c r="Y306" s="3" t="s">
        <v>3122</v>
      </c>
      <c r="Z306" s="1">
        <v>1.0</v>
      </c>
      <c r="AA306" s="1" t="s">
        <v>3123</v>
      </c>
      <c r="AB306" s="1">
        <v>20.0</v>
      </c>
      <c r="AC306" s="1">
        <v>42.0</v>
      </c>
      <c r="AD306" s="1">
        <v>9.0</v>
      </c>
      <c r="AE306" s="1">
        <v>13.0</v>
      </c>
      <c r="AF306" s="1">
        <v>11.0</v>
      </c>
      <c r="AG306" s="1">
        <v>4.0</v>
      </c>
      <c r="AH306" s="1">
        <v>56.0</v>
      </c>
      <c r="AI306" s="1">
        <v>16.0</v>
      </c>
      <c r="AJ306" s="1">
        <v>0.0</v>
      </c>
      <c r="AK306" s="1">
        <v>0.0</v>
      </c>
      <c r="AL306" s="1">
        <v>5.0</v>
      </c>
      <c r="AM306" s="1">
        <v>8.0</v>
      </c>
      <c r="AN306" s="1">
        <v>2.0</v>
      </c>
    </row>
    <row r="307">
      <c r="A307" s="1">
        <v>506.0</v>
      </c>
      <c r="B307" s="1" t="s">
        <v>3124</v>
      </c>
      <c r="C307" s="1" t="s">
        <v>3125</v>
      </c>
      <c r="D307" s="1" t="s">
        <v>3126</v>
      </c>
      <c r="E307" s="1" t="s">
        <v>58</v>
      </c>
      <c r="F307" s="2">
        <v>29876.0</v>
      </c>
      <c r="G307" s="1" t="s">
        <v>3127</v>
      </c>
      <c r="H307" s="1">
        <v>1.0</v>
      </c>
      <c r="I307" s="1" t="s">
        <v>88</v>
      </c>
      <c r="J307" s="1">
        <v>3.0</v>
      </c>
      <c r="K307" s="2">
        <v>42907.0</v>
      </c>
      <c r="M307" s="1">
        <v>0.0</v>
      </c>
      <c r="N307" s="1" t="s">
        <v>75</v>
      </c>
      <c r="O307" s="1" t="s">
        <v>76</v>
      </c>
      <c r="P307" s="1" t="s">
        <v>3128</v>
      </c>
      <c r="S307" s="1" t="s">
        <v>3129</v>
      </c>
      <c r="T307" s="1">
        <v>572.0</v>
      </c>
      <c r="U307" s="3" t="s">
        <v>3130</v>
      </c>
      <c r="V307" s="1">
        <v>718674.0</v>
      </c>
      <c r="W307" s="1" t="s">
        <v>3131</v>
      </c>
      <c r="X307" s="3" t="s">
        <v>3132</v>
      </c>
      <c r="Y307" s="3" t="s">
        <v>3133</v>
      </c>
      <c r="Z307" s="1">
        <v>1.0</v>
      </c>
      <c r="AA307" s="1" t="s">
        <v>3134</v>
      </c>
      <c r="AB307" s="1">
        <v>20.0</v>
      </c>
      <c r="AC307" s="1">
        <v>34.0</v>
      </c>
      <c r="AD307" s="1">
        <v>12.0</v>
      </c>
      <c r="AE307" s="1">
        <v>6.0</v>
      </c>
      <c r="AF307" s="1">
        <v>2.0</v>
      </c>
      <c r="AG307" s="1">
        <v>2.0</v>
      </c>
      <c r="AH307" s="1">
        <v>13.0</v>
      </c>
      <c r="AI307" s="1">
        <v>7.0</v>
      </c>
      <c r="AJ307" s="1">
        <v>1.0</v>
      </c>
      <c r="AK307" s="1">
        <v>0.0</v>
      </c>
      <c r="AL307" s="1">
        <v>5.0</v>
      </c>
      <c r="AM307" s="1">
        <v>3.0</v>
      </c>
      <c r="AN307" s="1">
        <v>1.0</v>
      </c>
    </row>
    <row r="308">
      <c r="A308" s="1">
        <v>264.0</v>
      </c>
      <c r="B308" s="1" t="s">
        <v>3135</v>
      </c>
      <c r="C308" s="1" t="s">
        <v>3136</v>
      </c>
      <c r="D308" s="1" t="s">
        <v>915</v>
      </c>
      <c r="E308" s="1" t="s">
        <v>43</v>
      </c>
      <c r="F308" s="2">
        <v>22356.0</v>
      </c>
      <c r="G308" s="1" t="s">
        <v>207</v>
      </c>
      <c r="H308" s="1">
        <v>64.0</v>
      </c>
      <c r="I308" s="1" t="s">
        <v>579</v>
      </c>
      <c r="J308" s="1">
        <v>3.0</v>
      </c>
      <c r="K308" s="2">
        <v>42907.0</v>
      </c>
      <c r="M308" s="1">
        <v>0.0</v>
      </c>
      <c r="N308" s="1" t="s">
        <v>115</v>
      </c>
      <c r="O308" s="1" t="s">
        <v>116</v>
      </c>
      <c r="P308" s="1" t="s">
        <v>3137</v>
      </c>
      <c r="S308" s="1" t="s">
        <v>3138</v>
      </c>
      <c r="T308" s="1">
        <v>506.0</v>
      </c>
      <c r="U308" s="3" t="s">
        <v>3139</v>
      </c>
      <c r="V308" s="1">
        <v>1592.0</v>
      </c>
      <c r="W308" s="1" t="s">
        <v>3140</v>
      </c>
      <c r="X308" s="3" t="s">
        <v>3141</v>
      </c>
      <c r="Y308" s="3" t="s">
        <v>3142</v>
      </c>
      <c r="Z308" s="1">
        <v>1.0</v>
      </c>
      <c r="AA308" s="1" t="s">
        <v>3143</v>
      </c>
      <c r="AB308" s="1">
        <v>20.0</v>
      </c>
      <c r="AC308" s="1">
        <v>33.0</v>
      </c>
      <c r="AD308" s="1">
        <v>7.0</v>
      </c>
      <c r="AE308" s="1">
        <v>38.0</v>
      </c>
      <c r="AF308" s="1">
        <v>95.0</v>
      </c>
      <c r="AG308" s="1">
        <v>6.0</v>
      </c>
      <c r="AH308" s="1">
        <v>1056.0</v>
      </c>
      <c r="AI308" s="1">
        <v>62.0</v>
      </c>
      <c r="AJ308" s="1">
        <v>0.0</v>
      </c>
      <c r="AK308" s="1">
        <v>0.0</v>
      </c>
      <c r="AL308" s="1">
        <v>5.0</v>
      </c>
      <c r="AM308" s="1">
        <v>3.0</v>
      </c>
      <c r="AN308" s="1">
        <v>1.0</v>
      </c>
    </row>
    <row r="309">
      <c r="A309" s="1">
        <v>221.0</v>
      </c>
      <c r="B309" s="1" t="s">
        <v>3144</v>
      </c>
      <c r="C309" s="1" t="s">
        <v>3145</v>
      </c>
      <c r="D309" s="1" t="s">
        <v>1186</v>
      </c>
      <c r="E309" s="1" t="s">
        <v>58</v>
      </c>
      <c r="F309" s="2">
        <v>25146.0</v>
      </c>
      <c r="G309" s="1" t="s">
        <v>3146</v>
      </c>
      <c r="H309" s="1">
        <v>33.0</v>
      </c>
      <c r="I309" s="1" t="s">
        <v>348</v>
      </c>
      <c r="J309" s="1">
        <v>11.0</v>
      </c>
      <c r="K309" s="2">
        <v>42907.0</v>
      </c>
      <c r="M309" s="1">
        <v>0.0</v>
      </c>
      <c r="N309" s="1" t="s">
        <v>75</v>
      </c>
      <c r="O309" s="1" t="s">
        <v>76</v>
      </c>
      <c r="P309" s="1" t="s">
        <v>3147</v>
      </c>
      <c r="S309" s="1" t="s">
        <v>118</v>
      </c>
      <c r="T309" s="1">
        <v>326.0</v>
      </c>
      <c r="U309" s="3" t="s">
        <v>3148</v>
      </c>
      <c r="V309" s="1">
        <v>719652.0</v>
      </c>
      <c r="W309" s="1" t="s">
        <v>3149</v>
      </c>
      <c r="X309" s="3" t="s">
        <v>3150</v>
      </c>
      <c r="Y309" s="3" t="s">
        <v>3151</v>
      </c>
      <c r="Z309" s="1">
        <v>1.0</v>
      </c>
      <c r="AA309" s="1" t="s">
        <v>3152</v>
      </c>
      <c r="AB309" s="1">
        <v>20.0</v>
      </c>
      <c r="AC309" s="1">
        <v>40.0</v>
      </c>
      <c r="AD309" s="1">
        <v>7.0</v>
      </c>
      <c r="AE309" s="1">
        <v>6.0</v>
      </c>
      <c r="AF309" s="1">
        <v>1.0</v>
      </c>
      <c r="AG309" s="1">
        <v>0.0</v>
      </c>
      <c r="AH309" s="1">
        <v>113.0</v>
      </c>
      <c r="AI309" s="1">
        <v>58.0</v>
      </c>
      <c r="AJ309" s="1">
        <v>0.0</v>
      </c>
      <c r="AK309" s="1">
        <v>0.0</v>
      </c>
      <c r="AL309" s="1">
        <v>7.0</v>
      </c>
      <c r="AM309" s="1">
        <v>1.0</v>
      </c>
      <c r="AN309" s="1">
        <v>1.0</v>
      </c>
    </row>
    <row r="310">
      <c r="A310" s="1">
        <v>223.0</v>
      </c>
      <c r="B310" s="1" t="s">
        <v>3153</v>
      </c>
      <c r="C310" s="1" t="s">
        <v>3154</v>
      </c>
      <c r="D310" s="1" t="s">
        <v>312</v>
      </c>
      <c r="E310" s="1" t="s">
        <v>58</v>
      </c>
      <c r="F310" s="2">
        <v>17181.0</v>
      </c>
      <c r="G310" s="1" t="s">
        <v>3155</v>
      </c>
      <c r="H310" s="1">
        <v>11.0</v>
      </c>
      <c r="I310" s="1" t="s">
        <v>1453</v>
      </c>
      <c r="J310" s="1">
        <v>1.0</v>
      </c>
      <c r="K310" s="2">
        <v>42907.0</v>
      </c>
      <c r="M310" s="1">
        <v>0.0</v>
      </c>
      <c r="N310" s="1" t="s">
        <v>75</v>
      </c>
      <c r="O310" s="1" t="s">
        <v>76</v>
      </c>
      <c r="P310" s="1" t="s">
        <v>3156</v>
      </c>
      <c r="S310" s="1" t="s">
        <v>3157</v>
      </c>
      <c r="T310" s="1">
        <v>203.0</v>
      </c>
      <c r="U310" s="3" t="s">
        <v>3158</v>
      </c>
      <c r="V310" s="1">
        <v>718794.0</v>
      </c>
      <c r="W310" s="1" t="s">
        <v>3159</v>
      </c>
      <c r="X310" s="3" t="s">
        <v>3160</v>
      </c>
      <c r="Y310" s="3" t="s">
        <v>3161</v>
      </c>
      <c r="Z310" s="1">
        <v>2.0</v>
      </c>
      <c r="AA310" s="1" t="s">
        <v>3162</v>
      </c>
      <c r="AB310" s="1">
        <v>20.0</v>
      </c>
      <c r="AC310" s="1">
        <v>40.0</v>
      </c>
      <c r="AD310" s="1">
        <v>20.0</v>
      </c>
      <c r="AE310" s="1">
        <v>8.0</v>
      </c>
      <c r="AF310" s="1">
        <v>4.0</v>
      </c>
      <c r="AG310" s="1">
        <v>0.0</v>
      </c>
      <c r="AH310" s="1">
        <v>45.0</v>
      </c>
      <c r="AI310" s="1">
        <v>17.0</v>
      </c>
      <c r="AJ310" s="1">
        <v>1.0</v>
      </c>
      <c r="AK310" s="1">
        <v>0.0</v>
      </c>
      <c r="AL310" s="1">
        <v>5.0</v>
      </c>
      <c r="AM310" s="1">
        <v>0.0</v>
      </c>
      <c r="AN310" s="1">
        <v>3.0</v>
      </c>
    </row>
    <row r="311">
      <c r="A311" s="1">
        <v>27.0</v>
      </c>
      <c r="B311" s="1" t="s">
        <v>3163</v>
      </c>
      <c r="C311" s="1" t="s">
        <v>3164</v>
      </c>
      <c r="D311" s="1" t="s">
        <v>1065</v>
      </c>
      <c r="E311" s="1" t="s">
        <v>43</v>
      </c>
      <c r="F311" s="2">
        <v>22299.0</v>
      </c>
      <c r="G311" s="1" t="s">
        <v>1251</v>
      </c>
      <c r="H311" s="1">
        <v>59.0</v>
      </c>
      <c r="I311" s="1" t="s">
        <v>172</v>
      </c>
      <c r="J311" s="1">
        <v>13.0</v>
      </c>
      <c r="K311" s="2">
        <v>42907.0</v>
      </c>
      <c r="M311" s="1">
        <v>0.0</v>
      </c>
      <c r="N311" s="1" t="s">
        <v>115</v>
      </c>
      <c r="O311" s="1" t="s">
        <v>116</v>
      </c>
      <c r="P311" s="3" t="s">
        <v>3165</v>
      </c>
      <c r="S311" s="1" t="s">
        <v>3166</v>
      </c>
      <c r="T311" s="1">
        <v>497.0</v>
      </c>
      <c r="U311" s="3" t="s">
        <v>3167</v>
      </c>
      <c r="V311" s="1">
        <v>333818.0</v>
      </c>
      <c r="W311" s="1" t="s">
        <v>3168</v>
      </c>
      <c r="X311" s="3" t="s">
        <v>3169</v>
      </c>
      <c r="Y311" s="3" t="s">
        <v>3170</v>
      </c>
      <c r="Z311" s="1">
        <v>2.0</v>
      </c>
      <c r="AA311" s="1" t="s">
        <v>3171</v>
      </c>
      <c r="AB311" s="1">
        <v>20.0</v>
      </c>
      <c r="AC311" s="1">
        <v>34.0</v>
      </c>
      <c r="AD311" s="1">
        <v>24.0</v>
      </c>
      <c r="AE311" s="1">
        <v>55.0</v>
      </c>
      <c r="AF311" s="1">
        <v>172.0</v>
      </c>
      <c r="AG311" s="1">
        <v>0.0</v>
      </c>
      <c r="AH311" s="1">
        <v>1113.0</v>
      </c>
      <c r="AI311" s="1">
        <v>75.0</v>
      </c>
      <c r="AJ311" s="1">
        <v>1.0</v>
      </c>
      <c r="AK311" s="1">
        <v>1.0</v>
      </c>
      <c r="AL311" s="1">
        <v>10.0</v>
      </c>
      <c r="AM311" s="1">
        <v>9.0</v>
      </c>
      <c r="AN311" s="1">
        <v>1.0</v>
      </c>
    </row>
    <row r="312">
      <c r="A312" s="1">
        <v>526.0</v>
      </c>
      <c r="B312" s="1" t="s">
        <v>3172</v>
      </c>
      <c r="C312" s="1" t="s">
        <v>3173</v>
      </c>
      <c r="D312" s="1" t="s">
        <v>835</v>
      </c>
      <c r="E312" s="1" t="s">
        <v>43</v>
      </c>
      <c r="F312" s="2">
        <v>25501.0</v>
      </c>
      <c r="G312" s="1" t="s">
        <v>955</v>
      </c>
      <c r="H312" s="1">
        <v>59.0</v>
      </c>
      <c r="I312" s="1" t="s">
        <v>172</v>
      </c>
      <c r="J312" s="1">
        <v>5.0</v>
      </c>
      <c r="K312" s="2">
        <v>42907.0</v>
      </c>
      <c r="M312" s="1">
        <v>0.0</v>
      </c>
      <c r="N312" s="1" t="s">
        <v>61</v>
      </c>
      <c r="O312" s="1" t="s">
        <v>62</v>
      </c>
      <c r="P312" s="1" t="s">
        <v>3174</v>
      </c>
      <c r="S312" s="1" t="s">
        <v>581</v>
      </c>
      <c r="T312" s="1">
        <v>43.0</v>
      </c>
      <c r="U312" s="3" t="s">
        <v>3175</v>
      </c>
      <c r="V312" s="1">
        <v>267200.0</v>
      </c>
      <c r="W312" s="1" t="s">
        <v>3176</v>
      </c>
      <c r="X312" s="3" t="s">
        <v>3177</v>
      </c>
      <c r="Y312" s="3" t="s">
        <v>3178</v>
      </c>
      <c r="Z312" s="1">
        <v>1.0</v>
      </c>
      <c r="AA312" s="1" t="s">
        <v>3179</v>
      </c>
      <c r="AB312" s="1">
        <v>20.0</v>
      </c>
      <c r="AC312" s="1">
        <v>25.0</v>
      </c>
      <c r="AD312" s="1">
        <v>20.0</v>
      </c>
      <c r="AE312" s="1">
        <v>25.0</v>
      </c>
      <c r="AF312" s="1">
        <v>5.0</v>
      </c>
      <c r="AG312" s="1">
        <v>24.0</v>
      </c>
      <c r="AH312" s="1">
        <v>428.0</v>
      </c>
      <c r="AI312" s="1">
        <v>23.0</v>
      </c>
      <c r="AJ312" s="1">
        <v>0.0</v>
      </c>
      <c r="AK312" s="1">
        <v>2.0</v>
      </c>
      <c r="AL312" s="1">
        <v>14.0</v>
      </c>
      <c r="AM312" s="1">
        <v>19.0</v>
      </c>
      <c r="AN312" s="1">
        <v>0.0</v>
      </c>
    </row>
    <row r="313">
      <c r="A313" s="1">
        <v>421.0</v>
      </c>
      <c r="B313" s="1" t="s">
        <v>3180</v>
      </c>
      <c r="C313" s="1" t="s">
        <v>3181</v>
      </c>
      <c r="D313" s="1" t="s">
        <v>1176</v>
      </c>
      <c r="E313" s="1" t="s">
        <v>58</v>
      </c>
      <c r="F313" s="2">
        <v>16504.0</v>
      </c>
      <c r="G313" s="1" t="s">
        <v>3182</v>
      </c>
      <c r="H313" s="1">
        <v>31.0</v>
      </c>
      <c r="I313" s="1" t="s">
        <v>360</v>
      </c>
      <c r="J313" s="1">
        <v>6.0</v>
      </c>
      <c r="K313" s="2">
        <v>42907.0</v>
      </c>
      <c r="M313" s="1">
        <v>0.0</v>
      </c>
      <c r="N313" s="1" t="s">
        <v>75</v>
      </c>
      <c r="O313" s="1" t="s">
        <v>76</v>
      </c>
      <c r="P313" s="1" t="s">
        <v>3183</v>
      </c>
      <c r="S313" s="1" t="s">
        <v>3184</v>
      </c>
      <c r="T313" s="1">
        <v>280.0</v>
      </c>
      <c r="U313" s="3" t="s">
        <v>3185</v>
      </c>
      <c r="V313" s="1">
        <v>331835.0</v>
      </c>
      <c r="W313" s="1" t="s">
        <v>3186</v>
      </c>
      <c r="X313" s="3" t="s">
        <v>3187</v>
      </c>
      <c r="Y313" s="3" t="s">
        <v>3188</v>
      </c>
      <c r="Z313" s="1">
        <v>1.0</v>
      </c>
      <c r="AA313" s="1" t="s">
        <v>3189</v>
      </c>
      <c r="AB313" s="1">
        <v>20.0</v>
      </c>
      <c r="AC313" s="1">
        <v>33.0</v>
      </c>
      <c r="AD313" s="1">
        <v>35.0</v>
      </c>
      <c r="AE313" s="1">
        <v>8.0</v>
      </c>
      <c r="AF313" s="1">
        <v>2.0</v>
      </c>
      <c r="AG313" s="1">
        <v>2.0</v>
      </c>
      <c r="AH313" s="1">
        <v>66.0</v>
      </c>
      <c r="AI313" s="1">
        <v>25.0</v>
      </c>
      <c r="AJ313" s="1">
        <v>0.0</v>
      </c>
      <c r="AK313" s="1">
        <v>0.0</v>
      </c>
      <c r="AL313" s="1">
        <v>6.0</v>
      </c>
      <c r="AM313" s="1">
        <v>3.0</v>
      </c>
      <c r="AN313" s="1">
        <v>0.0</v>
      </c>
    </row>
    <row r="314">
      <c r="A314" s="1">
        <v>6.0</v>
      </c>
      <c r="B314" s="1" t="s">
        <v>3190</v>
      </c>
      <c r="C314" s="1" t="s">
        <v>3191</v>
      </c>
      <c r="D314" s="1" t="s">
        <v>3192</v>
      </c>
      <c r="E314" s="1" t="s">
        <v>43</v>
      </c>
      <c r="F314" s="2">
        <v>21305.0</v>
      </c>
      <c r="G314" s="1" t="s">
        <v>3193</v>
      </c>
      <c r="H314" s="1">
        <v>69.0</v>
      </c>
      <c r="I314" s="1" t="s">
        <v>1363</v>
      </c>
      <c r="J314" s="1">
        <v>12.0</v>
      </c>
      <c r="K314" s="2">
        <v>42907.0</v>
      </c>
      <c r="M314" s="1">
        <v>0.0</v>
      </c>
      <c r="N314" s="1" t="s">
        <v>280</v>
      </c>
      <c r="O314" s="1" t="s">
        <v>281</v>
      </c>
      <c r="P314" s="1" t="s">
        <v>3194</v>
      </c>
      <c r="S314" s="1" t="s">
        <v>151</v>
      </c>
      <c r="T314" s="1">
        <v>184.0</v>
      </c>
      <c r="U314" s="3" t="s">
        <v>3195</v>
      </c>
      <c r="V314" s="1">
        <v>722374.0</v>
      </c>
      <c r="W314" s="1" t="s">
        <v>3196</v>
      </c>
      <c r="X314" s="3" t="s">
        <v>3197</v>
      </c>
      <c r="Y314" s="3" t="s">
        <v>3198</v>
      </c>
      <c r="Z314" s="1">
        <v>1.0</v>
      </c>
      <c r="AA314" s="1" t="s">
        <v>3199</v>
      </c>
      <c r="AB314" s="1">
        <v>20.0</v>
      </c>
      <c r="AC314" s="1">
        <v>32.0</v>
      </c>
      <c r="AD314" s="1">
        <v>16.0</v>
      </c>
      <c r="AE314" s="1">
        <v>12.0</v>
      </c>
      <c r="AF314" s="1">
        <v>8.0</v>
      </c>
      <c r="AG314" s="1">
        <v>17.0</v>
      </c>
      <c r="AH314" s="1">
        <v>263.0</v>
      </c>
      <c r="AI314" s="1">
        <v>25.0</v>
      </c>
      <c r="AJ314" s="1">
        <v>0.0</v>
      </c>
      <c r="AK314" s="1">
        <v>0.0</v>
      </c>
      <c r="AL314" s="1">
        <v>5.0</v>
      </c>
      <c r="AM314" s="1">
        <v>11.0</v>
      </c>
      <c r="AN314" s="1">
        <v>0.0</v>
      </c>
    </row>
    <row r="315">
      <c r="A315" s="1">
        <v>517.0</v>
      </c>
      <c r="B315" s="1" t="s">
        <v>3200</v>
      </c>
      <c r="C315" s="1" t="s">
        <v>3201</v>
      </c>
      <c r="D315" s="1" t="s">
        <v>1782</v>
      </c>
      <c r="E315" s="1" t="s">
        <v>43</v>
      </c>
      <c r="F315" s="2">
        <v>25700.0</v>
      </c>
      <c r="G315" s="1" t="s">
        <v>3202</v>
      </c>
      <c r="H315" s="1">
        <v>22.0</v>
      </c>
      <c r="I315" s="1" t="s">
        <v>1883</v>
      </c>
      <c r="J315" s="1">
        <v>4.0</v>
      </c>
      <c r="K315" s="2">
        <v>42907.0</v>
      </c>
      <c r="M315" s="1">
        <v>0.0</v>
      </c>
      <c r="N315" s="1" t="s">
        <v>75</v>
      </c>
      <c r="O315" s="1" t="s">
        <v>76</v>
      </c>
      <c r="P315" s="1" t="s">
        <v>3203</v>
      </c>
      <c r="S315" s="1" t="s">
        <v>3204</v>
      </c>
      <c r="T315" s="1">
        <v>368.0</v>
      </c>
      <c r="U315" s="3" t="s">
        <v>3205</v>
      </c>
      <c r="V315" s="1">
        <v>719230.0</v>
      </c>
      <c r="W315" s="1" t="s">
        <v>3206</v>
      </c>
      <c r="X315" s="3" t="s">
        <v>3207</v>
      </c>
      <c r="Y315" s="3" t="s">
        <v>3208</v>
      </c>
      <c r="Z315" s="1">
        <v>2.0</v>
      </c>
      <c r="AA315" s="1" t="s">
        <v>3209</v>
      </c>
      <c r="AB315" s="1">
        <v>20.0</v>
      </c>
      <c r="AC315" s="1">
        <v>42.0</v>
      </c>
      <c r="AD315" s="1">
        <v>11.0</v>
      </c>
      <c r="AE315" s="1">
        <v>3.0</v>
      </c>
      <c r="AF315" s="1">
        <v>1.0</v>
      </c>
      <c r="AG315" s="1">
        <v>0.0</v>
      </c>
      <c r="AH315" s="1">
        <v>45.0</v>
      </c>
      <c r="AI315" s="1">
        <v>12.0</v>
      </c>
      <c r="AJ315" s="1">
        <v>0.0</v>
      </c>
      <c r="AK315" s="1">
        <v>0.0</v>
      </c>
      <c r="AL315" s="1">
        <v>5.0</v>
      </c>
      <c r="AM315" s="1">
        <v>2.0</v>
      </c>
      <c r="AN315" s="1">
        <v>2.0</v>
      </c>
    </row>
    <row r="316">
      <c r="A316" s="1">
        <v>139.0</v>
      </c>
      <c r="B316" s="1" t="s">
        <v>3210</v>
      </c>
      <c r="C316" s="1" t="s">
        <v>3211</v>
      </c>
      <c r="D316" s="1" t="s">
        <v>425</v>
      </c>
      <c r="E316" s="1" t="s">
        <v>58</v>
      </c>
      <c r="F316" s="2">
        <v>21652.0</v>
      </c>
      <c r="G316" s="1" t="s">
        <v>1581</v>
      </c>
      <c r="H316" s="1">
        <v>75.0</v>
      </c>
      <c r="I316" s="1" t="s">
        <v>232</v>
      </c>
      <c r="J316" s="1">
        <v>4.0</v>
      </c>
      <c r="K316" s="2">
        <v>42907.0</v>
      </c>
      <c r="M316" s="1">
        <v>0.0</v>
      </c>
      <c r="N316" s="1" t="s">
        <v>61</v>
      </c>
      <c r="O316" s="1" t="s">
        <v>62</v>
      </c>
      <c r="P316" s="1" t="s">
        <v>3212</v>
      </c>
      <c r="S316" s="1">
        <v>0.0</v>
      </c>
      <c r="T316" s="1">
        <v>138.0</v>
      </c>
      <c r="U316" s="3" t="s">
        <v>3213</v>
      </c>
      <c r="V316" s="1">
        <v>721506.0</v>
      </c>
      <c r="W316" s="1" t="s">
        <v>3214</v>
      </c>
      <c r="X316" s="3" t="s">
        <v>3215</v>
      </c>
      <c r="Y316" s="3" t="s">
        <v>3216</v>
      </c>
      <c r="Z316" s="1">
        <v>2.0</v>
      </c>
      <c r="AA316" s="1" t="s">
        <v>3217</v>
      </c>
      <c r="AB316" s="1">
        <v>20.0</v>
      </c>
      <c r="AC316" s="1">
        <v>26.0</v>
      </c>
      <c r="AD316" s="1">
        <v>35.0</v>
      </c>
      <c r="AE316" s="1">
        <v>51.0</v>
      </c>
      <c r="AF316" s="1">
        <v>22.0</v>
      </c>
      <c r="AG316" s="1">
        <v>31.0</v>
      </c>
      <c r="AH316" s="1">
        <v>467.0</v>
      </c>
      <c r="AI316" s="1">
        <v>17.0</v>
      </c>
      <c r="AJ316" s="1">
        <v>1.0</v>
      </c>
      <c r="AK316" s="1">
        <v>4.0</v>
      </c>
      <c r="AL316" s="1">
        <v>43.0</v>
      </c>
      <c r="AM316" s="1">
        <v>19.0</v>
      </c>
      <c r="AN316" s="1">
        <v>2.0</v>
      </c>
    </row>
    <row r="317">
      <c r="A317" s="1">
        <v>486.0</v>
      </c>
      <c r="B317" s="1" t="s">
        <v>3218</v>
      </c>
      <c r="C317" s="1" t="s">
        <v>3219</v>
      </c>
      <c r="D317" s="1" t="s">
        <v>206</v>
      </c>
      <c r="E317" s="1" t="s">
        <v>43</v>
      </c>
      <c r="F317" s="2">
        <v>19875.0</v>
      </c>
      <c r="G317" s="1" t="s">
        <v>3220</v>
      </c>
      <c r="H317" s="1">
        <v>1.0</v>
      </c>
      <c r="I317" s="1" t="s">
        <v>88</v>
      </c>
      <c r="J317" s="1">
        <v>2.0</v>
      </c>
      <c r="K317" s="2">
        <v>42907.0</v>
      </c>
      <c r="M317" s="1">
        <v>0.0</v>
      </c>
      <c r="N317" s="1" t="s">
        <v>61</v>
      </c>
      <c r="O317" s="1" t="s">
        <v>62</v>
      </c>
      <c r="P317" s="1" t="s">
        <v>3221</v>
      </c>
      <c r="S317" s="1" t="s">
        <v>3222</v>
      </c>
      <c r="T317" s="1">
        <v>26.0</v>
      </c>
      <c r="U317" s="3" t="s">
        <v>3223</v>
      </c>
      <c r="V317" s="1">
        <v>1012.0</v>
      </c>
      <c r="W317" s="1" t="s">
        <v>3224</v>
      </c>
      <c r="X317" s="3" t="s">
        <v>3225</v>
      </c>
      <c r="Y317" s="3" t="s">
        <v>3226</v>
      </c>
      <c r="Z317" s="1">
        <v>1.0</v>
      </c>
      <c r="AA317" s="1" t="s">
        <v>3227</v>
      </c>
      <c r="AB317" s="1">
        <v>20.0</v>
      </c>
      <c r="AC317" s="1">
        <v>29.0</v>
      </c>
      <c r="AD317" s="1">
        <v>21.0</v>
      </c>
      <c r="AE317" s="1">
        <v>22.0</v>
      </c>
      <c r="AF317" s="1">
        <v>43.0</v>
      </c>
      <c r="AG317" s="1">
        <v>2.0</v>
      </c>
      <c r="AH317" s="1">
        <v>867.0</v>
      </c>
      <c r="AI317" s="1">
        <v>30.0</v>
      </c>
      <c r="AJ317" s="1">
        <v>0.0</v>
      </c>
      <c r="AK317" s="1">
        <v>4.0</v>
      </c>
      <c r="AL317" s="1">
        <v>42.0</v>
      </c>
      <c r="AM317" s="1">
        <v>20.0</v>
      </c>
      <c r="AN317" s="1">
        <v>2.0</v>
      </c>
    </row>
    <row r="318">
      <c r="A318" s="1">
        <v>335.0</v>
      </c>
      <c r="B318" s="1" t="s">
        <v>3228</v>
      </c>
      <c r="C318" s="1" t="s">
        <v>3229</v>
      </c>
      <c r="D318" s="1" t="s">
        <v>629</v>
      </c>
      <c r="E318" s="1" t="s">
        <v>58</v>
      </c>
      <c r="F318" s="2">
        <v>24044.0</v>
      </c>
      <c r="G318" s="1" t="s">
        <v>3230</v>
      </c>
      <c r="H318" s="1">
        <v>77.0</v>
      </c>
      <c r="I318" s="1" t="s">
        <v>503</v>
      </c>
      <c r="J318" s="1">
        <v>2.0</v>
      </c>
      <c r="K318" s="2">
        <v>42907.0</v>
      </c>
      <c r="M318" s="1">
        <v>0.0</v>
      </c>
      <c r="N318" s="1" t="s">
        <v>61</v>
      </c>
      <c r="O318" s="1" t="s">
        <v>62</v>
      </c>
      <c r="P318" s="1" t="s">
        <v>3231</v>
      </c>
      <c r="S318" s="1" t="s">
        <v>526</v>
      </c>
      <c r="T318" s="1">
        <v>15.0</v>
      </c>
      <c r="U318" s="3" t="s">
        <v>3232</v>
      </c>
      <c r="V318" s="1">
        <v>609245.0</v>
      </c>
      <c r="W318" s="1" t="s">
        <v>3233</v>
      </c>
      <c r="X318" s="3" t="s">
        <v>3234</v>
      </c>
      <c r="Y318" s="3" t="s">
        <v>3235</v>
      </c>
      <c r="Z318" s="1">
        <v>2.0</v>
      </c>
      <c r="AA318" s="1" t="s">
        <v>3236</v>
      </c>
      <c r="AB318" s="1">
        <v>20.0</v>
      </c>
      <c r="AC318" s="1">
        <v>30.0</v>
      </c>
      <c r="AD318" s="1">
        <v>19.0</v>
      </c>
      <c r="AE318" s="1">
        <v>67.0</v>
      </c>
      <c r="AF318" s="1">
        <v>49.0</v>
      </c>
      <c r="AG318" s="1">
        <v>74.0</v>
      </c>
      <c r="AH318" s="1">
        <v>939.0</v>
      </c>
      <c r="AI318" s="1">
        <v>48.0</v>
      </c>
      <c r="AJ318" s="1">
        <v>0.0</v>
      </c>
      <c r="AK318" s="1">
        <v>0.0</v>
      </c>
      <c r="AL318" s="1">
        <v>63.0</v>
      </c>
      <c r="AM318" s="1">
        <v>22.0</v>
      </c>
      <c r="AN318" s="1">
        <v>3.0</v>
      </c>
    </row>
    <row r="319">
      <c r="A319" s="1">
        <v>501.0</v>
      </c>
      <c r="B319" s="1" t="s">
        <v>3237</v>
      </c>
      <c r="C319" s="1" t="s">
        <v>3238</v>
      </c>
      <c r="D319" s="1" t="s">
        <v>705</v>
      </c>
      <c r="E319" s="1" t="s">
        <v>43</v>
      </c>
      <c r="F319" s="2">
        <v>21437.0</v>
      </c>
      <c r="G319" s="1" t="s">
        <v>3239</v>
      </c>
      <c r="H319" s="1">
        <v>31.0</v>
      </c>
      <c r="I319" s="1" t="s">
        <v>360</v>
      </c>
      <c r="J319" s="1">
        <v>2.0</v>
      </c>
      <c r="K319" s="2">
        <v>42907.0</v>
      </c>
      <c r="M319" s="1">
        <v>0.0</v>
      </c>
      <c r="N319" s="1" t="s">
        <v>280</v>
      </c>
      <c r="O319" s="1" t="s">
        <v>281</v>
      </c>
      <c r="P319" s="1" t="s">
        <v>3240</v>
      </c>
      <c r="S319" s="1" t="s">
        <v>3241</v>
      </c>
      <c r="T319" s="1">
        <v>186.0</v>
      </c>
      <c r="U319" s="3" t="s">
        <v>3242</v>
      </c>
      <c r="V319" s="1">
        <v>719504.0</v>
      </c>
      <c r="W319" s="1" t="s">
        <v>3243</v>
      </c>
      <c r="X319" s="3" t="s">
        <v>3244</v>
      </c>
      <c r="Y319" s="3" t="s">
        <v>3245</v>
      </c>
      <c r="Z319" s="1">
        <v>2.0</v>
      </c>
      <c r="AA319" s="1" t="s">
        <v>3246</v>
      </c>
      <c r="AB319" s="1">
        <v>20.0</v>
      </c>
      <c r="AC319" s="1">
        <v>26.0</v>
      </c>
      <c r="AD319" s="1">
        <v>14.0</v>
      </c>
      <c r="AE319" s="1">
        <v>4.0</v>
      </c>
      <c r="AF319" s="1">
        <v>4.0</v>
      </c>
      <c r="AG319" s="1">
        <v>28.0</v>
      </c>
      <c r="AH319" s="1">
        <v>194.0</v>
      </c>
      <c r="AI319" s="1">
        <v>18.0</v>
      </c>
      <c r="AJ319" s="1">
        <v>0.0</v>
      </c>
      <c r="AK319" s="1">
        <v>0.0</v>
      </c>
      <c r="AL319" s="1">
        <v>5.0</v>
      </c>
      <c r="AM319" s="1">
        <v>39.0</v>
      </c>
      <c r="AN319" s="1">
        <v>2.0</v>
      </c>
    </row>
    <row r="320">
      <c r="A320" s="1">
        <v>383.0</v>
      </c>
      <c r="B320" s="1" t="s">
        <v>3247</v>
      </c>
      <c r="C320" s="1" t="s">
        <v>3248</v>
      </c>
      <c r="D320" s="1" t="s">
        <v>3249</v>
      </c>
      <c r="E320" s="1" t="s">
        <v>58</v>
      </c>
      <c r="F320" s="2">
        <v>24351.0</v>
      </c>
      <c r="G320" s="1" t="s">
        <v>3250</v>
      </c>
      <c r="H320" s="1">
        <v>74.0</v>
      </c>
      <c r="I320" s="1" t="s">
        <v>1441</v>
      </c>
      <c r="J320" s="1">
        <v>2.0</v>
      </c>
      <c r="K320" s="2">
        <v>42907.0</v>
      </c>
      <c r="M320" s="1">
        <v>0.0</v>
      </c>
      <c r="N320" s="1" t="s">
        <v>75</v>
      </c>
      <c r="O320" s="1" t="s">
        <v>76</v>
      </c>
      <c r="P320" s="1" t="s">
        <v>3251</v>
      </c>
      <c r="S320" s="1" t="s">
        <v>1107</v>
      </c>
      <c r="T320" s="1">
        <v>480.0</v>
      </c>
      <c r="U320" s="3" t="s">
        <v>3252</v>
      </c>
      <c r="V320" s="1">
        <v>721434.0</v>
      </c>
      <c r="W320" s="1" t="s">
        <v>3253</v>
      </c>
      <c r="X320" s="3" t="s">
        <v>3254</v>
      </c>
      <c r="Y320" s="3" t="s">
        <v>3255</v>
      </c>
      <c r="Z320" s="1">
        <v>1.0</v>
      </c>
      <c r="AA320" s="1" t="s">
        <v>3256</v>
      </c>
      <c r="AB320" s="1">
        <v>20.0</v>
      </c>
      <c r="AC320" s="1">
        <v>39.0</v>
      </c>
      <c r="AD320" s="1">
        <v>16.0</v>
      </c>
      <c r="AE320" s="1">
        <v>4.0</v>
      </c>
      <c r="AF320" s="1">
        <v>0.0</v>
      </c>
      <c r="AG320" s="1">
        <v>16.0</v>
      </c>
      <c r="AH320" s="1">
        <v>48.0</v>
      </c>
      <c r="AI320" s="1">
        <v>3.0</v>
      </c>
      <c r="AJ320" s="1">
        <v>1.0</v>
      </c>
      <c r="AK320" s="1">
        <v>0.0</v>
      </c>
      <c r="AL320" s="1">
        <v>5.0</v>
      </c>
      <c r="AM320" s="1">
        <v>7.0</v>
      </c>
      <c r="AN320" s="1">
        <v>0.0</v>
      </c>
    </row>
    <row r="321">
      <c r="A321" s="1">
        <v>201.0</v>
      </c>
      <c r="B321" s="1" t="s">
        <v>3257</v>
      </c>
      <c r="C321" s="1" t="s">
        <v>3258</v>
      </c>
      <c r="D321" s="1" t="s">
        <v>810</v>
      </c>
      <c r="E321" s="1" t="s">
        <v>43</v>
      </c>
      <c r="F321" s="2">
        <v>24341.0</v>
      </c>
      <c r="G321" s="1" t="s">
        <v>2826</v>
      </c>
      <c r="H321" s="1">
        <v>9.0</v>
      </c>
      <c r="I321" s="1" t="s">
        <v>3259</v>
      </c>
      <c r="J321" s="1">
        <v>2.0</v>
      </c>
      <c r="K321" s="2">
        <v>42907.0</v>
      </c>
      <c r="M321" s="1">
        <v>0.0</v>
      </c>
      <c r="N321" s="1" t="s">
        <v>173</v>
      </c>
      <c r="O321" s="1" t="s">
        <v>174</v>
      </c>
      <c r="P321" s="1" t="s">
        <v>3260</v>
      </c>
      <c r="S321" s="1" t="s">
        <v>373</v>
      </c>
      <c r="T321" s="1">
        <v>630.0</v>
      </c>
      <c r="U321" s="3" t="s">
        <v>3261</v>
      </c>
      <c r="V321" s="1">
        <v>718868.0</v>
      </c>
      <c r="W321" s="1" t="s">
        <v>3262</v>
      </c>
      <c r="X321" s="3" t="s">
        <v>3263</v>
      </c>
      <c r="Y321" s="3" t="s">
        <v>3264</v>
      </c>
      <c r="Z321" s="1">
        <v>1.0</v>
      </c>
      <c r="AA321" s="1" t="s">
        <v>3265</v>
      </c>
      <c r="AB321" s="1">
        <v>20.0</v>
      </c>
      <c r="AC321" s="1">
        <v>37.0</v>
      </c>
      <c r="AD321" s="1">
        <v>73.0</v>
      </c>
      <c r="AE321" s="1">
        <v>69.0</v>
      </c>
      <c r="AF321" s="1">
        <v>14.0</v>
      </c>
      <c r="AG321" s="1">
        <v>98.0</v>
      </c>
      <c r="AH321" s="1">
        <v>2061.0</v>
      </c>
      <c r="AI321" s="1">
        <v>32.0</v>
      </c>
      <c r="AJ321" s="1">
        <v>0.0</v>
      </c>
      <c r="AK321" s="1">
        <v>0.0</v>
      </c>
      <c r="AL321" s="1">
        <v>12.0</v>
      </c>
      <c r="AM321" s="1">
        <v>14.0</v>
      </c>
      <c r="AN321" s="1">
        <v>3.0</v>
      </c>
    </row>
    <row r="322">
      <c r="A322" s="1">
        <v>424.0</v>
      </c>
      <c r="B322" s="1" t="s">
        <v>3266</v>
      </c>
      <c r="C322" s="1" t="s">
        <v>3267</v>
      </c>
      <c r="D322" s="1" t="s">
        <v>1540</v>
      </c>
      <c r="E322" s="1" t="s">
        <v>43</v>
      </c>
      <c r="F322" s="2">
        <v>21949.0</v>
      </c>
      <c r="G322" s="1" t="s">
        <v>2493</v>
      </c>
      <c r="H322" s="1">
        <v>72.0</v>
      </c>
      <c r="I322" s="1" t="s">
        <v>2494</v>
      </c>
      <c r="J322" s="1">
        <v>4.0</v>
      </c>
      <c r="K322" s="2">
        <v>42907.0</v>
      </c>
      <c r="M322" s="1">
        <v>0.0</v>
      </c>
      <c r="N322" s="1" t="s">
        <v>115</v>
      </c>
      <c r="O322" s="1" t="s">
        <v>116</v>
      </c>
      <c r="P322" s="1" t="s">
        <v>3268</v>
      </c>
      <c r="S322" s="1" t="s">
        <v>1925</v>
      </c>
      <c r="T322" s="1">
        <v>580.0</v>
      </c>
      <c r="U322" s="3" t="s">
        <v>3269</v>
      </c>
      <c r="V322" s="1">
        <v>588886.0</v>
      </c>
      <c r="W322" s="1" t="s">
        <v>3270</v>
      </c>
      <c r="X322" s="3" t="s">
        <v>3271</v>
      </c>
      <c r="Y322" s="3" t="s">
        <v>3272</v>
      </c>
      <c r="Z322" s="1">
        <v>2.0</v>
      </c>
      <c r="AA322" s="1" t="s">
        <v>3273</v>
      </c>
      <c r="AB322" s="1">
        <v>20.0</v>
      </c>
      <c r="AC322" s="1">
        <v>21.0</v>
      </c>
      <c r="AD322" s="1">
        <v>12.0</v>
      </c>
      <c r="AE322" s="1">
        <v>23.0</v>
      </c>
      <c r="AF322" s="1">
        <v>46.0</v>
      </c>
      <c r="AG322" s="1">
        <v>1.0</v>
      </c>
      <c r="AH322" s="1">
        <v>1089.0</v>
      </c>
      <c r="AI322" s="1">
        <v>83.0</v>
      </c>
      <c r="AJ322" s="1">
        <v>0.0</v>
      </c>
      <c r="AK322" s="1">
        <v>0.0</v>
      </c>
      <c r="AL322" s="1">
        <v>5.0</v>
      </c>
      <c r="AM322" s="1">
        <v>3.0</v>
      </c>
      <c r="AN322" s="1">
        <v>2.0</v>
      </c>
    </row>
    <row r="323">
      <c r="A323" s="1">
        <v>83.0</v>
      </c>
      <c r="B323" s="1" t="s">
        <v>3274</v>
      </c>
      <c r="C323" s="1" t="s">
        <v>3275</v>
      </c>
      <c r="D323" s="1" t="s">
        <v>2186</v>
      </c>
      <c r="E323" s="1" t="s">
        <v>58</v>
      </c>
      <c r="F323" s="2">
        <v>21069.0</v>
      </c>
      <c r="G323" s="1" t="s">
        <v>3276</v>
      </c>
      <c r="H323" s="1">
        <v>85.0</v>
      </c>
      <c r="I323" s="1" t="s">
        <v>1853</v>
      </c>
      <c r="J323" s="1">
        <v>4.0</v>
      </c>
      <c r="K323" s="2">
        <v>42907.0</v>
      </c>
      <c r="M323" s="1">
        <v>0.0</v>
      </c>
      <c r="N323" s="1" t="s">
        <v>75</v>
      </c>
      <c r="O323" s="1" t="s">
        <v>76</v>
      </c>
      <c r="P323" s="1" t="s">
        <v>3277</v>
      </c>
      <c r="S323" s="1" t="s">
        <v>304</v>
      </c>
      <c r="T323" s="1">
        <v>360.0</v>
      </c>
      <c r="U323" s="3" t="s">
        <v>3278</v>
      </c>
      <c r="V323" s="1">
        <v>722008.0</v>
      </c>
      <c r="W323" s="1" t="s">
        <v>3279</v>
      </c>
      <c r="X323" s="3" t="s">
        <v>3280</v>
      </c>
      <c r="Y323" s="3" t="s">
        <v>3281</v>
      </c>
      <c r="Z323" s="1">
        <v>1.0</v>
      </c>
      <c r="AA323" s="1" t="s">
        <v>3282</v>
      </c>
      <c r="AB323" s="1">
        <v>20.0</v>
      </c>
      <c r="AC323" s="1">
        <v>30.0</v>
      </c>
      <c r="AD323" s="1">
        <v>6.0</v>
      </c>
      <c r="AE323" s="1">
        <v>4.0</v>
      </c>
      <c r="AF323" s="1">
        <v>1.0</v>
      </c>
      <c r="AG323" s="1">
        <v>0.0</v>
      </c>
      <c r="AH323" s="1">
        <v>24.0</v>
      </c>
      <c r="AI323" s="1">
        <v>8.0</v>
      </c>
      <c r="AJ323" s="1">
        <v>0.0</v>
      </c>
      <c r="AK323" s="1">
        <v>0.0</v>
      </c>
      <c r="AL323" s="1">
        <v>5.0</v>
      </c>
      <c r="AM323" s="1">
        <v>1.0</v>
      </c>
      <c r="AN323" s="1">
        <v>1.0</v>
      </c>
    </row>
    <row r="324">
      <c r="A324" s="1">
        <v>502.0</v>
      </c>
      <c r="B324" s="1" t="s">
        <v>3283</v>
      </c>
      <c r="C324" s="1" t="s">
        <v>3284</v>
      </c>
      <c r="D324" s="1" t="s">
        <v>2707</v>
      </c>
      <c r="E324" s="1" t="s">
        <v>43</v>
      </c>
      <c r="F324" s="2">
        <v>21081.0</v>
      </c>
      <c r="G324" s="1" t="s">
        <v>3285</v>
      </c>
      <c r="H324" s="1">
        <v>57.0</v>
      </c>
      <c r="I324" s="1" t="s">
        <v>471</v>
      </c>
      <c r="J324" s="1">
        <v>3.0</v>
      </c>
      <c r="K324" s="2">
        <v>42907.0</v>
      </c>
      <c r="M324" s="1">
        <v>0.0</v>
      </c>
      <c r="N324" s="1" t="s">
        <v>75</v>
      </c>
      <c r="O324" s="1" t="s">
        <v>76</v>
      </c>
      <c r="P324" s="1" t="s">
        <v>3286</v>
      </c>
      <c r="S324" s="1" t="s">
        <v>246</v>
      </c>
      <c r="T324" s="1">
        <v>325.0</v>
      </c>
      <c r="U324" s="3" t="s">
        <v>3287</v>
      </c>
      <c r="V324" s="1">
        <v>720378.0</v>
      </c>
      <c r="W324" s="1" t="s">
        <v>3288</v>
      </c>
      <c r="X324" s="3" t="s">
        <v>3289</v>
      </c>
      <c r="Y324" s="3" t="s">
        <v>3290</v>
      </c>
      <c r="Z324" s="1">
        <v>1.0</v>
      </c>
      <c r="AA324" s="1" t="s">
        <v>3291</v>
      </c>
      <c r="AB324" s="1">
        <v>20.0</v>
      </c>
      <c r="AC324" s="1">
        <v>35.0</v>
      </c>
      <c r="AD324" s="1">
        <v>11.0</v>
      </c>
      <c r="AE324" s="1">
        <v>4.0</v>
      </c>
      <c r="AF324" s="1">
        <v>3.0</v>
      </c>
      <c r="AG324" s="1">
        <v>0.0</v>
      </c>
      <c r="AH324" s="1">
        <v>61.0</v>
      </c>
      <c r="AI324" s="1">
        <v>25.0</v>
      </c>
      <c r="AJ324" s="1">
        <v>1.0</v>
      </c>
      <c r="AK324" s="1">
        <v>0.0</v>
      </c>
      <c r="AL324" s="1">
        <v>5.0</v>
      </c>
      <c r="AM324" s="1">
        <v>0.0</v>
      </c>
      <c r="AN324" s="1">
        <v>2.0</v>
      </c>
    </row>
    <row r="325">
      <c r="A325" s="1">
        <v>376.0</v>
      </c>
      <c r="B325" s="1" t="s">
        <v>3292</v>
      </c>
      <c r="C325" s="1" t="s">
        <v>3293</v>
      </c>
      <c r="D325" s="1" t="s">
        <v>1801</v>
      </c>
      <c r="E325" s="1" t="s">
        <v>43</v>
      </c>
      <c r="F325" s="2">
        <v>22740.0</v>
      </c>
      <c r="G325" s="1" t="s">
        <v>3294</v>
      </c>
      <c r="H325" s="1">
        <v>92.0</v>
      </c>
      <c r="I325" s="1" t="s">
        <v>781</v>
      </c>
      <c r="J325" s="1">
        <v>8.0</v>
      </c>
      <c r="K325" s="2">
        <v>42907.0</v>
      </c>
      <c r="M325" s="1">
        <v>0.0</v>
      </c>
      <c r="N325" s="1" t="s">
        <v>75</v>
      </c>
      <c r="O325" s="1" t="s">
        <v>76</v>
      </c>
      <c r="P325" s="1" t="s">
        <v>3295</v>
      </c>
      <c r="S325" s="1" t="s">
        <v>118</v>
      </c>
      <c r="T325" s="1">
        <v>297.0</v>
      </c>
      <c r="U325" s="3" t="s">
        <v>3296</v>
      </c>
      <c r="V325" s="1">
        <v>722178.0</v>
      </c>
      <c r="W325" s="1" t="s">
        <v>3297</v>
      </c>
      <c r="X325" s="3" t="s">
        <v>3298</v>
      </c>
      <c r="Y325" s="3" t="s">
        <v>3299</v>
      </c>
      <c r="Z325" s="1">
        <v>1.0</v>
      </c>
      <c r="AA325" s="1" t="s">
        <v>3300</v>
      </c>
      <c r="AB325" s="1">
        <v>20.0</v>
      </c>
      <c r="AC325" s="1">
        <v>35.0</v>
      </c>
      <c r="AD325" s="1">
        <v>27.0</v>
      </c>
      <c r="AE325" s="1">
        <v>22.0</v>
      </c>
      <c r="AF325" s="1">
        <v>2.0</v>
      </c>
      <c r="AG325" s="1">
        <v>0.0</v>
      </c>
      <c r="AH325" s="1">
        <v>19.0</v>
      </c>
      <c r="AI325" s="1">
        <v>8.0</v>
      </c>
      <c r="AJ325" s="1">
        <v>0.0</v>
      </c>
      <c r="AK325" s="1">
        <v>0.0</v>
      </c>
      <c r="AL325" s="1">
        <v>6.0</v>
      </c>
      <c r="AM325" s="1">
        <v>4.0</v>
      </c>
      <c r="AN325" s="1">
        <v>1.0</v>
      </c>
    </row>
    <row r="326">
      <c r="A326" s="1">
        <v>324.0</v>
      </c>
      <c r="B326" s="1" t="s">
        <v>3301</v>
      </c>
      <c r="C326" s="1" t="s">
        <v>3302</v>
      </c>
      <c r="D326" s="1" t="s">
        <v>3303</v>
      </c>
      <c r="E326" s="1" t="s">
        <v>43</v>
      </c>
      <c r="F326" s="2">
        <v>24991.0</v>
      </c>
      <c r="G326" s="1" t="s">
        <v>3304</v>
      </c>
      <c r="H326" s="1">
        <v>80.0</v>
      </c>
      <c r="I326" s="1" t="s">
        <v>1148</v>
      </c>
      <c r="J326" s="1">
        <v>3.0</v>
      </c>
      <c r="K326" s="2">
        <v>42907.0</v>
      </c>
      <c r="M326" s="1">
        <v>0.0</v>
      </c>
      <c r="N326" s="1" t="s">
        <v>61</v>
      </c>
      <c r="O326" s="1" t="s">
        <v>62</v>
      </c>
      <c r="P326" s="1" t="s">
        <v>3305</v>
      </c>
      <c r="S326" s="1" t="s">
        <v>3306</v>
      </c>
      <c r="T326" s="1">
        <v>49.0</v>
      </c>
      <c r="U326" s="3" t="s">
        <v>3307</v>
      </c>
      <c r="V326" s="1">
        <v>346054.0</v>
      </c>
      <c r="W326" s="1" t="s">
        <v>3308</v>
      </c>
      <c r="X326" s="3" t="s">
        <v>3309</v>
      </c>
      <c r="Y326" s="3" t="s">
        <v>3310</v>
      </c>
      <c r="Z326" s="1">
        <v>1.0</v>
      </c>
      <c r="AA326" s="1" t="s">
        <v>3311</v>
      </c>
      <c r="AB326" s="1">
        <v>20.0</v>
      </c>
      <c r="AC326" s="1">
        <v>38.0</v>
      </c>
      <c r="AD326" s="1">
        <v>23.0</v>
      </c>
      <c r="AE326" s="1">
        <v>14.0</v>
      </c>
      <c r="AF326" s="1">
        <v>5.0</v>
      </c>
      <c r="AG326" s="1">
        <v>55.0</v>
      </c>
      <c r="AH326" s="1">
        <v>564.0</v>
      </c>
      <c r="AI326" s="1">
        <v>25.0</v>
      </c>
      <c r="AJ326" s="1">
        <v>0.0</v>
      </c>
      <c r="AK326" s="1">
        <v>0.0</v>
      </c>
      <c r="AL326" s="1">
        <v>15.0</v>
      </c>
      <c r="AM326" s="1">
        <v>12.0</v>
      </c>
      <c r="AN326" s="1">
        <v>2.0</v>
      </c>
    </row>
    <row r="327">
      <c r="A327" s="1">
        <v>68.0</v>
      </c>
      <c r="B327" s="1" t="s">
        <v>3312</v>
      </c>
      <c r="C327" s="1" t="s">
        <v>3313</v>
      </c>
      <c r="D327" s="1" t="s">
        <v>2109</v>
      </c>
      <c r="E327" s="1" t="s">
        <v>43</v>
      </c>
      <c r="F327" s="2">
        <v>29687.0</v>
      </c>
      <c r="G327" s="1" t="s">
        <v>437</v>
      </c>
      <c r="H327" s="1">
        <v>49.0</v>
      </c>
      <c r="I327" s="1" t="s">
        <v>220</v>
      </c>
      <c r="J327" s="1">
        <v>5.0</v>
      </c>
      <c r="K327" s="2">
        <v>42907.0</v>
      </c>
      <c r="M327" s="1">
        <v>0.0</v>
      </c>
      <c r="N327" s="1" t="s">
        <v>75</v>
      </c>
      <c r="O327" s="1" t="s">
        <v>76</v>
      </c>
      <c r="P327" s="1" t="s">
        <v>3314</v>
      </c>
      <c r="S327" s="1" t="s">
        <v>3315</v>
      </c>
      <c r="T327" s="1">
        <v>377.0</v>
      </c>
      <c r="U327" s="3" t="s">
        <v>3316</v>
      </c>
      <c r="V327" s="1">
        <v>720146.0</v>
      </c>
      <c r="W327" s="1" t="s">
        <v>3317</v>
      </c>
      <c r="X327" s="3" t="s">
        <v>3318</v>
      </c>
      <c r="Y327" s="3" t="s">
        <v>3319</v>
      </c>
      <c r="Z327" s="1">
        <v>1.0</v>
      </c>
      <c r="AA327" s="1" t="s">
        <v>3320</v>
      </c>
      <c r="AB327" s="1">
        <v>20.0</v>
      </c>
      <c r="AC327" s="1">
        <v>37.0</v>
      </c>
      <c r="AD327" s="1">
        <v>10.0</v>
      </c>
      <c r="AE327" s="1">
        <v>11.0</v>
      </c>
      <c r="AF327" s="1">
        <v>2.0</v>
      </c>
      <c r="AG327" s="1">
        <v>2.0</v>
      </c>
      <c r="AH327" s="1">
        <v>41.0</v>
      </c>
      <c r="AI327" s="1">
        <v>15.0</v>
      </c>
      <c r="AJ327" s="1">
        <v>0.0</v>
      </c>
      <c r="AK327" s="1">
        <v>0.0</v>
      </c>
      <c r="AL327" s="1">
        <v>5.0</v>
      </c>
      <c r="AM327" s="1">
        <v>2.0</v>
      </c>
      <c r="AN327" s="1">
        <v>3.0</v>
      </c>
    </row>
    <row r="328">
      <c r="A328" s="1">
        <v>189.0</v>
      </c>
      <c r="B328" s="1" t="s">
        <v>3321</v>
      </c>
      <c r="C328" s="1" t="s">
        <v>3322</v>
      </c>
      <c r="D328" s="1" t="s">
        <v>2638</v>
      </c>
      <c r="E328" s="1" t="s">
        <v>43</v>
      </c>
      <c r="F328" s="2">
        <v>31878.0</v>
      </c>
      <c r="G328" s="1" t="s">
        <v>1802</v>
      </c>
      <c r="H328" s="1">
        <v>57.0</v>
      </c>
      <c r="I328" s="1" t="s">
        <v>471</v>
      </c>
      <c r="J328" s="1">
        <v>2.0</v>
      </c>
      <c r="K328" s="2">
        <v>42907.0</v>
      </c>
      <c r="M328" s="1">
        <v>0.0</v>
      </c>
      <c r="N328" s="1" t="s">
        <v>75</v>
      </c>
      <c r="O328" s="1" t="s">
        <v>76</v>
      </c>
      <c r="P328" s="1" t="s">
        <v>3323</v>
      </c>
      <c r="S328" s="1" t="s">
        <v>234</v>
      </c>
      <c r="T328" s="1">
        <v>232.0</v>
      </c>
      <c r="U328" s="3" t="s">
        <v>3324</v>
      </c>
      <c r="V328" s="1">
        <v>720370.0</v>
      </c>
      <c r="W328" s="1" t="s">
        <v>3325</v>
      </c>
      <c r="X328" s="3" t="s">
        <v>3326</v>
      </c>
      <c r="Y328" s="3" t="s">
        <v>3327</v>
      </c>
      <c r="Z328" s="1">
        <v>1.0</v>
      </c>
      <c r="AA328" s="1" t="s">
        <v>3328</v>
      </c>
      <c r="AB328" s="1">
        <v>20.0</v>
      </c>
      <c r="AC328" s="1">
        <v>39.0</v>
      </c>
      <c r="AD328" s="1">
        <v>35.0</v>
      </c>
      <c r="AE328" s="1">
        <v>21.0</v>
      </c>
      <c r="AF328" s="1">
        <v>13.0</v>
      </c>
      <c r="AG328" s="1">
        <v>0.0</v>
      </c>
      <c r="AH328" s="1">
        <v>15.0</v>
      </c>
      <c r="AI328" s="1">
        <v>7.0</v>
      </c>
      <c r="AJ328" s="1">
        <v>0.0</v>
      </c>
      <c r="AK328" s="1">
        <v>0.0</v>
      </c>
      <c r="AL328" s="1">
        <v>6.0</v>
      </c>
      <c r="AM328" s="1">
        <v>0.0</v>
      </c>
      <c r="AN328" s="1">
        <v>1.0</v>
      </c>
    </row>
    <row r="329">
      <c r="A329" s="1">
        <v>124.0</v>
      </c>
      <c r="B329" s="1" t="s">
        <v>3329</v>
      </c>
      <c r="C329" s="1" t="s">
        <v>3330</v>
      </c>
      <c r="D329" s="1" t="s">
        <v>42</v>
      </c>
      <c r="E329" s="1" t="s">
        <v>43</v>
      </c>
      <c r="F329" s="2">
        <v>25268.0</v>
      </c>
      <c r="G329" s="1" t="s">
        <v>3331</v>
      </c>
      <c r="H329" s="1">
        <v>83.0</v>
      </c>
      <c r="I329" s="1" t="s">
        <v>1231</v>
      </c>
      <c r="J329" s="1">
        <v>5.0</v>
      </c>
      <c r="K329" s="2">
        <v>42907.0</v>
      </c>
      <c r="M329" s="1">
        <v>0.0</v>
      </c>
      <c r="N329" s="1" t="s">
        <v>280</v>
      </c>
      <c r="O329" s="1" t="s">
        <v>281</v>
      </c>
      <c r="P329" s="1" t="s">
        <v>3332</v>
      </c>
      <c r="S329" s="1" t="s">
        <v>1386</v>
      </c>
      <c r="T329" s="1">
        <v>259.0</v>
      </c>
      <c r="U329" s="3" t="s">
        <v>3333</v>
      </c>
      <c r="V329" s="1">
        <v>721734.0</v>
      </c>
      <c r="W329" s="1" t="s">
        <v>3334</v>
      </c>
      <c r="X329" s="3" t="s">
        <v>3335</v>
      </c>
      <c r="Y329" s="3" t="s">
        <v>3336</v>
      </c>
      <c r="Z329" s="1">
        <v>1.0</v>
      </c>
      <c r="AA329" s="1" t="s">
        <v>3337</v>
      </c>
      <c r="AB329" s="1">
        <v>20.0</v>
      </c>
      <c r="AC329" s="1">
        <v>34.0</v>
      </c>
      <c r="AD329" s="1">
        <v>12.0</v>
      </c>
      <c r="AE329" s="1">
        <v>13.0</v>
      </c>
      <c r="AF329" s="1">
        <v>8.0</v>
      </c>
      <c r="AG329" s="1">
        <v>0.0</v>
      </c>
      <c r="AH329" s="1">
        <v>181.0</v>
      </c>
      <c r="AI329" s="1">
        <v>16.0</v>
      </c>
      <c r="AJ329" s="1">
        <v>1.0</v>
      </c>
      <c r="AK329" s="1">
        <v>1.0</v>
      </c>
      <c r="AL329" s="1">
        <v>7.0</v>
      </c>
      <c r="AM329" s="1">
        <v>2.0</v>
      </c>
      <c r="AN329" s="1">
        <v>0.0</v>
      </c>
    </row>
    <row r="330">
      <c r="A330" s="1">
        <v>568.0</v>
      </c>
      <c r="B330" s="1" t="s">
        <v>3338</v>
      </c>
      <c r="C330" s="1" t="s">
        <v>3339</v>
      </c>
      <c r="D330" s="1" t="s">
        <v>3340</v>
      </c>
      <c r="E330" s="1" t="s">
        <v>58</v>
      </c>
      <c r="F330" s="2">
        <v>22598.0</v>
      </c>
      <c r="G330" s="1" t="s">
        <v>3341</v>
      </c>
      <c r="H330" s="1">
        <v>31.0</v>
      </c>
      <c r="I330" s="1" t="s">
        <v>360</v>
      </c>
      <c r="J330" s="1">
        <v>9.0</v>
      </c>
      <c r="K330" s="2">
        <v>42907.0</v>
      </c>
      <c r="M330" s="1">
        <v>0.0</v>
      </c>
      <c r="N330" s="1" t="s">
        <v>75</v>
      </c>
      <c r="O330" s="1" t="s">
        <v>76</v>
      </c>
      <c r="P330" s="1" t="s">
        <v>3342</v>
      </c>
      <c r="S330" s="1" t="s">
        <v>1254</v>
      </c>
      <c r="T330" s="1">
        <v>278.0</v>
      </c>
      <c r="U330" s="3" t="s">
        <v>3343</v>
      </c>
      <c r="V330" s="1">
        <v>719456.0</v>
      </c>
      <c r="W330" s="1" t="s">
        <v>3344</v>
      </c>
      <c r="X330" s="3" t="s">
        <v>3345</v>
      </c>
      <c r="Y330" s="3" t="s">
        <v>3346</v>
      </c>
      <c r="Z330" s="1">
        <v>1.0</v>
      </c>
      <c r="AA330" s="1" t="s">
        <v>3347</v>
      </c>
      <c r="AB330" s="1">
        <v>20.0</v>
      </c>
      <c r="AC330" s="1">
        <v>50.0</v>
      </c>
      <c r="AD330" s="1">
        <v>29.0</v>
      </c>
      <c r="AE330" s="1">
        <v>11.0</v>
      </c>
      <c r="AF330" s="1">
        <v>1.0</v>
      </c>
      <c r="AG330" s="1">
        <v>6.0</v>
      </c>
      <c r="AH330" s="1">
        <v>122.0</v>
      </c>
      <c r="AI330" s="1">
        <v>48.0</v>
      </c>
      <c r="AJ330" s="1">
        <v>0.0</v>
      </c>
      <c r="AK330" s="1">
        <v>0.0</v>
      </c>
      <c r="AL330" s="1">
        <v>5.0</v>
      </c>
      <c r="AM330" s="1">
        <v>1.0</v>
      </c>
      <c r="AN330" s="1">
        <v>1.0</v>
      </c>
    </row>
    <row r="331">
      <c r="A331" s="1">
        <v>385.0</v>
      </c>
      <c r="B331" s="1" t="s">
        <v>3348</v>
      </c>
      <c r="C331" s="1" t="s">
        <v>3349</v>
      </c>
      <c r="D331" s="1" t="s">
        <v>835</v>
      </c>
      <c r="E331" s="1" t="s">
        <v>43</v>
      </c>
      <c r="F331" s="2">
        <v>26488.0</v>
      </c>
      <c r="G331" s="1" t="s">
        <v>3350</v>
      </c>
      <c r="H331" s="1">
        <v>31.0</v>
      </c>
      <c r="I331" s="1" t="s">
        <v>360</v>
      </c>
      <c r="J331" s="1">
        <v>10.0</v>
      </c>
      <c r="K331" s="2">
        <v>42907.0</v>
      </c>
      <c r="M331" s="1">
        <v>0.0</v>
      </c>
      <c r="N331" s="1" t="s">
        <v>75</v>
      </c>
      <c r="O331" s="1" t="s">
        <v>76</v>
      </c>
      <c r="P331" s="1" t="s">
        <v>3351</v>
      </c>
      <c r="S331" s="1" t="s">
        <v>269</v>
      </c>
      <c r="T331" s="1">
        <v>343.0</v>
      </c>
      <c r="U331" s="3" t="s">
        <v>3352</v>
      </c>
      <c r="V331" s="1">
        <v>719464.0</v>
      </c>
      <c r="W331" s="1" t="s">
        <v>3353</v>
      </c>
      <c r="X331" s="3" t="s">
        <v>3354</v>
      </c>
      <c r="Y331" s="3" t="s">
        <v>3355</v>
      </c>
      <c r="Z331" s="1">
        <v>1.0</v>
      </c>
      <c r="AA331" s="1" t="s">
        <v>3356</v>
      </c>
      <c r="AB331" s="1">
        <v>20.0</v>
      </c>
      <c r="AC331" s="1">
        <v>31.0</v>
      </c>
      <c r="AD331" s="1">
        <v>3.0</v>
      </c>
      <c r="AE331" s="1">
        <v>3.0</v>
      </c>
      <c r="AF331" s="1">
        <v>0.0</v>
      </c>
      <c r="AG331" s="1">
        <v>0.0</v>
      </c>
      <c r="AH331" s="1">
        <v>26.0</v>
      </c>
      <c r="AI331" s="1">
        <v>8.0</v>
      </c>
      <c r="AJ331" s="1">
        <v>0.0</v>
      </c>
      <c r="AK331" s="1">
        <v>0.0</v>
      </c>
      <c r="AL331" s="1">
        <v>8.0</v>
      </c>
      <c r="AM331" s="1">
        <v>11.0</v>
      </c>
      <c r="AN331" s="1">
        <v>2.0</v>
      </c>
    </row>
    <row r="332">
      <c r="A332" s="1">
        <v>384.0</v>
      </c>
      <c r="B332" s="1" t="s">
        <v>3357</v>
      </c>
      <c r="C332" s="1" t="s">
        <v>3358</v>
      </c>
      <c r="D332" s="1" t="s">
        <v>3056</v>
      </c>
      <c r="E332" s="1" t="s">
        <v>43</v>
      </c>
      <c r="F332" s="2">
        <v>21940.0</v>
      </c>
      <c r="G332" s="1" t="s">
        <v>3359</v>
      </c>
      <c r="H332" s="1">
        <v>77.0</v>
      </c>
      <c r="I332" s="1" t="s">
        <v>503</v>
      </c>
      <c r="J332" s="1">
        <v>6.0</v>
      </c>
      <c r="K332" s="2">
        <v>42907.0</v>
      </c>
      <c r="M332" s="1">
        <v>0.0</v>
      </c>
      <c r="N332" s="1" t="s">
        <v>61</v>
      </c>
      <c r="O332" s="1" t="s">
        <v>62</v>
      </c>
      <c r="S332" s="1" t="s">
        <v>440</v>
      </c>
      <c r="T332" s="1">
        <v>32.0</v>
      </c>
      <c r="U332" s="3" t="s">
        <v>3360</v>
      </c>
      <c r="V332" s="1">
        <v>721636.0</v>
      </c>
      <c r="W332" s="1" t="s">
        <v>3361</v>
      </c>
      <c r="X332" s="3" t="s">
        <v>3362</v>
      </c>
      <c r="Y332" s="3" t="s">
        <v>3363</v>
      </c>
      <c r="Z332" s="1">
        <v>2.0</v>
      </c>
      <c r="AB332" s="1">
        <v>20.0</v>
      </c>
      <c r="AC332" s="1">
        <v>26.0</v>
      </c>
      <c r="AD332" s="1">
        <v>1.0</v>
      </c>
      <c r="AE332" s="1">
        <v>4.0</v>
      </c>
      <c r="AF332" s="1">
        <v>7.0</v>
      </c>
      <c r="AG332" s="1">
        <v>25.0</v>
      </c>
      <c r="AH332" s="1">
        <v>568.0</v>
      </c>
      <c r="AI332" s="1">
        <v>25.0</v>
      </c>
      <c r="AJ332" s="1">
        <v>0.0</v>
      </c>
      <c r="AK332" s="1">
        <v>0.0</v>
      </c>
      <c r="AL332" s="1">
        <v>33.0</v>
      </c>
      <c r="AM332" s="1">
        <v>12.0</v>
      </c>
      <c r="AN332" s="1">
        <v>1.0</v>
      </c>
    </row>
    <row r="333">
      <c r="A333" s="1">
        <v>575.0</v>
      </c>
      <c r="B333" s="1" t="s">
        <v>3364</v>
      </c>
      <c r="C333" s="1" t="s">
        <v>3365</v>
      </c>
      <c r="D333" s="1" t="s">
        <v>148</v>
      </c>
      <c r="E333" s="1" t="s">
        <v>43</v>
      </c>
      <c r="F333" s="2">
        <v>25798.0</v>
      </c>
      <c r="G333" s="1" t="s">
        <v>3366</v>
      </c>
      <c r="H333" s="1">
        <v>6.0</v>
      </c>
      <c r="I333" s="1" t="s">
        <v>438</v>
      </c>
      <c r="J333" s="1">
        <v>7.0</v>
      </c>
      <c r="K333" s="2">
        <v>42907.0</v>
      </c>
      <c r="M333" s="1">
        <v>0.0</v>
      </c>
      <c r="N333" s="1" t="s">
        <v>61</v>
      </c>
      <c r="O333" s="1" t="s">
        <v>62</v>
      </c>
      <c r="P333" s="1" t="s">
        <v>3367</v>
      </c>
      <c r="S333" s="1" t="s">
        <v>162</v>
      </c>
      <c r="T333" s="1">
        <v>149.0</v>
      </c>
      <c r="U333" s="3" t="s">
        <v>3368</v>
      </c>
      <c r="V333" s="1">
        <v>718784.0</v>
      </c>
      <c r="W333" s="1" t="s">
        <v>3369</v>
      </c>
      <c r="X333" s="3" t="s">
        <v>3370</v>
      </c>
      <c r="Y333" s="3" t="s">
        <v>3371</v>
      </c>
      <c r="Z333" s="1">
        <v>1.0</v>
      </c>
      <c r="AA333" s="1" t="s">
        <v>3372</v>
      </c>
      <c r="AB333" s="1">
        <v>20.0</v>
      </c>
      <c r="AC333" s="1">
        <v>43.0</v>
      </c>
      <c r="AD333" s="1">
        <v>43.0</v>
      </c>
      <c r="AE333" s="1">
        <v>12.0</v>
      </c>
      <c r="AF333" s="1">
        <v>16.0</v>
      </c>
      <c r="AG333" s="1">
        <v>75.0</v>
      </c>
      <c r="AH333" s="1">
        <v>390.0</v>
      </c>
      <c r="AI333" s="1">
        <v>26.0</v>
      </c>
      <c r="AJ333" s="1">
        <v>1.0</v>
      </c>
      <c r="AK333" s="1">
        <v>3.0</v>
      </c>
      <c r="AL333" s="1">
        <v>41.0</v>
      </c>
      <c r="AM333" s="1">
        <v>16.0</v>
      </c>
      <c r="AN333" s="1">
        <v>1.0</v>
      </c>
    </row>
    <row r="334">
      <c r="A334" s="1">
        <v>153.0</v>
      </c>
      <c r="B334" s="1" t="s">
        <v>3373</v>
      </c>
      <c r="C334" s="1" t="s">
        <v>3374</v>
      </c>
      <c r="D334" s="1" t="s">
        <v>916</v>
      </c>
      <c r="E334" s="1" t="s">
        <v>43</v>
      </c>
      <c r="F334" s="2">
        <v>26089.0</v>
      </c>
      <c r="G334" s="1" t="s">
        <v>459</v>
      </c>
      <c r="H334" s="1">
        <v>11.0</v>
      </c>
      <c r="I334" s="1" t="s">
        <v>1453</v>
      </c>
      <c r="J334" s="1">
        <v>2.0</v>
      </c>
      <c r="K334" s="2">
        <v>42907.0</v>
      </c>
      <c r="M334" s="1">
        <v>0.0</v>
      </c>
      <c r="N334" s="1" t="s">
        <v>75</v>
      </c>
      <c r="O334" s="1" t="s">
        <v>76</v>
      </c>
      <c r="P334" s="1" t="s">
        <v>3375</v>
      </c>
      <c r="S334" s="1" t="s">
        <v>118</v>
      </c>
      <c r="T334" s="1">
        <v>429.0</v>
      </c>
      <c r="U334" s="3" t="s">
        <v>3376</v>
      </c>
      <c r="V334" s="1">
        <v>718802.0</v>
      </c>
      <c r="W334" s="1" t="s">
        <v>3377</v>
      </c>
      <c r="X334" s="3" t="s">
        <v>3378</v>
      </c>
      <c r="Y334" s="3" t="s">
        <v>3379</v>
      </c>
      <c r="Z334" s="1">
        <v>2.0</v>
      </c>
      <c r="AA334" s="1" t="s">
        <v>3380</v>
      </c>
      <c r="AB334" s="1">
        <v>20.0</v>
      </c>
      <c r="AC334" s="1">
        <v>38.0</v>
      </c>
      <c r="AD334" s="1">
        <v>26.0</v>
      </c>
      <c r="AE334" s="1">
        <v>7.0</v>
      </c>
      <c r="AF334" s="1">
        <v>6.0</v>
      </c>
      <c r="AG334" s="1">
        <v>6.0</v>
      </c>
      <c r="AH334" s="1">
        <v>100.0</v>
      </c>
      <c r="AI334" s="1">
        <v>46.0</v>
      </c>
      <c r="AJ334" s="1">
        <v>0.0</v>
      </c>
      <c r="AK334" s="1">
        <v>0.0</v>
      </c>
      <c r="AL334" s="1">
        <v>6.0</v>
      </c>
      <c r="AM334" s="1">
        <v>2.0</v>
      </c>
      <c r="AN334" s="1">
        <v>0.0</v>
      </c>
    </row>
    <row r="335">
      <c r="A335" s="1">
        <v>117.0</v>
      </c>
      <c r="B335" s="1" t="s">
        <v>3381</v>
      </c>
      <c r="C335" s="1" t="s">
        <v>1372</v>
      </c>
      <c r="D335" s="1" t="s">
        <v>3382</v>
      </c>
      <c r="E335" s="1" t="s">
        <v>58</v>
      </c>
      <c r="F335" s="2">
        <v>26252.0</v>
      </c>
      <c r="G335" s="1" t="s">
        <v>207</v>
      </c>
      <c r="H335" s="1">
        <v>94.0</v>
      </c>
      <c r="I335" s="1" t="s">
        <v>642</v>
      </c>
      <c r="J335" s="1">
        <v>4.0</v>
      </c>
      <c r="K335" s="2">
        <v>42907.0</v>
      </c>
      <c r="M335" s="1">
        <v>0.0</v>
      </c>
      <c r="N335" s="1" t="s">
        <v>280</v>
      </c>
      <c r="O335" s="1" t="s">
        <v>281</v>
      </c>
      <c r="P335" s="1" t="s">
        <v>3383</v>
      </c>
      <c r="S335" s="1" t="s">
        <v>450</v>
      </c>
      <c r="T335" s="1">
        <v>262.0</v>
      </c>
      <c r="U335" s="3" t="s">
        <v>3384</v>
      </c>
      <c r="V335" s="1">
        <v>721234.0</v>
      </c>
      <c r="W335" s="1" t="s">
        <v>3385</v>
      </c>
      <c r="X335" s="3" t="s">
        <v>3386</v>
      </c>
      <c r="Y335" s="3" t="s">
        <v>3387</v>
      </c>
      <c r="Z335" s="1">
        <v>1.0</v>
      </c>
      <c r="AA335" s="1" t="s">
        <v>3388</v>
      </c>
      <c r="AB335" s="1">
        <v>20.0</v>
      </c>
      <c r="AC335" s="1">
        <v>44.0</v>
      </c>
      <c r="AD335" s="1">
        <v>30.0</v>
      </c>
      <c r="AE335" s="1">
        <v>13.0</v>
      </c>
      <c r="AF335" s="1">
        <v>4.0</v>
      </c>
      <c r="AG335" s="1">
        <v>4.0</v>
      </c>
      <c r="AH335" s="1">
        <v>216.0</v>
      </c>
      <c r="AI335" s="1">
        <v>18.0</v>
      </c>
      <c r="AJ335" s="1">
        <v>0.0</v>
      </c>
      <c r="AK335" s="1">
        <v>0.0</v>
      </c>
      <c r="AL335" s="1">
        <v>6.0</v>
      </c>
      <c r="AM335" s="1">
        <v>7.0</v>
      </c>
      <c r="AN335" s="1">
        <v>3.0</v>
      </c>
    </row>
    <row r="336">
      <c r="A336" s="1">
        <v>71.0</v>
      </c>
      <c r="B336" s="1" t="s">
        <v>3389</v>
      </c>
      <c r="C336" s="1" t="s">
        <v>3390</v>
      </c>
      <c r="D336" s="1" t="s">
        <v>3391</v>
      </c>
      <c r="E336" s="1" t="s">
        <v>58</v>
      </c>
      <c r="F336" s="2">
        <v>28396.0</v>
      </c>
      <c r="G336" s="1" t="s">
        <v>3392</v>
      </c>
      <c r="H336" s="1">
        <v>82.0</v>
      </c>
      <c r="I336" s="1" t="s">
        <v>631</v>
      </c>
      <c r="J336" s="1">
        <v>2.0</v>
      </c>
      <c r="K336" s="2">
        <v>42907.0</v>
      </c>
      <c r="M336" s="1">
        <v>0.0</v>
      </c>
      <c r="N336" s="1" t="s">
        <v>814</v>
      </c>
      <c r="O336" s="1" t="s">
        <v>2397</v>
      </c>
      <c r="P336" s="1" t="s">
        <v>3393</v>
      </c>
      <c r="S336" s="1">
        <v>0.0</v>
      </c>
      <c r="T336" s="1">
        <v>192.0</v>
      </c>
      <c r="U336" s="3" t="s">
        <v>3394</v>
      </c>
      <c r="V336" s="1">
        <v>336175.0</v>
      </c>
      <c r="W336" s="1" t="s">
        <v>3395</v>
      </c>
      <c r="X336" s="3" t="s">
        <v>3396</v>
      </c>
      <c r="Y336" s="3" t="s">
        <v>3397</v>
      </c>
      <c r="Z336" s="1">
        <v>1.0</v>
      </c>
      <c r="AA336" s="1" t="s">
        <v>3398</v>
      </c>
      <c r="AB336" s="1">
        <v>20.0</v>
      </c>
      <c r="AC336" s="1">
        <v>29.0</v>
      </c>
      <c r="AD336" s="1">
        <v>14.0</v>
      </c>
      <c r="AE336" s="1">
        <v>5.0</v>
      </c>
      <c r="AF336" s="1">
        <v>10.0</v>
      </c>
      <c r="AG336" s="1">
        <v>30.0</v>
      </c>
      <c r="AH336" s="1">
        <v>103.0</v>
      </c>
      <c r="AI336" s="1">
        <v>4.0</v>
      </c>
      <c r="AJ336" s="1">
        <v>0.0</v>
      </c>
      <c r="AK336" s="1">
        <v>0.0</v>
      </c>
      <c r="AL336" s="1">
        <v>2.0</v>
      </c>
      <c r="AM336" s="1">
        <v>1.0</v>
      </c>
      <c r="AN336" s="1">
        <v>0.0</v>
      </c>
    </row>
    <row r="337">
      <c r="A337" s="1">
        <v>394.0</v>
      </c>
      <c r="B337" s="1" t="s">
        <v>3399</v>
      </c>
      <c r="C337" s="1" t="s">
        <v>3400</v>
      </c>
      <c r="D337" s="1" t="s">
        <v>148</v>
      </c>
      <c r="E337" s="1" t="s">
        <v>43</v>
      </c>
      <c r="F337" s="2">
        <v>27219.0</v>
      </c>
      <c r="G337" s="1" t="s">
        <v>347</v>
      </c>
      <c r="H337" s="1">
        <v>33.0</v>
      </c>
      <c r="I337" s="1" t="s">
        <v>348</v>
      </c>
      <c r="J337" s="1">
        <v>6.0</v>
      </c>
      <c r="K337" s="2">
        <v>42907.0</v>
      </c>
      <c r="M337" s="1">
        <v>0.0</v>
      </c>
      <c r="N337" s="1" t="s">
        <v>75</v>
      </c>
      <c r="O337" s="1" t="s">
        <v>76</v>
      </c>
      <c r="P337" s="3" t="s">
        <v>3401</v>
      </c>
      <c r="S337" s="1" t="s">
        <v>429</v>
      </c>
      <c r="T337" s="1">
        <v>215.0</v>
      </c>
      <c r="U337" s="3" t="s">
        <v>3402</v>
      </c>
      <c r="V337" s="1">
        <v>719600.0</v>
      </c>
      <c r="W337" s="1" t="s">
        <v>3403</v>
      </c>
      <c r="X337" s="3" t="s">
        <v>3404</v>
      </c>
      <c r="Y337" s="3" t="s">
        <v>3405</v>
      </c>
      <c r="Z337" s="1">
        <v>1.0</v>
      </c>
      <c r="AA337" s="1" t="s">
        <v>3406</v>
      </c>
      <c r="AB337" s="1">
        <v>20.0</v>
      </c>
      <c r="AC337" s="1">
        <v>38.0</v>
      </c>
      <c r="AD337" s="1">
        <v>15.0</v>
      </c>
      <c r="AE337" s="1">
        <v>3.0</v>
      </c>
      <c r="AF337" s="1">
        <v>1.0</v>
      </c>
      <c r="AG337" s="1">
        <v>4.0</v>
      </c>
      <c r="AH337" s="1">
        <v>60.0</v>
      </c>
      <c r="AI337" s="1">
        <v>26.0</v>
      </c>
      <c r="AJ337" s="1">
        <v>1.0</v>
      </c>
      <c r="AK337" s="1">
        <v>0.0</v>
      </c>
      <c r="AL337" s="1">
        <v>5.0</v>
      </c>
      <c r="AM337" s="1">
        <v>2.0</v>
      </c>
      <c r="AN337" s="1">
        <v>0.0</v>
      </c>
    </row>
    <row r="338">
      <c r="A338" s="1">
        <v>370.0</v>
      </c>
      <c r="B338" s="1" t="s">
        <v>3407</v>
      </c>
      <c r="C338" s="1" t="s">
        <v>3408</v>
      </c>
      <c r="D338" s="1" t="s">
        <v>3409</v>
      </c>
      <c r="E338" s="1" t="s">
        <v>43</v>
      </c>
      <c r="F338" s="2">
        <v>28532.0</v>
      </c>
      <c r="G338" s="1" t="s">
        <v>3410</v>
      </c>
      <c r="H338" s="1">
        <v>75.0</v>
      </c>
      <c r="I338" s="1" t="s">
        <v>232</v>
      </c>
      <c r="J338" s="1">
        <v>13.0</v>
      </c>
      <c r="K338" s="2">
        <v>42907.0</v>
      </c>
      <c r="M338" s="1">
        <v>0.0</v>
      </c>
      <c r="N338" s="1" t="s">
        <v>75</v>
      </c>
      <c r="O338" s="1" t="s">
        <v>76</v>
      </c>
      <c r="P338" s="3" t="s">
        <v>3411</v>
      </c>
      <c r="S338" s="1" t="s">
        <v>1037</v>
      </c>
      <c r="T338" s="1">
        <v>196.0</v>
      </c>
      <c r="U338" s="3" t="s">
        <v>3412</v>
      </c>
      <c r="V338" s="1">
        <v>721824.0</v>
      </c>
      <c r="W338" s="1" t="s">
        <v>3413</v>
      </c>
      <c r="X338" s="3" t="s">
        <v>3414</v>
      </c>
      <c r="Y338" s="3" t="s">
        <v>3415</v>
      </c>
      <c r="Z338" s="1">
        <v>1.0</v>
      </c>
      <c r="AA338" s="1" t="s">
        <v>3416</v>
      </c>
      <c r="AB338" s="1">
        <v>20.0</v>
      </c>
      <c r="AC338" s="1">
        <v>21.0</v>
      </c>
      <c r="AD338" s="1">
        <v>3.0</v>
      </c>
      <c r="AE338" s="1">
        <v>683.0</v>
      </c>
      <c r="AF338" s="1">
        <v>4758.0</v>
      </c>
      <c r="AG338" s="1">
        <v>0.0</v>
      </c>
      <c r="AH338" s="1">
        <v>26.0</v>
      </c>
      <c r="AI338" s="1">
        <v>9.0</v>
      </c>
      <c r="AJ338" s="1">
        <v>0.0</v>
      </c>
      <c r="AK338" s="1">
        <v>0.0</v>
      </c>
      <c r="AL338" s="1">
        <v>5.0</v>
      </c>
      <c r="AM338" s="1">
        <v>4.0</v>
      </c>
      <c r="AN338" s="1">
        <v>1.0</v>
      </c>
    </row>
    <row r="339">
      <c r="A339" s="1">
        <v>409.0</v>
      </c>
      <c r="B339" s="1" t="s">
        <v>3417</v>
      </c>
      <c r="C339" s="1" t="s">
        <v>3418</v>
      </c>
      <c r="D339" s="1" t="s">
        <v>1511</v>
      </c>
      <c r="E339" s="1" t="s">
        <v>43</v>
      </c>
      <c r="F339" s="2">
        <v>25600.0</v>
      </c>
      <c r="G339" s="1" t="s">
        <v>3419</v>
      </c>
      <c r="H339" s="1">
        <v>73.0</v>
      </c>
      <c r="I339" s="1" t="s">
        <v>60</v>
      </c>
      <c r="J339" s="1">
        <v>2.0</v>
      </c>
      <c r="K339" s="2">
        <v>42907.0</v>
      </c>
      <c r="M339" s="1">
        <v>0.0</v>
      </c>
      <c r="N339" s="1" t="s">
        <v>61</v>
      </c>
      <c r="O339" s="1" t="s">
        <v>62</v>
      </c>
      <c r="P339" s="3" t="s">
        <v>3420</v>
      </c>
      <c r="S339" s="1" t="s">
        <v>482</v>
      </c>
      <c r="T339" s="1">
        <v>128.0</v>
      </c>
      <c r="U339" s="3" t="s">
        <v>3421</v>
      </c>
      <c r="V339" s="1">
        <v>266808.0</v>
      </c>
      <c r="W339" s="1" t="s">
        <v>3422</v>
      </c>
      <c r="X339" s="3" t="s">
        <v>3423</v>
      </c>
      <c r="Y339" s="3" t="s">
        <v>3424</v>
      </c>
      <c r="Z339" s="1">
        <v>1.0</v>
      </c>
      <c r="AA339" s="1" t="s">
        <v>3425</v>
      </c>
      <c r="AB339" s="1">
        <v>20.0</v>
      </c>
      <c r="AC339" s="1">
        <v>28.0</v>
      </c>
      <c r="AD339" s="1">
        <v>18.0</v>
      </c>
      <c r="AE339" s="1">
        <v>25.0</v>
      </c>
      <c r="AF339" s="1">
        <v>19.0</v>
      </c>
      <c r="AG339" s="1">
        <v>42.0</v>
      </c>
      <c r="AH339" s="1">
        <v>411.0</v>
      </c>
      <c r="AI339" s="1">
        <v>20.0</v>
      </c>
      <c r="AJ339" s="1">
        <v>1.0</v>
      </c>
      <c r="AK339" s="1">
        <v>1.0</v>
      </c>
      <c r="AL339" s="1">
        <v>45.0</v>
      </c>
      <c r="AM339" s="1">
        <v>14.0</v>
      </c>
      <c r="AN339" s="1">
        <v>2.0</v>
      </c>
    </row>
    <row r="340">
      <c r="A340" s="1">
        <v>443.0</v>
      </c>
      <c r="B340" s="1" t="s">
        <v>3426</v>
      </c>
      <c r="C340" s="1" t="s">
        <v>3427</v>
      </c>
      <c r="D340" s="1" t="s">
        <v>3428</v>
      </c>
      <c r="E340" s="1" t="s">
        <v>43</v>
      </c>
      <c r="F340" s="2">
        <v>25491.0</v>
      </c>
      <c r="G340" s="1" t="s">
        <v>1440</v>
      </c>
      <c r="H340" s="1">
        <v>74.0</v>
      </c>
      <c r="I340" s="1" t="s">
        <v>1441</v>
      </c>
      <c r="J340" s="1">
        <v>3.0</v>
      </c>
      <c r="K340" s="2">
        <v>42907.0</v>
      </c>
      <c r="M340" s="1">
        <v>0.0</v>
      </c>
      <c r="N340" s="1" t="s">
        <v>61</v>
      </c>
      <c r="O340" s="1" t="s">
        <v>62</v>
      </c>
      <c r="P340" s="1" t="s">
        <v>3429</v>
      </c>
      <c r="S340" s="1" t="s">
        <v>3430</v>
      </c>
      <c r="T340" s="1">
        <v>21.0</v>
      </c>
      <c r="U340" s="3" t="s">
        <v>3431</v>
      </c>
      <c r="V340" s="1">
        <v>267527.0</v>
      </c>
      <c r="W340" s="1" t="s">
        <v>3432</v>
      </c>
      <c r="X340" s="3" t="s">
        <v>3433</v>
      </c>
      <c r="Y340" s="3" t="s">
        <v>3434</v>
      </c>
      <c r="Z340" s="1">
        <v>1.0</v>
      </c>
      <c r="AA340" s="1" t="s">
        <v>3435</v>
      </c>
      <c r="AB340" s="1">
        <v>20.0</v>
      </c>
      <c r="AC340" s="1">
        <v>24.0</v>
      </c>
      <c r="AD340" s="1">
        <v>25.0</v>
      </c>
      <c r="AE340" s="1">
        <v>68.0</v>
      </c>
      <c r="AF340" s="1">
        <v>30.0</v>
      </c>
      <c r="AG340" s="1">
        <v>133.0</v>
      </c>
      <c r="AH340" s="1">
        <v>608.0</v>
      </c>
      <c r="AI340" s="1">
        <v>26.0</v>
      </c>
      <c r="AJ340" s="1">
        <v>0.0</v>
      </c>
      <c r="AK340" s="1">
        <v>4.0</v>
      </c>
      <c r="AL340" s="1">
        <v>76.0</v>
      </c>
      <c r="AM340" s="1">
        <v>53.0</v>
      </c>
      <c r="AN340" s="1">
        <v>2.0</v>
      </c>
    </row>
    <row r="341">
      <c r="A341" s="1">
        <v>128.0</v>
      </c>
      <c r="B341" s="1" t="s">
        <v>3436</v>
      </c>
      <c r="C341" s="1" t="s">
        <v>3437</v>
      </c>
      <c r="D341" s="1" t="s">
        <v>1341</v>
      </c>
      <c r="E341" s="1" t="s">
        <v>43</v>
      </c>
      <c r="F341" s="2">
        <v>25878.0</v>
      </c>
      <c r="G341" s="1" t="s">
        <v>3438</v>
      </c>
      <c r="H341" s="1">
        <v>7.0</v>
      </c>
      <c r="I341" s="1" t="s">
        <v>2269</v>
      </c>
      <c r="J341" s="1">
        <v>1.0</v>
      </c>
      <c r="K341" s="2">
        <v>42907.0</v>
      </c>
      <c r="M341" s="1">
        <v>0.0</v>
      </c>
      <c r="N341" s="1" t="s">
        <v>115</v>
      </c>
      <c r="O341" s="1" t="s">
        <v>116</v>
      </c>
      <c r="P341" s="1" t="s">
        <v>3439</v>
      </c>
      <c r="S341" s="1" t="s">
        <v>2940</v>
      </c>
      <c r="T341" s="1">
        <v>576.0</v>
      </c>
      <c r="U341" s="3" t="s">
        <v>3440</v>
      </c>
      <c r="V341" s="1">
        <v>340343.0</v>
      </c>
      <c r="W341" s="1" t="s">
        <v>3441</v>
      </c>
      <c r="X341" s="3" t="s">
        <v>3442</v>
      </c>
      <c r="Y341" s="3" t="s">
        <v>3443</v>
      </c>
      <c r="Z341" s="1">
        <v>1.0</v>
      </c>
      <c r="AA341" s="1" t="s">
        <v>3444</v>
      </c>
      <c r="AB341" s="1">
        <v>20.0</v>
      </c>
      <c r="AC341" s="1">
        <v>33.0</v>
      </c>
      <c r="AD341" s="1">
        <v>17.0</v>
      </c>
      <c r="AE341" s="1">
        <v>54.0</v>
      </c>
      <c r="AF341" s="1">
        <v>19.0</v>
      </c>
      <c r="AG341" s="1">
        <v>18.0</v>
      </c>
      <c r="AH341" s="1">
        <v>1185.0</v>
      </c>
      <c r="AI341" s="1">
        <v>89.0</v>
      </c>
      <c r="AJ341" s="1">
        <v>0.0</v>
      </c>
      <c r="AK341" s="1">
        <v>0.0</v>
      </c>
      <c r="AL341" s="1">
        <v>5.0</v>
      </c>
      <c r="AM341" s="1">
        <v>12.0</v>
      </c>
      <c r="AN341" s="1">
        <v>4.0</v>
      </c>
    </row>
    <row r="342">
      <c r="A342" s="1">
        <v>487.0</v>
      </c>
      <c r="B342" s="1" t="s">
        <v>3445</v>
      </c>
      <c r="C342" s="1" t="s">
        <v>3446</v>
      </c>
      <c r="D342" s="1" t="s">
        <v>589</v>
      </c>
      <c r="E342" s="1" t="s">
        <v>43</v>
      </c>
      <c r="F342" s="2">
        <v>28659.0</v>
      </c>
      <c r="G342" s="1" t="s">
        <v>1500</v>
      </c>
      <c r="H342" s="1">
        <v>67.0</v>
      </c>
      <c r="I342" s="1" t="s">
        <v>244</v>
      </c>
      <c r="J342" s="1">
        <v>3.0</v>
      </c>
      <c r="K342" s="2">
        <v>42907.0</v>
      </c>
      <c r="M342" s="1">
        <v>0.0</v>
      </c>
      <c r="N342" s="1" t="s">
        <v>75</v>
      </c>
      <c r="O342" s="1" t="s">
        <v>76</v>
      </c>
      <c r="P342" s="1" t="s">
        <v>3447</v>
      </c>
      <c r="S342" s="1" t="s">
        <v>269</v>
      </c>
      <c r="T342" s="1">
        <v>478.0</v>
      </c>
      <c r="U342" s="3" t="s">
        <v>3448</v>
      </c>
      <c r="V342" s="1">
        <v>720754.0</v>
      </c>
      <c r="W342" s="1" t="s">
        <v>3449</v>
      </c>
      <c r="X342" s="3" t="s">
        <v>3450</v>
      </c>
      <c r="Y342" s="3" t="s">
        <v>3451</v>
      </c>
      <c r="Z342" s="1">
        <v>1.0</v>
      </c>
      <c r="AA342" s="1" t="s">
        <v>3452</v>
      </c>
      <c r="AB342" s="1">
        <v>20.0</v>
      </c>
      <c r="AC342" s="1">
        <v>45.0</v>
      </c>
      <c r="AD342" s="1">
        <v>143.0</v>
      </c>
      <c r="AE342" s="1">
        <v>28.0</v>
      </c>
      <c r="AF342" s="1">
        <v>77.0</v>
      </c>
      <c r="AG342" s="1">
        <v>0.0</v>
      </c>
      <c r="AH342" s="1">
        <v>18.0</v>
      </c>
      <c r="AI342" s="1">
        <v>1.0</v>
      </c>
      <c r="AJ342" s="1">
        <v>1.0</v>
      </c>
      <c r="AK342" s="1">
        <v>0.0</v>
      </c>
      <c r="AL342" s="1">
        <v>5.0</v>
      </c>
      <c r="AM342" s="1">
        <v>0.0</v>
      </c>
      <c r="AN342" s="1">
        <v>1.0</v>
      </c>
    </row>
    <row r="343">
      <c r="A343" s="1">
        <v>503.0</v>
      </c>
      <c r="B343" s="1" t="s">
        <v>3453</v>
      </c>
      <c r="C343" s="1" t="s">
        <v>3454</v>
      </c>
      <c r="D343" s="1" t="s">
        <v>1383</v>
      </c>
      <c r="E343" s="1" t="s">
        <v>58</v>
      </c>
      <c r="F343" s="2">
        <v>27929.0</v>
      </c>
      <c r="G343" s="1" t="s">
        <v>3455</v>
      </c>
      <c r="H343" s="1">
        <v>9.0</v>
      </c>
      <c r="I343" s="1" t="s">
        <v>3259</v>
      </c>
      <c r="J343" s="1">
        <v>1.0</v>
      </c>
      <c r="K343" s="2">
        <v>42907.0</v>
      </c>
      <c r="M343" s="1">
        <v>0.0</v>
      </c>
      <c r="N343" s="1" t="s">
        <v>173</v>
      </c>
      <c r="O343" s="1" t="s">
        <v>174</v>
      </c>
      <c r="P343" s="1" t="s">
        <v>3456</v>
      </c>
      <c r="S343" s="1" t="s">
        <v>269</v>
      </c>
      <c r="T343" s="1">
        <v>609.0</v>
      </c>
      <c r="U343" s="3" t="s">
        <v>3457</v>
      </c>
      <c r="V343" s="1">
        <v>718860.0</v>
      </c>
      <c r="W343" s="1" t="s">
        <v>3458</v>
      </c>
      <c r="X343" s="3" t="s">
        <v>3459</v>
      </c>
      <c r="Y343" s="3" t="s">
        <v>3460</v>
      </c>
      <c r="Z343" s="1">
        <v>1.0</v>
      </c>
      <c r="AA343" s="1" t="s">
        <v>3461</v>
      </c>
      <c r="AB343" s="1">
        <v>20.0</v>
      </c>
      <c r="AC343" s="1">
        <v>32.0</v>
      </c>
      <c r="AD343" s="1">
        <v>33.0</v>
      </c>
      <c r="AE343" s="1">
        <v>80.0</v>
      </c>
      <c r="AF343" s="1">
        <v>40.0</v>
      </c>
      <c r="AG343" s="1">
        <v>40.0</v>
      </c>
      <c r="AH343" s="1">
        <v>2060.0</v>
      </c>
      <c r="AI343" s="1">
        <v>32.0</v>
      </c>
      <c r="AJ343" s="1">
        <v>0.0</v>
      </c>
      <c r="AK343" s="1">
        <v>0.0</v>
      </c>
      <c r="AL343" s="1">
        <v>13.0</v>
      </c>
      <c r="AM343" s="1">
        <v>11.0</v>
      </c>
      <c r="AN343" s="1">
        <v>4.0</v>
      </c>
    </row>
    <row r="344">
      <c r="A344" s="1">
        <v>395.0</v>
      </c>
      <c r="B344" s="1" t="s">
        <v>3462</v>
      </c>
      <c r="C344" s="1" t="s">
        <v>3463</v>
      </c>
      <c r="D344" s="1" t="s">
        <v>3464</v>
      </c>
      <c r="E344" s="1" t="s">
        <v>58</v>
      </c>
      <c r="F344" s="2">
        <v>28172.0</v>
      </c>
      <c r="G344" s="1" t="s">
        <v>266</v>
      </c>
      <c r="H344" s="1">
        <v>59.0</v>
      </c>
      <c r="I344" s="1" t="s">
        <v>172</v>
      </c>
      <c r="J344" s="1">
        <v>15.0</v>
      </c>
      <c r="K344" s="2">
        <v>42907.0</v>
      </c>
      <c r="M344" s="1">
        <v>0.0</v>
      </c>
      <c r="N344" s="1" t="s">
        <v>75</v>
      </c>
      <c r="O344" s="1" t="s">
        <v>76</v>
      </c>
      <c r="P344" s="3" t="s">
        <v>3465</v>
      </c>
      <c r="S344" s="1" t="s">
        <v>373</v>
      </c>
      <c r="T344" s="1">
        <v>397.0</v>
      </c>
      <c r="U344" s="3" t="s">
        <v>3466</v>
      </c>
      <c r="V344" s="1">
        <v>720538.0</v>
      </c>
      <c r="W344" s="1" t="s">
        <v>3467</v>
      </c>
      <c r="X344" s="3" t="s">
        <v>3468</v>
      </c>
      <c r="Y344" s="3" t="s">
        <v>3469</v>
      </c>
      <c r="Z344" s="1">
        <v>1.0</v>
      </c>
      <c r="AB344" s="1">
        <v>20.0</v>
      </c>
      <c r="AC344" s="1">
        <v>29.0</v>
      </c>
      <c r="AD344" s="1">
        <v>5.0</v>
      </c>
      <c r="AE344" s="1">
        <v>4.0</v>
      </c>
      <c r="AF344" s="1">
        <v>1.0</v>
      </c>
      <c r="AG344" s="1">
        <v>0.0</v>
      </c>
      <c r="AH344" s="1">
        <v>77.0</v>
      </c>
      <c r="AI344" s="1">
        <v>43.0</v>
      </c>
      <c r="AJ344" s="1">
        <v>1.0</v>
      </c>
      <c r="AK344" s="1">
        <v>0.0</v>
      </c>
      <c r="AL344" s="1">
        <v>6.0</v>
      </c>
      <c r="AM344" s="1">
        <v>6.0</v>
      </c>
      <c r="AN344" s="1">
        <v>0.0</v>
      </c>
    </row>
    <row r="345">
      <c r="A345" s="1">
        <v>48.0</v>
      </c>
      <c r="B345" s="1" t="s">
        <v>3470</v>
      </c>
      <c r="C345" s="1" t="s">
        <v>3471</v>
      </c>
      <c r="D345" s="1" t="s">
        <v>1209</v>
      </c>
      <c r="E345" s="1" t="s">
        <v>43</v>
      </c>
      <c r="F345" s="2">
        <v>24814.0</v>
      </c>
      <c r="G345" s="1" t="s">
        <v>3472</v>
      </c>
      <c r="H345" s="1">
        <v>67.0</v>
      </c>
      <c r="I345" s="1" t="s">
        <v>244</v>
      </c>
      <c r="J345" s="1">
        <v>2.0</v>
      </c>
      <c r="K345" s="2">
        <v>42907.0</v>
      </c>
      <c r="M345" s="1">
        <v>0.0</v>
      </c>
      <c r="N345" s="1" t="s">
        <v>280</v>
      </c>
      <c r="O345" s="1" t="s">
        <v>281</v>
      </c>
      <c r="P345" s="1" t="s">
        <v>3473</v>
      </c>
      <c r="S345" s="1" t="s">
        <v>198</v>
      </c>
      <c r="T345" s="1">
        <v>267.0</v>
      </c>
      <c r="U345" s="3" t="s">
        <v>3474</v>
      </c>
      <c r="V345" s="1">
        <v>720746.0</v>
      </c>
      <c r="W345" s="1" t="s">
        <v>3475</v>
      </c>
      <c r="X345" s="3" t="s">
        <v>3476</v>
      </c>
      <c r="Y345" s="3" t="s">
        <v>3477</v>
      </c>
      <c r="Z345" s="1">
        <v>1.0</v>
      </c>
      <c r="AA345" s="1" t="s">
        <v>3478</v>
      </c>
      <c r="AB345" s="1">
        <v>20.0</v>
      </c>
      <c r="AC345" s="1">
        <v>17.0</v>
      </c>
      <c r="AD345" s="1">
        <v>17.0</v>
      </c>
      <c r="AE345" s="1">
        <v>592.0</v>
      </c>
      <c r="AF345" s="1">
        <v>3302.0</v>
      </c>
      <c r="AG345" s="1">
        <v>6.0</v>
      </c>
      <c r="AH345" s="1">
        <v>193.0</v>
      </c>
      <c r="AI345" s="1">
        <v>19.0</v>
      </c>
      <c r="AJ345" s="1">
        <v>1.0</v>
      </c>
      <c r="AK345" s="1">
        <v>2.0</v>
      </c>
      <c r="AL345" s="1">
        <v>6.0</v>
      </c>
      <c r="AM345" s="1">
        <v>2.0</v>
      </c>
      <c r="AN345" s="1">
        <v>2.0</v>
      </c>
    </row>
    <row r="346">
      <c r="A346" s="1">
        <v>499.0</v>
      </c>
      <c r="B346" s="1" t="s">
        <v>3479</v>
      </c>
      <c r="C346" s="1" t="s">
        <v>3480</v>
      </c>
      <c r="D346" s="1" t="s">
        <v>1453</v>
      </c>
      <c r="E346" s="1" t="s">
        <v>58</v>
      </c>
      <c r="F346" s="2">
        <v>29280.0</v>
      </c>
      <c r="G346" s="1" t="s">
        <v>3481</v>
      </c>
      <c r="H346" s="1">
        <v>44.0</v>
      </c>
      <c r="I346" s="1" t="s">
        <v>492</v>
      </c>
      <c r="J346" s="1">
        <v>4.0</v>
      </c>
      <c r="K346" s="2">
        <v>42907.0</v>
      </c>
      <c r="M346" s="1">
        <v>0.0</v>
      </c>
      <c r="N346" s="1" t="s">
        <v>75</v>
      </c>
      <c r="O346" s="1" t="s">
        <v>76</v>
      </c>
      <c r="P346" s="1" t="s">
        <v>3482</v>
      </c>
      <c r="S346" s="1" t="s">
        <v>3483</v>
      </c>
      <c r="T346" s="1">
        <v>409.0</v>
      </c>
      <c r="U346" s="3" t="s">
        <v>3484</v>
      </c>
      <c r="V346" s="1">
        <v>720124.0</v>
      </c>
      <c r="W346" s="1" t="s">
        <v>3485</v>
      </c>
      <c r="X346" s="3" t="s">
        <v>3486</v>
      </c>
      <c r="Y346" s="3" t="s">
        <v>3487</v>
      </c>
      <c r="Z346" s="1">
        <v>1.0</v>
      </c>
      <c r="AA346" s="1" t="s">
        <v>3488</v>
      </c>
      <c r="AB346" s="1">
        <v>19.0</v>
      </c>
      <c r="AC346" s="1">
        <v>32.0</v>
      </c>
      <c r="AD346" s="1">
        <v>71.0</v>
      </c>
      <c r="AE346" s="1">
        <v>71.0</v>
      </c>
      <c r="AF346" s="1">
        <v>24.0</v>
      </c>
      <c r="AG346" s="1">
        <v>57.0</v>
      </c>
      <c r="AH346" s="1">
        <v>103.0</v>
      </c>
      <c r="AI346" s="1">
        <v>47.0</v>
      </c>
      <c r="AJ346" s="1">
        <v>1.0</v>
      </c>
      <c r="AK346" s="1">
        <v>0.0</v>
      </c>
      <c r="AL346" s="1">
        <v>5.0</v>
      </c>
      <c r="AM346" s="1">
        <v>2.0</v>
      </c>
      <c r="AN346" s="1">
        <v>1.0</v>
      </c>
    </row>
    <row r="347">
      <c r="A347" s="1">
        <v>11.0</v>
      </c>
      <c r="B347" s="1" t="s">
        <v>3489</v>
      </c>
      <c r="C347" s="1" t="s">
        <v>3490</v>
      </c>
      <c r="D347" s="1" t="s">
        <v>1250</v>
      </c>
      <c r="E347" s="1" t="s">
        <v>58</v>
      </c>
      <c r="F347" s="2">
        <v>23560.0</v>
      </c>
      <c r="G347" s="1" t="s">
        <v>3491</v>
      </c>
      <c r="H347" s="1">
        <v>26.0</v>
      </c>
      <c r="I347" s="1" t="s">
        <v>1873</v>
      </c>
      <c r="J347" s="1">
        <v>4.0</v>
      </c>
      <c r="K347" s="2">
        <v>42907.0</v>
      </c>
      <c r="M347" s="1">
        <v>0.0</v>
      </c>
      <c r="N347" s="1" t="s">
        <v>61</v>
      </c>
      <c r="O347" s="1" t="s">
        <v>62</v>
      </c>
      <c r="P347" s="1" t="s">
        <v>3492</v>
      </c>
      <c r="S347" s="1" t="s">
        <v>78</v>
      </c>
      <c r="T347" s="1">
        <v>63.0</v>
      </c>
      <c r="U347" s="3" t="s">
        <v>3493</v>
      </c>
      <c r="V347" s="1">
        <v>719318.0</v>
      </c>
      <c r="W347" s="1" t="s">
        <v>3494</v>
      </c>
      <c r="X347" s="3" t="s">
        <v>3495</v>
      </c>
      <c r="Y347" s="3" t="s">
        <v>3496</v>
      </c>
      <c r="Z347" s="1">
        <v>1.0</v>
      </c>
      <c r="AA347" s="1" t="s">
        <v>3497</v>
      </c>
      <c r="AB347" s="1">
        <v>19.0</v>
      </c>
      <c r="AC347" s="1">
        <v>35.0</v>
      </c>
      <c r="AD347" s="1">
        <v>13.0</v>
      </c>
      <c r="AE347" s="1">
        <v>12.0</v>
      </c>
      <c r="AF347" s="1">
        <v>14.0</v>
      </c>
      <c r="AG347" s="1">
        <v>33.0</v>
      </c>
      <c r="AH347" s="1">
        <v>1497.0</v>
      </c>
      <c r="AI347" s="1">
        <v>48.0</v>
      </c>
      <c r="AJ347" s="1">
        <v>0.0</v>
      </c>
      <c r="AK347" s="1">
        <v>0.0</v>
      </c>
      <c r="AL347" s="1">
        <v>58.0</v>
      </c>
      <c r="AM347" s="1">
        <v>19.0</v>
      </c>
      <c r="AN347" s="1">
        <v>0.0</v>
      </c>
    </row>
    <row r="348">
      <c r="A348" s="1">
        <v>461.0</v>
      </c>
      <c r="B348" s="1" t="s">
        <v>3498</v>
      </c>
      <c r="C348" s="1" t="s">
        <v>3499</v>
      </c>
      <c r="D348" s="1" t="s">
        <v>3500</v>
      </c>
      <c r="E348" s="1" t="s">
        <v>58</v>
      </c>
      <c r="F348" s="2">
        <v>31349.0</v>
      </c>
      <c r="G348" s="1" t="s">
        <v>3501</v>
      </c>
      <c r="H348" s="1">
        <v>75.0</v>
      </c>
      <c r="I348" s="1" t="s">
        <v>232</v>
      </c>
      <c r="J348" s="1">
        <v>8.0</v>
      </c>
      <c r="K348" s="2">
        <v>42907.0</v>
      </c>
      <c r="M348" s="1">
        <v>0.0</v>
      </c>
      <c r="N348" s="1" t="s">
        <v>75</v>
      </c>
      <c r="O348" s="1" t="s">
        <v>76</v>
      </c>
      <c r="P348" s="1" t="s">
        <v>3502</v>
      </c>
      <c r="S348" s="1" t="s">
        <v>78</v>
      </c>
      <c r="T348" s="1">
        <v>384.0</v>
      </c>
      <c r="U348" s="3" t="s">
        <v>3503</v>
      </c>
      <c r="V348" s="1">
        <v>721624.0</v>
      </c>
      <c r="W348" s="1" t="s">
        <v>3504</v>
      </c>
      <c r="X348" s="3" t="s">
        <v>3505</v>
      </c>
      <c r="Y348" s="3" t="s">
        <v>3506</v>
      </c>
      <c r="Z348" s="1">
        <v>1.0</v>
      </c>
      <c r="AA348" s="1" t="s">
        <v>3507</v>
      </c>
      <c r="AB348" s="1">
        <v>19.0</v>
      </c>
      <c r="AC348" s="1">
        <v>37.0</v>
      </c>
      <c r="AD348" s="1">
        <v>27.0</v>
      </c>
      <c r="AE348" s="1">
        <v>55.0</v>
      </c>
      <c r="AF348" s="1">
        <v>5.0</v>
      </c>
      <c r="AG348" s="1">
        <v>0.0</v>
      </c>
      <c r="AH348" s="1">
        <v>68.0</v>
      </c>
      <c r="AI348" s="1">
        <v>31.0</v>
      </c>
      <c r="AJ348" s="1">
        <v>1.0</v>
      </c>
      <c r="AK348" s="1">
        <v>0.0</v>
      </c>
      <c r="AL348" s="1">
        <v>5.0</v>
      </c>
      <c r="AM348" s="1">
        <v>0.0</v>
      </c>
      <c r="AN348" s="1">
        <v>1.0</v>
      </c>
    </row>
    <row r="349">
      <c r="A349" s="1">
        <v>358.0</v>
      </c>
      <c r="B349" s="1" t="s">
        <v>3508</v>
      </c>
      <c r="C349" s="1" t="s">
        <v>3509</v>
      </c>
      <c r="D349" s="1" t="s">
        <v>3047</v>
      </c>
      <c r="E349" s="1" t="s">
        <v>43</v>
      </c>
      <c r="F349" s="2">
        <v>22158.0</v>
      </c>
      <c r="G349" s="1" t="s">
        <v>2462</v>
      </c>
      <c r="H349" s="1">
        <v>25.0</v>
      </c>
      <c r="I349" s="1" t="s">
        <v>149</v>
      </c>
      <c r="J349" s="1">
        <v>4.0</v>
      </c>
      <c r="K349" s="2">
        <v>42907.0</v>
      </c>
      <c r="M349" s="1">
        <v>0.0</v>
      </c>
      <c r="N349" s="1" t="s">
        <v>75</v>
      </c>
      <c r="O349" s="1" t="s">
        <v>76</v>
      </c>
      <c r="P349" s="1" t="s">
        <v>3510</v>
      </c>
      <c r="S349" s="1" t="s">
        <v>3511</v>
      </c>
      <c r="T349" s="1">
        <v>230.0</v>
      </c>
      <c r="U349" s="3" t="s">
        <v>3512</v>
      </c>
      <c r="V349" s="1">
        <v>642724.0</v>
      </c>
      <c r="W349" s="1" t="s">
        <v>3513</v>
      </c>
      <c r="X349" s="3" t="s">
        <v>3514</v>
      </c>
      <c r="Y349" s="3" t="s">
        <v>3515</v>
      </c>
      <c r="Z349" s="1">
        <v>1.0</v>
      </c>
      <c r="AA349" s="1" t="s">
        <v>3516</v>
      </c>
      <c r="AB349" s="1">
        <v>19.0</v>
      </c>
      <c r="AC349" s="1">
        <v>30.0</v>
      </c>
      <c r="AD349" s="1">
        <v>4.0</v>
      </c>
      <c r="AE349" s="1">
        <v>7.0</v>
      </c>
      <c r="AF349" s="1">
        <v>0.0</v>
      </c>
      <c r="AG349" s="1">
        <v>4.0</v>
      </c>
      <c r="AH349" s="1">
        <v>31.0</v>
      </c>
      <c r="AI349" s="1">
        <v>8.0</v>
      </c>
      <c r="AJ349" s="1">
        <v>0.0</v>
      </c>
      <c r="AK349" s="1">
        <v>0.0</v>
      </c>
      <c r="AL349" s="1">
        <v>6.0</v>
      </c>
      <c r="AM349" s="1">
        <v>22.0</v>
      </c>
      <c r="AN349" s="1">
        <v>0.0</v>
      </c>
    </row>
    <row r="350">
      <c r="A350" s="1">
        <v>65.0</v>
      </c>
      <c r="B350" s="1" t="s">
        <v>3517</v>
      </c>
      <c r="C350" s="1" t="s">
        <v>3518</v>
      </c>
      <c r="D350" s="1" t="s">
        <v>629</v>
      </c>
      <c r="E350" s="1" t="s">
        <v>58</v>
      </c>
      <c r="F350" s="2">
        <v>23078.0</v>
      </c>
      <c r="G350" s="1" t="s">
        <v>1016</v>
      </c>
      <c r="H350" s="1">
        <v>51.0</v>
      </c>
      <c r="I350" s="1" t="s">
        <v>208</v>
      </c>
      <c r="J350" s="1">
        <v>1.0</v>
      </c>
      <c r="K350" s="2">
        <v>42907.0</v>
      </c>
      <c r="M350" s="1">
        <v>0.0</v>
      </c>
      <c r="N350" s="1" t="s">
        <v>61</v>
      </c>
      <c r="O350" s="1" t="s">
        <v>62</v>
      </c>
      <c r="P350" s="1" t="s">
        <v>3519</v>
      </c>
      <c r="S350" s="1">
        <v>0.0</v>
      </c>
      <c r="T350" s="1">
        <v>14.0</v>
      </c>
      <c r="U350" s="3" t="s">
        <v>3520</v>
      </c>
      <c r="V350" s="1">
        <v>720210.0</v>
      </c>
      <c r="W350" s="1" t="s">
        <v>3521</v>
      </c>
      <c r="X350" s="3" t="s">
        <v>3522</v>
      </c>
      <c r="Y350" s="3" t="s">
        <v>3523</v>
      </c>
      <c r="Z350" s="1">
        <v>1.0</v>
      </c>
      <c r="AA350" s="1" t="s">
        <v>3524</v>
      </c>
      <c r="AB350" s="1">
        <v>19.0</v>
      </c>
      <c r="AC350" s="1">
        <v>29.0</v>
      </c>
      <c r="AD350" s="1">
        <v>15.0</v>
      </c>
      <c r="AE350" s="1">
        <v>21.0</v>
      </c>
      <c r="AF350" s="1">
        <v>36.0</v>
      </c>
      <c r="AG350" s="1">
        <v>34.0</v>
      </c>
      <c r="AH350" s="1">
        <v>546.0</v>
      </c>
      <c r="AI350" s="1">
        <v>25.0</v>
      </c>
      <c r="AJ350" s="1">
        <v>0.0</v>
      </c>
      <c r="AK350" s="1">
        <v>2.0</v>
      </c>
      <c r="AL350" s="1">
        <v>20.0</v>
      </c>
      <c r="AM350" s="1">
        <v>30.0</v>
      </c>
      <c r="AN350" s="1">
        <v>1.0</v>
      </c>
    </row>
    <row r="351">
      <c r="A351" s="1">
        <v>210.0</v>
      </c>
      <c r="B351" s="1" t="s">
        <v>3525</v>
      </c>
      <c r="C351" s="1" t="s">
        <v>3526</v>
      </c>
      <c r="D351" s="1" t="s">
        <v>3527</v>
      </c>
      <c r="E351" s="1" t="s">
        <v>58</v>
      </c>
      <c r="F351" s="2">
        <v>24308.0</v>
      </c>
      <c r="G351" s="1" t="s">
        <v>2442</v>
      </c>
      <c r="H351" s="1">
        <v>12.0</v>
      </c>
      <c r="I351" s="1" t="s">
        <v>685</v>
      </c>
      <c r="J351" s="1">
        <v>2.0</v>
      </c>
      <c r="K351" s="2">
        <v>42907.0</v>
      </c>
      <c r="M351" s="1">
        <v>0.0</v>
      </c>
      <c r="N351" s="1" t="s">
        <v>75</v>
      </c>
      <c r="O351" s="1" t="s">
        <v>76</v>
      </c>
      <c r="P351" s="1" t="s">
        <v>3528</v>
      </c>
      <c r="S351" s="1" t="s">
        <v>3529</v>
      </c>
      <c r="T351" s="1">
        <v>317.0</v>
      </c>
      <c r="U351" s="3" t="s">
        <v>3530</v>
      </c>
      <c r="V351" s="1">
        <v>718990.0</v>
      </c>
      <c r="W351" s="1" t="s">
        <v>3531</v>
      </c>
      <c r="X351" s="3" t="s">
        <v>3532</v>
      </c>
      <c r="Y351" s="3" t="s">
        <v>3533</v>
      </c>
      <c r="Z351" s="1">
        <v>1.0</v>
      </c>
      <c r="AA351" s="1" t="s">
        <v>3534</v>
      </c>
      <c r="AB351" s="1">
        <v>19.0</v>
      </c>
      <c r="AC351" s="1">
        <v>29.0</v>
      </c>
      <c r="AD351" s="1">
        <v>7.0</v>
      </c>
      <c r="AE351" s="1">
        <v>1.0</v>
      </c>
      <c r="AF351" s="1">
        <v>0.0</v>
      </c>
      <c r="AG351" s="1">
        <v>0.0</v>
      </c>
      <c r="AH351" s="1">
        <v>60.0</v>
      </c>
      <c r="AI351" s="1">
        <v>25.0</v>
      </c>
      <c r="AJ351" s="1">
        <v>0.0</v>
      </c>
      <c r="AK351" s="1">
        <v>0.0</v>
      </c>
      <c r="AL351" s="1">
        <v>6.0</v>
      </c>
      <c r="AM351" s="1">
        <v>2.0</v>
      </c>
      <c r="AN351" s="1">
        <v>1.0</v>
      </c>
    </row>
    <row r="352">
      <c r="A352" s="1">
        <v>452.0</v>
      </c>
      <c r="B352" s="1" t="s">
        <v>3535</v>
      </c>
      <c r="C352" s="1" t="s">
        <v>3536</v>
      </c>
      <c r="D352" s="1" t="s">
        <v>3537</v>
      </c>
      <c r="E352" s="1" t="s">
        <v>43</v>
      </c>
      <c r="F352" s="2">
        <v>21887.0</v>
      </c>
      <c r="G352" s="1" t="s">
        <v>207</v>
      </c>
      <c r="H352" s="1">
        <v>60.0</v>
      </c>
      <c r="I352" s="1" t="s">
        <v>769</v>
      </c>
      <c r="J352" s="1">
        <v>3.0</v>
      </c>
      <c r="K352" s="2">
        <v>42907.0</v>
      </c>
      <c r="M352" s="1">
        <v>0.0</v>
      </c>
      <c r="N352" s="1" t="s">
        <v>75</v>
      </c>
      <c r="O352" s="1" t="s">
        <v>76</v>
      </c>
      <c r="P352" s="1" t="s">
        <v>3538</v>
      </c>
      <c r="S352" s="1" t="s">
        <v>162</v>
      </c>
      <c r="T352" s="1">
        <v>414.0</v>
      </c>
      <c r="U352" s="3" t="s">
        <v>3539</v>
      </c>
      <c r="V352" s="1">
        <v>720576.0</v>
      </c>
      <c r="W352" s="1" t="s">
        <v>3540</v>
      </c>
      <c r="X352" s="3" t="s">
        <v>3541</v>
      </c>
      <c r="Y352" s="3" t="s">
        <v>3542</v>
      </c>
      <c r="Z352" s="1">
        <v>2.0</v>
      </c>
      <c r="AA352" s="1" t="s">
        <v>3543</v>
      </c>
      <c r="AB352" s="1">
        <v>19.0</v>
      </c>
      <c r="AC352" s="1">
        <v>35.0</v>
      </c>
      <c r="AD352" s="1">
        <v>8.0</v>
      </c>
      <c r="AE352" s="1">
        <v>11.0</v>
      </c>
      <c r="AF352" s="1">
        <v>2.0</v>
      </c>
      <c r="AG352" s="1">
        <v>0.0</v>
      </c>
      <c r="AH352" s="1">
        <v>58.0</v>
      </c>
      <c r="AI352" s="1">
        <v>22.0</v>
      </c>
      <c r="AJ352" s="1">
        <v>0.0</v>
      </c>
      <c r="AK352" s="1">
        <v>0.0</v>
      </c>
      <c r="AL352" s="1">
        <v>5.0</v>
      </c>
      <c r="AM352" s="1">
        <v>2.0</v>
      </c>
      <c r="AN352" s="1">
        <v>2.0</v>
      </c>
    </row>
    <row r="353">
      <c r="A353" s="1">
        <v>504.0</v>
      </c>
      <c r="B353" s="1" t="s">
        <v>3544</v>
      </c>
      <c r="C353" s="1" t="s">
        <v>3545</v>
      </c>
      <c r="D353" s="1" t="s">
        <v>3527</v>
      </c>
      <c r="E353" s="1" t="s">
        <v>58</v>
      </c>
      <c r="F353" s="2">
        <v>25900.0</v>
      </c>
      <c r="G353" s="1" t="s">
        <v>3546</v>
      </c>
      <c r="H353" s="1">
        <v>69.0</v>
      </c>
      <c r="I353" s="1" t="s">
        <v>1363</v>
      </c>
      <c r="J353" s="1">
        <v>4.0</v>
      </c>
      <c r="K353" s="2">
        <v>42907.0</v>
      </c>
      <c r="M353" s="1">
        <v>0.0</v>
      </c>
      <c r="N353" s="1" t="s">
        <v>75</v>
      </c>
      <c r="O353" s="1" t="s">
        <v>76</v>
      </c>
      <c r="P353" s="1" t="s">
        <v>3547</v>
      </c>
      <c r="S353" s="1" t="s">
        <v>118</v>
      </c>
      <c r="T353" s="1">
        <v>434.0</v>
      </c>
      <c r="U353" s="3" t="s">
        <v>3548</v>
      </c>
      <c r="V353" s="1">
        <v>721328.0</v>
      </c>
      <c r="W353" s="1" t="s">
        <v>3549</v>
      </c>
      <c r="X353" s="3" t="s">
        <v>3550</v>
      </c>
      <c r="Y353" s="3" t="s">
        <v>3551</v>
      </c>
      <c r="Z353" s="1">
        <v>2.0</v>
      </c>
      <c r="AA353" s="1" t="s">
        <v>3552</v>
      </c>
      <c r="AB353" s="1">
        <v>19.0</v>
      </c>
      <c r="AC353" s="1">
        <v>39.0</v>
      </c>
      <c r="AD353" s="1">
        <v>27.0</v>
      </c>
      <c r="AE353" s="1">
        <v>29.0</v>
      </c>
      <c r="AF353" s="1">
        <v>14.0</v>
      </c>
      <c r="AG353" s="1">
        <v>10.0</v>
      </c>
      <c r="AH353" s="1">
        <v>44.0</v>
      </c>
      <c r="AI353" s="1">
        <v>14.0</v>
      </c>
      <c r="AJ353" s="1">
        <v>0.0</v>
      </c>
      <c r="AK353" s="1">
        <v>0.0</v>
      </c>
      <c r="AL353" s="1">
        <v>6.0</v>
      </c>
      <c r="AM353" s="1">
        <v>1.0</v>
      </c>
      <c r="AN353" s="1">
        <v>2.0</v>
      </c>
    </row>
    <row r="354">
      <c r="A354" s="1">
        <v>184.0</v>
      </c>
      <c r="B354" s="1" t="s">
        <v>3553</v>
      </c>
      <c r="C354" s="1" t="s">
        <v>3554</v>
      </c>
      <c r="D354" s="1" t="s">
        <v>3555</v>
      </c>
      <c r="E354" s="1" t="s">
        <v>58</v>
      </c>
      <c r="F354" s="2">
        <v>17352.0</v>
      </c>
      <c r="G354" s="1" t="s">
        <v>3556</v>
      </c>
      <c r="H354" s="1">
        <v>39.0</v>
      </c>
      <c r="I354" s="1" t="s">
        <v>128</v>
      </c>
      <c r="J354" s="1">
        <v>1.0</v>
      </c>
      <c r="K354" s="2">
        <v>42907.0</v>
      </c>
      <c r="M354" s="1">
        <v>0.0</v>
      </c>
      <c r="N354" s="1" t="s">
        <v>75</v>
      </c>
      <c r="O354" s="1" t="s">
        <v>76</v>
      </c>
      <c r="P354" s="1" t="s">
        <v>3557</v>
      </c>
      <c r="S354" s="1" t="s">
        <v>3558</v>
      </c>
      <c r="T354" s="1">
        <v>549.0</v>
      </c>
      <c r="U354" s="3" t="s">
        <v>3559</v>
      </c>
      <c r="V354" s="1">
        <v>719890.0</v>
      </c>
      <c r="W354" s="1" t="s">
        <v>3560</v>
      </c>
      <c r="X354" s="3" t="s">
        <v>3561</v>
      </c>
      <c r="Y354" s="3" t="s">
        <v>3562</v>
      </c>
      <c r="Z354" s="1">
        <v>2.0</v>
      </c>
      <c r="AA354" s="1" t="s">
        <v>3563</v>
      </c>
      <c r="AB354" s="1">
        <v>19.0</v>
      </c>
      <c r="AC354" s="1">
        <v>28.0</v>
      </c>
      <c r="AD354" s="1">
        <v>5.0</v>
      </c>
      <c r="AE354" s="1">
        <v>161.0</v>
      </c>
      <c r="AF354" s="1">
        <v>841.0</v>
      </c>
      <c r="AG354" s="1">
        <v>1.0</v>
      </c>
      <c r="AH354" s="1">
        <v>107.0</v>
      </c>
      <c r="AI354" s="1">
        <v>47.0</v>
      </c>
      <c r="AJ354" s="1">
        <v>0.0</v>
      </c>
      <c r="AK354" s="1">
        <v>0.0</v>
      </c>
      <c r="AL354" s="1">
        <v>6.0</v>
      </c>
      <c r="AM354" s="1">
        <v>10.0</v>
      </c>
      <c r="AN354" s="1">
        <v>2.0</v>
      </c>
    </row>
    <row r="355">
      <c r="A355" s="1">
        <v>437.0</v>
      </c>
      <c r="B355" s="1" t="s">
        <v>3564</v>
      </c>
      <c r="C355" s="1" t="s">
        <v>3565</v>
      </c>
      <c r="D355" s="1" t="s">
        <v>1540</v>
      </c>
      <c r="E355" s="1" t="s">
        <v>43</v>
      </c>
      <c r="F355" s="2">
        <v>27102.0</v>
      </c>
      <c r="G355" s="1" t="s">
        <v>1273</v>
      </c>
      <c r="H355" s="1">
        <v>85.0</v>
      </c>
      <c r="I355" s="1" t="s">
        <v>1853</v>
      </c>
      <c r="J355" s="1">
        <v>3.0</v>
      </c>
      <c r="K355" s="2">
        <v>42907.0</v>
      </c>
      <c r="M355" s="1">
        <v>0.0</v>
      </c>
      <c r="N355" s="1" t="s">
        <v>75</v>
      </c>
      <c r="O355" s="1" t="s">
        <v>76</v>
      </c>
      <c r="P355" s="1" t="s">
        <v>3566</v>
      </c>
      <c r="S355" s="1" t="s">
        <v>234</v>
      </c>
      <c r="T355" s="1">
        <v>632.0</v>
      </c>
      <c r="U355" s="3" t="s">
        <v>3567</v>
      </c>
      <c r="V355" s="1">
        <v>722000.0</v>
      </c>
      <c r="W355" s="1" t="s">
        <v>3568</v>
      </c>
      <c r="X355" s="3" t="s">
        <v>3569</v>
      </c>
      <c r="Y355" s="3" t="s">
        <v>3570</v>
      </c>
      <c r="Z355" s="1">
        <v>1.0</v>
      </c>
      <c r="AA355" s="1" t="s">
        <v>3571</v>
      </c>
      <c r="AB355" s="1">
        <v>19.0</v>
      </c>
      <c r="AC355" s="1">
        <v>33.0</v>
      </c>
      <c r="AD355" s="1">
        <v>4.0</v>
      </c>
      <c r="AE355" s="1">
        <v>2.0</v>
      </c>
      <c r="AF355" s="1">
        <v>3.0</v>
      </c>
      <c r="AG355" s="1">
        <v>0.0</v>
      </c>
      <c r="AH355" s="1">
        <v>87.0</v>
      </c>
      <c r="AI355" s="1">
        <v>43.0</v>
      </c>
      <c r="AJ355" s="1">
        <v>0.0</v>
      </c>
      <c r="AK355" s="1">
        <v>0.0</v>
      </c>
      <c r="AL355" s="1">
        <v>5.0</v>
      </c>
      <c r="AM355" s="1">
        <v>3.0</v>
      </c>
      <c r="AN355" s="1">
        <v>0.0</v>
      </c>
    </row>
    <row r="356">
      <c r="A356" s="1">
        <v>372.0</v>
      </c>
      <c r="B356" s="1" t="s">
        <v>3572</v>
      </c>
      <c r="C356" s="1" t="s">
        <v>3573</v>
      </c>
      <c r="D356" s="1" t="s">
        <v>3574</v>
      </c>
      <c r="E356" s="1" t="s">
        <v>43</v>
      </c>
      <c r="F356" s="2">
        <v>26059.0</v>
      </c>
      <c r="G356" s="1" t="s">
        <v>404</v>
      </c>
      <c r="H356" s="1">
        <v>40.0</v>
      </c>
      <c r="I356" s="1" t="s">
        <v>664</v>
      </c>
      <c r="J356" s="1">
        <v>2.0</v>
      </c>
      <c r="K356" s="2">
        <v>42907.0</v>
      </c>
      <c r="M356" s="1">
        <v>0.0</v>
      </c>
      <c r="N356" s="1" t="s">
        <v>75</v>
      </c>
      <c r="O356" s="1" t="s">
        <v>76</v>
      </c>
      <c r="S356" s="1" t="s">
        <v>162</v>
      </c>
      <c r="T356" s="1">
        <v>362.0</v>
      </c>
      <c r="U356" s="3" t="s">
        <v>3575</v>
      </c>
      <c r="V356" s="1">
        <v>719922.0</v>
      </c>
      <c r="W356" s="1" t="s">
        <v>3576</v>
      </c>
      <c r="X356" s="3" t="s">
        <v>3577</v>
      </c>
      <c r="Y356" s="3" t="s">
        <v>3578</v>
      </c>
      <c r="Z356" s="1">
        <v>2.0</v>
      </c>
      <c r="AB356" s="1">
        <v>19.0</v>
      </c>
      <c r="AC356" s="1">
        <v>35.0</v>
      </c>
      <c r="AD356" s="1">
        <v>5.0</v>
      </c>
      <c r="AE356" s="1">
        <v>11.0</v>
      </c>
      <c r="AF356" s="1">
        <v>3.0</v>
      </c>
      <c r="AG356" s="1">
        <v>6.0</v>
      </c>
      <c r="AH356" s="1">
        <v>105.0</v>
      </c>
      <c r="AI356" s="1">
        <v>44.0</v>
      </c>
      <c r="AJ356" s="1">
        <v>0.0</v>
      </c>
      <c r="AK356" s="1">
        <v>0.0</v>
      </c>
      <c r="AL356" s="1">
        <v>5.0</v>
      </c>
      <c r="AM356" s="1">
        <v>8.0</v>
      </c>
      <c r="AN356" s="1">
        <v>2.0</v>
      </c>
    </row>
    <row r="357">
      <c r="A357" s="1">
        <v>559.0</v>
      </c>
      <c r="B357" s="1" t="s">
        <v>3579</v>
      </c>
      <c r="C357" s="1" t="s">
        <v>3580</v>
      </c>
      <c r="D357" s="1" t="s">
        <v>3056</v>
      </c>
      <c r="E357" s="1" t="s">
        <v>43</v>
      </c>
      <c r="F357" s="2">
        <v>25841.0</v>
      </c>
      <c r="G357" s="1" t="s">
        <v>2268</v>
      </c>
      <c r="H357" s="1">
        <v>84.0</v>
      </c>
      <c r="I357" s="1" t="s">
        <v>719</v>
      </c>
      <c r="J357" s="1">
        <v>1.0</v>
      </c>
      <c r="K357" s="2">
        <v>42907.0</v>
      </c>
      <c r="M357" s="1">
        <v>0.0</v>
      </c>
      <c r="N357" s="1" t="s">
        <v>75</v>
      </c>
      <c r="O357" s="1" t="s">
        <v>76</v>
      </c>
      <c r="P357" s="1" t="s">
        <v>3581</v>
      </c>
      <c r="S357" s="1" t="s">
        <v>198</v>
      </c>
      <c r="T357" s="1">
        <v>536.0</v>
      </c>
      <c r="U357" s="3" t="s">
        <v>3582</v>
      </c>
      <c r="V357" s="1">
        <v>721860.0</v>
      </c>
      <c r="W357" s="1" t="s">
        <v>3583</v>
      </c>
      <c r="X357" s="3" t="s">
        <v>3584</v>
      </c>
      <c r="Y357" s="3" t="s">
        <v>3585</v>
      </c>
      <c r="Z357" s="1">
        <v>1.0</v>
      </c>
      <c r="AA357" s="1" t="s">
        <v>3586</v>
      </c>
      <c r="AB357" s="1">
        <v>19.0</v>
      </c>
      <c r="AC357" s="1">
        <v>30.0</v>
      </c>
      <c r="AD357" s="1">
        <v>4.0</v>
      </c>
      <c r="AE357" s="1">
        <v>14.0</v>
      </c>
      <c r="AF357" s="1">
        <v>2.0</v>
      </c>
      <c r="AG357" s="1">
        <v>0.0</v>
      </c>
      <c r="AH357" s="1">
        <v>171.0</v>
      </c>
      <c r="AI357" s="1">
        <v>75.0</v>
      </c>
      <c r="AJ357" s="1">
        <v>0.0</v>
      </c>
      <c r="AK357" s="1">
        <v>0.0</v>
      </c>
      <c r="AL357" s="1">
        <v>6.0</v>
      </c>
      <c r="AM357" s="1">
        <v>0.0</v>
      </c>
      <c r="AN357" s="1">
        <v>2.0</v>
      </c>
    </row>
    <row r="358">
      <c r="A358" s="1">
        <v>238.0</v>
      </c>
      <c r="B358" s="1" t="s">
        <v>3587</v>
      </c>
      <c r="C358" s="1" t="s">
        <v>3588</v>
      </c>
      <c r="D358" s="1" t="s">
        <v>3589</v>
      </c>
      <c r="E358" s="1" t="s">
        <v>58</v>
      </c>
      <c r="F358" s="2">
        <v>22416.0</v>
      </c>
      <c r="G358" s="1" t="s">
        <v>3590</v>
      </c>
      <c r="H358" s="1">
        <v>93.0</v>
      </c>
      <c r="I358" s="1" t="s">
        <v>196</v>
      </c>
      <c r="J358" s="1">
        <v>8.0</v>
      </c>
      <c r="K358" s="2">
        <v>42907.0</v>
      </c>
      <c r="M358" s="1">
        <v>0.0</v>
      </c>
      <c r="N358" s="1" t="s">
        <v>75</v>
      </c>
      <c r="O358" s="1" t="s">
        <v>76</v>
      </c>
      <c r="P358" s="1" t="s">
        <v>3591</v>
      </c>
      <c r="S358" s="1" t="s">
        <v>118</v>
      </c>
      <c r="T358" s="1">
        <v>561.0</v>
      </c>
      <c r="U358" s="3" t="s">
        <v>3592</v>
      </c>
      <c r="V358" s="1">
        <v>721218.0</v>
      </c>
      <c r="W358" s="1" t="s">
        <v>3593</v>
      </c>
      <c r="X358" s="3" t="s">
        <v>3594</v>
      </c>
      <c r="Y358" s="3" t="s">
        <v>3595</v>
      </c>
      <c r="Z358" s="1">
        <v>1.0</v>
      </c>
      <c r="AA358" s="1" t="s">
        <v>3596</v>
      </c>
      <c r="AB358" s="1">
        <v>19.0</v>
      </c>
      <c r="AC358" s="1">
        <v>33.0</v>
      </c>
      <c r="AD358" s="1">
        <v>13.0</v>
      </c>
      <c r="AE358" s="1">
        <v>6.0</v>
      </c>
      <c r="AF358" s="1">
        <v>1.0</v>
      </c>
      <c r="AG358" s="1">
        <v>1.0</v>
      </c>
      <c r="AH358" s="1">
        <v>42.0</v>
      </c>
      <c r="AI358" s="1">
        <v>15.0</v>
      </c>
      <c r="AJ358" s="1">
        <v>0.0</v>
      </c>
      <c r="AK358" s="1">
        <v>0.0</v>
      </c>
      <c r="AL358" s="1">
        <v>6.0</v>
      </c>
      <c r="AM358" s="1">
        <v>2.0</v>
      </c>
      <c r="AN358" s="1">
        <v>2.0</v>
      </c>
    </row>
    <row r="359">
      <c r="A359" s="1">
        <v>330.0</v>
      </c>
      <c r="B359" s="1" t="s">
        <v>3597</v>
      </c>
      <c r="C359" s="1" t="s">
        <v>3598</v>
      </c>
      <c r="D359" s="1" t="s">
        <v>3599</v>
      </c>
      <c r="E359" s="1" t="s">
        <v>58</v>
      </c>
      <c r="F359" s="2">
        <v>31047.0</v>
      </c>
      <c r="G359" s="1" t="s">
        <v>3250</v>
      </c>
      <c r="H359" s="1">
        <v>25.0</v>
      </c>
      <c r="I359" s="1" t="s">
        <v>149</v>
      </c>
      <c r="J359" s="1">
        <v>1.0</v>
      </c>
      <c r="K359" s="2">
        <v>42907.0</v>
      </c>
      <c r="M359" s="1">
        <v>0.0</v>
      </c>
      <c r="N359" s="1" t="s">
        <v>75</v>
      </c>
      <c r="O359" s="1" t="s">
        <v>76</v>
      </c>
      <c r="P359" s="1" t="s">
        <v>3600</v>
      </c>
      <c r="S359" s="1" t="s">
        <v>3601</v>
      </c>
      <c r="T359" s="1">
        <v>528.0</v>
      </c>
      <c r="U359" s="3" t="s">
        <v>3602</v>
      </c>
      <c r="V359" s="1">
        <v>719170.0</v>
      </c>
      <c r="W359" s="1" t="s">
        <v>3603</v>
      </c>
      <c r="X359" s="3" t="s">
        <v>3604</v>
      </c>
      <c r="Y359" s="3" t="s">
        <v>3605</v>
      </c>
      <c r="Z359" s="1">
        <v>1.0</v>
      </c>
      <c r="AA359" s="1" t="s">
        <v>3606</v>
      </c>
      <c r="AB359" s="1">
        <v>19.0</v>
      </c>
      <c r="AC359" s="1">
        <v>39.0</v>
      </c>
      <c r="AD359" s="1">
        <v>9.0</v>
      </c>
      <c r="AE359" s="1">
        <v>4.0</v>
      </c>
      <c r="AF359" s="1">
        <v>0.0</v>
      </c>
      <c r="AG359" s="1">
        <v>2.0</v>
      </c>
      <c r="AH359" s="1">
        <v>55.0</v>
      </c>
      <c r="AI359" s="1">
        <v>16.0</v>
      </c>
      <c r="AJ359" s="1">
        <v>0.0</v>
      </c>
      <c r="AK359" s="1">
        <v>0.0</v>
      </c>
      <c r="AL359" s="1">
        <v>6.0</v>
      </c>
      <c r="AM359" s="1">
        <v>10.0</v>
      </c>
      <c r="AN359" s="1">
        <v>2.0</v>
      </c>
    </row>
    <row r="360">
      <c r="A360" s="1">
        <v>155.0</v>
      </c>
      <c r="B360" s="1" t="s">
        <v>3607</v>
      </c>
      <c r="C360" s="1" t="s">
        <v>3608</v>
      </c>
      <c r="D360" s="1" t="s">
        <v>1968</v>
      </c>
      <c r="E360" s="1" t="s">
        <v>43</v>
      </c>
      <c r="F360" s="2">
        <v>17607.0</v>
      </c>
      <c r="G360" s="1" t="s">
        <v>3609</v>
      </c>
      <c r="H360" s="1">
        <v>88.0</v>
      </c>
      <c r="I360" s="1" t="s">
        <v>1542</v>
      </c>
      <c r="J360" s="1">
        <v>2.0</v>
      </c>
      <c r="K360" s="2">
        <v>42907.0</v>
      </c>
      <c r="M360" s="1">
        <v>0.0</v>
      </c>
      <c r="N360" s="1" t="s">
        <v>61</v>
      </c>
      <c r="O360" s="1" t="s">
        <v>62</v>
      </c>
      <c r="P360" s="1" t="s">
        <v>3610</v>
      </c>
      <c r="S360" s="1" t="s">
        <v>1784</v>
      </c>
      <c r="T360" s="1">
        <v>116.0</v>
      </c>
      <c r="U360" s="3" t="s">
        <v>3611</v>
      </c>
      <c r="V360" s="1">
        <v>856.0</v>
      </c>
      <c r="W360" s="1" t="s">
        <v>3612</v>
      </c>
      <c r="X360" s="3" t="s">
        <v>3613</v>
      </c>
      <c r="Y360" s="3" t="s">
        <v>3614</v>
      </c>
      <c r="Z360" s="1">
        <v>1.0</v>
      </c>
      <c r="AA360" s="1" t="s">
        <v>3615</v>
      </c>
      <c r="AB360" s="1">
        <v>19.0</v>
      </c>
      <c r="AC360" s="1">
        <v>37.0</v>
      </c>
      <c r="AD360" s="1">
        <v>28.0</v>
      </c>
      <c r="AE360" s="1">
        <v>47.0</v>
      </c>
      <c r="AF360" s="1">
        <v>14.0</v>
      </c>
      <c r="AG360" s="1">
        <v>35.0</v>
      </c>
      <c r="AH360" s="1">
        <v>630.0</v>
      </c>
      <c r="AI360" s="1">
        <v>25.0</v>
      </c>
      <c r="AJ360" s="1">
        <v>0.0</v>
      </c>
      <c r="AK360" s="1">
        <v>0.0</v>
      </c>
      <c r="AL360" s="1">
        <v>13.0</v>
      </c>
      <c r="AM360" s="1">
        <v>1.0</v>
      </c>
      <c r="AN360" s="1">
        <v>0.0</v>
      </c>
    </row>
    <row r="361">
      <c r="A361" s="1">
        <v>571.0</v>
      </c>
      <c r="B361" s="1" t="s">
        <v>3616</v>
      </c>
      <c r="C361" s="1" t="s">
        <v>3617</v>
      </c>
      <c r="D361" s="1" t="s">
        <v>1451</v>
      </c>
      <c r="E361" s="1" t="s">
        <v>58</v>
      </c>
      <c r="F361" s="2">
        <v>23298.0</v>
      </c>
      <c r="G361" s="1" t="s">
        <v>652</v>
      </c>
      <c r="H361" s="1">
        <v>26.0</v>
      </c>
      <c r="I361" s="1" t="s">
        <v>1873</v>
      </c>
      <c r="J361" s="1">
        <v>1.0</v>
      </c>
      <c r="K361" s="2">
        <v>42907.0</v>
      </c>
      <c r="M361" s="1">
        <v>0.0</v>
      </c>
      <c r="N361" s="1" t="s">
        <v>75</v>
      </c>
      <c r="O361" s="1" t="s">
        <v>76</v>
      </c>
      <c r="P361" s="1" t="s">
        <v>3618</v>
      </c>
      <c r="S361" s="1" t="s">
        <v>1037</v>
      </c>
      <c r="T361" s="1">
        <v>358.0</v>
      </c>
      <c r="U361" s="3" t="s">
        <v>3619</v>
      </c>
      <c r="V361" s="1">
        <v>719294.0</v>
      </c>
      <c r="W361" s="1" t="s">
        <v>3620</v>
      </c>
      <c r="X361" s="3" t="s">
        <v>3621</v>
      </c>
      <c r="Y361" s="3" t="s">
        <v>3622</v>
      </c>
      <c r="Z361" s="1">
        <v>1.0</v>
      </c>
      <c r="AA361" s="1" t="s">
        <v>3623</v>
      </c>
      <c r="AB361" s="1">
        <v>19.0</v>
      </c>
      <c r="AC361" s="1">
        <v>39.0</v>
      </c>
      <c r="AD361" s="1">
        <v>13.0</v>
      </c>
      <c r="AE361" s="1">
        <v>4.0</v>
      </c>
      <c r="AF361" s="1">
        <v>1.0</v>
      </c>
      <c r="AG361" s="1">
        <v>0.0</v>
      </c>
      <c r="AH361" s="1">
        <v>17.0</v>
      </c>
      <c r="AI361" s="1">
        <v>7.0</v>
      </c>
      <c r="AJ361" s="1">
        <v>0.0</v>
      </c>
      <c r="AK361" s="1">
        <v>0.0</v>
      </c>
      <c r="AL361" s="1">
        <v>7.0</v>
      </c>
      <c r="AM361" s="1">
        <v>4.0</v>
      </c>
      <c r="AN361" s="1">
        <v>1.0</v>
      </c>
    </row>
    <row r="362">
      <c r="A362" s="1">
        <v>561.0</v>
      </c>
      <c r="B362" s="1" t="s">
        <v>3624</v>
      </c>
      <c r="C362" s="1" t="s">
        <v>3625</v>
      </c>
      <c r="D362" s="1" t="s">
        <v>3626</v>
      </c>
      <c r="E362" s="1" t="s">
        <v>58</v>
      </c>
      <c r="F362" s="2">
        <v>22395.0</v>
      </c>
      <c r="G362" s="1" t="s">
        <v>266</v>
      </c>
      <c r="H362" s="1">
        <v>59.0</v>
      </c>
      <c r="I362" s="1" t="s">
        <v>172</v>
      </c>
      <c r="J362" s="1">
        <v>21.0</v>
      </c>
      <c r="K362" s="2">
        <v>42907.0</v>
      </c>
      <c r="M362" s="1">
        <v>0.0</v>
      </c>
      <c r="N362" s="1" t="s">
        <v>46</v>
      </c>
      <c r="O362" s="1" t="s">
        <v>47</v>
      </c>
      <c r="S362" s="1" t="s">
        <v>3627</v>
      </c>
      <c r="T362" s="1">
        <v>157.0</v>
      </c>
      <c r="U362" s="3" t="s">
        <v>3628</v>
      </c>
      <c r="V362" s="1">
        <v>720696.0</v>
      </c>
      <c r="W362" s="1" t="s">
        <v>3629</v>
      </c>
      <c r="X362" s="3" t="s">
        <v>3630</v>
      </c>
      <c r="Y362" s="3" t="s">
        <v>3631</v>
      </c>
      <c r="Z362" s="1">
        <v>2.0</v>
      </c>
      <c r="AB362" s="1">
        <v>19.0</v>
      </c>
      <c r="AC362" s="1">
        <v>33.0</v>
      </c>
      <c r="AD362" s="1">
        <v>25.0</v>
      </c>
      <c r="AE362" s="1">
        <v>31.0</v>
      </c>
      <c r="AF362" s="1">
        <v>1.0</v>
      </c>
      <c r="AG362" s="1">
        <v>15.0</v>
      </c>
      <c r="AH362" s="1">
        <v>438.0</v>
      </c>
      <c r="AI362" s="1">
        <v>21.0</v>
      </c>
      <c r="AJ362" s="1">
        <v>0.0</v>
      </c>
      <c r="AK362" s="1">
        <v>0.0</v>
      </c>
      <c r="AL362" s="1">
        <v>14.0</v>
      </c>
      <c r="AM362" s="1">
        <v>19.0</v>
      </c>
      <c r="AN362" s="1">
        <v>4.0</v>
      </c>
    </row>
    <row r="363">
      <c r="A363" s="1">
        <v>362.0</v>
      </c>
      <c r="B363" s="1" t="s">
        <v>3632</v>
      </c>
      <c r="C363" s="1" t="s">
        <v>3633</v>
      </c>
      <c r="D363" s="1" t="s">
        <v>148</v>
      </c>
      <c r="E363" s="1" t="s">
        <v>43</v>
      </c>
      <c r="F363" s="2">
        <v>23944.0</v>
      </c>
      <c r="G363" s="1" t="s">
        <v>718</v>
      </c>
      <c r="H363" s="1">
        <v>13.0</v>
      </c>
      <c r="I363" s="1" t="s">
        <v>279</v>
      </c>
      <c r="J363" s="1">
        <v>12.0</v>
      </c>
      <c r="K363" s="2">
        <v>42907.0</v>
      </c>
      <c r="M363" s="1">
        <v>0.0</v>
      </c>
      <c r="N363" s="1" t="s">
        <v>61</v>
      </c>
      <c r="O363" s="1" t="s">
        <v>62</v>
      </c>
      <c r="P363" s="1" t="s">
        <v>3634</v>
      </c>
      <c r="S363" s="1" t="s">
        <v>304</v>
      </c>
      <c r="T363" s="1">
        <v>25.0</v>
      </c>
      <c r="U363" s="3" t="s">
        <v>3635</v>
      </c>
      <c r="V363" s="1">
        <v>267440.0</v>
      </c>
      <c r="W363" s="1" t="s">
        <v>3636</v>
      </c>
      <c r="X363" s="3" t="s">
        <v>3637</v>
      </c>
      <c r="Y363" s="3" t="s">
        <v>3638</v>
      </c>
      <c r="Z363" s="1">
        <v>2.0</v>
      </c>
      <c r="AA363" s="1" t="s">
        <v>3639</v>
      </c>
      <c r="AB363" s="1">
        <v>19.0</v>
      </c>
      <c r="AC363" s="1">
        <v>27.0</v>
      </c>
      <c r="AD363" s="1">
        <v>25.0</v>
      </c>
      <c r="AE363" s="1">
        <v>33.0</v>
      </c>
      <c r="AF363" s="1">
        <v>67.0</v>
      </c>
      <c r="AG363" s="1">
        <v>58.0</v>
      </c>
      <c r="AH363" s="1">
        <v>365.0</v>
      </c>
      <c r="AI363" s="1">
        <v>18.0</v>
      </c>
      <c r="AJ363" s="1">
        <v>0.0</v>
      </c>
      <c r="AK363" s="1">
        <v>1.0</v>
      </c>
      <c r="AL363" s="1">
        <v>23.0</v>
      </c>
      <c r="AM363" s="1">
        <v>9.0</v>
      </c>
      <c r="AN363" s="1">
        <v>2.0</v>
      </c>
    </row>
    <row r="364">
      <c r="A364" s="1">
        <v>67.0</v>
      </c>
      <c r="B364" s="1" t="s">
        <v>3640</v>
      </c>
      <c r="C364" s="1" t="s">
        <v>3641</v>
      </c>
      <c r="D364" s="1" t="s">
        <v>1987</v>
      </c>
      <c r="E364" s="1" t="s">
        <v>43</v>
      </c>
      <c r="F364" s="2">
        <v>30008.0</v>
      </c>
      <c r="G364" s="1" t="s">
        <v>2581</v>
      </c>
      <c r="H364" s="1">
        <v>87.0</v>
      </c>
      <c r="I364" s="1" t="s">
        <v>405</v>
      </c>
      <c r="J364" s="1">
        <v>2.0</v>
      </c>
      <c r="K364" s="2">
        <v>42907.0</v>
      </c>
      <c r="M364" s="1">
        <v>0.0</v>
      </c>
      <c r="N364" s="1" t="s">
        <v>75</v>
      </c>
      <c r="O364" s="1" t="s">
        <v>76</v>
      </c>
      <c r="P364" s="1" t="s">
        <v>3642</v>
      </c>
      <c r="S364" s="1" t="s">
        <v>198</v>
      </c>
      <c r="T364" s="1">
        <v>539.0</v>
      </c>
      <c r="U364" s="3" t="s">
        <v>3643</v>
      </c>
      <c r="V364" s="1">
        <v>722236.0</v>
      </c>
      <c r="W364" s="1" t="s">
        <v>3644</v>
      </c>
      <c r="X364" s="3" t="s">
        <v>3645</v>
      </c>
      <c r="Y364" s="3" t="s">
        <v>3646</v>
      </c>
      <c r="Z364" s="1">
        <v>1.0</v>
      </c>
      <c r="AA364" s="1" t="s">
        <v>3647</v>
      </c>
      <c r="AB364" s="1">
        <v>19.0</v>
      </c>
      <c r="AC364" s="1">
        <v>34.0</v>
      </c>
      <c r="AD364" s="1">
        <v>26.0</v>
      </c>
      <c r="AE364" s="1">
        <v>21.0</v>
      </c>
      <c r="AF364" s="1">
        <v>1.0</v>
      </c>
      <c r="AG364" s="1">
        <v>5.0</v>
      </c>
      <c r="AH364" s="1">
        <v>76.0</v>
      </c>
      <c r="AI364" s="1">
        <v>44.0</v>
      </c>
      <c r="AJ364" s="1">
        <v>0.0</v>
      </c>
      <c r="AK364" s="1">
        <v>0.0</v>
      </c>
      <c r="AL364" s="1">
        <v>5.0</v>
      </c>
      <c r="AM364" s="1">
        <v>8.0</v>
      </c>
      <c r="AN364" s="1">
        <v>1.0</v>
      </c>
    </row>
    <row r="365">
      <c r="A365" s="1">
        <v>520.0</v>
      </c>
      <c r="B365" s="1" t="s">
        <v>3648</v>
      </c>
      <c r="C365" s="1" t="s">
        <v>3649</v>
      </c>
      <c r="D365" s="1" t="s">
        <v>1421</v>
      </c>
      <c r="E365" s="1" t="s">
        <v>43</v>
      </c>
      <c r="F365" s="2">
        <v>24213.0</v>
      </c>
      <c r="G365" s="1" t="s">
        <v>695</v>
      </c>
      <c r="H365" s="1">
        <v>6.0</v>
      </c>
      <c r="I365" s="1" t="s">
        <v>438</v>
      </c>
      <c r="J365" s="1">
        <v>2.0</v>
      </c>
      <c r="K365" s="2">
        <v>42907.0</v>
      </c>
      <c r="M365" s="1">
        <v>0.0</v>
      </c>
      <c r="N365" s="1" t="s">
        <v>75</v>
      </c>
      <c r="O365" s="1" t="s">
        <v>76</v>
      </c>
      <c r="P365" s="1" t="s">
        <v>3650</v>
      </c>
      <c r="S365" s="1" t="s">
        <v>2484</v>
      </c>
      <c r="T365" s="1">
        <v>402.0</v>
      </c>
      <c r="U365" s="3" t="s">
        <v>3651</v>
      </c>
      <c r="V365" s="1">
        <v>718894.0</v>
      </c>
      <c r="W365" s="1" t="s">
        <v>3652</v>
      </c>
      <c r="X365" s="3" t="s">
        <v>3653</v>
      </c>
      <c r="Y365" s="3" t="s">
        <v>3654</v>
      </c>
      <c r="Z365" s="1">
        <v>2.0</v>
      </c>
      <c r="AA365" s="1" t="s">
        <v>3655</v>
      </c>
      <c r="AB365" s="1">
        <v>19.0</v>
      </c>
      <c r="AC365" s="1">
        <v>27.0</v>
      </c>
      <c r="AD365" s="1">
        <v>6.0</v>
      </c>
      <c r="AE365" s="1">
        <v>5.0</v>
      </c>
      <c r="AF365" s="1">
        <v>0.0</v>
      </c>
      <c r="AG365" s="1">
        <v>6.0</v>
      </c>
      <c r="AH365" s="1">
        <v>89.0</v>
      </c>
      <c r="AI365" s="1">
        <v>42.0</v>
      </c>
      <c r="AJ365" s="1">
        <v>0.0</v>
      </c>
      <c r="AK365" s="1">
        <v>0.0</v>
      </c>
      <c r="AL365" s="1">
        <v>9.0</v>
      </c>
      <c r="AM365" s="1">
        <v>19.0</v>
      </c>
      <c r="AN365" s="1">
        <v>2.0</v>
      </c>
    </row>
    <row r="366">
      <c r="A366" s="1">
        <v>187.0</v>
      </c>
      <c r="B366" s="1" t="s">
        <v>3656</v>
      </c>
      <c r="C366" s="1" t="s">
        <v>3657</v>
      </c>
      <c r="D366" s="1" t="s">
        <v>3658</v>
      </c>
      <c r="E366" s="1" t="s">
        <v>58</v>
      </c>
      <c r="F366" s="2">
        <v>20968.0</v>
      </c>
      <c r="G366" s="1" t="s">
        <v>3659</v>
      </c>
      <c r="H366" s="1">
        <v>24.0</v>
      </c>
      <c r="I366" s="1" t="s">
        <v>2327</v>
      </c>
      <c r="J366" s="1">
        <v>4.0</v>
      </c>
      <c r="K366" s="2">
        <v>42907.0</v>
      </c>
      <c r="M366" s="1">
        <v>0.0</v>
      </c>
      <c r="N366" s="1" t="s">
        <v>75</v>
      </c>
      <c r="O366" s="1" t="s">
        <v>76</v>
      </c>
      <c r="P366" s="1" t="s">
        <v>3660</v>
      </c>
      <c r="S366" s="1" t="s">
        <v>3558</v>
      </c>
      <c r="T366" s="1">
        <v>484.0</v>
      </c>
      <c r="U366" s="3" t="s">
        <v>3661</v>
      </c>
      <c r="V366" s="1">
        <v>719162.0</v>
      </c>
      <c r="W366" s="1" t="s">
        <v>3662</v>
      </c>
      <c r="X366" s="3" t="s">
        <v>3663</v>
      </c>
      <c r="Y366" s="3" t="s">
        <v>3664</v>
      </c>
      <c r="Z366" s="1">
        <v>1.0</v>
      </c>
      <c r="AA366" s="1" t="s">
        <v>3665</v>
      </c>
      <c r="AB366" s="1">
        <v>19.0</v>
      </c>
      <c r="AC366" s="1">
        <v>39.0</v>
      </c>
      <c r="AD366" s="1">
        <v>19.0</v>
      </c>
      <c r="AE366" s="1">
        <v>10.0</v>
      </c>
      <c r="AF366" s="1">
        <v>4.0</v>
      </c>
      <c r="AG366" s="1">
        <v>2.0</v>
      </c>
      <c r="AH366" s="1">
        <v>60.0</v>
      </c>
      <c r="AI366" s="1">
        <v>16.0</v>
      </c>
      <c r="AJ366" s="1">
        <v>0.0</v>
      </c>
      <c r="AK366" s="1">
        <v>0.0</v>
      </c>
      <c r="AL366" s="1">
        <v>8.0</v>
      </c>
      <c r="AM366" s="1">
        <v>6.0</v>
      </c>
      <c r="AN366" s="1">
        <v>3.0</v>
      </c>
    </row>
    <row r="367">
      <c r="A367" s="1">
        <v>102.0</v>
      </c>
      <c r="B367" s="1" t="s">
        <v>3666</v>
      </c>
      <c r="C367" s="1" t="s">
        <v>3667</v>
      </c>
      <c r="D367" s="1" t="s">
        <v>3668</v>
      </c>
      <c r="E367" s="1" t="s">
        <v>58</v>
      </c>
      <c r="F367" s="2">
        <v>30379.0</v>
      </c>
      <c r="G367" s="1" t="s">
        <v>857</v>
      </c>
      <c r="H367" s="1">
        <v>34.0</v>
      </c>
      <c r="I367" s="1" t="s">
        <v>1252</v>
      </c>
      <c r="J367" s="1">
        <v>3.0</v>
      </c>
      <c r="K367" s="2">
        <v>42907.0</v>
      </c>
      <c r="M367" s="1">
        <v>0.0</v>
      </c>
      <c r="N367" s="1" t="s">
        <v>75</v>
      </c>
      <c r="O367" s="1" t="s">
        <v>76</v>
      </c>
      <c r="P367" s="1" t="s">
        <v>3669</v>
      </c>
      <c r="S367" s="1" t="s">
        <v>1386</v>
      </c>
      <c r="T367" s="1">
        <v>347.0</v>
      </c>
      <c r="U367" s="3" t="s">
        <v>3670</v>
      </c>
      <c r="V367" s="1">
        <v>719684.0</v>
      </c>
      <c r="W367" s="1" t="s">
        <v>3671</v>
      </c>
      <c r="X367" s="3" t="s">
        <v>3672</v>
      </c>
      <c r="Y367" s="3" t="s">
        <v>3673</v>
      </c>
      <c r="Z367" s="1">
        <v>1.0</v>
      </c>
      <c r="AA367" s="1" t="s">
        <v>3674</v>
      </c>
      <c r="AB367" s="1">
        <v>19.0</v>
      </c>
      <c r="AC367" s="1">
        <v>34.0</v>
      </c>
      <c r="AD367" s="1">
        <v>5.0</v>
      </c>
      <c r="AE367" s="1">
        <v>9.0</v>
      </c>
      <c r="AF367" s="1">
        <v>9.0</v>
      </c>
      <c r="AG367" s="1">
        <v>15.0</v>
      </c>
      <c r="AH367" s="1">
        <v>63.0</v>
      </c>
      <c r="AI367" s="1">
        <v>25.0</v>
      </c>
      <c r="AJ367" s="1">
        <v>0.0</v>
      </c>
      <c r="AK367" s="1">
        <v>0.0</v>
      </c>
      <c r="AL367" s="1">
        <v>5.0</v>
      </c>
      <c r="AM367" s="1">
        <v>0.0</v>
      </c>
      <c r="AN367" s="1">
        <v>0.0</v>
      </c>
    </row>
    <row r="368">
      <c r="A368" s="1">
        <v>459.0</v>
      </c>
      <c r="B368" s="1" t="s">
        <v>3675</v>
      </c>
      <c r="C368" s="1" t="s">
        <v>3676</v>
      </c>
      <c r="D368" s="1" t="s">
        <v>3249</v>
      </c>
      <c r="E368" s="1" t="s">
        <v>58</v>
      </c>
      <c r="F368" s="2">
        <v>23149.0</v>
      </c>
      <c r="G368" s="1" t="s">
        <v>3677</v>
      </c>
      <c r="H368" s="1">
        <v>92.0</v>
      </c>
      <c r="I368" s="1" t="s">
        <v>781</v>
      </c>
      <c r="J368" s="1">
        <v>13.0</v>
      </c>
      <c r="K368" s="2">
        <v>42907.0</v>
      </c>
      <c r="M368" s="1">
        <v>0.0</v>
      </c>
      <c r="N368" s="1" t="s">
        <v>75</v>
      </c>
      <c r="O368" s="1" t="s">
        <v>76</v>
      </c>
      <c r="P368" s="1" t="s">
        <v>3678</v>
      </c>
      <c r="S368" s="1" t="s">
        <v>198</v>
      </c>
      <c r="T368" s="1">
        <v>411.0</v>
      </c>
      <c r="U368" s="3" t="s">
        <v>3679</v>
      </c>
      <c r="V368" s="1">
        <v>721194.0</v>
      </c>
      <c r="W368" s="1" t="s">
        <v>3680</v>
      </c>
      <c r="X368" s="3" t="s">
        <v>3681</v>
      </c>
      <c r="Y368" s="3" t="s">
        <v>3682</v>
      </c>
      <c r="Z368" s="1">
        <v>1.0</v>
      </c>
      <c r="AA368" s="1" t="s">
        <v>3683</v>
      </c>
      <c r="AB368" s="1">
        <v>19.0</v>
      </c>
      <c r="AC368" s="1">
        <v>37.0</v>
      </c>
      <c r="AD368" s="1">
        <v>16.0</v>
      </c>
      <c r="AE368" s="1">
        <v>11.0</v>
      </c>
      <c r="AF368" s="1">
        <v>6.0</v>
      </c>
      <c r="AG368" s="1">
        <v>2.0</v>
      </c>
      <c r="AH368" s="1">
        <v>54.0</v>
      </c>
      <c r="AI368" s="1">
        <v>20.0</v>
      </c>
      <c r="AJ368" s="1">
        <v>1.0</v>
      </c>
      <c r="AK368" s="1">
        <v>0.0</v>
      </c>
      <c r="AL368" s="1">
        <v>6.0</v>
      </c>
      <c r="AM368" s="1">
        <v>5.0</v>
      </c>
      <c r="AN368" s="1">
        <v>1.0</v>
      </c>
    </row>
    <row r="369">
      <c r="A369" s="1">
        <v>584.0</v>
      </c>
      <c r="B369" s="1" t="s">
        <v>3684</v>
      </c>
      <c r="C369" s="1" t="s">
        <v>3685</v>
      </c>
      <c r="D369" s="1" t="s">
        <v>3686</v>
      </c>
      <c r="E369" s="1" t="s">
        <v>58</v>
      </c>
      <c r="F369" s="2">
        <v>25755.0</v>
      </c>
      <c r="G369" s="1" t="s">
        <v>3687</v>
      </c>
      <c r="H369" s="1">
        <v>75.0</v>
      </c>
      <c r="I369" s="1" t="s">
        <v>232</v>
      </c>
      <c r="J369" s="1">
        <v>5.0</v>
      </c>
      <c r="K369" s="2">
        <v>42938.0</v>
      </c>
      <c r="M369" s="1">
        <v>0.0</v>
      </c>
      <c r="N369" s="1" t="s">
        <v>75</v>
      </c>
      <c r="O369" s="1" t="s">
        <v>76</v>
      </c>
      <c r="P369" s="1" t="s">
        <v>3688</v>
      </c>
      <c r="S369" s="1" t="s">
        <v>3689</v>
      </c>
      <c r="T369" s="1">
        <v>461.0</v>
      </c>
      <c r="U369" s="3" t="s">
        <v>3690</v>
      </c>
      <c r="V369" s="1">
        <v>721564.0</v>
      </c>
      <c r="W369" s="1" t="s">
        <v>3691</v>
      </c>
      <c r="X369" s="3" t="s">
        <v>3692</v>
      </c>
      <c r="Y369" s="3" t="s">
        <v>3693</v>
      </c>
      <c r="Z369" s="1">
        <v>1.0</v>
      </c>
      <c r="AA369" s="1" t="s">
        <v>3694</v>
      </c>
      <c r="AB369" s="1">
        <v>19.0</v>
      </c>
      <c r="AC369" s="1">
        <v>44.0</v>
      </c>
      <c r="AD369" s="1">
        <v>10.0</v>
      </c>
      <c r="AE369" s="1">
        <v>21.0</v>
      </c>
      <c r="AF369" s="1">
        <v>5.0</v>
      </c>
      <c r="AG369" s="1">
        <v>0.0</v>
      </c>
      <c r="AH369" s="1">
        <v>59.0</v>
      </c>
      <c r="AI369" s="1">
        <v>25.0</v>
      </c>
      <c r="AJ369" s="1">
        <v>0.0</v>
      </c>
      <c r="AK369" s="1">
        <v>0.0</v>
      </c>
      <c r="AL369" s="1">
        <v>5.0</v>
      </c>
      <c r="AM369" s="1">
        <v>0.0</v>
      </c>
      <c r="AN369" s="1">
        <v>1.0</v>
      </c>
    </row>
    <row r="370">
      <c r="A370" s="1">
        <v>232.0</v>
      </c>
      <c r="B370" s="1" t="s">
        <v>3695</v>
      </c>
      <c r="C370" s="1" t="s">
        <v>3696</v>
      </c>
      <c r="D370" s="1" t="s">
        <v>810</v>
      </c>
      <c r="E370" s="1" t="s">
        <v>43</v>
      </c>
      <c r="F370" s="2">
        <v>18386.0</v>
      </c>
      <c r="G370" s="1" t="s">
        <v>2317</v>
      </c>
      <c r="H370" s="1">
        <v>63.0</v>
      </c>
      <c r="I370" s="1" t="s">
        <v>114</v>
      </c>
      <c r="J370" s="1">
        <v>4.0</v>
      </c>
      <c r="K370" s="2">
        <v>42907.0</v>
      </c>
      <c r="M370" s="1">
        <v>0.0</v>
      </c>
      <c r="N370" s="1" t="s">
        <v>280</v>
      </c>
      <c r="O370" s="1" t="s">
        <v>281</v>
      </c>
      <c r="P370" s="3" t="s">
        <v>3697</v>
      </c>
      <c r="S370" s="1" t="s">
        <v>3698</v>
      </c>
      <c r="T370" s="1">
        <v>175.0</v>
      </c>
      <c r="U370" s="3" t="s">
        <v>3699</v>
      </c>
      <c r="V370" s="1">
        <v>1276.0</v>
      </c>
      <c r="W370" s="1" t="s">
        <v>3700</v>
      </c>
      <c r="X370" s="3" t="s">
        <v>3701</v>
      </c>
      <c r="Y370" s="3" t="s">
        <v>3702</v>
      </c>
      <c r="Z370" s="1">
        <v>1.0</v>
      </c>
      <c r="AA370" s="1" t="s">
        <v>3703</v>
      </c>
      <c r="AB370" s="1">
        <v>19.0</v>
      </c>
      <c r="AC370" s="1">
        <v>32.0</v>
      </c>
      <c r="AD370" s="1">
        <v>12.0</v>
      </c>
      <c r="AE370" s="1">
        <v>4.0</v>
      </c>
      <c r="AF370" s="1">
        <v>2.0</v>
      </c>
      <c r="AG370" s="1">
        <v>0.0</v>
      </c>
      <c r="AH370" s="1">
        <v>189.0</v>
      </c>
      <c r="AI370" s="1">
        <v>17.0</v>
      </c>
      <c r="AJ370" s="1">
        <v>1.0</v>
      </c>
      <c r="AK370" s="1">
        <v>0.0</v>
      </c>
      <c r="AL370" s="1">
        <v>7.0</v>
      </c>
      <c r="AM370" s="1">
        <v>1.0</v>
      </c>
      <c r="AN370" s="1">
        <v>1.0</v>
      </c>
    </row>
    <row r="371">
      <c r="A371" s="1">
        <v>277.0</v>
      </c>
      <c r="B371" s="1" t="s">
        <v>3704</v>
      </c>
      <c r="C371" s="1" t="s">
        <v>3705</v>
      </c>
      <c r="D371" s="1" t="s">
        <v>2825</v>
      </c>
      <c r="E371" s="1" t="s">
        <v>58</v>
      </c>
      <c r="F371" s="2">
        <v>25162.0</v>
      </c>
      <c r="G371" s="1" t="s">
        <v>1158</v>
      </c>
      <c r="H371" s="1">
        <v>76.0</v>
      </c>
      <c r="I371" s="1" t="s">
        <v>371</v>
      </c>
      <c r="J371" s="1">
        <v>7.0</v>
      </c>
      <c r="K371" s="2">
        <v>42907.0</v>
      </c>
      <c r="M371" s="1">
        <v>0.0</v>
      </c>
      <c r="N371" s="1" t="s">
        <v>46</v>
      </c>
      <c r="O371" s="1" t="s">
        <v>47</v>
      </c>
      <c r="P371" s="3" t="s">
        <v>3706</v>
      </c>
      <c r="S371" s="1" t="s">
        <v>1784</v>
      </c>
      <c r="T371" s="1">
        <v>158.0</v>
      </c>
      <c r="U371" s="3" t="s">
        <v>3707</v>
      </c>
      <c r="V371" s="1">
        <v>267780.0</v>
      </c>
      <c r="W371" s="1" t="s">
        <v>3708</v>
      </c>
      <c r="X371" s="3" t="s">
        <v>3709</v>
      </c>
      <c r="Y371" s="3" t="s">
        <v>3710</v>
      </c>
      <c r="Z371" s="1">
        <v>1.0</v>
      </c>
      <c r="AA371" s="1" t="s">
        <v>3711</v>
      </c>
      <c r="AB371" s="1">
        <v>19.0</v>
      </c>
      <c r="AC371" s="1">
        <v>33.0</v>
      </c>
      <c r="AD371" s="1">
        <v>35.0</v>
      </c>
      <c r="AE371" s="1">
        <v>74.0</v>
      </c>
      <c r="AF371" s="1">
        <v>12.0</v>
      </c>
      <c r="AG371" s="1">
        <v>43.0</v>
      </c>
      <c r="AH371" s="1">
        <v>646.0</v>
      </c>
      <c r="AI371" s="1">
        <v>31.0</v>
      </c>
      <c r="AJ371" s="1">
        <v>1.0</v>
      </c>
      <c r="AK371" s="1">
        <v>0.0</v>
      </c>
      <c r="AL371" s="1">
        <v>16.0</v>
      </c>
      <c r="AM371" s="1">
        <v>12.0</v>
      </c>
      <c r="AN371" s="1">
        <v>1.0</v>
      </c>
    </row>
    <row r="372">
      <c r="A372" s="1">
        <v>581.0</v>
      </c>
      <c r="B372" s="1" t="s">
        <v>3712</v>
      </c>
      <c r="C372" s="1" t="s">
        <v>3713</v>
      </c>
      <c r="D372" s="1" t="s">
        <v>1250</v>
      </c>
      <c r="E372" s="1" t="s">
        <v>58</v>
      </c>
      <c r="F372" s="2">
        <v>26904.0</v>
      </c>
      <c r="G372" s="1" t="s">
        <v>3714</v>
      </c>
      <c r="H372" s="1">
        <v>4.0</v>
      </c>
      <c r="I372" s="1" t="s">
        <v>740</v>
      </c>
      <c r="J372" s="1">
        <v>2.0</v>
      </c>
      <c r="K372" s="2">
        <v>42938.0</v>
      </c>
      <c r="M372" s="1">
        <v>0.0</v>
      </c>
      <c r="N372" s="1" t="s">
        <v>75</v>
      </c>
      <c r="O372" s="1" t="s">
        <v>76</v>
      </c>
      <c r="P372" s="3" t="s">
        <v>3715</v>
      </c>
      <c r="S372" s="1" t="s">
        <v>3716</v>
      </c>
      <c r="T372" s="1">
        <v>447.0</v>
      </c>
      <c r="U372" s="3" t="s">
        <v>3717</v>
      </c>
      <c r="V372" s="1">
        <v>718706.0</v>
      </c>
      <c r="W372" s="1" t="s">
        <v>3718</v>
      </c>
      <c r="X372" s="3" t="s">
        <v>3719</v>
      </c>
      <c r="Y372" s="3" t="s">
        <v>3720</v>
      </c>
      <c r="Z372" s="1">
        <v>1.0</v>
      </c>
      <c r="AB372" s="1">
        <v>19.0</v>
      </c>
      <c r="AC372" s="1">
        <v>36.0</v>
      </c>
      <c r="AD372" s="1">
        <v>6.0</v>
      </c>
      <c r="AE372" s="1">
        <v>2.0</v>
      </c>
      <c r="AF372" s="1">
        <v>2.0</v>
      </c>
      <c r="AG372" s="1">
        <v>0.0</v>
      </c>
      <c r="AH372" s="1">
        <v>55.0</v>
      </c>
      <c r="AI372" s="1">
        <v>24.0</v>
      </c>
      <c r="AJ372" s="1">
        <v>0.0</v>
      </c>
      <c r="AK372" s="1">
        <v>0.0</v>
      </c>
      <c r="AL372" s="1">
        <v>6.0</v>
      </c>
      <c r="AM372" s="1">
        <v>2.0</v>
      </c>
      <c r="AN372" s="1">
        <v>1.0</v>
      </c>
    </row>
    <row r="373">
      <c r="A373" s="1">
        <v>3.0</v>
      </c>
      <c r="B373" s="1" t="s">
        <v>3721</v>
      </c>
      <c r="C373" s="1" t="s">
        <v>3722</v>
      </c>
      <c r="D373" s="1" t="s">
        <v>1623</v>
      </c>
      <c r="E373" s="1" t="s">
        <v>58</v>
      </c>
      <c r="F373" s="2">
        <v>22792.0</v>
      </c>
      <c r="G373" s="1" t="s">
        <v>2493</v>
      </c>
      <c r="H373" s="1">
        <v>72.0</v>
      </c>
      <c r="I373" s="1" t="s">
        <v>2494</v>
      </c>
      <c r="J373" s="1">
        <v>3.0</v>
      </c>
      <c r="K373" s="2">
        <v>42907.0</v>
      </c>
      <c r="M373" s="1">
        <v>0.0</v>
      </c>
      <c r="N373" s="1" t="s">
        <v>75</v>
      </c>
      <c r="O373" s="1" t="s">
        <v>76</v>
      </c>
      <c r="P373" s="1" t="s">
        <v>3723</v>
      </c>
      <c r="S373" s="1" t="s">
        <v>198</v>
      </c>
      <c r="T373" s="1">
        <v>463.0</v>
      </c>
      <c r="U373" s="3" t="s">
        <v>3724</v>
      </c>
      <c r="V373" s="1">
        <v>721384.0</v>
      </c>
      <c r="W373" s="1" t="s">
        <v>3725</v>
      </c>
      <c r="X373" s="3" t="s">
        <v>3726</v>
      </c>
      <c r="Y373" s="3" t="s">
        <v>3727</v>
      </c>
      <c r="Z373" s="1">
        <v>1.0</v>
      </c>
      <c r="AA373" s="1" t="s">
        <v>3728</v>
      </c>
      <c r="AB373" s="1">
        <v>19.0</v>
      </c>
      <c r="AC373" s="1">
        <v>27.0</v>
      </c>
      <c r="AD373" s="1">
        <v>3.0</v>
      </c>
      <c r="AE373" s="1">
        <v>5.0</v>
      </c>
      <c r="AF373" s="1">
        <v>1.0</v>
      </c>
      <c r="AG373" s="1">
        <v>3.0</v>
      </c>
      <c r="AH373" s="1">
        <v>65.0</v>
      </c>
      <c r="AI373" s="1">
        <v>25.0</v>
      </c>
      <c r="AJ373" s="1">
        <v>0.0</v>
      </c>
      <c r="AK373" s="1">
        <v>0.0</v>
      </c>
      <c r="AL373" s="1">
        <v>5.0</v>
      </c>
      <c r="AM373" s="1">
        <v>1.0</v>
      </c>
      <c r="AN373" s="1">
        <v>1.0</v>
      </c>
    </row>
    <row r="374">
      <c r="A374" s="1">
        <v>89.0</v>
      </c>
      <c r="B374" s="1" t="s">
        <v>3729</v>
      </c>
      <c r="C374" s="1" t="s">
        <v>3730</v>
      </c>
      <c r="D374" s="1" t="s">
        <v>641</v>
      </c>
      <c r="E374" s="1" t="s">
        <v>43</v>
      </c>
      <c r="F374" s="2">
        <v>23881.0</v>
      </c>
      <c r="G374" s="1" t="s">
        <v>1500</v>
      </c>
      <c r="H374" s="1">
        <v>67.0</v>
      </c>
      <c r="I374" s="1" t="s">
        <v>244</v>
      </c>
      <c r="J374" s="1">
        <v>6.0</v>
      </c>
      <c r="K374" s="2">
        <v>42907.0</v>
      </c>
      <c r="M374" s="1">
        <v>0.0</v>
      </c>
      <c r="N374" s="1" t="s">
        <v>61</v>
      </c>
      <c r="O374" s="1" t="s">
        <v>62</v>
      </c>
      <c r="P374" s="3" t="s">
        <v>3731</v>
      </c>
      <c r="S374" s="1" t="s">
        <v>3732</v>
      </c>
      <c r="T374" s="1">
        <v>80.0</v>
      </c>
      <c r="U374" s="3" t="s">
        <v>3733</v>
      </c>
      <c r="V374" s="1">
        <v>266774.0</v>
      </c>
      <c r="W374" s="1" t="s">
        <v>3734</v>
      </c>
      <c r="X374" s="3" t="s">
        <v>3735</v>
      </c>
      <c r="Y374" s="3" t="s">
        <v>3736</v>
      </c>
      <c r="Z374" s="1">
        <v>2.0</v>
      </c>
      <c r="AB374" s="1">
        <v>19.0</v>
      </c>
      <c r="AC374" s="1">
        <v>25.0</v>
      </c>
      <c r="AD374" s="1">
        <v>19.0</v>
      </c>
      <c r="AE374" s="1">
        <v>71.0</v>
      </c>
      <c r="AF374" s="1">
        <v>367.0</v>
      </c>
      <c r="AG374" s="1">
        <v>16.0</v>
      </c>
      <c r="AH374" s="1">
        <v>954.0</v>
      </c>
      <c r="AI374" s="1">
        <v>24.0</v>
      </c>
      <c r="AJ374" s="1">
        <v>0.0</v>
      </c>
      <c r="AK374" s="1">
        <v>1.0</v>
      </c>
      <c r="AL374" s="1">
        <v>80.0</v>
      </c>
      <c r="AM374" s="1">
        <v>23.0</v>
      </c>
      <c r="AN374" s="1">
        <v>2.0</v>
      </c>
    </row>
    <row r="375">
      <c r="A375" s="1">
        <v>305.0</v>
      </c>
      <c r="B375" s="1" t="s">
        <v>3737</v>
      </c>
      <c r="C375" s="1" t="s">
        <v>3738</v>
      </c>
      <c r="D375" s="1" t="s">
        <v>1760</v>
      </c>
      <c r="E375" s="1" t="s">
        <v>43</v>
      </c>
      <c r="F375" s="2">
        <v>19607.0</v>
      </c>
      <c r="G375" s="1" t="s">
        <v>207</v>
      </c>
      <c r="H375" s="1">
        <v>45.0</v>
      </c>
      <c r="I375" s="1" t="s">
        <v>2531</v>
      </c>
      <c r="J375" s="1">
        <v>3.0</v>
      </c>
      <c r="K375" s="2">
        <v>42907.0</v>
      </c>
      <c r="M375" s="1">
        <v>0.0</v>
      </c>
      <c r="N375" s="1" t="s">
        <v>61</v>
      </c>
      <c r="O375" s="1" t="s">
        <v>62</v>
      </c>
      <c r="P375" s="1" t="s">
        <v>3739</v>
      </c>
      <c r="S375" s="1">
        <v>0.0</v>
      </c>
      <c r="T375" s="1">
        <v>51.0</v>
      </c>
      <c r="U375" s="3" t="s">
        <v>3740</v>
      </c>
      <c r="V375" s="1">
        <v>267735.0</v>
      </c>
      <c r="W375" s="1" t="s">
        <v>3741</v>
      </c>
      <c r="X375" s="3" t="s">
        <v>3742</v>
      </c>
      <c r="Y375" s="3" t="s">
        <v>3743</v>
      </c>
      <c r="Z375" s="1">
        <v>1.0</v>
      </c>
      <c r="AA375" s="1" t="s">
        <v>3744</v>
      </c>
      <c r="AB375" s="1">
        <v>19.0</v>
      </c>
      <c r="AC375" s="1">
        <v>32.0</v>
      </c>
      <c r="AD375" s="1">
        <v>13.0</v>
      </c>
      <c r="AE375" s="1">
        <v>5.0</v>
      </c>
      <c r="AF375" s="1">
        <v>1.0</v>
      </c>
      <c r="AG375" s="1">
        <v>0.0</v>
      </c>
      <c r="AH375" s="1">
        <v>730.0</v>
      </c>
      <c r="AI375" s="1">
        <v>26.0</v>
      </c>
      <c r="AJ375" s="1">
        <v>1.0</v>
      </c>
      <c r="AK375" s="1">
        <v>0.0</v>
      </c>
      <c r="AL375" s="1">
        <v>21.0</v>
      </c>
      <c r="AM375" s="1">
        <v>2.0</v>
      </c>
      <c r="AN375" s="1">
        <v>0.0</v>
      </c>
    </row>
    <row r="376">
      <c r="A376" s="1">
        <v>214.0</v>
      </c>
      <c r="B376" s="1" t="s">
        <v>3745</v>
      </c>
      <c r="C376" s="1" t="s">
        <v>3746</v>
      </c>
      <c r="D376" s="1" t="s">
        <v>1262</v>
      </c>
      <c r="E376" s="1" t="s">
        <v>43</v>
      </c>
      <c r="F376" s="2">
        <v>29727.0</v>
      </c>
      <c r="G376" s="1" t="s">
        <v>3747</v>
      </c>
      <c r="H376" s="1">
        <v>69.0</v>
      </c>
      <c r="I376" s="1" t="s">
        <v>1363</v>
      </c>
      <c r="J376" s="1">
        <v>10.0</v>
      </c>
      <c r="K376" s="2">
        <v>42907.0</v>
      </c>
      <c r="M376" s="1">
        <v>0.0</v>
      </c>
      <c r="N376" s="1" t="s">
        <v>75</v>
      </c>
      <c r="O376" s="1" t="s">
        <v>76</v>
      </c>
      <c r="P376" s="1" t="s">
        <v>3748</v>
      </c>
      <c r="S376" s="1" t="s">
        <v>198</v>
      </c>
      <c r="T376" s="1">
        <v>273.0</v>
      </c>
      <c r="U376" s="3" t="s">
        <v>3749</v>
      </c>
      <c r="V376" s="1">
        <v>722358.0</v>
      </c>
      <c r="W376" s="1" t="s">
        <v>3750</v>
      </c>
      <c r="X376" s="3" t="s">
        <v>3751</v>
      </c>
      <c r="Y376" s="3" t="s">
        <v>3752</v>
      </c>
      <c r="Z376" s="1">
        <v>2.0</v>
      </c>
      <c r="AA376" s="1" t="s">
        <v>3753</v>
      </c>
      <c r="AB376" s="1">
        <v>19.0</v>
      </c>
      <c r="AC376" s="1">
        <v>32.0</v>
      </c>
      <c r="AD376" s="1">
        <v>10.0</v>
      </c>
      <c r="AE376" s="1">
        <v>1.0</v>
      </c>
      <c r="AF376" s="1">
        <v>0.0</v>
      </c>
      <c r="AG376" s="1">
        <v>0.0</v>
      </c>
      <c r="AH376" s="1">
        <v>4.0</v>
      </c>
      <c r="AI376" s="1">
        <v>1.0</v>
      </c>
      <c r="AJ376" s="1">
        <v>1.0</v>
      </c>
      <c r="AK376" s="1">
        <v>0.0</v>
      </c>
      <c r="AL376" s="1">
        <v>5.0</v>
      </c>
      <c r="AM376" s="1">
        <v>0.0</v>
      </c>
      <c r="AN376" s="1">
        <v>0.0</v>
      </c>
    </row>
    <row r="377">
      <c r="A377" s="1">
        <v>199.0</v>
      </c>
      <c r="B377" s="1" t="s">
        <v>3754</v>
      </c>
      <c r="C377" s="1" t="s">
        <v>3755</v>
      </c>
      <c r="D377" s="1" t="s">
        <v>694</v>
      </c>
      <c r="E377" s="1" t="s">
        <v>58</v>
      </c>
      <c r="F377" s="2">
        <v>24010.0</v>
      </c>
      <c r="G377" s="1" t="s">
        <v>2768</v>
      </c>
      <c r="H377" s="1">
        <v>66.0</v>
      </c>
      <c r="I377" s="1" t="s">
        <v>1773</v>
      </c>
      <c r="J377" s="1">
        <v>3.0</v>
      </c>
      <c r="K377" s="2">
        <v>42907.0</v>
      </c>
      <c r="M377" s="1">
        <v>0.0</v>
      </c>
      <c r="N377" s="1" t="s">
        <v>75</v>
      </c>
      <c r="O377" s="1" t="s">
        <v>76</v>
      </c>
      <c r="P377" s="1" t="s">
        <v>3756</v>
      </c>
      <c r="S377" s="1" t="s">
        <v>234</v>
      </c>
      <c r="T377" s="1">
        <v>530.0</v>
      </c>
      <c r="U377" s="3" t="s">
        <v>3757</v>
      </c>
      <c r="V377" s="1">
        <v>720806.0</v>
      </c>
      <c r="W377" s="1" t="s">
        <v>3758</v>
      </c>
      <c r="X377" s="3" t="s">
        <v>3759</v>
      </c>
      <c r="Y377" s="3" t="s">
        <v>3760</v>
      </c>
      <c r="Z377" s="1">
        <v>1.0</v>
      </c>
      <c r="AA377" s="1" t="s">
        <v>3761</v>
      </c>
      <c r="AB377" s="1">
        <v>19.0</v>
      </c>
      <c r="AC377" s="1">
        <v>32.0</v>
      </c>
      <c r="AD377" s="1">
        <v>7.0</v>
      </c>
      <c r="AE377" s="1">
        <v>7.0</v>
      </c>
      <c r="AF377" s="1">
        <v>0.0</v>
      </c>
      <c r="AG377" s="1">
        <v>1.0</v>
      </c>
      <c r="AH377" s="1">
        <v>17.0</v>
      </c>
      <c r="AI377" s="1">
        <v>4.0</v>
      </c>
      <c r="AJ377" s="1">
        <v>1.0</v>
      </c>
      <c r="AK377" s="1">
        <v>0.0</v>
      </c>
      <c r="AL377" s="1">
        <v>5.0</v>
      </c>
      <c r="AM377" s="1">
        <v>3.0</v>
      </c>
      <c r="AN377" s="1">
        <v>2.0</v>
      </c>
    </row>
    <row r="378">
      <c r="A378" s="1">
        <v>249.0</v>
      </c>
      <c r="B378" s="1" t="s">
        <v>3762</v>
      </c>
      <c r="C378" s="1" t="s">
        <v>3763</v>
      </c>
      <c r="D378" s="1" t="s">
        <v>148</v>
      </c>
      <c r="E378" s="1" t="s">
        <v>43</v>
      </c>
      <c r="F378" s="2">
        <v>22689.0</v>
      </c>
      <c r="G378" s="1" t="s">
        <v>3764</v>
      </c>
      <c r="H378" s="1">
        <v>51.0</v>
      </c>
      <c r="I378" s="1" t="s">
        <v>208</v>
      </c>
      <c r="J378" s="1">
        <v>3.0</v>
      </c>
      <c r="K378" s="2">
        <v>42907.0</v>
      </c>
      <c r="M378" s="1">
        <v>0.0</v>
      </c>
      <c r="N378" s="1" t="s">
        <v>75</v>
      </c>
      <c r="O378" s="1" t="s">
        <v>76</v>
      </c>
      <c r="P378" s="3" t="s">
        <v>3765</v>
      </c>
      <c r="S378" s="1" t="s">
        <v>198</v>
      </c>
      <c r="T378" s="1">
        <v>219.0</v>
      </c>
      <c r="U378" s="3" t="s">
        <v>3766</v>
      </c>
      <c r="V378" s="1">
        <v>720222.0</v>
      </c>
      <c r="W378" s="1" t="s">
        <v>3767</v>
      </c>
      <c r="X378" s="3" t="s">
        <v>3768</v>
      </c>
      <c r="Y378" s="3" t="s">
        <v>3769</v>
      </c>
      <c r="Z378" s="1">
        <v>1.0</v>
      </c>
      <c r="AA378" s="1" t="s">
        <v>3770</v>
      </c>
      <c r="AB378" s="1">
        <v>19.0</v>
      </c>
      <c r="AC378" s="1">
        <v>46.0</v>
      </c>
      <c r="AD378" s="1">
        <v>3.0</v>
      </c>
      <c r="AE378" s="1">
        <v>6.0</v>
      </c>
      <c r="AF378" s="1">
        <v>1.0</v>
      </c>
      <c r="AG378" s="1">
        <v>1.0</v>
      </c>
      <c r="AH378" s="1">
        <v>38.0</v>
      </c>
      <c r="AI378" s="1">
        <v>14.0</v>
      </c>
      <c r="AJ378" s="1">
        <v>0.0</v>
      </c>
      <c r="AK378" s="1">
        <v>0.0</v>
      </c>
      <c r="AL378" s="1">
        <v>5.0</v>
      </c>
      <c r="AM378" s="1">
        <v>2.0</v>
      </c>
      <c r="AN378" s="1">
        <v>1.0</v>
      </c>
    </row>
    <row r="379">
      <c r="A379" s="1">
        <v>230.0</v>
      </c>
      <c r="B379" s="1" t="s">
        <v>3771</v>
      </c>
      <c r="C379" s="1" t="s">
        <v>3772</v>
      </c>
      <c r="D379" s="1" t="s">
        <v>1822</v>
      </c>
      <c r="E379" s="1" t="s">
        <v>43</v>
      </c>
      <c r="F379" s="2">
        <v>31444.0</v>
      </c>
      <c r="G379" s="1" t="s">
        <v>836</v>
      </c>
      <c r="H379" s="1">
        <v>94.0</v>
      </c>
      <c r="I379" s="1" t="s">
        <v>642</v>
      </c>
      <c r="J379" s="1">
        <v>6.0</v>
      </c>
      <c r="K379" s="2">
        <v>42907.0</v>
      </c>
      <c r="M379" s="1">
        <v>0.0</v>
      </c>
      <c r="N379" s="1" t="s">
        <v>75</v>
      </c>
      <c r="O379" s="1" t="s">
        <v>76</v>
      </c>
      <c r="P379" s="1" t="s">
        <v>3773</v>
      </c>
      <c r="S379" s="1" t="s">
        <v>3774</v>
      </c>
      <c r="T379" s="1">
        <v>420.0</v>
      </c>
      <c r="U379" s="3" t="s">
        <v>3775</v>
      </c>
      <c r="V379" s="1">
        <v>721296.0</v>
      </c>
      <c r="W379" s="1" t="s">
        <v>3776</v>
      </c>
      <c r="X379" s="3" t="s">
        <v>3777</v>
      </c>
      <c r="Y379" s="3" t="s">
        <v>3778</v>
      </c>
      <c r="Z379" s="1">
        <v>1.0</v>
      </c>
      <c r="AA379" s="1" t="s">
        <v>3779</v>
      </c>
      <c r="AB379" s="1">
        <v>19.0</v>
      </c>
      <c r="AC379" s="1">
        <v>41.0</v>
      </c>
      <c r="AD379" s="1">
        <v>39.0</v>
      </c>
      <c r="AE379" s="1">
        <v>30.0</v>
      </c>
      <c r="AF379" s="1">
        <v>3.0</v>
      </c>
      <c r="AG379" s="1">
        <v>4.0</v>
      </c>
      <c r="AH379" s="1">
        <v>21.0</v>
      </c>
      <c r="AI379" s="1">
        <v>9.0</v>
      </c>
      <c r="AJ379" s="1">
        <v>1.0</v>
      </c>
      <c r="AK379" s="1">
        <v>0.0</v>
      </c>
      <c r="AL379" s="1">
        <v>5.0</v>
      </c>
      <c r="AM379" s="1">
        <v>4.0</v>
      </c>
      <c r="AN379" s="1">
        <v>0.0</v>
      </c>
    </row>
    <row r="380">
      <c r="A380" s="1">
        <v>288.0</v>
      </c>
      <c r="B380" s="1" t="s">
        <v>3780</v>
      </c>
      <c r="C380" s="1" t="s">
        <v>3781</v>
      </c>
      <c r="D380" s="1" t="s">
        <v>469</v>
      </c>
      <c r="E380" s="1" t="s">
        <v>43</v>
      </c>
      <c r="F380" s="2">
        <v>28760.0</v>
      </c>
      <c r="G380" s="1" t="s">
        <v>3546</v>
      </c>
      <c r="H380" s="1">
        <v>27.0</v>
      </c>
      <c r="I380" s="1" t="s">
        <v>2698</v>
      </c>
      <c r="J380" s="1">
        <v>2.0</v>
      </c>
      <c r="K380" s="2">
        <v>42907.0</v>
      </c>
      <c r="M380" s="1">
        <v>0.0</v>
      </c>
      <c r="N380" s="1" t="s">
        <v>75</v>
      </c>
      <c r="O380" s="1" t="s">
        <v>76</v>
      </c>
      <c r="P380" s="1" t="s">
        <v>3782</v>
      </c>
      <c r="S380" s="1" t="s">
        <v>118</v>
      </c>
      <c r="T380" s="1">
        <v>415.0</v>
      </c>
      <c r="U380" s="3" t="s">
        <v>3783</v>
      </c>
      <c r="V380" s="1">
        <v>719330.0</v>
      </c>
      <c r="W380" s="1" t="s">
        <v>3784</v>
      </c>
      <c r="X380" s="3" t="s">
        <v>3785</v>
      </c>
      <c r="Y380" s="3" t="s">
        <v>3786</v>
      </c>
      <c r="Z380" s="1">
        <v>1.0</v>
      </c>
      <c r="AA380" s="1" t="s">
        <v>3787</v>
      </c>
      <c r="AB380" s="1">
        <v>19.0</v>
      </c>
      <c r="AC380" s="1">
        <v>39.0</v>
      </c>
      <c r="AD380" s="1">
        <v>11.0</v>
      </c>
      <c r="AE380" s="1">
        <v>7.0</v>
      </c>
      <c r="AF380" s="1">
        <v>0.0</v>
      </c>
      <c r="AG380" s="1">
        <v>0.0</v>
      </c>
      <c r="AH380" s="1">
        <v>8.0</v>
      </c>
      <c r="AI380" s="1">
        <v>1.0</v>
      </c>
      <c r="AJ380" s="1">
        <v>0.0</v>
      </c>
      <c r="AK380" s="1">
        <v>0.0</v>
      </c>
      <c r="AL380" s="1">
        <v>5.0</v>
      </c>
      <c r="AM380" s="1">
        <v>23.0</v>
      </c>
      <c r="AN380" s="1">
        <v>0.0</v>
      </c>
    </row>
    <row r="381">
      <c r="A381" s="1">
        <v>294.0</v>
      </c>
      <c r="B381" s="1" t="s">
        <v>3788</v>
      </c>
      <c r="C381" s="1" t="s">
        <v>3789</v>
      </c>
      <c r="D381" s="1" t="s">
        <v>1801</v>
      </c>
      <c r="E381" s="1" t="s">
        <v>43</v>
      </c>
      <c r="F381" s="2">
        <v>17633.0</v>
      </c>
      <c r="G381" s="1" t="s">
        <v>3790</v>
      </c>
      <c r="H381" s="1">
        <v>2.0</v>
      </c>
      <c r="I381" s="1" t="s">
        <v>185</v>
      </c>
      <c r="J381" s="1">
        <v>5.0</v>
      </c>
      <c r="K381" s="2">
        <v>42907.0</v>
      </c>
      <c r="M381" s="1">
        <v>0.0</v>
      </c>
      <c r="N381" s="1" t="s">
        <v>75</v>
      </c>
      <c r="O381" s="1" t="s">
        <v>76</v>
      </c>
      <c r="P381" s="1" t="s">
        <v>3791</v>
      </c>
      <c r="S381" s="1" t="s">
        <v>3792</v>
      </c>
      <c r="T381" s="1">
        <v>542.0</v>
      </c>
      <c r="U381" s="3" t="s">
        <v>3793</v>
      </c>
      <c r="V381" s="1">
        <v>605084.0</v>
      </c>
      <c r="W381" s="1" t="s">
        <v>3794</v>
      </c>
      <c r="X381" s="3" t="s">
        <v>3795</v>
      </c>
      <c r="Y381" s="3" t="s">
        <v>3796</v>
      </c>
      <c r="Z381" s="1">
        <v>2.0</v>
      </c>
      <c r="AA381" s="1" t="s">
        <v>3797</v>
      </c>
      <c r="AB381" s="1">
        <v>19.0</v>
      </c>
      <c r="AC381" s="1">
        <v>22.0</v>
      </c>
      <c r="AD381" s="1">
        <v>4.0</v>
      </c>
      <c r="AE381" s="1">
        <v>21.0</v>
      </c>
      <c r="AF381" s="1">
        <v>10.0</v>
      </c>
      <c r="AG381" s="1">
        <v>0.0</v>
      </c>
      <c r="AH381" s="1">
        <v>87.0</v>
      </c>
      <c r="AI381" s="1">
        <v>44.0</v>
      </c>
      <c r="AJ381" s="1">
        <v>0.0</v>
      </c>
      <c r="AK381" s="1">
        <v>0.0</v>
      </c>
      <c r="AL381" s="1">
        <v>5.0</v>
      </c>
      <c r="AM381" s="1">
        <v>2.0</v>
      </c>
      <c r="AN381" s="1">
        <v>1.0</v>
      </c>
    </row>
    <row r="382">
      <c r="A382" s="1">
        <v>272.0</v>
      </c>
      <c r="B382" s="1" t="s">
        <v>3798</v>
      </c>
      <c r="C382" s="1" t="s">
        <v>3799</v>
      </c>
      <c r="D382" s="1" t="s">
        <v>3800</v>
      </c>
      <c r="E382" s="1" t="s">
        <v>43</v>
      </c>
      <c r="F382" s="2">
        <v>25291.0</v>
      </c>
      <c r="G382" s="1" t="s">
        <v>780</v>
      </c>
      <c r="H382" s="1">
        <v>35.0</v>
      </c>
      <c r="I382" s="1" t="s">
        <v>415</v>
      </c>
      <c r="J382" s="1">
        <v>1.0</v>
      </c>
      <c r="K382" s="2">
        <v>42907.0</v>
      </c>
      <c r="M382" s="1">
        <v>0.0</v>
      </c>
      <c r="N382" s="1" t="s">
        <v>75</v>
      </c>
      <c r="O382" s="1" t="s">
        <v>76</v>
      </c>
      <c r="P382" s="1" t="s">
        <v>3801</v>
      </c>
      <c r="S382" s="1" t="s">
        <v>3802</v>
      </c>
      <c r="T382" s="1">
        <v>557.0</v>
      </c>
      <c r="U382" s="3" t="s">
        <v>3803</v>
      </c>
      <c r="V382" s="1">
        <v>719842.0</v>
      </c>
      <c r="W382" s="1" t="s">
        <v>3804</v>
      </c>
      <c r="X382" s="3" t="s">
        <v>3805</v>
      </c>
      <c r="Y382" s="3" t="s">
        <v>3806</v>
      </c>
      <c r="Z382" s="1">
        <v>1.0</v>
      </c>
      <c r="AA382" s="1" t="s">
        <v>3807</v>
      </c>
      <c r="AB382" s="1">
        <v>19.0</v>
      </c>
      <c r="AC382" s="1">
        <v>37.0</v>
      </c>
      <c r="AD382" s="1">
        <v>3.0</v>
      </c>
      <c r="AE382" s="1">
        <v>4.0</v>
      </c>
      <c r="AF382" s="1">
        <v>4.0</v>
      </c>
      <c r="AG382" s="1">
        <v>0.0</v>
      </c>
      <c r="AH382" s="1">
        <v>62.0</v>
      </c>
      <c r="AI382" s="1">
        <v>26.0</v>
      </c>
      <c r="AJ382" s="1">
        <v>0.0</v>
      </c>
      <c r="AK382" s="1">
        <v>0.0</v>
      </c>
      <c r="AL382" s="1">
        <v>5.0</v>
      </c>
      <c r="AM382" s="1">
        <v>0.0</v>
      </c>
      <c r="AN382" s="1">
        <v>1.0</v>
      </c>
    </row>
    <row r="383">
      <c r="A383" s="1">
        <v>357.0</v>
      </c>
      <c r="B383" s="1" t="s">
        <v>3808</v>
      </c>
      <c r="C383" s="1" t="s">
        <v>3809</v>
      </c>
      <c r="D383" s="1" t="s">
        <v>3810</v>
      </c>
      <c r="E383" s="1" t="s">
        <v>43</v>
      </c>
      <c r="F383" s="2">
        <v>28433.0</v>
      </c>
      <c r="G383" s="1" t="s">
        <v>3202</v>
      </c>
      <c r="H383" s="1">
        <v>35.0</v>
      </c>
      <c r="I383" s="1" t="s">
        <v>415</v>
      </c>
      <c r="J383" s="1">
        <v>4.0</v>
      </c>
      <c r="K383" s="2">
        <v>42907.0</v>
      </c>
      <c r="M383" s="1">
        <v>0.0</v>
      </c>
      <c r="N383" s="1" t="s">
        <v>75</v>
      </c>
      <c r="O383" s="1" t="s">
        <v>76</v>
      </c>
      <c r="P383" s="1" t="s">
        <v>3811</v>
      </c>
      <c r="S383" s="1" t="s">
        <v>2798</v>
      </c>
      <c r="T383" s="1">
        <v>207.0</v>
      </c>
      <c r="U383" s="3" t="s">
        <v>3812</v>
      </c>
      <c r="V383" s="1">
        <v>719728.0</v>
      </c>
      <c r="W383" s="1" t="s">
        <v>3813</v>
      </c>
      <c r="X383" s="3" t="s">
        <v>3814</v>
      </c>
      <c r="Y383" s="3" t="s">
        <v>3815</v>
      </c>
      <c r="Z383" s="1">
        <v>1.0</v>
      </c>
      <c r="AA383" s="1" t="s">
        <v>3816</v>
      </c>
      <c r="AB383" s="1">
        <v>19.0</v>
      </c>
      <c r="AC383" s="1">
        <v>43.0</v>
      </c>
      <c r="AD383" s="1">
        <v>20.0</v>
      </c>
      <c r="AE383" s="1">
        <v>19.0</v>
      </c>
      <c r="AF383" s="1">
        <v>3.0</v>
      </c>
      <c r="AG383" s="1">
        <v>18.0</v>
      </c>
      <c r="AH383" s="1">
        <v>118.0</v>
      </c>
      <c r="AI383" s="1">
        <v>49.0</v>
      </c>
      <c r="AJ383" s="1">
        <v>0.0</v>
      </c>
      <c r="AK383" s="1">
        <v>0.0</v>
      </c>
      <c r="AL383" s="1">
        <v>6.0</v>
      </c>
      <c r="AM383" s="1">
        <v>0.0</v>
      </c>
      <c r="AN383" s="1">
        <v>2.0</v>
      </c>
    </row>
    <row r="384">
      <c r="A384" s="1">
        <v>82.0</v>
      </c>
      <c r="B384" s="1" t="s">
        <v>3817</v>
      </c>
      <c r="C384" s="1" t="s">
        <v>3818</v>
      </c>
      <c r="D384" s="1" t="s">
        <v>3340</v>
      </c>
      <c r="E384" s="1" t="s">
        <v>58</v>
      </c>
      <c r="F384" s="2">
        <v>33315.0</v>
      </c>
      <c r="G384" s="1" t="s">
        <v>3819</v>
      </c>
      <c r="H384" s="1">
        <v>29.0</v>
      </c>
      <c r="I384" s="1" t="s">
        <v>393</v>
      </c>
      <c r="J384" s="1">
        <v>4.0</v>
      </c>
      <c r="K384" s="2">
        <v>42907.0</v>
      </c>
      <c r="M384" s="1">
        <v>0.0</v>
      </c>
      <c r="N384" s="1" t="s">
        <v>75</v>
      </c>
      <c r="O384" s="1" t="s">
        <v>76</v>
      </c>
      <c r="P384" s="3" t="s">
        <v>3820</v>
      </c>
      <c r="S384" s="1" t="s">
        <v>1905</v>
      </c>
      <c r="T384" s="1">
        <v>286.0</v>
      </c>
      <c r="U384" s="3" t="s">
        <v>3821</v>
      </c>
      <c r="V384" s="1">
        <v>719412.0</v>
      </c>
      <c r="W384" s="1" t="s">
        <v>3822</v>
      </c>
      <c r="X384" s="3" t="s">
        <v>3823</v>
      </c>
      <c r="Y384" s="3" t="s">
        <v>3824</v>
      </c>
      <c r="Z384" s="1">
        <v>1.0</v>
      </c>
      <c r="AA384" s="1" t="s">
        <v>3825</v>
      </c>
      <c r="AB384" s="1">
        <v>19.0</v>
      </c>
      <c r="AC384" s="1">
        <v>38.0</v>
      </c>
      <c r="AD384" s="1">
        <v>5.0</v>
      </c>
      <c r="AE384" s="1">
        <v>2.0</v>
      </c>
      <c r="AF384" s="1">
        <v>0.0</v>
      </c>
      <c r="AG384" s="1">
        <v>0.0</v>
      </c>
      <c r="AH384" s="1">
        <v>85.0</v>
      </c>
      <c r="AI384" s="1">
        <v>44.0</v>
      </c>
      <c r="AJ384" s="1">
        <v>0.0</v>
      </c>
      <c r="AK384" s="1">
        <v>0.0</v>
      </c>
      <c r="AL384" s="1">
        <v>6.0</v>
      </c>
      <c r="AM384" s="1">
        <v>4.0</v>
      </c>
      <c r="AN384" s="1">
        <v>1.0</v>
      </c>
    </row>
    <row r="385">
      <c r="A385" s="1">
        <v>19.0</v>
      </c>
      <c r="B385" s="1" t="s">
        <v>3826</v>
      </c>
      <c r="C385" s="1" t="s">
        <v>3827</v>
      </c>
      <c r="D385" s="1" t="s">
        <v>3828</v>
      </c>
      <c r="E385" s="1" t="s">
        <v>58</v>
      </c>
      <c r="F385" s="2">
        <v>26783.0</v>
      </c>
      <c r="G385" s="1" t="s">
        <v>2609</v>
      </c>
      <c r="H385" s="1">
        <v>29.0</v>
      </c>
      <c r="I385" s="1" t="s">
        <v>393</v>
      </c>
      <c r="J385" s="1">
        <v>1.0</v>
      </c>
      <c r="K385" s="2">
        <v>42907.0</v>
      </c>
      <c r="M385" s="1">
        <v>0.0</v>
      </c>
      <c r="N385" s="1" t="s">
        <v>75</v>
      </c>
      <c r="O385" s="1" t="s">
        <v>76</v>
      </c>
      <c r="P385" s="1" t="s">
        <v>3829</v>
      </c>
      <c r="S385" s="1" t="s">
        <v>293</v>
      </c>
      <c r="T385" s="1">
        <v>318.0</v>
      </c>
      <c r="U385" s="3" t="s">
        <v>3830</v>
      </c>
      <c r="V385" s="1">
        <v>719388.0</v>
      </c>
      <c r="W385" s="1" t="s">
        <v>3831</v>
      </c>
      <c r="X385" s="3" t="s">
        <v>3832</v>
      </c>
      <c r="Y385" s="3" t="s">
        <v>3833</v>
      </c>
      <c r="Z385" s="1">
        <v>1.0</v>
      </c>
      <c r="AA385" s="1" t="s">
        <v>3834</v>
      </c>
      <c r="AB385" s="1">
        <v>19.0</v>
      </c>
      <c r="AC385" s="1">
        <v>34.0</v>
      </c>
      <c r="AD385" s="1">
        <v>6.0</v>
      </c>
      <c r="AE385" s="1">
        <v>8.0</v>
      </c>
      <c r="AF385" s="1">
        <v>0.0</v>
      </c>
      <c r="AG385" s="1">
        <v>2.0</v>
      </c>
      <c r="AH385" s="1">
        <v>56.0</v>
      </c>
      <c r="AI385" s="1">
        <v>28.0</v>
      </c>
      <c r="AJ385" s="1">
        <v>1.0</v>
      </c>
      <c r="AK385" s="1">
        <v>0.0</v>
      </c>
      <c r="AL385" s="1">
        <v>5.0</v>
      </c>
      <c r="AM385" s="1">
        <v>5.0</v>
      </c>
      <c r="AN385" s="1">
        <v>1.0</v>
      </c>
    </row>
    <row r="386">
      <c r="A386" s="1">
        <v>253.0</v>
      </c>
      <c r="B386" s="1" t="s">
        <v>3835</v>
      </c>
      <c r="C386" s="1" t="s">
        <v>3836</v>
      </c>
      <c r="D386" s="1" t="s">
        <v>3837</v>
      </c>
      <c r="E386" s="1" t="s">
        <v>58</v>
      </c>
      <c r="F386" s="2">
        <v>25055.0</v>
      </c>
      <c r="G386" s="1" t="s">
        <v>1893</v>
      </c>
      <c r="H386" s="1">
        <v>62.0</v>
      </c>
      <c r="I386" s="1" t="s">
        <v>427</v>
      </c>
      <c r="J386" s="1">
        <v>11.0</v>
      </c>
      <c r="K386" s="2">
        <v>42907.0</v>
      </c>
      <c r="M386" s="1">
        <v>0.0</v>
      </c>
      <c r="N386" s="1" t="s">
        <v>814</v>
      </c>
      <c r="O386" s="1" t="s">
        <v>837</v>
      </c>
      <c r="P386" s="1" t="s">
        <v>3838</v>
      </c>
      <c r="S386" s="1" t="s">
        <v>78</v>
      </c>
      <c r="T386" s="1">
        <v>60.0</v>
      </c>
      <c r="U386" s="3" t="s">
        <v>3839</v>
      </c>
      <c r="V386" s="1">
        <v>720614.0</v>
      </c>
      <c r="W386" s="1" t="s">
        <v>3840</v>
      </c>
      <c r="X386" s="3" t="s">
        <v>3841</v>
      </c>
      <c r="Y386" s="3" t="s">
        <v>3842</v>
      </c>
      <c r="Z386" s="1">
        <v>1.0</v>
      </c>
      <c r="AA386" s="1" t="s">
        <v>3843</v>
      </c>
      <c r="AB386" s="1">
        <v>19.0</v>
      </c>
      <c r="AC386" s="1">
        <v>18.0</v>
      </c>
      <c r="AD386" s="1">
        <v>13.0</v>
      </c>
      <c r="AE386" s="1">
        <v>62.0</v>
      </c>
      <c r="AF386" s="1">
        <v>45.0</v>
      </c>
      <c r="AG386" s="1">
        <v>48.0</v>
      </c>
      <c r="AH386" s="1">
        <v>245.0</v>
      </c>
      <c r="AI386" s="1">
        <v>0.0</v>
      </c>
      <c r="AJ386" s="1">
        <v>0.0</v>
      </c>
      <c r="AK386" s="1">
        <v>3.0</v>
      </c>
      <c r="AL386" s="1">
        <v>9.0</v>
      </c>
      <c r="AM386" s="1">
        <v>5.0</v>
      </c>
      <c r="AN386" s="1">
        <v>0.0</v>
      </c>
    </row>
    <row r="387">
      <c r="A387" s="1">
        <v>168.0</v>
      </c>
      <c r="B387" s="1" t="s">
        <v>3844</v>
      </c>
      <c r="C387" s="1" t="s">
        <v>3845</v>
      </c>
      <c r="D387" s="1" t="s">
        <v>835</v>
      </c>
      <c r="E387" s="1" t="s">
        <v>43</v>
      </c>
      <c r="F387" s="2">
        <v>25655.0</v>
      </c>
      <c r="G387" s="1" t="s">
        <v>3846</v>
      </c>
      <c r="H387" s="1">
        <v>14.0</v>
      </c>
      <c r="I387" s="1" t="s">
        <v>1137</v>
      </c>
      <c r="J387" s="1">
        <v>3.0</v>
      </c>
      <c r="K387" s="2">
        <v>42907.0</v>
      </c>
      <c r="M387" s="1">
        <v>0.0</v>
      </c>
      <c r="N387" s="1" t="s">
        <v>61</v>
      </c>
      <c r="O387" s="1" t="s">
        <v>62</v>
      </c>
      <c r="P387" s="1" t="s">
        <v>3847</v>
      </c>
      <c r="S387" s="1" t="s">
        <v>293</v>
      </c>
      <c r="T387" s="1">
        <v>1.0</v>
      </c>
      <c r="U387" s="3" t="s">
        <v>3848</v>
      </c>
      <c r="V387" s="1">
        <v>340853.0</v>
      </c>
      <c r="W387" s="1" t="s">
        <v>3849</v>
      </c>
      <c r="X387" s="3" t="s">
        <v>3850</v>
      </c>
      <c r="Y387" s="3" t="s">
        <v>3851</v>
      </c>
      <c r="Z387" s="1">
        <v>1.0</v>
      </c>
      <c r="AA387" s="1" t="s">
        <v>3852</v>
      </c>
      <c r="AB387" s="1">
        <v>19.0</v>
      </c>
      <c r="AC387" s="1">
        <v>24.0</v>
      </c>
      <c r="AD387" s="1">
        <v>5.0</v>
      </c>
      <c r="AE387" s="1">
        <v>18.0</v>
      </c>
      <c r="AF387" s="1">
        <v>6.0</v>
      </c>
      <c r="AG387" s="1">
        <v>11.0</v>
      </c>
      <c r="AH387" s="1">
        <v>656.0</v>
      </c>
      <c r="AI387" s="1">
        <v>29.0</v>
      </c>
      <c r="AJ387" s="1">
        <v>0.0</v>
      </c>
      <c r="AK387" s="1">
        <v>2.0</v>
      </c>
      <c r="AL387" s="1">
        <v>63.0</v>
      </c>
      <c r="AM387" s="1">
        <v>20.0</v>
      </c>
      <c r="AN387" s="1">
        <v>4.0</v>
      </c>
    </row>
    <row r="388">
      <c r="A388" s="1">
        <v>150.0</v>
      </c>
      <c r="B388" s="1" t="s">
        <v>3853</v>
      </c>
      <c r="C388" s="1" t="s">
        <v>3854</v>
      </c>
      <c r="D388" s="1" t="s">
        <v>3855</v>
      </c>
      <c r="E388" s="1" t="s">
        <v>58</v>
      </c>
      <c r="F388" s="2">
        <v>26422.0</v>
      </c>
      <c r="G388" s="1" t="s">
        <v>2493</v>
      </c>
      <c r="H388" s="1">
        <v>83.0</v>
      </c>
      <c r="I388" s="1" t="s">
        <v>1231</v>
      </c>
      <c r="J388" s="1">
        <v>4.0</v>
      </c>
      <c r="K388" s="2">
        <v>42907.0</v>
      </c>
      <c r="M388" s="1">
        <v>0.0</v>
      </c>
      <c r="N388" s="1" t="s">
        <v>75</v>
      </c>
      <c r="O388" s="1" t="s">
        <v>76</v>
      </c>
      <c r="P388" s="1" t="s">
        <v>3856</v>
      </c>
      <c r="S388" s="1" t="s">
        <v>3716</v>
      </c>
      <c r="T388" s="1">
        <v>438.0</v>
      </c>
      <c r="U388" s="3" t="s">
        <v>3857</v>
      </c>
      <c r="V388" s="1">
        <v>721726.0</v>
      </c>
      <c r="W388" s="1" t="s">
        <v>3858</v>
      </c>
      <c r="X388" s="3" t="s">
        <v>3859</v>
      </c>
      <c r="Y388" s="3" t="s">
        <v>3860</v>
      </c>
      <c r="Z388" s="1">
        <v>1.0</v>
      </c>
      <c r="AA388" s="1" t="s">
        <v>3861</v>
      </c>
      <c r="AB388" s="1">
        <v>19.0</v>
      </c>
      <c r="AC388" s="1">
        <v>37.0</v>
      </c>
      <c r="AD388" s="1">
        <v>13.0</v>
      </c>
      <c r="AE388" s="1">
        <v>6.0</v>
      </c>
      <c r="AF388" s="1">
        <v>4.0</v>
      </c>
      <c r="AG388" s="1">
        <v>0.0</v>
      </c>
      <c r="AH388" s="1">
        <v>31.0</v>
      </c>
      <c r="AI388" s="1">
        <v>17.0</v>
      </c>
      <c r="AJ388" s="1">
        <v>0.0</v>
      </c>
      <c r="AK388" s="1">
        <v>0.0</v>
      </c>
      <c r="AL388" s="1">
        <v>7.0</v>
      </c>
      <c r="AM388" s="1">
        <v>2.0</v>
      </c>
      <c r="AN388" s="1">
        <v>1.0</v>
      </c>
    </row>
    <row r="389">
      <c r="A389" s="1">
        <v>426.0</v>
      </c>
      <c r="B389" s="1" t="s">
        <v>3862</v>
      </c>
      <c r="C389" s="1" t="s">
        <v>3863</v>
      </c>
      <c r="D389" s="1" t="s">
        <v>3864</v>
      </c>
      <c r="E389" s="1" t="s">
        <v>43</v>
      </c>
      <c r="F389" s="2">
        <v>28856.0</v>
      </c>
      <c r="G389" s="1" t="s">
        <v>3865</v>
      </c>
      <c r="H389" s="1">
        <v>94.0</v>
      </c>
      <c r="I389" s="1" t="s">
        <v>642</v>
      </c>
      <c r="J389" s="1">
        <v>2.0</v>
      </c>
      <c r="K389" s="2">
        <v>42907.0</v>
      </c>
      <c r="M389" s="1">
        <v>0.0</v>
      </c>
      <c r="N389" s="1" t="s">
        <v>75</v>
      </c>
      <c r="O389" s="1" t="s">
        <v>76</v>
      </c>
      <c r="P389" s="1" t="s">
        <v>3866</v>
      </c>
      <c r="S389" s="1" t="s">
        <v>936</v>
      </c>
      <c r="T389" s="1">
        <v>426.0</v>
      </c>
      <c r="U389" s="3" t="s">
        <v>3867</v>
      </c>
      <c r="V389" s="1">
        <v>720870.0</v>
      </c>
      <c r="W389" s="1" t="s">
        <v>3868</v>
      </c>
      <c r="X389" s="3" t="s">
        <v>3869</v>
      </c>
      <c r="Y389" s="3" t="s">
        <v>3870</v>
      </c>
      <c r="Z389" s="1">
        <v>1.0</v>
      </c>
      <c r="AA389" s="1" t="s">
        <v>3871</v>
      </c>
      <c r="AB389" s="1">
        <v>19.0</v>
      </c>
      <c r="AC389" s="1">
        <v>32.0</v>
      </c>
      <c r="AD389" s="1">
        <v>9.0</v>
      </c>
      <c r="AE389" s="1">
        <v>16.0</v>
      </c>
      <c r="AF389" s="1">
        <v>1.0</v>
      </c>
      <c r="AG389" s="1">
        <v>0.0</v>
      </c>
      <c r="AH389" s="1">
        <v>16.0</v>
      </c>
      <c r="AI389" s="1">
        <v>9.0</v>
      </c>
      <c r="AJ389" s="1">
        <v>0.0</v>
      </c>
      <c r="AK389" s="1">
        <v>0.0</v>
      </c>
      <c r="AL389" s="1">
        <v>6.0</v>
      </c>
      <c r="AM389" s="1">
        <v>9.0</v>
      </c>
      <c r="AN389" s="1">
        <v>2.0</v>
      </c>
    </row>
    <row r="390">
      <c r="A390" s="1">
        <v>446.0</v>
      </c>
      <c r="B390" s="1" t="s">
        <v>3872</v>
      </c>
      <c r="C390" s="1" t="s">
        <v>3873</v>
      </c>
      <c r="D390" s="1" t="s">
        <v>3874</v>
      </c>
      <c r="E390" s="1" t="s">
        <v>43</v>
      </c>
      <c r="F390" s="2">
        <v>26536.0</v>
      </c>
      <c r="G390" s="1" t="s">
        <v>44</v>
      </c>
      <c r="H390" s="1">
        <v>61.0</v>
      </c>
      <c r="I390" s="1" t="s">
        <v>1188</v>
      </c>
      <c r="J390" s="1">
        <v>3.0</v>
      </c>
      <c r="K390" s="2">
        <v>42907.0</v>
      </c>
      <c r="M390" s="1">
        <v>0.0</v>
      </c>
      <c r="N390" s="1" t="s">
        <v>61</v>
      </c>
      <c r="O390" s="1" t="s">
        <v>62</v>
      </c>
      <c r="P390" s="1" t="s">
        <v>3875</v>
      </c>
      <c r="S390" s="1" t="s">
        <v>3876</v>
      </c>
      <c r="T390" s="1">
        <v>30.0</v>
      </c>
      <c r="U390" s="3" t="s">
        <v>3877</v>
      </c>
      <c r="V390" s="1">
        <v>720644.0</v>
      </c>
      <c r="W390" s="1" t="s">
        <v>3878</v>
      </c>
      <c r="X390" s="3" t="s">
        <v>3879</v>
      </c>
      <c r="Y390" s="3" t="s">
        <v>3880</v>
      </c>
      <c r="Z390" s="1">
        <v>1.0</v>
      </c>
      <c r="AA390" s="1" t="s">
        <v>3881</v>
      </c>
      <c r="AB390" s="1">
        <v>19.0</v>
      </c>
      <c r="AC390" s="1">
        <v>28.0</v>
      </c>
      <c r="AD390" s="1">
        <v>15.0</v>
      </c>
      <c r="AE390" s="1">
        <v>25.0</v>
      </c>
      <c r="AF390" s="1">
        <v>22.0</v>
      </c>
      <c r="AG390" s="1">
        <v>30.0</v>
      </c>
      <c r="AH390" s="1">
        <v>802.0</v>
      </c>
      <c r="AI390" s="1">
        <v>36.0</v>
      </c>
      <c r="AJ390" s="1">
        <v>0.0</v>
      </c>
      <c r="AK390" s="1">
        <v>1.0</v>
      </c>
      <c r="AL390" s="1">
        <v>19.0</v>
      </c>
      <c r="AM390" s="1">
        <v>14.0</v>
      </c>
      <c r="AN390" s="1">
        <v>1.0</v>
      </c>
    </row>
    <row r="391">
      <c r="A391" s="1">
        <v>458.0</v>
      </c>
      <c r="B391" s="1" t="s">
        <v>3882</v>
      </c>
      <c r="C391" s="1" t="s">
        <v>3883</v>
      </c>
      <c r="D391" s="1" t="s">
        <v>3884</v>
      </c>
      <c r="E391" s="1" t="s">
        <v>58</v>
      </c>
      <c r="F391" s="2">
        <v>17825.0</v>
      </c>
      <c r="G391" s="1" t="s">
        <v>1914</v>
      </c>
      <c r="H391" s="1">
        <v>75.0</v>
      </c>
      <c r="I391" s="1" t="s">
        <v>232</v>
      </c>
      <c r="J391" s="1">
        <v>15.0</v>
      </c>
      <c r="K391" s="2">
        <v>42907.0</v>
      </c>
      <c r="M391" s="1">
        <v>0.0</v>
      </c>
      <c r="N391" s="1" t="s">
        <v>115</v>
      </c>
      <c r="O391" s="1" t="s">
        <v>116</v>
      </c>
      <c r="P391" s="1" t="s">
        <v>3885</v>
      </c>
      <c r="S391" s="1" t="s">
        <v>3886</v>
      </c>
      <c r="T391" s="1">
        <v>511.0</v>
      </c>
      <c r="U391" s="3" t="s">
        <v>3887</v>
      </c>
      <c r="V391" s="1">
        <v>335532.0</v>
      </c>
      <c r="W391" s="1" t="s">
        <v>3888</v>
      </c>
      <c r="X391" s="3" t="s">
        <v>3889</v>
      </c>
      <c r="Y391" s="3" t="s">
        <v>3890</v>
      </c>
      <c r="Z391" s="1">
        <v>1.0</v>
      </c>
      <c r="AA391" s="1" t="s">
        <v>3891</v>
      </c>
      <c r="AB391" s="1">
        <v>19.0</v>
      </c>
      <c r="AC391" s="1">
        <v>38.0</v>
      </c>
      <c r="AD391" s="1">
        <v>29.0</v>
      </c>
      <c r="AE391" s="1">
        <v>32.0</v>
      </c>
      <c r="AF391" s="1">
        <v>9.0</v>
      </c>
      <c r="AG391" s="1">
        <v>46.0</v>
      </c>
      <c r="AH391" s="1">
        <v>1062.0</v>
      </c>
      <c r="AI391" s="1">
        <v>69.0</v>
      </c>
      <c r="AJ391" s="1">
        <v>0.0</v>
      </c>
      <c r="AK391" s="1">
        <v>0.0</v>
      </c>
      <c r="AL391" s="1">
        <v>5.0</v>
      </c>
      <c r="AM391" s="1">
        <v>9.0</v>
      </c>
      <c r="AN391" s="1">
        <v>3.0</v>
      </c>
    </row>
    <row r="392">
      <c r="A392" s="1">
        <v>460.0</v>
      </c>
      <c r="B392" s="1" t="s">
        <v>3892</v>
      </c>
      <c r="C392" s="1" t="s">
        <v>3893</v>
      </c>
      <c r="D392" s="1" t="s">
        <v>3894</v>
      </c>
      <c r="E392" s="1" t="s">
        <v>58</v>
      </c>
      <c r="F392" s="2">
        <v>25607.0</v>
      </c>
      <c r="G392" s="1" t="s">
        <v>3895</v>
      </c>
      <c r="H392" s="1">
        <v>13.0</v>
      </c>
      <c r="I392" s="1" t="s">
        <v>279</v>
      </c>
      <c r="J392" s="1">
        <v>14.0</v>
      </c>
      <c r="K392" s="2">
        <v>42907.0</v>
      </c>
      <c r="M392" s="1">
        <v>0.0</v>
      </c>
      <c r="N392" s="1" t="s">
        <v>75</v>
      </c>
      <c r="O392" s="1" t="s">
        <v>76</v>
      </c>
      <c r="P392" s="1" t="s">
        <v>3896</v>
      </c>
      <c r="S392" s="1" t="s">
        <v>3897</v>
      </c>
      <c r="T392" s="1">
        <v>440.0</v>
      </c>
      <c r="U392" s="3" t="s">
        <v>3898</v>
      </c>
      <c r="V392" s="1">
        <v>718930.0</v>
      </c>
      <c r="W392" s="1" t="s">
        <v>3899</v>
      </c>
      <c r="X392" s="3" t="s">
        <v>3900</v>
      </c>
      <c r="Y392" s="3" t="s">
        <v>3901</v>
      </c>
      <c r="Z392" s="1">
        <v>1.0</v>
      </c>
      <c r="AA392" s="1" t="s">
        <v>3902</v>
      </c>
      <c r="AB392" s="1">
        <v>19.0</v>
      </c>
      <c r="AC392" s="1">
        <v>42.0</v>
      </c>
      <c r="AD392" s="1">
        <v>22.0</v>
      </c>
      <c r="AE392" s="1">
        <v>2.0</v>
      </c>
      <c r="AF392" s="1">
        <v>0.0</v>
      </c>
      <c r="AG392" s="1">
        <v>0.0</v>
      </c>
      <c r="AH392" s="1">
        <v>52.0</v>
      </c>
      <c r="AI392" s="1">
        <v>25.0</v>
      </c>
      <c r="AJ392" s="1">
        <v>0.0</v>
      </c>
      <c r="AK392" s="1">
        <v>0.0</v>
      </c>
      <c r="AL392" s="1">
        <v>5.0</v>
      </c>
      <c r="AM392" s="1">
        <v>3.0</v>
      </c>
      <c r="AN392" s="1">
        <v>1.0</v>
      </c>
    </row>
    <row r="393">
      <c r="A393" s="1">
        <v>45.0</v>
      </c>
      <c r="B393" s="1" t="s">
        <v>3903</v>
      </c>
      <c r="C393" s="1" t="s">
        <v>3904</v>
      </c>
      <c r="D393" s="1" t="s">
        <v>3905</v>
      </c>
      <c r="E393" s="1" t="s">
        <v>58</v>
      </c>
      <c r="F393" s="2">
        <v>29115.0</v>
      </c>
      <c r="G393" s="1" t="s">
        <v>718</v>
      </c>
      <c r="H393" s="1">
        <v>13.0</v>
      </c>
      <c r="I393" s="1" t="s">
        <v>279</v>
      </c>
      <c r="J393" s="1">
        <v>2.0</v>
      </c>
      <c r="K393" s="2">
        <v>42907.0</v>
      </c>
      <c r="M393" s="1">
        <v>0.0</v>
      </c>
      <c r="N393" s="1" t="s">
        <v>75</v>
      </c>
      <c r="O393" s="1" t="s">
        <v>76</v>
      </c>
      <c r="P393" s="1" t="s">
        <v>3906</v>
      </c>
      <c r="S393" s="1" t="s">
        <v>827</v>
      </c>
      <c r="T393" s="1">
        <v>524.0</v>
      </c>
      <c r="U393" s="3" t="s">
        <v>3907</v>
      </c>
      <c r="V393" s="1">
        <v>718910.0</v>
      </c>
      <c r="W393" s="1" t="s">
        <v>3908</v>
      </c>
      <c r="X393" s="3" t="s">
        <v>3909</v>
      </c>
      <c r="Y393" s="3" t="s">
        <v>3910</v>
      </c>
      <c r="Z393" s="1">
        <v>1.0</v>
      </c>
      <c r="AA393" s="1" t="s">
        <v>3911</v>
      </c>
      <c r="AB393" s="1">
        <v>19.0</v>
      </c>
      <c r="AC393" s="1">
        <v>38.0</v>
      </c>
      <c r="AD393" s="1">
        <v>1.0</v>
      </c>
      <c r="AE393" s="1">
        <v>8.0</v>
      </c>
      <c r="AF393" s="1">
        <v>1.0</v>
      </c>
      <c r="AG393" s="1">
        <v>2.0</v>
      </c>
      <c r="AH393" s="1">
        <v>56.0</v>
      </c>
      <c r="AI393" s="1">
        <v>25.0</v>
      </c>
      <c r="AJ393" s="1">
        <v>0.0</v>
      </c>
      <c r="AK393" s="1">
        <v>0.0</v>
      </c>
      <c r="AL393" s="1">
        <v>5.0</v>
      </c>
      <c r="AM393" s="1">
        <v>1.0</v>
      </c>
      <c r="AN393" s="1">
        <v>1.0</v>
      </c>
    </row>
    <row r="394">
      <c r="A394" s="1">
        <v>451.0</v>
      </c>
      <c r="B394" s="1" t="s">
        <v>3912</v>
      </c>
      <c r="C394" s="1" t="s">
        <v>3913</v>
      </c>
      <c r="D394" s="1" t="s">
        <v>3914</v>
      </c>
      <c r="E394" s="1" t="s">
        <v>58</v>
      </c>
      <c r="F394" s="2">
        <v>28086.0</v>
      </c>
      <c r="G394" s="1" t="s">
        <v>3915</v>
      </c>
      <c r="H394" s="1">
        <v>13.0</v>
      </c>
      <c r="I394" s="1" t="s">
        <v>279</v>
      </c>
      <c r="J394" s="1">
        <v>5.0</v>
      </c>
      <c r="K394" s="2">
        <v>42907.0</v>
      </c>
      <c r="M394" s="1">
        <v>0.0</v>
      </c>
      <c r="N394" s="1" t="s">
        <v>75</v>
      </c>
      <c r="O394" s="1" t="s">
        <v>76</v>
      </c>
      <c r="P394" s="1" t="s">
        <v>3916</v>
      </c>
      <c r="S394" s="1" t="s">
        <v>234</v>
      </c>
      <c r="T394" s="1">
        <v>336.0</v>
      </c>
      <c r="U394" s="3" t="s">
        <v>3917</v>
      </c>
      <c r="V394" s="1">
        <v>718944.0</v>
      </c>
      <c r="W394" s="1" t="s">
        <v>3918</v>
      </c>
      <c r="X394" s="3" t="s">
        <v>3919</v>
      </c>
      <c r="Y394" s="3" t="s">
        <v>3920</v>
      </c>
      <c r="Z394" s="1">
        <v>1.0</v>
      </c>
      <c r="AA394" s="1" t="s">
        <v>3921</v>
      </c>
      <c r="AB394" s="1">
        <v>19.0</v>
      </c>
      <c r="AC394" s="1">
        <v>30.0</v>
      </c>
      <c r="AD394" s="1">
        <v>8.0</v>
      </c>
      <c r="AE394" s="1">
        <v>10.0</v>
      </c>
      <c r="AF394" s="1">
        <v>2.0</v>
      </c>
      <c r="AG394" s="1">
        <v>0.0</v>
      </c>
      <c r="AH394" s="1">
        <v>44.0</v>
      </c>
      <c r="AI394" s="1">
        <v>15.0</v>
      </c>
      <c r="AJ394" s="1">
        <v>0.0</v>
      </c>
      <c r="AK394" s="1">
        <v>0.0</v>
      </c>
      <c r="AL394" s="1">
        <v>5.0</v>
      </c>
      <c r="AM394" s="1">
        <v>3.0</v>
      </c>
      <c r="AN394" s="1">
        <v>3.0</v>
      </c>
    </row>
    <row r="395">
      <c r="A395" s="1">
        <v>378.0</v>
      </c>
      <c r="B395" s="1" t="s">
        <v>3922</v>
      </c>
      <c r="C395" s="1" t="s">
        <v>3923</v>
      </c>
      <c r="D395" s="1" t="s">
        <v>994</v>
      </c>
      <c r="E395" s="1" t="s">
        <v>58</v>
      </c>
      <c r="F395" s="2">
        <v>25060.0</v>
      </c>
      <c r="G395" s="1" t="s">
        <v>706</v>
      </c>
      <c r="H395" s="1">
        <v>57.0</v>
      </c>
      <c r="I395" s="1" t="s">
        <v>471</v>
      </c>
      <c r="J395" s="1">
        <v>9.0</v>
      </c>
      <c r="K395" s="2">
        <v>42907.0</v>
      </c>
      <c r="M395" s="1">
        <v>0.0</v>
      </c>
      <c r="N395" s="1" t="s">
        <v>75</v>
      </c>
      <c r="O395" s="1" t="s">
        <v>76</v>
      </c>
      <c r="P395" s="3" t="s">
        <v>3924</v>
      </c>
      <c r="S395" s="1" t="s">
        <v>3925</v>
      </c>
      <c r="T395" s="1">
        <v>197.0</v>
      </c>
      <c r="U395" s="3" t="s">
        <v>3926</v>
      </c>
      <c r="V395" s="1">
        <v>720552.0</v>
      </c>
      <c r="W395" s="1" t="s">
        <v>3927</v>
      </c>
      <c r="X395" s="3" t="s">
        <v>3928</v>
      </c>
      <c r="Y395" s="3" t="s">
        <v>3929</v>
      </c>
      <c r="Z395" s="1">
        <v>1.0</v>
      </c>
      <c r="AA395" s="1" t="s">
        <v>3930</v>
      </c>
      <c r="AB395" s="1">
        <v>19.0</v>
      </c>
      <c r="AC395" s="1">
        <v>35.0</v>
      </c>
      <c r="AD395" s="1">
        <v>20.0</v>
      </c>
      <c r="AE395" s="1">
        <v>5.0</v>
      </c>
      <c r="AF395" s="1">
        <v>1.0</v>
      </c>
      <c r="AG395" s="1">
        <v>0.0</v>
      </c>
      <c r="AH395" s="1">
        <v>26.0</v>
      </c>
      <c r="AI395" s="1">
        <v>8.0</v>
      </c>
      <c r="AJ395" s="1">
        <v>2.0</v>
      </c>
      <c r="AK395" s="1">
        <v>0.0</v>
      </c>
      <c r="AL395" s="1">
        <v>5.0</v>
      </c>
      <c r="AM395" s="1">
        <v>16.0</v>
      </c>
      <c r="AN395" s="1">
        <v>1.0</v>
      </c>
    </row>
    <row r="396">
      <c r="A396" s="1">
        <v>560.0</v>
      </c>
      <c r="B396" s="1" t="s">
        <v>3931</v>
      </c>
      <c r="C396" s="1" t="s">
        <v>3932</v>
      </c>
      <c r="D396" s="1" t="s">
        <v>3500</v>
      </c>
      <c r="E396" s="1" t="s">
        <v>58</v>
      </c>
      <c r="F396" s="2">
        <v>29607.0</v>
      </c>
      <c r="G396" s="1" t="s">
        <v>3933</v>
      </c>
      <c r="H396" s="1">
        <v>49.0</v>
      </c>
      <c r="I396" s="1" t="s">
        <v>220</v>
      </c>
      <c r="J396" s="1">
        <v>4.0</v>
      </c>
      <c r="K396" s="2">
        <v>42907.0</v>
      </c>
      <c r="M396" s="1">
        <v>0.0</v>
      </c>
      <c r="N396" s="1" t="s">
        <v>75</v>
      </c>
      <c r="O396" s="1" t="s">
        <v>76</v>
      </c>
      <c r="P396" s="3" t="s">
        <v>3934</v>
      </c>
      <c r="S396" s="1" t="s">
        <v>3935</v>
      </c>
      <c r="T396" s="1">
        <v>364.0</v>
      </c>
      <c r="U396" s="3" t="s">
        <v>3936</v>
      </c>
      <c r="V396" s="1">
        <v>720138.0</v>
      </c>
      <c r="W396" s="1" t="s">
        <v>3937</v>
      </c>
      <c r="X396" s="3" t="s">
        <v>3938</v>
      </c>
      <c r="Y396" s="3" t="s">
        <v>3939</v>
      </c>
      <c r="Z396" s="1">
        <v>1.0</v>
      </c>
      <c r="AB396" s="1">
        <v>19.0</v>
      </c>
      <c r="AC396" s="1">
        <v>32.0</v>
      </c>
      <c r="AD396" s="1">
        <v>15.0</v>
      </c>
      <c r="AE396" s="1">
        <v>2.0</v>
      </c>
      <c r="AF396" s="1">
        <v>1.0</v>
      </c>
      <c r="AG396" s="1">
        <v>1.0</v>
      </c>
      <c r="AH396" s="1">
        <v>12.0</v>
      </c>
      <c r="AI396" s="1">
        <v>7.0</v>
      </c>
      <c r="AJ396" s="1">
        <v>1.0</v>
      </c>
      <c r="AK396" s="1">
        <v>0.0</v>
      </c>
      <c r="AL396" s="1">
        <v>5.0</v>
      </c>
      <c r="AM396" s="1">
        <v>6.0</v>
      </c>
      <c r="AN396" s="1">
        <v>0.0</v>
      </c>
    </row>
    <row r="397">
      <c r="A397" s="1">
        <v>545.0</v>
      </c>
      <c r="B397" s="1" t="s">
        <v>3940</v>
      </c>
      <c r="C397" s="1" t="s">
        <v>1262</v>
      </c>
      <c r="D397" s="1" t="s">
        <v>629</v>
      </c>
      <c r="E397" s="1" t="s">
        <v>58</v>
      </c>
      <c r="F397" s="2">
        <v>24858.0</v>
      </c>
      <c r="G397" s="1" t="s">
        <v>3941</v>
      </c>
      <c r="H397" s="1">
        <v>63.0</v>
      </c>
      <c r="I397" s="1" t="s">
        <v>114</v>
      </c>
      <c r="J397" s="1">
        <v>1.0</v>
      </c>
      <c r="K397" s="2">
        <v>42907.0</v>
      </c>
      <c r="M397" s="1">
        <v>0.0</v>
      </c>
      <c r="N397" s="1" t="s">
        <v>75</v>
      </c>
      <c r="O397" s="1" t="s">
        <v>76</v>
      </c>
      <c r="P397" s="1" t="s">
        <v>3942</v>
      </c>
      <c r="S397" s="1" t="s">
        <v>293</v>
      </c>
      <c r="T397" s="1">
        <v>534.0</v>
      </c>
      <c r="U397" s="3" t="s">
        <v>3943</v>
      </c>
      <c r="V397" s="1">
        <v>720830.0</v>
      </c>
      <c r="W397" s="1" t="s">
        <v>3944</v>
      </c>
      <c r="X397" s="3" t="s">
        <v>3945</v>
      </c>
      <c r="Y397" s="3" t="s">
        <v>3946</v>
      </c>
      <c r="Z397" s="1">
        <v>1.0</v>
      </c>
      <c r="AA397" s="1" t="s">
        <v>3947</v>
      </c>
      <c r="AB397" s="1">
        <v>19.0</v>
      </c>
      <c r="AC397" s="1">
        <v>33.0</v>
      </c>
      <c r="AD397" s="1">
        <v>2.0</v>
      </c>
      <c r="AE397" s="1">
        <v>0.0</v>
      </c>
      <c r="AF397" s="1">
        <v>0.0</v>
      </c>
      <c r="AG397" s="1">
        <v>0.0</v>
      </c>
      <c r="AH397" s="1">
        <v>15.0</v>
      </c>
      <c r="AI397" s="1">
        <v>7.0</v>
      </c>
      <c r="AJ397" s="1">
        <v>0.0</v>
      </c>
      <c r="AK397" s="1">
        <v>0.0</v>
      </c>
      <c r="AL397" s="1">
        <v>5.0</v>
      </c>
      <c r="AM397" s="1">
        <v>3.0</v>
      </c>
      <c r="AN397" s="1">
        <v>0.0</v>
      </c>
    </row>
    <row r="398">
      <c r="A398" s="1">
        <v>483.0</v>
      </c>
      <c r="B398" s="1" t="s">
        <v>3948</v>
      </c>
      <c r="C398" s="1" t="s">
        <v>3949</v>
      </c>
      <c r="D398" s="1" t="s">
        <v>183</v>
      </c>
      <c r="E398" s="1" t="s">
        <v>43</v>
      </c>
      <c r="F398" s="2">
        <v>16718.0</v>
      </c>
      <c r="G398" s="1" t="s">
        <v>3950</v>
      </c>
      <c r="H398" s="1">
        <v>69.0</v>
      </c>
      <c r="I398" s="1" t="s">
        <v>1363</v>
      </c>
      <c r="J398" s="1">
        <v>3.0</v>
      </c>
      <c r="K398" s="2">
        <v>42907.0</v>
      </c>
      <c r="M398" s="1">
        <v>0.0</v>
      </c>
      <c r="N398" s="1" t="s">
        <v>75</v>
      </c>
      <c r="O398" s="1" t="s">
        <v>76</v>
      </c>
      <c r="P398" s="1" t="s">
        <v>3951</v>
      </c>
      <c r="S398" s="1" t="s">
        <v>3952</v>
      </c>
      <c r="T398" s="1">
        <v>285.0</v>
      </c>
      <c r="U398" s="3" t="s">
        <v>3953</v>
      </c>
      <c r="V398" s="1">
        <v>334768.0</v>
      </c>
      <c r="W398" s="1" t="s">
        <v>3954</v>
      </c>
      <c r="X398" s="3" t="s">
        <v>3955</v>
      </c>
      <c r="Y398" s="3" t="s">
        <v>3956</v>
      </c>
      <c r="Z398" s="1">
        <v>2.0</v>
      </c>
      <c r="AB398" s="1">
        <v>19.0</v>
      </c>
      <c r="AC398" s="1">
        <v>31.0</v>
      </c>
      <c r="AD398" s="1">
        <v>23.0</v>
      </c>
      <c r="AE398" s="1">
        <v>7.0</v>
      </c>
      <c r="AF398" s="1">
        <v>1.0</v>
      </c>
      <c r="AG398" s="1">
        <v>0.0</v>
      </c>
      <c r="AH398" s="1">
        <v>55.0</v>
      </c>
      <c r="AI398" s="1">
        <v>26.0</v>
      </c>
      <c r="AJ398" s="1">
        <v>0.0</v>
      </c>
      <c r="AK398" s="1">
        <v>1.0</v>
      </c>
      <c r="AL398" s="1">
        <v>7.0</v>
      </c>
      <c r="AM398" s="1">
        <v>6.0</v>
      </c>
      <c r="AN398" s="1">
        <v>1.0</v>
      </c>
    </row>
    <row r="399">
      <c r="A399" s="1">
        <v>28.0</v>
      </c>
      <c r="B399" s="1" t="s">
        <v>3957</v>
      </c>
      <c r="C399" s="1" t="s">
        <v>3958</v>
      </c>
      <c r="D399" s="1" t="s">
        <v>916</v>
      </c>
      <c r="E399" s="1" t="s">
        <v>43</v>
      </c>
      <c r="F399" s="2">
        <v>17526.0</v>
      </c>
      <c r="G399" s="1" t="s">
        <v>3959</v>
      </c>
      <c r="H399" s="1">
        <v>14.0</v>
      </c>
      <c r="I399" s="1" t="s">
        <v>1137</v>
      </c>
      <c r="J399" s="1">
        <v>6.0</v>
      </c>
      <c r="K399" s="2">
        <v>42907.0</v>
      </c>
      <c r="M399" s="1">
        <v>0.0</v>
      </c>
      <c r="N399" s="1" t="s">
        <v>75</v>
      </c>
      <c r="O399" s="1" t="s">
        <v>76</v>
      </c>
      <c r="P399" s="1" t="s">
        <v>3960</v>
      </c>
      <c r="S399" s="1" t="s">
        <v>304</v>
      </c>
      <c r="T399" s="1">
        <v>193.0</v>
      </c>
      <c r="U399" s="3" t="s">
        <v>3961</v>
      </c>
      <c r="V399" s="1">
        <v>2828.0</v>
      </c>
      <c r="W399" s="1" t="s">
        <v>3962</v>
      </c>
      <c r="X399" s="3" t="s">
        <v>3963</v>
      </c>
      <c r="Y399" s="3" t="s">
        <v>3964</v>
      </c>
      <c r="Z399" s="1">
        <v>1.0</v>
      </c>
      <c r="AA399" s="1" t="s">
        <v>3965</v>
      </c>
      <c r="AB399" s="1">
        <v>19.0</v>
      </c>
      <c r="AC399" s="1">
        <v>19.0</v>
      </c>
      <c r="AD399" s="1">
        <v>50.0</v>
      </c>
      <c r="AE399" s="1">
        <v>10.0</v>
      </c>
      <c r="AF399" s="1">
        <v>7.0</v>
      </c>
      <c r="AG399" s="1">
        <v>15.0</v>
      </c>
      <c r="AH399" s="1">
        <v>68.0</v>
      </c>
      <c r="AI399" s="1">
        <v>32.0</v>
      </c>
      <c r="AJ399" s="1">
        <v>1.0</v>
      </c>
      <c r="AK399" s="1">
        <v>0.0</v>
      </c>
      <c r="AL399" s="1">
        <v>6.0</v>
      </c>
      <c r="AM399" s="1">
        <v>5.0</v>
      </c>
      <c r="AN399" s="1">
        <v>0.0</v>
      </c>
    </row>
    <row r="400">
      <c r="A400" s="1">
        <v>557.0</v>
      </c>
      <c r="B400" s="1" t="s">
        <v>3966</v>
      </c>
      <c r="C400" s="1" t="s">
        <v>3967</v>
      </c>
      <c r="D400" s="1" t="s">
        <v>1902</v>
      </c>
      <c r="E400" s="1" t="s">
        <v>58</v>
      </c>
      <c r="F400" s="2">
        <v>23191.0</v>
      </c>
      <c r="G400" s="1" t="s">
        <v>3968</v>
      </c>
      <c r="H400" s="1">
        <v>57.0</v>
      </c>
      <c r="I400" s="1" t="s">
        <v>471</v>
      </c>
      <c r="J400" s="1">
        <v>5.0</v>
      </c>
      <c r="K400" s="2">
        <v>42907.0</v>
      </c>
      <c r="M400" s="1">
        <v>0.0</v>
      </c>
      <c r="N400" s="1" t="s">
        <v>75</v>
      </c>
      <c r="O400" s="1" t="s">
        <v>76</v>
      </c>
      <c r="S400" s="1" t="s">
        <v>986</v>
      </c>
      <c r="T400" s="1">
        <v>446.0</v>
      </c>
      <c r="U400" s="3" t="s">
        <v>3969</v>
      </c>
      <c r="V400" s="1">
        <v>720394.0</v>
      </c>
      <c r="W400" s="1" t="s">
        <v>3970</v>
      </c>
      <c r="X400" s="3" t="s">
        <v>3971</v>
      </c>
      <c r="Y400" s="3" t="s">
        <v>3972</v>
      </c>
      <c r="Z400" s="1">
        <v>1.0</v>
      </c>
      <c r="AB400" s="1">
        <v>19.0</v>
      </c>
      <c r="AC400" s="1">
        <v>36.0</v>
      </c>
      <c r="AD400" s="1">
        <v>12.0</v>
      </c>
      <c r="AE400" s="1">
        <v>6.0</v>
      </c>
      <c r="AF400" s="1">
        <v>2.0</v>
      </c>
      <c r="AG400" s="1">
        <v>0.0</v>
      </c>
      <c r="AH400" s="1">
        <v>27.0</v>
      </c>
      <c r="AI400" s="1">
        <v>3.0</v>
      </c>
      <c r="AJ400" s="1">
        <v>1.0</v>
      </c>
      <c r="AK400" s="1">
        <v>0.0</v>
      </c>
      <c r="AL400" s="1">
        <v>6.0</v>
      </c>
      <c r="AM400" s="1">
        <v>7.0</v>
      </c>
      <c r="AN400" s="1">
        <v>2.0</v>
      </c>
    </row>
    <row r="401">
      <c r="A401" s="1">
        <v>549.0</v>
      </c>
      <c r="B401" s="1" t="s">
        <v>3973</v>
      </c>
      <c r="C401" s="1" t="s">
        <v>3974</v>
      </c>
      <c r="D401" s="1" t="s">
        <v>3249</v>
      </c>
      <c r="E401" s="1" t="s">
        <v>58</v>
      </c>
      <c r="F401" s="2">
        <v>20635.0</v>
      </c>
      <c r="G401" s="1" t="s">
        <v>3975</v>
      </c>
      <c r="H401" s="1">
        <v>17.0</v>
      </c>
      <c r="I401" s="1" t="s">
        <v>2055</v>
      </c>
      <c r="J401" s="1">
        <v>2.0</v>
      </c>
      <c r="K401" s="2">
        <v>42907.0</v>
      </c>
      <c r="M401" s="1">
        <v>0.0</v>
      </c>
      <c r="N401" s="1" t="s">
        <v>75</v>
      </c>
      <c r="O401" s="1" t="s">
        <v>76</v>
      </c>
      <c r="P401" s="1" t="s">
        <v>3976</v>
      </c>
      <c r="S401" s="1" t="s">
        <v>2940</v>
      </c>
      <c r="T401" s="1">
        <v>346.0</v>
      </c>
      <c r="U401" s="3" t="s">
        <v>3977</v>
      </c>
      <c r="V401" s="1">
        <v>719092.0</v>
      </c>
      <c r="W401" s="1" t="s">
        <v>3978</v>
      </c>
      <c r="X401" s="3" t="s">
        <v>3979</v>
      </c>
      <c r="Y401" s="3" t="s">
        <v>3980</v>
      </c>
      <c r="Z401" s="1">
        <v>2.0</v>
      </c>
      <c r="AA401" s="1" t="s">
        <v>3981</v>
      </c>
      <c r="AB401" s="1">
        <v>19.0</v>
      </c>
      <c r="AC401" s="1">
        <v>30.0</v>
      </c>
      <c r="AD401" s="1">
        <v>6.0</v>
      </c>
      <c r="AE401" s="1">
        <v>4.0</v>
      </c>
      <c r="AF401" s="1">
        <v>3.0</v>
      </c>
      <c r="AG401" s="1">
        <v>0.0</v>
      </c>
      <c r="AH401" s="1">
        <v>91.0</v>
      </c>
      <c r="AI401" s="1">
        <v>40.0</v>
      </c>
      <c r="AJ401" s="1">
        <v>0.0</v>
      </c>
      <c r="AK401" s="1">
        <v>0.0</v>
      </c>
      <c r="AL401" s="1">
        <v>5.0</v>
      </c>
      <c r="AM401" s="1">
        <v>4.0</v>
      </c>
      <c r="AN401" s="1">
        <v>1.0</v>
      </c>
    </row>
    <row r="402">
      <c r="A402" s="1">
        <v>434.0</v>
      </c>
      <c r="B402" s="1" t="s">
        <v>3982</v>
      </c>
      <c r="C402" s="1" t="s">
        <v>3983</v>
      </c>
      <c r="D402" s="1" t="s">
        <v>2316</v>
      </c>
      <c r="E402" s="1" t="s">
        <v>43</v>
      </c>
      <c r="F402" s="2">
        <v>20071.0</v>
      </c>
      <c r="G402" s="1" t="s">
        <v>3984</v>
      </c>
      <c r="H402" s="1">
        <v>89.0</v>
      </c>
      <c r="I402" s="1" t="s">
        <v>877</v>
      </c>
      <c r="J402" s="1">
        <v>2.0</v>
      </c>
      <c r="K402" s="2">
        <v>42907.0</v>
      </c>
      <c r="M402" s="1">
        <v>0.0</v>
      </c>
      <c r="N402" s="1" t="s">
        <v>46</v>
      </c>
      <c r="O402" s="1" t="s">
        <v>47</v>
      </c>
      <c r="P402" s="1" t="s">
        <v>3985</v>
      </c>
      <c r="S402" s="1" t="s">
        <v>1905</v>
      </c>
      <c r="T402" s="1">
        <v>153.0</v>
      </c>
      <c r="U402" s="3" t="s">
        <v>3986</v>
      </c>
      <c r="V402" s="1">
        <v>421348.0</v>
      </c>
      <c r="W402" s="1" t="s">
        <v>3987</v>
      </c>
      <c r="X402" s="3" t="s">
        <v>3988</v>
      </c>
      <c r="Y402" s="3" t="s">
        <v>3989</v>
      </c>
      <c r="Z402" s="1">
        <v>2.0</v>
      </c>
      <c r="AA402" s="1" t="s">
        <v>3990</v>
      </c>
      <c r="AB402" s="1">
        <v>19.0</v>
      </c>
      <c r="AC402" s="1">
        <v>32.0</v>
      </c>
      <c r="AD402" s="1">
        <v>25.0</v>
      </c>
      <c r="AE402" s="1">
        <v>4.0</v>
      </c>
      <c r="AF402" s="1">
        <v>5.0</v>
      </c>
      <c r="AG402" s="1">
        <v>0.0</v>
      </c>
      <c r="AH402" s="1">
        <v>240.0</v>
      </c>
      <c r="AI402" s="1">
        <v>14.0</v>
      </c>
      <c r="AJ402" s="1">
        <v>0.0</v>
      </c>
      <c r="AK402" s="1">
        <v>0.0</v>
      </c>
      <c r="AL402" s="1">
        <v>4.0</v>
      </c>
      <c r="AM402" s="1">
        <v>0.0</v>
      </c>
      <c r="AN402" s="1">
        <v>1.0</v>
      </c>
    </row>
    <row r="403">
      <c r="A403" s="1">
        <v>329.0</v>
      </c>
      <c r="B403" s="1" t="s">
        <v>3991</v>
      </c>
      <c r="C403" s="1" t="s">
        <v>3992</v>
      </c>
      <c r="D403" s="1" t="s">
        <v>810</v>
      </c>
      <c r="E403" s="1" t="s">
        <v>43</v>
      </c>
      <c r="F403" s="2">
        <v>24128.0</v>
      </c>
      <c r="G403" s="1" t="s">
        <v>3993</v>
      </c>
      <c r="H403" s="1">
        <v>90.0</v>
      </c>
      <c r="I403" s="1" t="s">
        <v>3994</v>
      </c>
      <c r="J403" s="1">
        <v>2.0</v>
      </c>
      <c r="K403" s="2">
        <v>42907.0</v>
      </c>
      <c r="M403" s="1">
        <v>0.0</v>
      </c>
      <c r="N403" s="1" t="s">
        <v>46</v>
      </c>
      <c r="O403" s="1" t="s">
        <v>47</v>
      </c>
      <c r="P403" s="1" t="s">
        <v>3995</v>
      </c>
      <c r="S403" s="1" t="s">
        <v>222</v>
      </c>
      <c r="T403" s="1">
        <v>122.0</v>
      </c>
      <c r="U403" s="3" t="s">
        <v>3996</v>
      </c>
      <c r="V403" s="1">
        <v>267330.0</v>
      </c>
      <c r="W403" s="1" t="s">
        <v>3997</v>
      </c>
      <c r="X403" s="3" t="s">
        <v>3998</v>
      </c>
      <c r="Y403" s="3" t="s">
        <v>3999</v>
      </c>
      <c r="Z403" s="1">
        <v>2.0</v>
      </c>
      <c r="AA403" s="1" t="s">
        <v>4000</v>
      </c>
      <c r="AB403" s="1">
        <v>19.0</v>
      </c>
      <c r="AC403" s="1">
        <v>20.0</v>
      </c>
      <c r="AD403" s="1">
        <v>21.0</v>
      </c>
      <c r="AE403" s="1">
        <v>59.0</v>
      </c>
      <c r="AF403" s="1">
        <v>30.0</v>
      </c>
      <c r="AG403" s="1">
        <v>22.0</v>
      </c>
      <c r="AH403" s="1">
        <v>628.0</v>
      </c>
      <c r="AI403" s="1">
        <v>35.0</v>
      </c>
      <c r="AJ403" s="1">
        <v>1.0</v>
      </c>
      <c r="AK403" s="1">
        <v>1.0</v>
      </c>
      <c r="AL403" s="1">
        <v>13.0</v>
      </c>
      <c r="AM403" s="1">
        <v>8.0</v>
      </c>
      <c r="AN403" s="1">
        <v>0.0</v>
      </c>
    </row>
    <row r="404">
      <c r="A404" s="1">
        <v>493.0</v>
      </c>
      <c r="B404" s="1" t="s">
        <v>4001</v>
      </c>
      <c r="C404" s="1" t="s">
        <v>4002</v>
      </c>
      <c r="D404" s="1" t="s">
        <v>4003</v>
      </c>
      <c r="E404" s="1" t="s">
        <v>43</v>
      </c>
      <c r="F404" s="2">
        <v>26742.0</v>
      </c>
      <c r="G404" s="1" t="s">
        <v>811</v>
      </c>
      <c r="H404" s="1" t="s">
        <v>812</v>
      </c>
      <c r="I404" s="1" t="s">
        <v>813</v>
      </c>
      <c r="J404" s="1">
        <v>2.0</v>
      </c>
      <c r="K404" s="2">
        <v>42907.0</v>
      </c>
      <c r="M404" s="1">
        <v>0.0</v>
      </c>
      <c r="N404" s="1" t="s">
        <v>814</v>
      </c>
      <c r="O404" s="1" t="s">
        <v>815</v>
      </c>
      <c r="P404" s="1" t="s">
        <v>4004</v>
      </c>
      <c r="S404" s="1" t="s">
        <v>3138</v>
      </c>
      <c r="T404" s="1">
        <v>650.0</v>
      </c>
      <c r="U404" s="3" t="s">
        <v>4005</v>
      </c>
      <c r="V404" s="1">
        <v>719146.0</v>
      </c>
      <c r="W404" s="1" t="s">
        <v>4006</v>
      </c>
      <c r="X404" s="3" t="s">
        <v>4007</v>
      </c>
      <c r="Y404" s="3" t="s">
        <v>4008</v>
      </c>
      <c r="Z404" s="1">
        <v>1.0</v>
      </c>
      <c r="AA404" s="1" t="s">
        <v>4009</v>
      </c>
      <c r="AB404" s="1">
        <v>18.0</v>
      </c>
      <c r="AC404" s="1">
        <v>26.0</v>
      </c>
      <c r="AD404" s="1">
        <v>15.0</v>
      </c>
      <c r="AE404" s="1">
        <v>58.0</v>
      </c>
      <c r="AF404" s="1">
        <v>14.0</v>
      </c>
      <c r="AG404" s="1">
        <v>89.0</v>
      </c>
      <c r="AH404" s="1">
        <v>235.0</v>
      </c>
      <c r="AI404" s="1">
        <v>3.0</v>
      </c>
      <c r="AJ404" s="1">
        <v>0.0</v>
      </c>
      <c r="AK404" s="1">
        <v>1.0</v>
      </c>
      <c r="AL404" s="1">
        <v>6.0</v>
      </c>
      <c r="AM404" s="1">
        <v>12.0</v>
      </c>
      <c r="AN404" s="1">
        <v>1.0</v>
      </c>
    </row>
    <row r="405">
      <c r="A405" s="1">
        <v>351.0</v>
      </c>
      <c r="B405" s="1" t="s">
        <v>4010</v>
      </c>
      <c r="C405" s="1" t="s">
        <v>2316</v>
      </c>
      <c r="D405" s="1" t="s">
        <v>1490</v>
      </c>
      <c r="E405" s="1" t="s">
        <v>43</v>
      </c>
      <c r="F405" s="2">
        <v>24672.0</v>
      </c>
      <c r="G405" s="1" t="s">
        <v>1903</v>
      </c>
      <c r="H405" s="1">
        <v>35.0</v>
      </c>
      <c r="I405" s="1" t="s">
        <v>415</v>
      </c>
      <c r="J405" s="1">
        <v>3.0</v>
      </c>
      <c r="K405" s="2">
        <v>42907.0</v>
      </c>
      <c r="M405" s="1">
        <v>0.0</v>
      </c>
      <c r="N405" s="1" t="s">
        <v>75</v>
      </c>
      <c r="O405" s="1" t="s">
        <v>76</v>
      </c>
      <c r="P405" s="1" t="s">
        <v>4011</v>
      </c>
      <c r="S405" s="1" t="s">
        <v>118</v>
      </c>
      <c r="T405" s="1">
        <v>276.0</v>
      </c>
      <c r="U405" s="3" t="s">
        <v>4012</v>
      </c>
      <c r="V405" s="1">
        <v>606675.0</v>
      </c>
      <c r="W405" s="1" t="s">
        <v>4013</v>
      </c>
      <c r="X405" s="3" t="s">
        <v>4014</v>
      </c>
      <c r="Y405" s="3" t="s">
        <v>4015</v>
      </c>
      <c r="Z405" s="1">
        <v>1.0</v>
      </c>
      <c r="AA405" s="1" t="s">
        <v>4016</v>
      </c>
      <c r="AB405" s="1">
        <v>18.0</v>
      </c>
      <c r="AC405" s="1">
        <v>26.0</v>
      </c>
      <c r="AD405" s="1">
        <v>8.0</v>
      </c>
      <c r="AE405" s="1">
        <v>6.0</v>
      </c>
      <c r="AF405" s="1">
        <v>5.0</v>
      </c>
      <c r="AG405" s="1">
        <v>0.0</v>
      </c>
      <c r="AH405" s="1">
        <v>15.0</v>
      </c>
      <c r="AI405" s="1">
        <v>4.0</v>
      </c>
      <c r="AJ405" s="1">
        <v>0.0</v>
      </c>
      <c r="AK405" s="1">
        <v>0.0</v>
      </c>
      <c r="AL405" s="1">
        <v>5.0</v>
      </c>
      <c r="AM405" s="1">
        <v>4.0</v>
      </c>
      <c r="AN405" s="1">
        <v>0.0</v>
      </c>
    </row>
    <row r="406">
      <c r="A406" s="1">
        <v>218.0</v>
      </c>
      <c r="B406" s="1" t="s">
        <v>4017</v>
      </c>
      <c r="C406" s="1" t="s">
        <v>4018</v>
      </c>
      <c r="D406" s="1" t="s">
        <v>629</v>
      </c>
      <c r="E406" s="1" t="s">
        <v>58</v>
      </c>
      <c r="F406" s="2">
        <v>25507.0</v>
      </c>
      <c r="G406" s="1" t="s">
        <v>4019</v>
      </c>
      <c r="H406" s="1">
        <v>10.0</v>
      </c>
      <c r="I406" s="1" t="s">
        <v>1970</v>
      </c>
      <c r="J406" s="1">
        <v>2.0</v>
      </c>
      <c r="K406" s="2">
        <v>42907.0</v>
      </c>
      <c r="M406" s="1">
        <v>0.0</v>
      </c>
      <c r="N406" s="1" t="s">
        <v>61</v>
      </c>
      <c r="O406" s="1" t="s">
        <v>62</v>
      </c>
      <c r="P406" s="3" t="s">
        <v>4020</v>
      </c>
      <c r="S406" s="1" t="s">
        <v>4021</v>
      </c>
      <c r="T406" s="1">
        <v>119.0</v>
      </c>
      <c r="U406" s="3" t="s">
        <v>4022</v>
      </c>
      <c r="V406" s="1">
        <v>718884.0</v>
      </c>
      <c r="W406" s="1" t="s">
        <v>4023</v>
      </c>
      <c r="X406" s="3" t="s">
        <v>4024</v>
      </c>
      <c r="Y406" s="3" t="s">
        <v>4025</v>
      </c>
      <c r="Z406" s="1">
        <v>2.0</v>
      </c>
      <c r="AA406" s="1" t="s">
        <v>4026</v>
      </c>
      <c r="AB406" s="1">
        <v>18.0</v>
      </c>
      <c r="AC406" s="1">
        <v>27.0</v>
      </c>
      <c r="AD406" s="1">
        <v>10.0</v>
      </c>
      <c r="AE406" s="1">
        <v>18.0</v>
      </c>
      <c r="AF406" s="1">
        <v>2.0</v>
      </c>
      <c r="AG406" s="1">
        <v>61.0</v>
      </c>
      <c r="AH406" s="1">
        <v>1844.0</v>
      </c>
      <c r="AI406" s="1">
        <v>53.0</v>
      </c>
      <c r="AJ406" s="1">
        <v>0.0</v>
      </c>
      <c r="AK406" s="1">
        <v>0.0</v>
      </c>
      <c r="AL406" s="1">
        <v>117.0</v>
      </c>
      <c r="AM406" s="1">
        <v>32.0</v>
      </c>
      <c r="AN406" s="1">
        <v>1.0</v>
      </c>
    </row>
    <row r="407">
      <c r="A407" s="1">
        <v>311.0</v>
      </c>
      <c r="B407" s="1" t="s">
        <v>4027</v>
      </c>
      <c r="C407" s="1" t="s">
        <v>4028</v>
      </c>
      <c r="D407" s="1" t="s">
        <v>4029</v>
      </c>
      <c r="E407" s="1" t="s">
        <v>43</v>
      </c>
      <c r="F407" s="2">
        <v>20159.0</v>
      </c>
      <c r="G407" s="1" t="s">
        <v>1663</v>
      </c>
      <c r="H407" s="1">
        <v>15.0</v>
      </c>
      <c r="I407" s="1" t="s">
        <v>1664</v>
      </c>
      <c r="J407" s="1">
        <v>2.0</v>
      </c>
      <c r="K407" s="2">
        <v>42907.0</v>
      </c>
      <c r="M407" s="1">
        <v>0.0</v>
      </c>
      <c r="N407" s="1" t="s">
        <v>61</v>
      </c>
      <c r="O407" s="1" t="s">
        <v>62</v>
      </c>
      <c r="S407" s="1" t="s">
        <v>4030</v>
      </c>
      <c r="T407" s="1">
        <v>2.0</v>
      </c>
      <c r="U407" s="3" t="s">
        <v>4031</v>
      </c>
      <c r="V407" s="1">
        <v>266793.0</v>
      </c>
      <c r="W407" s="1" t="s">
        <v>4032</v>
      </c>
      <c r="X407" s="3" t="s">
        <v>4033</v>
      </c>
      <c r="Y407" s="3" t="s">
        <v>4034</v>
      </c>
      <c r="Z407" s="1">
        <v>2.0</v>
      </c>
      <c r="AB407" s="1">
        <v>18.0</v>
      </c>
      <c r="AC407" s="1">
        <v>24.0</v>
      </c>
      <c r="AD407" s="1">
        <v>7.0</v>
      </c>
      <c r="AE407" s="1">
        <v>11.0</v>
      </c>
      <c r="AF407" s="1">
        <v>11.0</v>
      </c>
      <c r="AG407" s="1">
        <v>6.0</v>
      </c>
      <c r="AH407" s="1">
        <v>634.0</v>
      </c>
      <c r="AI407" s="1">
        <v>24.0</v>
      </c>
      <c r="AJ407" s="1">
        <v>0.0</v>
      </c>
      <c r="AK407" s="1">
        <v>0.0</v>
      </c>
      <c r="AL407" s="1">
        <v>43.0</v>
      </c>
      <c r="AM407" s="1">
        <v>20.0</v>
      </c>
      <c r="AN407" s="1">
        <v>4.0</v>
      </c>
    </row>
    <row r="408">
      <c r="A408" s="1">
        <v>445.0</v>
      </c>
      <c r="B408" s="1" t="s">
        <v>4035</v>
      </c>
      <c r="C408" s="1" t="s">
        <v>1622</v>
      </c>
      <c r="D408" s="1" t="s">
        <v>629</v>
      </c>
      <c r="E408" s="1" t="s">
        <v>58</v>
      </c>
      <c r="F408" s="2">
        <v>22808.0</v>
      </c>
      <c r="G408" s="1" t="s">
        <v>2335</v>
      </c>
      <c r="H408" s="1">
        <v>13.0</v>
      </c>
      <c r="I408" s="1" t="s">
        <v>279</v>
      </c>
      <c r="J408" s="1">
        <v>1.0</v>
      </c>
      <c r="K408" s="2">
        <v>42907.0</v>
      </c>
      <c r="M408" s="1">
        <v>0.0</v>
      </c>
      <c r="N408" s="1" t="s">
        <v>61</v>
      </c>
      <c r="O408" s="1" t="s">
        <v>62</v>
      </c>
      <c r="P408" s="1" t="s">
        <v>4036</v>
      </c>
      <c r="S408" s="1" t="s">
        <v>4037</v>
      </c>
      <c r="T408" s="1">
        <v>82.0</v>
      </c>
      <c r="U408" s="3" t="s">
        <v>4038</v>
      </c>
      <c r="V408" s="1">
        <v>330684.0</v>
      </c>
      <c r="W408" s="1" t="s">
        <v>4039</v>
      </c>
      <c r="X408" s="3" t="s">
        <v>4040</v>
      </c>
      <c r="Y408" s="3" t="s">
        <v>4041</v>
      </c>
      <c r="Z408" s="1">
        <v>3.0</v>
      </c>
      <c r="AA408" s="1" t="s">
        <v>4042</v>
      </c>
      <c r="AB408" s="1">
        <v>18.0</v>
      </c>
      <c r="AC408" s="1">
        <v>19.0</v>
      </c>
      <c r="AD408" s="1">
        <v>8.0</v>
      </c>
      <c r="AE408" s="1">
        <v>43.0</v>
      </c>
      <c r="AF408" s="1">
        <v>70.0</v>
      </c>
      <c r="AG408" s="1">
        <v>38.0</v>
      </c>
      <c r="AH408" s="1">
        <v>1344.0</v>
      </c>
      <c r="AI408" s="1">
        <v>49.0</v>
      </c>
      <c r="AJ408" s="1">
        <v>0.0</v>
      </c>
      <c r="AK408" s="1">
        <v>8.0</v>
      </c>
      <c r="AL408" s="1">
        <v>47.0</v>
      </c>
      <c r="AM408" s="1">
        <v>5.0</v>
      </c>
      <c r="AN408" s="1">
        <v>1.0</v>
      </c>
    </row>
    <row r="409">
      <c r="A409" s="1">
        <v>527.0</v>
      </c>
      <c r="B409" s="1" t="s">
        <v>4043</v>
      </c>
      <c r="C409" s="1" t="s">
        <v>4044</v>
      </c>
      <c r="D409" s="1" t="s">
        <v>4045</v>
      </c>
      <c r="E409" s="1" t="s">
        <v>43</v>
      </c>
      <c r="F409" s="2">
        <v>19486.0</v>
      </c>
      <c r="G409" s="1" t="s">
        <v>437</v>
      </c>
      <c r="H409" s="1">
        <v>94.0</v>
      </c>
      <c r="I409" s="1" t="s">
        <v>642</v>
      </c>
      <c r="J409" s="1">
        <v>7.0</v>
      </c>
      <c r="K409" s="2">
        <v>42907.0</v>
      </c>
      <c r="M409" s="1">
        <v>0.0</v>
      </c>
      <c r="N409" s="1" t="s">
        <v>75</v>
      </c>
      <c r="O409" s="1" t="s">
        <v>76</v>
      </c>
      <c r="P409" s="1" t="s">
        <v>4046</v>
      </c>
      <c r="S409" s="1" t="s">
        <v>570</v>
      </c>
      <c r="T409" s="1">
        <v>454.0</v>
      </c>
      <c r="U409" s="3" t="s">
        <v>4047</v>
      </c>
      <c r="V409" s="1">
        <v>672.0</v>
      </c>
      <c r="W409" s="1" t="s">
        <v>4048</v>
      </c>
      <c r="X409" s="3" t="s">
        <v>4049</v>
      </c>
      <c r="Y409" s="3" t="s">
        <v>4050</v>
      </c>
      <c r="Z409" s="1">
        <v>2.0</v>
      </c>
      <c r="AA409" s="1" t="s">
        <v>4051</v>
      </c>
      <c r="AB409" s="1">
        <v>18.0</v>
      </c>
      <c r="AC409" s="1">
        <v>35.0</v>
      </c>
      <c r="AD409" s="1">
        <v>146.0</v>
      </c>
      <c r="AE409" s="1">
        <v>5.0</v>
      </c>
      <c r="AF409" s="1">
        <v>15.0</v>
      </c>
      <c r="AG409" s="1">
        <v>1.0</v>
      </c>
      <c r="AH409" s="1">
        <v>11.0</v>
      </c>
      <c r="AI409" s="1">
        <v>2.0</v>
      </c>
      <c r="AJ409" s="1">
        <v>0.0</v>
      </c>
      <c r="AK409" s="1">
        <v>0.0</v>
      </c>
      <c r="AL409" s="1">
        <v>5.0</v>
      </c>
      <c r="AM409" s="1">
        <v>0.0</v>
      </c>
      <c r="AN409" s="1">
        <v>1.0</v>
      </c>
    </row>
    <row r="410">
      <c r="A410" s="1">
        <v>196.0</v>
      </c>
      <c r="B410" s="1" t="s">
        <v>4052</v>
      </c>
      <c r="C410" s="1" t="s">
        <v>4053</v>
      </c>
      <c r="D410" s="1" t="s">
        <v>4054</v>
      </c>
      <c r="E410" s="1" t="s">
        <v>58</v>
      </c>
      <c r="F410" s="2">
        <v>29893.0</v>
      </c>
      <c r="G410" s="1" t="s">
        <v>1273</v>
      </c>
      <c r="H410" s="1">
        <v>69.0</v>
      </c>
      <c r="I410" s="1" t="s">
        <v>1363</v>
      </c>
      <c r="J410" s="1">
        <v>5.0</v>
      </c>
      <c r="K410" s="2">
        <v>42907.0</v>
      </c>
      <c r="M410" s="1">
        <v>0.0</v>
      </c>
      <c r="N410" s="1" t="s">
        <v>75</v>
      </c>
      <c r="O410" s="1" t="s">
        <v>76</v>
      </c>
      <c r="P410" s="1" t="s">
        <v>4055</v>
      </c>
      <c r="S410" s="1" t="s">
        <v>450</v>
      </c>
      <c r="T410" s="1">
        <v>323.0</v>
      </c>
      <c r="U410" s="3" t="s">
        <v>4056</v>
      </c>
      <c r="V410" s="1">
        <v>721336.0</v>
      </c>
      <c r="W410" s="1" t="s">
        <v>4057</v>
      </c>
      <c r="X410" s="3" t="s">
        <v>4058</v>
      </c>
      <c r="Y410" s="3" t="s">
        <v>4059</v>
      </c>
      <c r="Z410" s="1">
        <v>1.0</v>
      </c>
      <c r="AA410" s="1" t="s">
        <v>4060</v>
      </c>
      <c r="AB410" s="1">
        <v>18.0</v>
      </c>
      <c r="AC410" s="1">
        <v>27.0</v>
      </c>
      <c r="AD410" s="1">
        <v>12.0</v>
      </c>
      <c r="AE410" s="1">
        <v>16.0</v>
      </c>
      <c r="AF410" s="1">
        <v>3.0</v>
      </c>
      <c r="AG410" s="1">
        <v>17.0</v>
      </c>
      <c r="AH410" s="1">
        <v>73.0</v>
      </c>
      <c r="AI410" s="1">
        <v>24.0</v>
      </c>
      <c r="AJ410" s="1">
        <v>0.0</v>
      </c>
      <c r="AK410" s="1">
        <v>0.0</v>
      </c>
      <c r="AL410" s="1">
        <v>5.0</v>
      </c>
      <c r="AM410" s="1">
        <v>5.0</v>
      </c>
      <c r="AN410" s="1">
        <v>0.0</v>
      </c>
    </row>
    <row r="411">
      <c r="A411" s="1">
        <v>207.0</v>
      </c>
      <c r="B411" s="1" t="s">
        <v>4061</v>
      </c>
      <c r="C411" s="1" t="s">
        <v>4062</v>
      </c>
      <c r="D411" s="1" t="s">
        <v>1801</v>
      </c>
      <c r="E411" s="1" t="s">
        <v>43</v>
      </c>
      <c r="F411" s="2">
        <v>21340.0</v>
      </c>
      <c r="G411" s="1" t="s">
        <v>1500</v>
      </c>
      <c r="H411" s="1">
        <v>68.0</v>
      </c>
      <c r="I411" s="1" t="s">
        <v>1501</v>
      </c>
      <c r="J411" s="1">
        <v>2.0</v>
      </c>
      <c r="K411" s="2">
        <v>42907.0</v>
      </c>
      <c r="M411" s="1">
        <v>0.0</v>
      </c>
      <c r="N411" s="1" t="s">
        <v>61</v>
      </c>
      <c r="O411" s="1" t="s">
        <v>62</v>
      </c>
      <c r="P411" s="1" t="s">
        <v>4063</v>
      </c>
      <c r="S411" s="1" t="s">
        <v>4064</v>
      </c>
      <c r="T411" s="1">
        <v>73.0</v>
      </c>
      <c r="U411" s="3" t="s">
        <v>4065</v>
      </c>
      <c r="V411" s="1">
        <v>767.0</v>
      </c>
      <c r="W411" s="1" t="s">
        <v>4066</v>
      </c>
      <c r="X411" s="3" t="s">
        <v>4067</v>
      </c>
      <c r="Y411" s="3" t="s">
        <v>4068</v>
      </c>
      <c r="Z411" s="1">
        <v>1.0</v>
      </c>
      <c r="AA411" s="1" t="s">
        <v>4069</v>
      </c>
      <c r="AB411" s="1">
        <v>18.0</v>
      </c>
      <c r="AC411" s="1">
        <v>21.0</v>
      </c>
      <c r="AD411" s="1">
        <v>6.0</v>
      </c>
      <c r="AE411" s="1">
        <v>5.0</v>
      </c>
      <c r="AF411" s="1">
        <v>1.0</v>
      </c>
      <c r="AG411" s="1">
        <v>13.0</v>
      </c>
      <c r="AH411" s="1">
        <v>1077.0</v>
      </c>
      <c r="AI411" s="1">
        <v>35.0</v>
      </c>
      <c r="AJ411" s="1">
        <v>0.0</v>
      </c>
      <c r="AK411" s="1">
        <v>2.0</v>
      </c>
      <c r="AL411" s="1">
        <v>98.0</v>
      </c>
      <c r="AM411" s="1">
        <v>34.0</v>
      </c>
      <c r="AN411" s="1">
        <v>1.0</v>
      </c>
    </row>
    <row r="412">
      <c r="A412" s="1">
        <v>318.0</v>
      </c>
      <c r="B412" s="1" t="s">
        <v>4070</v>
      </c>
      <c r="C412" s="1" t="s">
        <v>4071</v>
      </c>
      <c r="D412" s="1" t="s">
        <v>1822</v>
      </c>
      <c r="E412" s="1" t="s">
        <v>43</v>
      </c>
      <c r="F412" s="2">
        <v>31501.0</v>
      </c>
      <c r="G412" s="1" t="s">
        <v>4072</v>
      </c>
      <c r="H412" s="1">
        <v>79.0</v>
      </c>
      <c r="I412" s="1" t="s">
        <v>2228</v>
      </c>
      <c r="J412" s="1">
        <v>1.0</v>
      </c>
      <c r="K412" s="2">
        <v>42907.0</v>
      </c>
      <c r="M412" s="1">
        <v>0.0</v>
      </c>
      <c r="N412" s="1" t="s">
        <v>75</v>
      </c>
      <c r="O412" s="1" t="s">
        <v>76</v>
      </c>
      <c r="P412" s="1" t="s">
        <v>4073</v>
      </c>
      <c r="S412" s="1" t="s">
        <v>162</v>
      </c>
      <c r="T412" s="1">
        <v>616.0</v>
      </c>
      <c r="U412" s="3" t="s">
        <v>4074</v>
      </c>
      <c r="V412" s="1">
        <v>722126.0</v>
      </c>
      <c r="W412" s="1" t="s">
        <v>4075</v>
      </c>
      <c r="X412" s="3" t="s">
        <v>4076</v>
      </c>
      <c r="Y412" s="3" t="s">
        <v>4077</v>
      </c>
      <c r="Z412" s="1">
        <v>1.0</v>
      </c>
      <c r="AA412" s="1" t="s">
        <v>4078</v>
      </c>
      <c r="AB412" s="1">
        <v>18.0</v>
      </c>
      <c r="AC412" s="1">
        <v>27.0</v>
      </c>
      <c r="AD412" s="1">
        <v>9.0</v>
      </c>
      <c r="AE412" s="1">
        <v>17.0</v>
      </c>
      <c r="AF412" s="1">
        <v>6.0</v>
      </c>
      <c r="AG412" s="1">
        <v>3.0</v>
      </c>
      <c r="AH412" s="1">
        <v>55.0</v>
      </c>
      <c r="AI412" s="1">
        <v>25.0</v>
      </c>
      <c r="AJ412" s="1">
        <v>0.0</v>
      </c>
      <c r="AK412" s="1">
        <v>0.0</v>
      </c>
      <c r="AL412" s="1">
        <v>5.0</v>
      </c>
      <c r="AM412" s="1">
        <v>1.0</v>
      </c>
      <c r="AN412" s="1">
        <v>0.0</v>
      </c>
    </row>
    <row r="413">
      <c r="A413" s="1">
        <v>278.0</v>
      </c>
      <c r="B413" s="1" t="s">
        <v>4079</v>
      </c>
      <c r="C413" s="1" t="s">
        <v>4080</v>
      </c>
      <c r="D413" s="1" t="s">
        <v>4081</v>
      </c>
      <c r="E413" s="1" t="s">
        <v>58</v>
      </c>
      <c r="F413" s="2">
        <v>26154.0</v>
      </c>
      <c r="G413" s="1" t="s">
        <v>4082</v>
      </c>
      <c r="H413" s="1">
        <v>37.0</v>
      </c>
      <c r="I413" s="1" t="s">
        <v>547</v>
      </c>
      <c r="J413" s="1">
        <v>4.0</v>
      </c>
      <c r="K413" s="2">
        <v>42907.0</v>
      </c>
      <c r="M413" s="1">
        <v>0.0</v>
      </c>
      <c r="N413" s="1" t="s">
        <v>75</v>
      </c>
      <c r="O413" s="1" t="s">
        <v>76</v>
      </c>
      <c r="P413" s="1" t="s">
        <v>4083</v>
      </c>
      <c r="S413" s="1" t="s">
        <v>198</v>
      </c>
      <c r="T413" s="1">
        <v>538.0</v>
      </c>
      <c r="U413" s="3" t="s">
        <v>4084</v>
      </c>
      <c r="V413" s="1">
        <v>719814.0</v>
      </c>
      <c r="W413" s="1" t="s">
        <v>4085</v>
      </c>
      <c r="X413" s="3" t="s">
        <v>4086</v>
      </c>
      <c r="Y413" s="3" t="s">
        <v>4087</v>
      </c>
      <c r="Z413" s="1">
        <v>1.0</v>
      </c>
      <c r="AA413" s="1" t="s">
        <v>4088</v>
      </c>
      <c r="AB413" s="1">
        <v>18.0</v>
      </c>
      <c r="AC413" s="1">
        <v>28.0</v>
      </c>
      <c r="AD413" s="1">
        <v>10.0</v>
      </c>
      <c r="AE413" s="1">
        <v>4.0</v>
      </c>
      <c r="AF413" s="1">
        <v>2.0</v>
      </c>
      <c r="AG413" s="1">
        <v>1.0</v>
      </c>
      <c r="AH413" s="1">
        <v>59.0</v>
      </c>
      <c r="AI413" s="1">
        <v>15.0</v>
      </c>
      <c r="AJ413" s="1">
        <v>0.0</v>
      </c>
      <c r="AK413" s="1">
        <v>0.0</v>
      </c>
      <c r="AL413" s="1">
        <v>5.0</v>
      </c>
      <c r="AM413" s="1">
        <v>2.0</v>
      </c>
      <c r="AN413" s="1">
        <v>1.0</v>
      </c>
    </row>
    <row r="414">
      <c r="A414" s="1">
        <v>420.0</v>
      </c>
      <c r="B414" s="1" t="s">
        <v>4089</v>
      </c>
      <c r="C414" s="1" t="s">
        <v>4090</v>
      </c>
      <c r="D414" s="1" t="s">
        <v>137</v>
      </c>
      <c r="E414" s="1" t="s">
        <v>43</v>
      </c>
      <c r="F414" s="2">
        <v>17568.0</v>
      </c>
      <c r="G414" s="1" t="s">
        <v>4091</v>
      </c>
      <c r="H414" s="1">
        <v>24.0</v>
      </c>
      <c r="I414" s="1" t="s">
        <v>2327</v>
      </c>
      <c r="J414" s="1">
        <v>3.0</v>
      </c>
      <c r="K414" s="2">
        <v>42907.0</v>
      </c>
      <c r="M414" s="1">
        <v>0.0</v>
      </c>
      <c r="N414" s="1" t="s">
        <v>280</v>
      </c>
      <c r="O414" s="1" t="s">
        <v>281</v>
      </c>
      <c r="P414" s="3" t="s">
        <v>4092</v>
      </c>
      <c r="S414" s="1" t="s">
        <v>4093</v>
      </c>
      <c r="T414" s="1">
        <v>169.0</v>
      </c>
      <c r="U414" s="3" t="s">
        <v>4094</v>
      </c>
      <c r="V414" s="1">
        <v>719266.0</v>
      </c>
      <c r="W414" s="1" t="s">
        <v>4095</v>
      </c>
      <c r="X414" s="3" t="s">
        <v>4096</v>
      </c>
      <c r="Y414" s="3" t="s">
        <v>4097</v>
      </c>
      <c r="Z414" s="1">
        <v>2.0</v>
      </c>
      <c r="AB414" s="1">
        <v>18.0</v>
      </c>
      <c r="AC414" s="1">
        <v>33.0</v>
      </c>
      <c r="AD414" s="1">
        <v>14.0</v>
      </c>
      <c r="AE414" s="1">
        <v>8.0</v>
      </c>
      <c r="AF414" s="1">
        <v>3.0</v>
      </c>
      <c r="AG414" s="1">
        <v>2.0</v>
      </c>
      <c r="AH414" s="1">
        <v>190.0</v>
      </c>
      <c r="AI414" s="1">
        <v>16.0</v>
      </c>
      <c r="AJ414" s="1">
        <v>0.0</v>
      </c>
      <c r="AK414" s="1">
        <v>0.0</v>
      </c>
      <c r="AL414" s="1">
        <v>6.0</v>
      </c>
      <c r="AM414" s="1">
        <v>11.0</v>
      </c>
      <c r="AN414" s="1">
        <v>2.0</v>
      </c>
    </row>
    <row r="415">
      <c r="A415" s="1">
        <v>457.0</v>
      </c>
      <c r="B415" s="1" t="s">
        <v>4098</v>
      </c>
      <c r="C415" s="1" t="s">
        <v>943</v>
      </c>
      <c r="D415" s="1" t="s">
        <v>4099</v>
      </c>
      <c r="E415" s="1" t="s">
        <v>43</v>
      </c>
      <c r="F415" s="2">
        <v>20615.0</v>
      </c>
      <c r="G415" s="1" t="s">
        <v>4100</v>
      </c>
      <c r="H415" s="1">
        <v>21.0</v>
      </c>
      <c r="I415" s="1" t="s">
        <v>1220</v>
      </c>
      <c r="J415" s="1">
        <v>2.0</v>
      </c>
      <c r="K415" s="2">
        <v>42907.0</v>
      </c>
      <c r="M415" s="1">
        <v>0.0</v>
      </c>
      <c r="N415" s="1" t="s">
        <v>61</v>
      </c>
      <c r="O415" s="1" t="s">
        <v>62</v>
      </c>
      <c r="S415" s="1" t="s">
        <v>1067</v>
      </c>
      <c r="T415" s="1">
        <v>117.0</v>
      </c>
      <c r="U415" s="3" t="s">
        <v>4101</v>
      </c>
      <c r="V415" s="1">
        <v>267450.0</v>
      </c>
      <c r="W415" s="1" t="s">
        <v>4102</v>
      </c>
      <c r="X415" s="3" t="s">
        <v>4103</v>
      </c>
      <c r="Y415" s="3" t="s">
        <v>4104</v>
      </c>
      <c r="Z415" s="1">
        <v>1.0</v>
      </c>
      <c r="AB415" s="1">
        <v>18.0</v>
      </c>
      <c r="AC415" s="1">
        <v>27.0</v>
      </c>
      <c r="AD415" s="1">
        <v>12.0</v>
      </c>
      <c r="AE415" s="1">
        <v>2.0</v>
      </c>
      <c r="AF415" s="1">
        <v>1.0</v>
      </c>
      <c r="AG415" s="1">
        <v>4.0</v>
      </c>
      <c r="AH415" s="1">
        <v>479.0</v>
      </c>
      <c r="AI415" s="1">
        <v>18.0</v>
      </c>
      <c r="AJ415" s="1">
        <v>0.0</v>
      </c>
      <c r="AK415" s="1">
        <v>1.0</v>
      </c>
      <c r="AL415" s="1">
        <v>37.0</v>
      </c>
      <c r="AM415" s="1">
        <v>6.0</v>
      </c>
      <c r="AN415" s="1">
        <v>0.0</v>
      </c>
    </row>
    <row r="416">
      <c r="A416" s="1">
        <v>566.0</v>
      </c>
      <c r="B416" s="1" t="s">
        <v>4105</v>
      </c>
      <c r="C416" s="1" t="s">
        <v>4106</v>
      </c>
      <c r="D416" s="1" t="s">
        <v>522</v>
      </c>
      <c r="E416" s="1" t="s">
        <v>43</v>
      </c>
      <c r="F416" s="2">
        <v>23573.0</v>
      </c>
      <c r="G416" s="1" t="s">
        <v>4107</v>
      </c>
      <c r="H416" s="1">
        <v>59.0</v>
      </c>
      <c r="I416" s="1" t="s">
        <v>172</v>
      </c>
      <c r="J416" s="1">
        <v>3.0</v>
      </c>
      <c r="K416" s="2">
        <v>42907.0</v>
      </c>
      <c r="M416" s="1">
        <v>0.0</v>
      </c>
      <c r="N416" s="1" t="s">
        <v>75</v>
      </c>
      <c r="O416" s="1" t="s">
        <v>76</v>
      </c>
      <c r="P416" s="3" t="s">
        <v>4108</v>
      </c>
      <c r="S416" s="1" t="s">
        <v>1592</v>
      </c>
      <c r="T416" s="1">
        <v>553.0</v>
      </c>
      <c r="U416" s="3" t="s">
        <v>4109</v>
      </c>
      <c r="V416" s="1">
        <v>720438.0</v>
      </c>
      <c r="W416" s="1" t="s">
        <v>4110</v>
      </c>
      <c r="X416" s="3" t="s">
        <v>4111</v>
      </c>
      <c r="Y416" s="3" t="s">
        <v>4112</v>
      </c>
      <c r="Z416" s="1">
        <v>2.0</v>
      </c>
      <c r="AA416" s="1" t="s">
        <v>4113</v>
      </c>
      <c r="AB416" s="1">
        <v>18.0</v>
      </c>
      <c r="AC416" s="1">
        <v>30.0</v>
      </c>
      <c r="AD416" s="1">
        <v>9.0</v>
      </c>
      <c r="AE416" s="1">
        <v>0.0</v>
      </c>
      <c r="AF416" s="1">
        <v>0.0</v>
      </c>
      <c r="AG416" s="1">
        <v>0.0</v>
      </c>
      <c r="AH416" s="1">
        <v>20.0</v>
      </c>
      <c r="AI416" s="1">
        <v>8.0</v>
      </c>
      <c r="AJ416" s="1">
        <v>3.0</v>
      </c>
      <c r="AK416" s="1">
        <v>0.0</v>
      </c>
      <c r="AL416" s="1">
        <v>6.0</v>
      </c>
      <c r="AM416" s="1">
        <v>0.0</v>
      </c>
      <c r="AN416" s="1">
        <v>0.0</v>
      </c>
    </row>
    <row r="417">
      <c r="A417" s="1">
        <v>8.0</v>
      </c>
      <c r="B417" s="1" t="s">
        <v>4114</v>
      </c>
      <c r="C417" s="1" t="s">
        <v>4115</v>
      </c>
      <c r="D417" s="1" t="s">
        <v>905</v>
      </c>
      <c r="E417" s="1" t="s">
        <v>43</v>
      </c>
      <c r="F417" s="2">
        <v>25068.0</v>
      </c>
      <c r="G417" s="1" t="s">
        <v>4116</v>
      </c>
      <c r="H417" s="1">
        <v>77.0</v>
      </c>
      <c r="I417" s="1" t="s">
        <v>503</v>
      </c>
      <c r="J417" s="1">
        <v>11.0</v>
      </c>
      <c r="K417" s="2">
        <v>42907.0</v>
      </c>
      <c r="M417" s="1">
        <v>0.0</v>
      </c>
      <c r="N417" s="1" t="s">
        <v>115</v>
      </c>
      <c r="O417" s="1" t="s">
        <v>116</v>
      </c>
      <c r="P417" s="1" t="s">
        <v>4117</v>
      </c>
      <c r="S417" s="1" t="s">
        <v>234</v>
      </c>
      <c r="T417" s="1">
        <v>499.0</v>
      </c>
      <c r="U417" s="3" t="s">
        <v>4118</v>
      </c>
      <c r="V417" s="1">
        <v>609332.0</v>
      </c>
      <c r="W417" s="1" t="s">
        <v>4119</v>
      </c>
      <c r="X417" s="3" t="s">
        <v>4120</v>
      </c>
      <c r="Y417" s="3" t="s">
        <v>4121</v>
      </c>
      <c r="Z417" s="1">
        <v>1.0</v>
      </c>
      <c r="AA417" s="1" t="s">
        <v>4122</v>
      </c>
      <c r="AB417" s="1">
        <v>18.0</v>
      </c>
      <c r="AC417" s="1">
        <v>8.0</v>
      </c>
      <c r="AD417" s="1">
        <v>3.0</v>
      </c>
      <c r="AE417" s="1">
        <v>216.0</v>
      </c>
      <c r="AF417" s="1">
        <v>236.0</v>
      </c>
      <c r="AG417" s="1">
        <v>60.0</v>
      </c>
      <c r="AH417" s="1">
        <v>1035.0</v>
      </c>
      <c r="AI417" s="1">
        <v>71.0</v>
      </c>
      <c r="AJ417" s="1">
        <v>0.0</v>
      </c>
      <c r="AK417" s="1">
        <v>4.0</v>
      </c>
      <c r="AL417" s="1">
        <v>7.0</v>
      </c>
      <c r="AM417" s="1">
        <v>2.0</v>
      </c>
      <c r="AN417" s="1">
        <v>2.0</v>
      </c>
    </row>
    <row r="418">
      <c r="A418" s="1">
        <v>439.0</v>
      </c>
      <c r="B418" s="1" t="s">
        <v>4123</v>
      </c>
      <c r="C418" s="1" t="s">
        <v>4124</v>
      </c>
      <c r="D418" s="1" t="s">
        <v>4125</v>
      </c>
      <c r="E418" s="1" t="s">
        <v>58</v>
      </c>
      <c r="F418" s="2">
        <v>30927.0</v>
      </c>
      <c r="G418" s="1" t="s">
        <v>4126</v>
      </c>
      <c r="H418" s="1">
        <v>42.0</v>
      </c>
      <c r="I418" s="1" t="s">
        <v>536</v>
      </c>
      <c r="J418" s="1">
        <v>3.0</v>
      </c>
      <c r="K418" s="2">
        <v>42907.0</v>
      </c>
      <c r="M418" s="1">
        <v>0.0</v>
      </c>
      <c r="N418" s="1" t="s">
        <v>75</v>
      </c>
      <c r="O418" s="1" t="s">
        <v>76</v>
      </c>
      <c r="P418" s="1" t="s">
        <v>4127</v>
      </c>
      <c r="S418" s="1" t="s">
        <v>4128</v>
      </c>
      <c r="T418" s="1">
        <v>552.0</v>
      </c>
      <c r="U418" s="3" t="s">
        <v>4129</v>
      </c>
      <c r="V418" s="1">
        <v>719960.0</v>
      </c>
      <c r="W418" s="1" t="s">
        <v>4130</v>
      </c>
      <c r="X418" s="3" t="s">
        <v>4131</v>
      </c>
      <c r="Y418" s="3" t="s">
        <v>4132</v>
      </c>
      <c r="Z418" s="1">
        <v>1.0</v>
      </c>
      <c r="AA418" s="1" t="s">
        <v>4133</v>
      </c>
      <c r="AB418" s="1">
        <v>18.0</v>
      </c>
      <c r="AC418" s="1">
        <v>25.0</v>
      </c>
      <c r="AD418" s="1">
        <v>3.0</v>
      </c>
      <c r="AE418" s="1">
        <v>0.0</v>
      </c>
      <c r="AF418" s="1">
        <v>0.0</v>
      </c>
      <c r="AG418" s="1">
        <v>2.0</v>
      </c>
      <c r="AH418" s="1">
        <v>51.0</v>
      </c>
      <c r="AI418" s="1">
        <v>28.0</v>
      </c>
      <c r="AJ418" s="1">
        <v>0.0</v>
      </c>
      <c r="AK418" s="1">
        <v>0.0</v>
      </c>
      <c r="AL418" s="1">
        <v>5.0</v>
      </c>
      <c r="AM418" s="1">
        <v>1.0</v>
      </c>
      <c r="AN418" s="1">
        <v>0.0</v>
      </c>
    </row>
    <row r="419">
      <c r="A419" s="1">
        <v>256.0</v>
      </c>
      <c r="B419" s="1" t="s">
        <v>4134</v>
      </c>
      <c r="C419" s="1" t="s">
        <v>4135</v>
      </c>
      <c r="D419" s="1" t="s">
        <v>1782</v>
      </c>
      <c r="E419" s="1" t="s">
        <v>43</v>
      </c>
      <c r="F419" s="2">
        <v>21409.0</v>
      </c>
      <c r="G419" s="1" t="s">
        <v>4136</v>
      </c>
      <c r="H419" s="1">
        <v>53.0</v>
      </c>
      <c r="I419" s="1" t="s">
        <v>2900</v>
      </c>
      <c r="J419" s="1">
        <v>3.0</v>
      </c>
      <c r="K419" s="2">
        <v>42907.0</v>
      </c>
      <c r="M419" s="1">
        <v>0.0</v>
      </c>
      <c r="N419" s="1" t="s">
        <v>46</v>
      </c>
      <c r="O419" s="1" t="s">
        <v>47</v>
      </c>
      <c r="P419" s="1" t="s">
        <v>4137</v>
      </c>
      <c r="S419" s="1" t="s">
        <v>4138</v>
      </c>
      <c r="T419" s="1">
        <v>112.0</v>
      </c>
      <c r="U419" s="3" t="s">
        <v>4139</v>
      </c>
      <c r="V419" s="1">
        <v>267042.0</v>
      </c>
      <c r="W419" s="1" t="s">
        <v>4140</v>
      </c>
      <c r="X419" s="3" t="s">
        <v>4141</v>
      </c>
      <c r="Y419" s="3" t="s">
        <v>4142</v>
      </c>
      <c r="Z419" s="1">
        <v>1.0</v>
      </c>
      <c r="AA419" s="1" t="s">
        <v>4143</v>
      </c>
      <c r="AB419" s="1">
        <v>18.0</v>
      </c>
      <c r="AC419" s="1">
        <v>35.0</v>
      </c>
      <c r="AD419" s="1">
        <v>36.0</v>
      </c>
      <c r="AE419" s="1">
        <v>17.0</v>
      </c>
      <c r="AF419" s="1">
        <v>95.0</v>
      </c>
      <c r="AG419" s="1">
        <v>1.0</v>
      </c>
      <c r="AH419" s="1">
        <v>368.0</v>
      </c>
      <c r="AI419" s="1">
        <v>17.0</v>
      </c>
      <c r="AJ419" s="1">
        <v>0.0</v>
      </c>
      <c r="AK419" s="1">
        <v>0.0</v>
      </c>
      <c r="AL419" s="1">
        <v>9.0</v>
      </c>
      <c r="AM419" s="1">
        <v>31.0</v>
      </c>
      <c r="AN419" s="1">
        <v>3.0</v>
      </c>
    </row>
    <row r="420">
      <c r="A420" s="1">
        <v>159.0</v>
      </c>
      <c r="B420" s="1" t="s">
        <v>4144</v>
      </c>
      <c r="C420" s="1" t="s">
        <v>4145</v>
      </c>
      <c r="D420" s="1" t="s">
        <v>4045</v>
      </c>
      <c r="E420" s="1" t="s">
        <v>43</v>
      </c>
      <c r="F420" s="2">
        <v>24639.0</v>
      </c>
      <c r="G420" s="1" t="s">
        <v>718</v>
      </c>
      <c r="H420" s="1" t="s">
        <v>4146</v>
      </c>
      <c r="I420" s="1" t="s">
        <v>4147</v>
      </c>
      <c r="J420" s="1">
        <v>1.0</v>
      </c>
      <c r="K420" s="2">
        <v>42907.0</v>
      </c>
      <c r="M420" s="1">
        <v>0.0</v>
      </c>
      <c r="N420" s="1" t="s">
        <v>61</v>
      </c>
      <c r="O420" s="1" t="s">
        <v>62</v>
      </c>
      <c r="P420" s="1" t="s">
        <v>4148</v>
      </c>
      <c r="S420" s="1" t="s">
        <v>151</v>
      </c>
      <c r="T420" s="1">
        <v>18.0</v>
      </c>
      <c r="U420" s="3" t="s">
        <v>4149</v>
      </c>
      <c r="V420" s="1">
        <v>643103.0</v>
      </c>
      <c r="W420" s="1" t="s">
        <v>4150</v>
      </c>
      <c r="X420" s="3" t="s">
        <v>4151</v>
      </c>
      <c r="Y420" s="3" t="s">
        <v>4152</v>
      </c>
      <c r="Z420" s="1">
        <v>2.0</v>
      </c>
      <c r="AA420" s="1" t="s">
        <v>4153</v>
      </c>
      <c r="AB420" s="1">
        <v>18.0</v>
      </c>
      <c r="AC420" s="1">
        <v>30.0</v>
      </c>
      <c r="AD420" s="1">
        <v>7.0</v>
      </c>
      <c r="AE420" s="1">
        <v>11.0</v>
      </c>
      <c r="AF420" s="1">
        <v>0.0</v>
      </c>
      <c r="AG420" s="1">
        <v>2.0</v>
      </c>
      <c r="AH420" s="1">
        <v>301.0</v>
      </c>
      <c r="AI420" s="1">
        <v>18.0</v>
      </c>
      <c r="AJ420" s="1">
        <v>1.0</v>
      </c>
      <c r="AK420" s="1">
        <v>0.0</v>
      </c>
      <c r="AL420" s="1">
        <v>27.0</v>
      </c>
      <c r="AM420" s="1">
        <v>4.0</v>
      </c>
      <c r="AN420" s="1">
        <v>1.0</v>
      </c>
    </row>
    <row r="421">
      <c r="A421" s="1">
        <v>411.0</v>
      </c>
      <c r="B421" s="1" t="s">
        <v>4154</v>
      </c>
      <c r="C421" s="1" t="s">
        <v>4155</v>
      </c>
      <c r="D421" s="1" t="s">
        <v>641</v>
      </c>
      <c r="E421" s="1" t="s">
        <v>43</v>
      </c>
      <c r="F421" s="2">
        <v>25719.0</v>
      </c>
      <c r="G421" s="1" t="s">
        <v>4156</v>
      </c>
      <c r="H421" s="1">
        <v>54.0</v>
      </c>
      <c r="I421" s="1" t="s">
        <v>160</v>
      </c>
      <c r="J421" s="1">
        <v>2.0</v>
      </c>
      <c r="K421" s="2">
        <v>42907.0</v>
      </c>
      <c r="M421" s="1">
        <v>0.0</v>
      </c>
      <c r="N421" s="1" t="s">
        <v>280</v>
      </c>
      <c r="O421" s="1" t="s">
        <v>281</v>
      </c>
      <c r="P421" s="1" t="s">
        <v>4157</v>
      </c>
      <c r="S421" s="1" t="s">
        <v>827</v>
      </c>
      <c r="T421" s="1">
        <v>183.0</v>
      </c>
      <c r="U421" s="3" t="s">
        <v>4158</v>
      </c>
      <c r="V421" s="1">
        <v>720178.0</v>
      </c>
      <c r="W421" s="1" t="s">
        <v>4159</v>
      </c>
      <c r="X421" s="3" t="s">
        <v>4160</v>
      </c>
      <c r="Y421" s="3" t="s">
        <v>4161</v>
      </c>
      <c r="Z421" s="1">
        <v>2.0</v>
      </c>
      <c r="AA421" s="1" t="s">
        <v>4162</v>
      </c>
      <c r="AB421" s="1">
        <v>18.0</v>
      </c>
      <c r="AC421" s="1">
        <v>31.0</v>
      </c>
      <c r="AD421" s="1">
        <v>13.0</v>
      </c>
      <c r="AE421" s="1">
        <v>3.0</v>
      </c>
      <c r="AF421" s="1">
        <v>1.0</v>
      </c>
      <c r="AG421" s="1">
        <v>5.0</v>
      </c>
      <c r="AH421" s="1">
        <v>221.0</v>
      </c>
      <c r="AI421" s="1">
        <v>18.0</v>
      </c>
      <c r="AJ421" s="1">
        <v>0.0</v>
      </c>
      <c r="AK421" s="1">
        <v>2.0</v>
      </c>
      <c r="AL421" s="1">
        <v>8.0</v>
      </c>
      <c r="AM421" s="1">
        <v>22.0</v>
      </c>
      <c r="AN421" s="1">
        <v>2.0</v>
      </c>
    </row>
    <row r="422">
      <c r="A422" s="1">
        <v>321.0</v>
      </c>
      <c r="B422" s="1" t="s">
        <v>4163</v>
      </c>
      <c r="C422" s="1" t="s">
        <v>4164</v>
      </c>
      <c r="D422" s="1" t="s">
        <v>1822</v>
      </c>
      <c r="E422" s="1" t="s">
        <v>43</v>
      </c>
      <c r="F422" s="2">
        <v>24256.0</v>
      </c>
      <c r="G422" s="1" t="s">
        <v>2899</v>
      </c>
      <c r="H422" s="1">
        <v>53.0</v>
      </c>
      <c r="I422" s="1" t="s">
        <v>2900</v>
      </c>
      <c r="J422" s="1">
        <v>1.0</v>
      </c>
      <c r="K422" s="2">
        <v>42907.0</v>
      </c>
      <c r="M422" s="1">
        <v>0.0</v>
      </c>
      <c r="N422" s="1" t="s">
        <v>115</v>
      </c>
      <c r="O422" s="1" t="s">
        <v>116</v>
      </c>
      <c r="P422" s="1" t="s">
        <v>4165</v>
      </c>
      <c r="S422" s="1" t="s">
        <v>4166</v>
      </c>
      <c r="T422" s="1">
        <v>495.0</v>
      </c>
      <c r="U422" s="3" t="s">
        <v>4167</v>
      </c>
      <c r="V422" s="1">
        <v>333285.0</v>
      </c>
      <c r="W422" s="1" t="s">
        <v>4168</v>
      </c>
      <c r="X422" s="3" t="s">
        <v>4169</v>
      </c>
      <c r="Y422" s="3" t="s">
        <v>4170</v>
      </c>
      <c r="Z422" s="1">
        <v>1.0</v>
      </c>
      <c r="AA422" s="1" t="s">
        <v>4171</v>
      </c>
      <c r="AB422" s="1">
        <v>18.0</v>
      </c>
      <c r="AC422" s="1">
        <v>21.0</v>
      </c>
      <c r="AD422" s="1">
        <v>37.0</v>
      </c>
      <c r="AE422" s="1">
        <v>47.0</v>
      </c>
      <c r="AF422" s="1">
        <v>53.0</v>
      </c>
      <c r="AG422" s="1">
        <v>8.0</v>
      </c>
      <c r="AH422" s="1">
        <v>1156.0</v>
      </c>
      <c r="AI422" s="1">
        <v>86.0</v>
      </c>
      <c r="AJ422" s="1">
        <v>1.0</v>
      </c>
      <c r="AK422" s="1">
        <v>0.0</v>
      </c>
      <c r="AL422" s="1">
        <v>5.0</v>
      </c>
      <c r="AM422" s="1">
        <v>13.0</v>
      </c>
      <c r="AN422" s="1">
        <v>3.0</v>
      </c>
    </row>
    <row r="423">
      <c r="A423" s="1">
        <v>585.0</v>
      </c>
      <c r="B423" s="1" t="s">
        <v>4172</v>
      </c>
      <c r="C423" s="1" t="s">
        <v>4173</v>
      </c>
      <c r="D423" s="1" t="s">
        <v>4174</v>
      </c>
      <c r="E423" s="1" t="s">
        <v>58</v>
      </c>
      <c r="F423" s="2">
        <v>25915.0</v>
      </c>
      <c r="G423" s="1" t="s">
        <v>4175</v>
      </c>
      <c r="H423" s="1">
        <v>27.0</v>
      </c>
      <c r="I423" s="1" t="s">
        <v>2698</v>
      </c>
      <c r="J423" s="1">
        <v>1.0</v>
      </c>
      <c r="K423" s="2">
        <v>42938.0</v>
      </c>
      <c r="M423" s="1">
        <v>0.0</v>
      </c>
      <c r="N423" s="1" t="s">
        <v>75</v>
      </c>
      <c r="O423" s="1" t="s">
        <v>76</v>
      </c>
      <c r="P423" s="3" t="s">
        <v>4176</v>
      </c>
      <c r="S423" s="1" t="s">
        <v>4177</v>
      </c>
      <c r="T423" s="1">
        <v>365.0</v>
      </c>
      <c r="U423" s="3" t="s">
        <v>4178</v>
      </c>
      <c r="V423" s="1">
        <v>719326.0</v>
      </c>
      <c r="W423" s="1" t="s">
        <v>4179</v>
      </c>
      <c r="X423" s="3" t="s">
        <v>4180</v>
      </c>
      <c r="Y423" s="3" t="s">
        <v>4181</v>
      </c>
      <c r="Z423" s="1">
        <v>2.0</v>
      </c>
      <c r="AA423" s="1" t="s">
        <v>4182</v>
      </c>
      <c r="AB423" s="1">
        <v>18.0</v>
      </c>
      <c r="AC423" s="1">
        <v>25.0</v>
      </c>
      <c r="AD423" s="1">
        <v>17.0</v>
      </c>
      <c r="AE423" s="1">
        <v>14.0</v>
      </c>
      <c r="AF423" s="1">
        <v>0.0</v>
      </c>
      <c r="AG423" s="1">
        <v>3.0</v>
      </c>
      <c r="AH423" s="1">
        <v>20.0</v>
      </c>
      <c r="AI423" s="1">
        <v>2.0</v>
      </c>
      <c r="AJ423" s="1">
        <v>0.0</v>
      </c>
      <c r="AK423" s="1">
        <v>0.0</v>
      </c>
      <c r="AL423" s="1">
        <v>5.0</v>
      </c>
      <c r="AM423" s="1">
        <v>29.0</v>
      </c>
      <c r="AN423" s="1">
        <v>1.0</v>
      </c>
    </row>
    <row r="424">
      <c r="A424" s="1">
        <v>509.0</v>
      </c>
      <c r="B424" s="1" t="s">
        <v>4183</v>
      </c>
      <c r="C424" s="1" t="s">
        <v>4184</v>
      </c>
      <c r="D424" s="1" t="s">
        <v>589</v>
      </c>
      <c r="E424" s="1" t="s">
        <v>43</v>
      </c>
      <c r="F424" s="2">
        <v>19688.0</v>
      </c>
      <c r="G424" s="1" t="s">
        <v>4185</v>
      </c>
      <c r="H424" s="1">
        <v>22.0</v>
      </c>
      <c r="I424" s="1" t="s">
        <v>1883</v>
      </c>
      <c r="J424" s="1">
        <v>1.0</v>
      </c>
      <c r="K424" s="2">
        <v>42907.0</v>
      </c>
      <c r="M424" s="1">
        <v>0.0</v>
      </c>
      <c r="N424" s="1" t="s">
        <v>280</v>
      </c>
      <c r="O424" s="1" t="s">
        <v>281</v>
      </c>
      <c r="P424" s="1" t="s">
        <v>4186</v>
      </c>
      <c r="S424" s="1" t="s">
        <v>4187</v>
      </c>
      <c r="T424" s="1">
        <v>179.0</v>
      </c>
      <c r="U424" s="3" t="s">
        <v>4188</v>
      </c>
      <c r="V424" s="1">
        <v>719210.0</v>
      </c>
      <c r="W424" s="1" t="s">
        <v>4189</v>
      </c>
      <c r="X424" s="3" t="s">
        <v>4190</v>
      </c>
      <c r="Y424" s="3" t="s">
        <v>4191</v>
      </c>
      <c r="Z424" s="1">
        <v>2.0</v>
      </c>
      <c r="AA424" s="1" t="s">
        <v>4192</v>
      </c>
      <c r="AB424" s="1">
        <v>18.0</v>
      </c>
      <c r="AC424" s="1">
        <v>30.0</v>
      </c>
      <c r="AD424" s="1">
        <v>6.0</v>
      </c>
      <c r="AE424" s="1">
        <v>5.0</v>
      </c>
      <c r="AF424" s="1">
        <v>4.0</v>
      </c>
      <c r="AG424" s="1">
        <v>0.0</v>
      </c>
      <c r="AH424" s="1">
        <v>185.0</v>
      </c>
      <c r="AI424" s="1">
        <v>16.0</v>
      </c>
      <c r="AJ424" s="1">
        <v>0.0</v>
      </c>
      <c r="AK424" s="1">
        <v>0.0</v>
      </c>
      <c r="AL424" s="1">
        <v>5.0</v>
      </c>
      <c r="AM424" s="1">
        <v>0.0</v>
      </c>
      <c r="AN424" s="1">
        <v>2.0</v>
      </c>
    </row>
    <row r="425">
      <c r="A425" s="1">
        <v>547.0</v>
      </c>
      <c r="B425" s="1" t="s">
        <v>4193</v>
      </c>
      <c r="C425" s="1" t="s">
        <v>4194</v>
      </c>
      <c r="D425" s="1" t="s">
        <v>4195</v>
      </c>
      <c r="E425" s="1" t="s">
        <v>58</v>
      </c>
      <c r="F425" s="2">
        <v>23785.0</v>
      </c>
      <c r="G425" s="1" t="s">
        <v>1893</v>
      </c>
      <c r="H425" s="1">
        <v>28.0</v>
      </c>
      <c r="I425" s="1" t="s">
        <v>45</v>
      </c>
      <c r="J425" s="1">
        <v>3.0</v>
      </c>
      <c r="K425" s="2">
        <v>42907.0</v>
      </c>
      <c r="M425" s="1">
        <v>0.0</v>
      </c>
      <c r="N425" s="1" t="s">
        <v>46</v>
      </c>
      <c r="O425" s="1" t="s">
        <v>47</v>
      </c>
      <c r="P425" s="1" t="s">
        <v>4196</v>
      </c>
      <c r="S425" s="1" t="s">
        <v>2484</v>
      </c>
      <c r="T425" s="1">
        <v>133.0</v>
      </c>
      <c r="U425" s="3" t="s">
        <v>4197</v>
      </c>
      <c r="V425" s="1">
        <v>331567.0</v>
      </c>
      <c r="W425" s="1" t="s">
        <v>4198</v>
      </c>
      <c r="X425" s="3" t="s">
        <v>4199</v>
      </c>
      <c r="Y425" s="3" t="s">
        <v>4200</v>
      </c>
      <c r="Z425" s="1">
        <v>2.0</v>
      </c>
      <c r="AA425" s="1" t="s">
        <v>4201</v>
      </c>
      <c r="AB425" s="1">
        <v>18.0</v>
      </c>
      <c r="AC425" s="1">
        <v>29.0</v>
      </c>
      <c r="AD425" s="1">
        <v>68.0</v>
      </c>
      <c r="AE425" s="1">
        <v>49.0</v>
      </c>
      <c r="AF425" s="1">
        <v>36.0</v>
      </c>
      <c r="AG425" s="1">
        <v>114.0</v>
      </c>
      <c r="AH425" s="1">
        <v>454.0</v>
      </c>
      <c r="AI425" s="1">
        <v>33.0</v>
      </c>
      <c r="AJ425" s="1">
        <v>1.0</v>
      </c>
      <c r="AK425" s="1">
        <v>0.0</v>
      </c>
      <c r="AL425" s="1">
        <v>20.0</v>
      </c>
      <c r="AM425" s="1">
        <v>12.0</v>
      </c>
      <c r="AN425" s="1">
        <v>2.0</v>
      </c>
    </row>
    <row r="426">
      <c r="A426" s="1">
        <v>149.0</v>
      </c>
      <c r="B426" s="1" t="s">
        <v>4202</v>
      </c>
      <c r="C426" s="1" t="s">
        <v>4203</v>
      </c>
      <c r="D426" s="1" t="s">
        <v>2816</v>
      </c>
      <c r="E426" s="1" t="s">
        <v>43</v>
      </c>
      <c r="F426" s="2">
        <v>20212.0</v>
      </c>
      <c r="G426" s="1" t="s">
        <v>4204</v>
      </c>
      <c r="H426" s="1">
        <v>64.0</v>
      </c>
      <c r="I426" s="1" t="s">
        <v>579</v>
      </c>
      <c r="J426" s="1">
        <v>4.0</v>
      </c>
      <c r="K426" s="2">
        <v>42907.0</v>
      </c>
      <c r="M426" s="1">
        <v>0.0</v>
      </c>
      <c r="N426" s="1" t="s">
        <v>814</v>
      </c>
      <c r="O426" s="1" t="s">
        <v>815</v>
      </c>
      <c r="P426" s="1" t="s">
        <v>4205</v>
      </c>
      <c r="S426" s="1" t="s">
        <v>4206</v>
      </c>
      <c r="T426" s="1">
        <v>225.0</v>
      </c>
      <c r="U426" s="3" t="s">
        <v>4207</v>
      </c>
      <c r="V426" s="1">
        <v>1838.0</v>
      </c>
      <c r="W426" s="1" t="s">
        <v>4208</v>
      </c>
      <c r="X426" s="3" t="s">
        <v>4209</v>
      </c>
      <c r="Y426" s="3" t="s">
        <v>4210</v>
      </c>
      <c r="Z426" s="1">
        <v>1.0</v>
      </c>
      <c r="AA426" s="1" t="s">
        <v>4211</v>
      </c>
      <c r="AB426" s="1">
        <v>18.0</v>
      </c>
      <c r="AC426" s="1">
        <v>16.0</v>
      </c>
      <c r="AD426" s="1">
        <v>7.0</v>
      </c>
      <c r="AE426" s="1">
        <v>65.0</v>
      </c>
      <c r="AF426" s="1">
        <v>127.0</v>
      </c>
      <c r="AG426" s="1">
        <v>2.0</v>
      </c>
      <c r="AH426" s="1">
        <v>31.0</v>
      </c>
      <c r="AI426" s="1">
        <v>1.0</v>
      </c>
      <c r="AJ426" s="1">
        <v>0.0</v>
      </c>
      <c r="AK426" s="1">
        <v>0.0</v>
      </c>
      <c r="AL426" s="1">
        <v>0.0</v>
      </c>
      <c r="AM426" s="1">
        <v>5.0</v>
      </c>
      <c r="AN426" s="1">
        <v>1.0</v>
      </c>
    </row>
    <row r="427">
      <c r="A427" s="1">
        <v>442.0</v>
      </c>
      <c r="B427" s="1" t="s">
        <v>4212</v>
      </c>
      <c r="C427" s="1" t="s">
        <v>4213</v>
      </c>
      <c r="D427" s="1" t="s">
        <v>1035</v>
      </c>
      <c r="E427" s="1" t="s">
        <v>58</v>
      </c>
      <c r="F427" s="2">
        <v>27209.0</v>
      </c>
      <c r="G427" s="1" t="s">
        <v>1633</v>
      </c>
      <c r="H427" s="1">
        <v>64.0</v>
      </c>
      <c r="I427" s="1" t="s">
        <v>579</v>
      </c>
      <c r="J427" s="1">
        <v>5.0</v>
      </c>
      <c r="K427" s="2">
        <v>42907.0</v>
      </c>
      <c r="M427" s="1">
        <v>0.0</v>
      </c>
      <c r="N427" s="1" t="s">
        <v>280</v>
      </c>
      <c r="O427" s="1" t="s">
        <v>281</v>
      </c>
      <c r="P427" s="3" t="s">
        <v>4214</v>
      </c>
      <c r="S427" s="1" t="s">
        <v>1733</v>
      </c>
      <c r="T427" s="1">
        <v>251.0</v>
      </c>
      <c r="U427" s="3" t="s">
        <v>4215</v>
      </c>
      <c r="V427" s="1">
        <v>720764.0</v>
      </c>
      <c r="W427" s="1" t="s">
        <v>4216</v>
      </c>
      <c r="X427" s="3" t="s">
        <v>4217</v>
      </c>
      <c r="Y427" s="3" t="s">
        <v>4218</v>
      </c>
      <c r="Z427" s="1">
        <v>2.0</v>
      </c>
      <c r="AB427" s="1">
        <v>18.0</v>
      </c>
      <c r="AC427" s="1">
        <v>33.0</v>
      </c>
      <c r="AD427" s="1">
        <v>12.0</v>
      </c>
      <c r="AE427" s="1">
        <v>7.0</v>
      </c>
      <c r="AF427" s="1">
        <v>10.0</v>
      </c>
      <c r="AG427" s="1">
        <v>5.0</v>
      </c>
      <c r="AH427" s="1">
        <v>259.0</v>
      </c>
      <c r="AI427" s="1">
        <v>29.0</v>
      </c>
      <c r="AJ427" s="1">
        <v>0.0</v>
      </c>
      <c r="AK427" s="1">
        <v>0.0</v>
      </c>
      <c r="AL427" s="1">
        <v>4.0</v>
      </c>
      <c r="AM427" s="1">
        <v>4.0</v>
      </c>
      <c r="AN427" s="1">
        <v>0.0</v>
      </c>
    </row>
    <row r="428">
      <c r="A428" s="1">
        <v>127.0</v>
      </c>
      <c r="B428" s="1" t="s">
        <v>4219</v>
      </c>
      <c r="C428" s="1" t="s">
        <v>4220</v>
      </c>
      <c r="D428" s="1" t="s">
        <v>522</v>
      </c>
      <c r="E428" s="1" t="s">
        <v>43</v>
      </c>
      <c r="F428" s="2">
        <v>25284.0</v>
      </c>
      <c r="G428" s="1" t="s">
        <v>4221</v>
      </c>
      <c r="H428" s="1">
        <v>70.0</v>
      </c>
      <c r="I428" s="1" t="s">
        <v>2938</v>
      </c>
      <c r="J428" s="1">
        <v>2.0</v>
      </c>
      <c r="K428" s="2">
        <v>42907.0</v>
      </c>
      <c r="M428" s="1">
        <v>0.0</v>
      </c>
      <c r="N428" s="1" t="s">
        <v>75</v>
      </c>
      <c r="O428" s="1" t="s">
        <v>76</v>
      </c>
      <c r="P428" s="3" t="s">
        <v>4222</v>
      </c>
      <c r="S428" s="1" t="s">
        <v>4223</v>
      </c>
      <c r="T428" s="1">
        <v>206.0</v>
      </c>
      <c r="U428" s="3" t="s">
        <v>4224</v>
      </c>
      <c r="V428" s="1">
        <v>722320.0</v>
      </c>
      <c r="W428" s="1" t="s">
        <v>4225</v>
      </c>
      <c r="X428" s="3" t="s">
        <v>4226</v>
      </c>
      <c r="Y428" s="3" t="s">
        <v>4227</v>
      </c>
      <c r="Z428" s="1">
        <v>1.0</v>
      </c>
      <c r="AB428" s="1">
        <v>18.0</v>
      </c>
      <c r="AC428" s="1">
        <v>35.0</v>
      </c>
      <c r="AD428" s="1">
        <v>28.0</v>
      </c>
      <c r="AE428" s="1">
        <v>1.0</v>
      </c>
      <c r="AF428" s="1">
        <v>0.0</v>
      </c>
      <c r="AG428" s="1">
        <v>0.0</v>
      </c>
      <c r="AH428" s="1">
        <v>18.0</v>
      </c>
      <c r="AI428" s="1">
        <v>1.0</v>
      </c>
      <c r="AJ428" s="1">
        <v>0.0</v>
      </c>
      <c r="AK428" s="1">
        <v>0.0</v>
      </c>
      <c r="AL428" s="1">
        <v>5.0</v>
      </c>
      <c r="AM428" s="1">
        <v>9.0</v>
      </c>
      <c r="AN428" s="1">
        <v>1.0</v>
      </c>
    </row>
    <row r="429">
      <c r="A429" s="1">
        <v>90.0</v>
      </c>
      <c r="B429" s="1" t="s">
        <v>4228</v>
      </c>
      <c r="C429" s="1" t="s">
        <v>4229</v>
      </c>
      <c r="D429" s="1" t="s">
        <v>4230</v>
      </c>
      <c r="E429" s="1" t="s">
        <v>58</v>
      </c>
      <c r="F429" s="2">
        <v>27353.0</v>
      </c>
      <c r="G429" s="1" t="s">
        <v>4231</v>
      </c>
      <c r="H429" s="1">
        <v>74.0</v>
      </c>
      <c r="I429" s="1" t="s">
        <v>1441</v>
      </c>
      <c r="J429" s="1">
        <v>5.0</v>
      </c>
      <c r="K429" s="2">
        <v>42907.0</v>
      </c>
      <c r="M429" s="1">
        <v>0.0</v>
      </c>
      <c r="N429" s="1" t="s">
        <v>75</v>
      </c>
      <c r="O429" s="1" t="s">
        <v>76</v>
      </c>
      <c r="P429" s="1" t="s">
        <v>4232</v>
      </c>
      <c r="S429" s="1" t="s">
        <v>4233</v>
      </c>
      <c r="T429" s="1">
        <v>314.0</v>
      </c>
      <c r="U429" s="3" t="s">
        <v>4234</v>
      </c>
      <c r="V429" s="1">
        <v>721450.0</v>
      </c>
      <c r="W429" s="1" t="s">
        <v>4235</v>
      </c>
      <c r="X429" s="3" t="s">
        <v>4236</v>
      </c>
      <c r="Y429" s="3" t="s">
        <v>4237</v>
      </c>
      <c r="Z429" s="1">
        <v>2.0</v>
      </c>
      <c r="AA429" s="1" t="s">
        <v>4238</v>
      </c>
      <c r="AB429" s="1">
        <v>18.0</v>
      </c>
      <c r="AC429" s="1">
        <v>30.0</v>
      </c>
      <c r="AD429" s="1">
        <v>6.0</v>
      </c>
      <c r="AE429" s="1">
        <v>2.0</v>
      </c>
      <c r="AF429" s="1">
        <v>0.0</v>
      </c>
      <c r="AG429" s="1">
        <v>1.0</v>
      </c>
      <c r="AH429" s="1">
        <v>41.0</v>
      </c>
      <c r="AI429" s="1">
        <v>13.0</v>
      </c>
      <c r="AJ429" s="1">
        <v>1.0</v>
      </c>
      <c r="AK429" s="1">
        <v>0.0</v>
      </c>
      <c r="AL429" s="1">
        <v>5.0</v>
      </c>
      <c r="AM429" s="1">
        <v>7.0</v>
      </c>
      <c r="AN429" s="1">
        <v>0.0</v>
      </c>
    </row>
    <row r="430">
      <c r="A430" s="1">
        <v>178.0</v>
      </c>
      <c r="B430" s="1" t="s">
        <v>4239</v>
      </c>
      <c r="C430" s="1" t="s">
        <v>4240</v>
      </c>
      <c r="D430" s="1" t="s">
        <v>425</v>
      </c>
      <c r="E430" s="1" t="s">
        <v>58</v>
      </c>
      <c r="F430" s="2">
        <v>21760.0</v>
      </c>
      <c r="G430" s="1" t="s">
        <v>1251</v>
      </c>
      <c r="H430" s="1">
        <v>59.0</v>
      </c>
      <c r="I430" s="1" t="s">
        <v>172</v>
      </c>
      <c r="J430" s="1">
        <v>4.0</v>
      </c>
      <c r="K430" s="2">
        <v>42907.0</v>
      </c>
      <c r="M430" s="1">
        <v>0.0</v>
      </c>
      <c r="N430" s="1" t="s">
        <v>75</v>
      </c>
      <c r="O430" s="1" t="s">
        <v>76</v>
      </c>
      <c r="P430" s="1" t="s">
        <v>4241</v>
      </c>
      <c r="S430" s="1" t="s">
        <v>1465</v>
      </c>
      <c r="T430" s="1">
        <v>424.0</v>
      </c>
      <c r="U430" s="3" t="s">
        <v>4242</v>
      </c>
      <c r="V430" s="1">
        <v>720446.0</v>
      </c>
      <c r="W430" s="1" t="s">
        <v>4243</v>
      </c>
      <c r="X430" s="3" t="s">
        <v>4244</v>
      </c>
      <c r="Y430" s="3" t="s">
        <v>4245</v>
      </c>
      <c r="Z430" s="1">
        <v>1.0</v>
      </c>
      <c r="AA430" s="1" t="s">
        <v>4246</v>
      </c>
      <c r="AB430" s="1">
        <v>18.0</v>
      </c>
      <c r="AC430" s="1">
        <v>35.0</v>
      </c>
      <c r="AD430" s="1">
        <v>3.0</v>
      </c>
      <c r="AE430" s="1">
        <v>6.0</v>
      </c>
      <c r="AF430" s="1">
        <v>2.0</v>
      </c>
      <c r="AG430" s="1">
        <v>0.0</v>
      </c>
      <c r="AH430" s="1">
        <v>53.0</v>
      </c>
      <c r="AI430" s="1">
        <v>15.0</v>
      </c>
      <c r="AJ430" s="1">
        <v>0.0</v>
      </c>
      <c r="AK430" s="1">
        <v>0.0</v>
      </c>
      <c r="AL430" s="1">
        <v>6.0</v>
      </c>
      <c r="AM430" s="1">
        <v>16.0</v>
      </c>
      <c r="AN430" s="1">
        <v>1.0</v>
      </c>
    </row>
    <row r="431">
      <c r="A431" s="1">
        <v>414.0</v>
      </c>
      <c r="B431" s="1" t="s">
        <v>4247</v>
      </c>
      <c r="C431" s="1" t="s">
        <v>4248</v>
      </c>
      <c r="D431" s="1" t="s">
        <v>4249</v>
      </c>
      <c r="E431" s="1" t="s">
        <v>58</v>
      </c>
      <c r="F431" s="2">
        <v>27031.0</v>
      </c>
      <c r="G431" s="1" t="s">
        <v>4250</v>
      </c>
      <c r="H431" s="1">
        <v>16.0</v>
      </c>
      <c r="I431" s="1" t="s">
        <v>1264</v>
      </c>
      <c r="J431" s="1">
        <v>2.0</v>
      </c>
      <c r="K431" s="2">
        <v>42907.0</v>
      </c>
      <c r="M431" s="1">
        <v>0.0</v>
      </c>
      <c r="N431" s="1" t="s">
        <v>75</v>
      </c>
      <c r="O431" s="1" t="s">
        <v>76</v>
      </c>
      <c r="P431" s="1" t="s">
        <v>4251</v>
      </c>
      <c r="S431" s="1" t="s">
        <v>2940</v>
      </c>
      <c r="T431" s="1">
        <v>372.0</v>
      </c>
      <c r="U431" s="3" t="s">
        <v>4252</v>
      </c>
      <c r="V431" s="1">
        <v>719080.0</v>
      </c>
      <c r="W431" s="1" t="s">
        <v>4253</v>
      </c>
      <c r="X431" s="3" t="s">
        <v>4254</v>
      </c>
      <c r="Y431" s="3" t="s">
        <v>4255</v>
      </c>
      <c r="Z431" s="1">
        <v>1.0</v>
      </c>
      <c r="AA431" s="1" t="s">
        <v>4256</v>
      </c>
      <c r="AB431" s="1">
        <v>18.0</v>
      </c>
      <c r="AC431" s="1">
        <v>35.0</v>
      </c>
      <c r="AD431" s="1">
        <v>7.0</v>
      </c>
      <c r="AE431" s="1">
        <v>5.0</v>
      </c>
      <c r="AF431" s="1">
        <v>10.0</v>
      </c>
      <c r="AG431" s="1">
        <v>1.0</v>
      </c>
      <c r="AH431" s="1">
        <v>99.0</v>
      </c>
      <c r="AI431" s="1">
        <v>45.0</v>
      </c>
      <c r="AJ431" s="1">
        <v>1.0</v>
      </c>
      <c r="AK431" s="1">
        <v>0.0</v>
      </c>
      <c r="AL431" s="1">
        <v>5.0</v>
      </c>
      <c r="AM431" s="1">
        <v>3.0</v>
      </c>
      <c r="AN431" s="1">
        <v>0.0</v>
      </c>
    </row>
    <row r="432">
      <c r="A432" s="1">
        <v>73.0</v>
      </c>
      <c r="B432" s="1" t="s">
        <v>4257</v>
      </c>
      <c r="C432" s="1" t="s">
        <v>4258</v>
      </c>
      <c r="D432" s="1" t="s">
        <v>469</v>
      </c>
      <c r="E432" s="1" t="s">
        <v>43</v>
      </c>
      <c r="F432" s="2">
        <v>30937.0</v>
      </c>
      <c r="G432" s="1" t="s">
        <v>1075</v>
      </c>
      <c r="H432" s="1">
        <v>83.0</v>
      </c>
      <c r="I432" s="1" t="s">
        <v>1231</v>
      </c>
      <c r="J432" s="1">
        <v>8.0</v>
      </c>
      <c r="K432" s="2">
        <v>42907.0</v>
      </c>
      <c r="M432" s="1">
        <v>0.0</v>
      </c>
      <c r="N432" s="1" t="s">
        <v>75</v>
      </c>
      <c r="O432" s="1" t="s">
        <v>76</v>
      </c>
      <c r="S432" s="1" t="s">
        <v>4259</v>
      </c>
      <c r="T432" s="1">
        <v>386.0</v>
      </c>
      <c r="U432" s="3" t="s">
        <v>4260</v>
      </c>
      <c r="V432" s="1">
        <v>721800.0</v>
      </c>
      <c r="W432" s="1" t="s">
        <v>4261</v>
      </c>
      <c r="X432" s="3" t="s">
        <v>4262</v>
      </c>
      <c r="Y432" s="3" t="s">
        <v>4263</v>
      </c>
      <c r="Z432" s="1">
        <v>2.0</v>
      </c>
      <c r="AB432" s="1">
        <v>18.0</v>
      </c>
      <c r="AC432" s="1">
        <v>44.0</v>
      </c>
      <c r="AD432" s="1">
        <v>7.0</v>
      </c>
      <c r="AE432" s="1">
        <v>7.0</v>
      </c>
      <c r="AF432" s="1">
        <v>1.0</v>
      </c>
      <c r="AG432" s="1">
        <v>1.0</v>
      </c>
      <c r="AH432" s="1">
        <v>63.0</v>
      </c>
      <c r="AI432" s="1">
        <v>26.0</v>
      </c>
      <c r="AJ432" s="1">
        <v>1.0</v>
      </c>
      <c r="AK432" s="1">
        <v>0.0</v>
      </c>
      <c r="AL432" s="1">
        <v>5.0</v>
      </c>
      <c r="AM432" s="1">
        <v>1.0</v>
      </c>
      <c r="AN432" s="1">
        <v>1.0</v>
      </c>
    </row>
    <row r="433">
      <c r="A433" s="1">
        <v>478.0</v>
      </c>
      <c r="B433" s="1" t="s">
        <v>4264</v>
      </c>
      <c r="C433" s="1" t="s">
        <v>810</v>
      </c>
      <c r="D433" s="1" t="s">
        <v>4265</v>
      </c>
      <c r="E433" s="1" t="s">
        <v>58</v>
      </c>
      <c r="F433" s="2">
        <v>20195.0</v>
      </c>
      <c r="G433" s="1" t="s">
        <v>4266</v>
      </c>
      <c r="H433" s="1">
        <v>13.0</v>
      </c>
      <c r="I433" s="1" t="s">
        <v>279</v>
      </c>
      <c r="J433" s="1">
        <v>16.0</v>
      </c>
      <c r="K433" s="2">
        <v>42907.0</v>
      </c>
      <c r="M433" s="1">
        <v>0.0</v>
      </c>
      <c r="N433" s="1" t="s">
        <v>75</v>
      </c>
      <c r="O433" s="1" t="s">
        <v>76</v>
      </c>
      <c r="P433" s="1" t="s">
        <v>4267</v>
      </c>
      <c r="S433" s="1" t="s">
        <v>4268</v>
      </c>
      <c r="T433" s="1">
        <v>244.0</v>
      </c>
      <c r="U433" s="3" t="s">
        <v>4269</v>
      </c>
      <c r="V433" s="1">
        <v>719130.0</v>
      </c>
      <c r="W433" s="1" t="s">
        <v>4270</v>
      </c>
      <c r="X433" s="3" t="s">
        <v>4271</v>
      </c>
      <c r="Y433" s="3" t="s">
        <v>4272</v>
      </c>
      <c r="Z433" s="1">
        <v>1.0</v>
      </c>
      <c r="AA433" s="1" t="s">
        <v>4273</v>
      </c>
      <c r="AB433" s="1">
        <v>18.0</v>
      </c>
      <c r="AC433" s="1">
        <v>45.0</v>
      </c>
      <c r="AD433" s="1">
        <v>5.0</v>
      </c>
      <c r="AE433" s="1">
        <v>2.0</v>
      </c>
      <c r="AF433" s="1">
        <v>0.0</v>
      </c>
      <c r="AG433" s="1">
        <v>1.0</v>
      </c>
      <c r="AH433" s="1">
        <v>108.0</v>
      </c>
      <c r="AI433" s="1">
        <v>41.0</v>
      </c>
      <c r="AJ433" s="1">
        <v>1.0</v>
      </c>
      <c r="AK433" s="1">
        <v>0.0</v>
      </c>
      <c r="AL433" s="1">
        <v>5.0</v>
      </c>
      <c r="AM433" s="1">
        <v>2.0</v>
      </c>
      <c r="AN433" s="1">
        <v>0.0</v>
      </c>
    </row>
    <row r="434">
      <c r="A434" s="1">
        <v>578.0</v>
      </c>
      <c r="B434" s="1" t="s">
        <v>4274</v>
      </c>
      <c r="C434" s="1" t="s">
        <v>4275</v>
      </c>
      <c r="D434" s="1" t="s">
        <v>1431</v>
      </c>
      <c r="E434" s="1" t="s">
        <v>43</v>
      </c>
      <c r="F434" s="2">
        <v>29952.0</v>
      </c>
      <c r="G434" s="1" t="s">
        <v>4276</v>
      </c>
      <c r="H434" s="1">
        <v>84.0</v>
      </c>
      <c r="I434" s="1" t="s">
        <v>719</v>
      </c>
      <c r="J434" s="1">
        <v>3.0</v>
      </c>
      <c r="K434" s="2">
        <v>42938.0</v>
      </c>
      <c r="M434" s="1">
        <v>0.0</v>
      </c>
      <c r="N434" s="1" t="s">
        <v>75</v>
      </c>
      <c r="O434" s="1" t="s">
        <v>76</v>
      </c>
      <c r="P434" s="1" t="s">
        <v>4277</v>
      </c>
      <c r="S434" s="1" t="s">
        <v>4278</v>
      </c>
      <c r="T434" s="1">
        <v>571.0</v>
      </c>
      <c r="U434" s="3" t="s">
        <v>4279</v>
      </c>
      <c r="V434" s="1">
        <v>721876.0</v>
      </c>
      <c r="W434" s="1" t="s">
        <v>4280</v>
      </c>
      <c r="X434" s="3" t="s">
        <v>4281</v>
      </c>
      <c r="Y434" s="3" t="s">
        <v>4282</v>
      </c>
      <c r="Z434" s="1">
        <v>1.0</v>
      </c>
      <c r="AA434" s="1" t="s">
        <v>4283</v>
      </c>
      <c r="AB434" s="1">
        <v>18.0</v>
      </c>
      <c r="AC434" s="1">
        <v>29.0</v>
      </c>
      <c r="AD434" s="1">
        <v>4.0</v>
      </c>
      <c r="AE434" s="1">
        <v>8.0</v>
      </c>
      <c r="AF434" s="1">
        <v>1.0</v>
      </c>
      <c r="AG434" s="1">
        <v>0.0</v>
      </c>
      <c r="AH434" s="1">
        <v>83.0</v>
      </c>
      <c r="AI434" s="1">
        <v>33.0</v>
      </c>
      <c r="AJ434" s="1">
        <v>0.0</v>
      </c>
      <c r="AK434" s="1">
        <v>0.0</v>
      </c>
      <c r="AL434" s="1">
        <v>7.0</v>
      </c>
      <c r="AM434" s="1">
        <v>9.0</v>
      </c>
      <c r="AN434" s="1">
        <v>1.0</v>
      </c>
    </row>
    <row r="435">
      <c r="A435" s="1">
        <v>34.0</v>
      </c>
      <c r="B435" s="1" t="s">
        <v>4284</v>
      </c>
      <c r="C435" s="1" t="s">
        <v>4285</v>
      </c>
      <c r="D435" s="1" t="s">
        <v>2982</v>
      </c>
      <c r="E435" s="1" t="s">
        <v>43</v>
      </c>
      <c r="F435" s="2">
        <v>21341.0</v>
      </c>
      <c r="G435" s="1" t="s">
        <v>4286</v>
      </c>
      <c r="H435" s="1">
        <v>55.0</v>
      </c>
      <c r="I435" s="1" t="s">
        <v>792</v>
      </c>
      <c r="J435" s="1">
        <v>1.0</v>
      </c>
      <c r="K435" s="2">
        <v>42907.0</v>
      </c>
      <c r="M435" s="1">
        <v>0.0</v>
      </c>
      <c r="N435" s="1" t="s">
        <v>46</v>
      </c>
      <c r="O435" s="1" t="s">
        <v>47</v>
      </c>
      <c r="P435" s="1" t="s">
        <v>4287</v>
      </c>
      <c r="S435" s="1" t="s">
        <v>4288</v>
      </c>
      <c r="T435" s="1">
        <v>103.0</v>
      </c>
      <c r="U435" s="3" t="s">
        <v>4289</v>
      </c>
      <c r="V435" s="1">
        <v>333421.0</v>
      </c>
      <c r="W435" s="1" t="s">
        <v>4290</v>
      </c>
      <c r="X435" s="3" t="s">
        <v>4291</v>
      </c>
      <c r="Y435" s="3" t="s">
        <v>4292</v>
      </c>
      <c r="Z435" s="1">
        <v>2.0</v>
      </c>
      <c r="AA435" s="1" t="s">
        <v>4293</v>
      </c>
      <c r="AB435" s="1">
        <v>18.0</v>
      </c>
      <c r="AC435" s="1">
        <v>32.0</v>
      </c>
      <c r="AD435" s="1">
        <v>55.0</v>
      </c>
      <c r="AE435" s="1">
        <v>65.0</v>
      </c>
      <c r="AF435" s="1">
        <v>68.0</v>
      </c>
      <c r="AG435" s="1">
        <v>97.0</v>
      </c>
      <c r="AH435" s="1">
        <v>518.0</v>
      </c>
      <c r="AI435" s="1">
        <v>26.0</v>
      </c>
      <c r="AJ435" s="1">
        <v>0.0</v>
      </c>
      <c r="AK435" s="1">
        <v>0.0</v>
      </c>
      <c r="AL435" s="1">
        <v>10.0</v>
      </c>
      <c r="AM435" s="1">
        <v>2.0</v>
      </c>
      <c r="AN435" s="1">
        <v>2.0</v>
      </c>
    </row>
    <row r="436">
      <c r="A436" s="1">
        <v>79.0</v>
      </c>
      <c r="B436" s="1" t="s">
        <v>4294</v>
      </c>
      <c r="C436" s="1" t="s">
        <v>232</v>
      </c>
      <c r="D436" s="1" t="s">
        <v>1115</v>
      </c>
      <c r="E436" s="1" t="s">
        <v>43</v>
      </c>
      <c r="F436" s="2">
        <v>19769.0</v>
      </c>
      <c r="G436" s="1" t="s">
        <v>207</v>
      </c>
      <c r="H436" s="1">
        <v>21.0</v>
      </c>
      <c r="I436" s="1" t="s">
        <v>1220</v>
      </c>
      <c r="J436" s="1">
        <v>5.0</v>
      </c>
      <c r="K436" s="2">
        <v>42907.0</v>
      </c>
      <c r="M436" s="1">
        <v>0.0</v>
      </c>
      <c r="N436" s="1" t="s">
        <v>75</v>
      </c>
      <c r="O436" s="1" t="s">
        <v>76</v>
      </c>
      <c r="P436" s="3" t="s">
        <v>4295</v>
      </c>
      <c r="S436" s="1" t="s">
        <v>234</v>
      </c>
      <c r="T436" s="1">
        <v>403.0</v>
      </c>
      <c r="U436" s="3" t="s">
        <v>4296</v>
      </c>
      <c r="V436" s="1">
        <v>719202.0</v>
      </c>
      <c r="W436" s="1" t="s">
        <v>4297</v>
      </c>
      <c r="X436" s="3" t="s">
        <v>4298</v>
      </c>
      <c r="Y436" s="3" t="s">
        <v>4299</v>
      </c>
      <c r="Z436" s="1">
        <v>1.0</v>
      </c>
      <c r="AB436" s="1">
        <v>18.0</v>
      </c>
      <c r="AC436" s="1">
        <v>30.0</v>
      </c>
      <c r="AD436" s="1">
        <v>37.0</v>
      </c>
      <c r="AE436" s="1">
        <v>39.0</v>
      </c>
      <c r="AF436" s="1">
        <v>4.0</v>
      </c>
      <c r="AG436" s="1">
        <v>0.0</v>
      </c>
      <c r="AH436" s="1">
        <v>59.0</v>
      </c>
      <c r="AI436" s="1">
        <v>25.0</v>
      </c>
      <c r="AJ436" s="1">
        <v>1.0</v>
      </c>
      <c r="AK436" s="1">
        <v>0.0</v>
      </c>
      <c r="AL436" s="1">
        <v>5.0</v>
      </c>
      <c r="AM436" s="1">
        <v>2.0</v>
      </c>
      <c r="AN436" s="1">
        <v>1.0</v>
      </c>
    </row>
    <row r="437">
      <c r="A437" s="1">
        <v>213.0</v>
      </c>
      <c r="B437" s="1" t="s">
        <v>4300</v>
      </c>
      <c r="C437" s="1" t="s">
        <v>1372</v>
      </c>
      <c r="D437" s="1" t="s">
        <v>3047</v>
      </c>
      <c r="E437" s="1" t="s">
        <v>43</v>
      </c>
      <c r="F437" s="2">
        <v>22322.0</v>
      </c>
      <c r="G437" s="1" t="s">
        <v>718</v>
      </c>
      <c r="H437" s="1">
        <v>999.0</v>
      </c>
      <c r="I437" s="1" t="s">
        <v>256</v>
      </c>
      <c r="J437" s="1">
        <v>7.0</v>
      </c>
      <c r="K437" s="2">
        <v>42907.0</v>
      </c>
      <c r="M437" s="1">
        <v>0.0</v>
      </c>
      <c r="N437" s="1" t="s">
        <v>280</v>
      </c>
      <c r="O437" s="1" t="s">
        <v>281</v>
      </c>
      <c r="P437" s="1" t="s">
        <v>4301</v>
      </c>
      <c r="S437" s="1" t="s">
        <v>827</v>
      </c>
      <c r="T437" s="1">
        <v>260.0</v>
      </c>
      <c r="U437" s="3" t="s">
        <v>4302</v>
      </c>
      <c r="V437" s="1">
        <v>721182.0</v>
      </c>
      <c r="W437" s="1" t="s">
        <v>4303</v>
      </c>
      <c r="X437" s="3" t="s">
        <v>4304</v>
      </c>
      <c r="Y437" s="3" t="s">
        <v>4305</v>
      </c>
      <c r="Z437" s="1">
        <v>1.0</v>
      </c>
      <c r="AA437" s="1" t="s">
        <v>4306</v>
      </c>
      <c r="AB437" s="1">
        <v>18.0</v>
      </c>
      <c r="AC437" s="1">
        <v>30.0</v>
      </c>
      <c r="AD437" s="1">
        <v>17.0</v>
      </c>
      <c r="AE437" s="1">
        <v>37.0</v>
      </c>
      <c r="AF437" s="1">
        <v>15.0</v>
      </c>
      <c r="AG437" s="1">
        <v>5.0</v>
      </c>
      <c r="AH437" s="1">
        <v>195.0</v>
      </c>
      <c r="AI437" s="1">
        <v>18.0</v>
      </c>
      <c r="AJ437" s="1">
        <v>1.0</v>
      </c>
      <c r="AK437" s="1">
        <v>0.0</v>
      </c>
      <c r="AL437" s="1">
        <v>4.0</v>
      </c>
      <c r="AM437" s="1">
        <v>0.0</v>
      </c>
      <c r="AN437" s="1">
        <v>1.0</v>
      </c>
    </row>
    <row r="438">
      <c r="A438" s="1">
        <v>490.0</v>
      </c>
      <c r="B438" s="1" t="s">
        <v>4307</v>
      </c>
      <c r="C438" s="1" t="s">
        <v>4308</v>
      </c>
      <c r="D438" s="1" t="s">
        <v>3626</v>
      </c>
      <c r="E438" s="1" t="s">
        <v>58</v>
      </c>
      <c r="F438" s="2">
        <v>23984.0</v>
      </c>
      <c r="G438" s="1" t="s">
        <v>4309</v>
      </c>
      <c r="H438" s="1">
        <v>78.0</v>
      </c>
      <c r="I438" s="1" t="s">
        <v>74</v>
      </c>
      <c r="J438" s="1">
        <v>3.0</v>
      </c>
      <c r="K438" s="2">
        <v>42907.0</v>
      </c>
      <c r="M438" s="1">
        <v>0.0</v>
      </c>
      <c r="N438" s="1" t="s">
        <v>75</v>
      </c>
      <c r="O438" s="1" t="s">
        <v>76</v>
      </c>
      <c r="P438" s="1" t="s">
        <v>4310</v>
      </c>
      <c r="S438" s="1" t="s">
        <v>2484</v>
      </c>
      <c r="T438" s="1">
        <v>391.0</v>
      </c>
      <c r="U438" s="3" t="s">
        <v>4311</v>
      </c>
      <c r="V438" s="1">
        <v>721844.0</v>
      </c>
      <c r="W438" s="1" t="s">
        <v>4312</v>
      </c>
      <c r="X438" s="3" t="s">
        <v>4313</v>
      </c>
      <c r="Y438" s="3" t="s">
        <v>4314</v>
      </c>
      <c r="Z438" s="1">
        <v>1.0</v>
      </c>
      <c r="AA438" s="1" t="s">
        <v>4315</v>
      </c>
      <c r="AB438" s="1">
        <v>18.0</v>
      </c>
      <c r="AC438" s="1">
        <v>32.0</v>
      </c>
      <c r="AD438" s="1">
        <v>16.0</v>
      </c>
      <c r="AE438" s="1">
        <v>7.0</v>
      </c>
      <c r="AF438" s="1">
        <v>1.0</v>
      </c>
      <c r="AG438" s="1">
        <v>7.0</v>
      </c>
      <c r="AH438" s="1">
        <v>56.0</v>
      </c>
      <c r="AI438" s="1">
        <v>16.0</v>
      </c>
      <c r="AJ438" s="1">
        <v>1.0</v>
      </c>
      <c r="AK438" s="1">
        <v>0.0</v>
      </c>
      <c r="AL438" s="1">
        <v>5.0</v>
      </c>
      <c r="AM438" s="1">
        <v>0.0</v>
      </c>
      <c r="AN438" s="1">
        <v>2.0</v>
      </c>
    </row>
    <row r="439">
      <c r="A439" s="1">
        <v>295.0</v>
      </c>
      <c r="B439" s="1" t="s">
        <v>4316</v>
      </c>
      <c r="C439" s="1" t="s">
        <v>4317</v>
      </c>
      <c r="D439" s="1" t="s">
        <v>4318</v>
      </c>
      <c r="E439" s="1" t="s">
        <v>58</v>
      </c>
      <c r="F439" s="2">
        <v>21837.0</v>
      </c>
      <c r="G439" s="1" t="s">
        <v>4319</v>
      </c>
      <c r="H439" s="1">
        <v>8.0</v>
      </c>
      <c r="I439" s="1" t="s">
        <v>707</v>
      </c>
      <c r="J439" s="1">
        <v>1.0</v>
      </c>
      <c r="K439" s="2">
        <v>42907.0</v>
      </c>
      <c r="M439" s="1">
        <v>0.0</v>
      </c>
      <c r="N439" s="1" t="s">
        <v>61</v>
      </c>
      <c r="O439" s="1" t="s">
        <v>62</v>
      </c>
      <c r="P439" s="1" t="s">
        <v>4320</v>
      </c>
      <c r="S439" s="1" t="s">
        <v>4321</v>
      </c>
      <c r="T439" s="1">
        <v>22.0</v>
      </c>
      <c r="U439" s="3" t="s">
        <v>4322</v>
      </c>
      <c r="V439" s="1">
        <v>267260.0</v>
      </c>
      <c r="W439" s="1" t="s">
        <v>4323</v>
      </c>
      <c r="X439" s="3" t="s">
        <v>4324</v>
      </c>
      <c r="Y439" s="3" t="s">
        <v>4325</v>
      </c>
      <c r="Z439" s="1">
        <v>1.0</v>
      </c>
      <c r="AA439" s="1" t="s">
        <v>4326</v>
      </c>
      <c r="AB439" s="1">
        <v>18.0</v>
      </c>
      <c r="AC439" s="1">
        <v>26.0</v>
      </c>
      <c r="AD439" s="1">
        <v>8.0</v>
      </c>
      <c r="AE439" s="1">
        <v>20.0</v>
      </c>
      <c r="AF439" s="1">
        <v>23.0</v>
      </c>
      <c r="AG439" s="1">
        <v>23.0</v>
      </c>
      <c r="AH439" s="1">
        <v>839.0</v>
      </c>
      <c r="AI439" s="1">
        <v>41.0</v>
      </c>
      <c r="AJ439" s="1">
        <v>1.0</v>
      </c>
      <c r="AK439" s="1">
        <v>14.0</v>
      </c>
      <c r="AL439" s="1">
        <v>86.0</v>
      </c>
      <c r="AM439" s="1">
        <v>29.0</v>
      </c>
      <c r="AN439" s="1">
        <v>2.0</v>
      </c>
    </row>
    <row r="440">
      <c r="A440" s="1">
        <v>9.0</v>
      </c>
      <c r="B440" s="1" t="s">
        <v>4327</v>
      </c>
      <c r="C440" s="1" t="s">
        <v>4328</v>
      </c>
      <c r="D440" s="1" t="s">
        <v>4329</v>
      </c>
      <c r="E440" s="1" t="s">
        <v>43</v>
      </c>
      <c r="F440" s="2">
        <v>30412.0</v>
      </c>
      <c r="G440" s="1" t="s">
        <v>4330</v>
      </c>
      <c r="H440" s="1">
        <v>91.0</v>
      </c>
      <c r="I440" s="1" t="s">
        <v>610</v>
      </c>
      <c r="J440" s="1">
        <v>10.0</v>
      </c>
      <c r="K440" s="2">
        <v>42907.0</v>
      </c>
      <c r="M440" s="1">
        <v>0.0</v>
      </c>
      <c r="N440" s="1" t="s">
        <v>75</v>
      </c>
      <c r="O440" s="1" t="s">
        <v>76</v>
      </c>
      <c r="P440" s="1" t="s">
        <v>4331</v>
      </c>
      <c r="S440" s="1" t="s">
        <v>4332</v>
      </c>
      <c r="T440" s="1">
        <v>269.0</v>
      </c>
      <c r="U440" s="3" t="s">
        <v>4333</v>
      </c>
      <c r="V440" s="1">
        <v>721888.0</v>
      </c>
      <c r="W440" s="1" t="s">
        <v>4334</v>
      </c>
      <c r="X440" s="3" t="s">
        <v>4335</v>
      </c>
      <c r="Y440" s="3" t="s">
        <v>4336</v>
      </c>
      <c r="Z440" s="1">
        <v>1.0</v>
      </c>
      <c r="AA440" s="1" t="s">
        <v>4337</v>
      </c>
      <c r="AB440" s="1">
        <v>18.0</v>
      </c>
      <c r="AC440" s="1">
        <v>33.0</v>
      </c>
      <c r="AD440" s="1">
        <v>2.0</v>
      </c>
      <c r="AE440" s="1">
        <v>12.0</v>
      </c>
      <c r="AF440" s="1">
        <v>5.0</v>
      </c>
      <c r="AG440" s="1">
        <v>3.0</v>
      </c>
      <c r="AH440" s="1">
        <v>51.0</v>
      </c>
      <c r="AI440" s="1">
        <v>16.0</v>
      </c>
      <c r="AJ440" s="1">
        <v>0.0</v>
      </c>
      <c r="AK440" s="1">
        <v>0.0</v>
      </c>
      <c r="AL440" s="1">
        <v>5.0</v>
      </c>
      <c r="AM440" s="1">
        <v>0.0</v>
      </c>
      <c r="AN440" s="1">
        <v>1.0</v>
      </c>
    </row>
    <row r="441">
      <c r="A441" s="1">
        <v>368.0</v>
      </c>
      <c r="B441" s="1" t="s">
        <v>4338</v>
      </c>
      <c r="C441" s="1" t="s">
        <v>4339</v>
      </c>
      <c r="D441" s="1" t="s">
        <v>1094</v>
      </c>
      <c r="E441" s="1" t="s">
        <v>58</v>
      </c>
      <c r="F441" s="2">
        <v>26882.0</v>
      </c>
      <c r="G441" s="1" t="s">
        <v>4340</v>
      </c>
      <c r="H441" s="1">
        <v>45.0</v>
      </c>
      <c r="I441" s="1" t="s">
        <v>2531</v>
      </c>
      <c r="J441" s="1">
        <v>1.0</v>
      </c>
      <c r="K441" s="2">
        <v>42907.0</v>
      </c>
      <c r="M441" s="1">
        <v>0.0</v>
      </c>
      <c r="N441" s="1" t="s">
        <v>75</v>
      </c>
      <c r="O441" s="1" t="s">
        <v>76</v>
      </c>
      <c r="P441" s="1" t="s">
        <v>4341</v>
      </c>
      <c r="S441" s="1" t="s">
        <v>151</v>
      </c>
      <c r="T441" s="1">
        <v>607.0</v>
      </c>
      <c r="U441" s="3" t="s">
        <v>4342</v>
      </c>
      <c r="V441" s="1">
        <v>720066.0</v>
      </c>
      <c r="W441" s="1" t="s">
        <v>4343</v>
      </c>
      <c r="X441" s="3" t="s">
        <v>4344</v>
      </c>
      <c r="Y441" s="3" t="s">
        <v>4345</v>
      </c>
      <c r="Z441" s="1">
        <v>1.0</v>
      </c>
      <c r="AA441" s="1" t="s">
        <v>4346</v>
      </c>
      <c r="AB441" s="1">
        <v>18.0</v>
      </c>
      <c r="AC441" s="1">
        <v>35.0</v>
      </c>
      <c r="AD441" s="1">
        <v>13.0</v>
      </c>
      <c r="AE441" s="1">
        <v>11.0</v>
      </c>
      <c r="AF441" s="1">
        <v>6.0</v>
      </c>
      <c r="AG441" s="1">
        <v>1.0</v>
      </c>
      <c r="AH441" s="1">
        <v>132.0</v>
      </c>
      <c r="AI441" s="1">
        <v>48.0</v>
      </c>
      <c r="AJ441" s="1">
        <v>0.0</v>
      </c>
      <c r="AK441" s="1">
        <v>0.0</v>
      </c>
      <c r="AL441" s="1">
        <v>5.0</v>
      </c>
      <c r="AM441" s="1">
        <v>10.0</v>
      </c>
      <c r="AN441" s="1">
        <v>3.0</v>
      </c>
    </row>
    <row r="442">
      <c r="A442" s="1">
        <v>574.0</v>
      </c>
      <c r="B442" s="1" t="s">
        <v>4347</v>
      </c>
      <c r="C442" s="1" t="s">
        <v>4348</v>
      </c>
      <c r="D442" s="1" t="s">
        <v>1801</v>
      </c>
      <c r="E442" s="1" t="s">
        <v>43</v>
      </c>
      <c r="F442" s="2">
        <v>19290.0</v>
      </c>
      <c r="G442" s="1" t="s">
        <v>4349</v>
      </c>
      <c r="H442" s="1">
        <v>86.0</v>
      </c>
      <c r="I442" s="1" t="s">
        <v>513</v>
      </c>
      <c r="J442" s="1">
        <v>1.0</v>
      </c>
      <c r="K442" s="2">
        <v>42907.0</v>
      </c>
      <c r="M442" s="1">
        <v>0.0</v>
      </c>
      <c r="N442" s="1" t="s">
        <v>75</v>
      </c>
      <c r="O442" s="1" t="s">
        <v>76</v>
      </c>
      <c r="P442" s="1" t="s">
        <v>4350</v>
      </c>
      <c r="S442" s="1" t="s">
        <v>4351</v>
      </c>
      <c r="T442" s="1">
        <v>639.0</v>
      </c>
      <c r="U442" s="3" t="s">
        <v>4352</v>
      </c>
      <c r="V442" s="1">
        <v>722078.0</v>
      </c>
      <c r="W442" s="1" t="s">
        <v>4353</v>
      </c>
      <c r="X442" s="3" t="s">
        <v>4354</v>
      </c>
      <c r="Y442" s="3" t="s">
        <v>4355</v>
      </c>
      <c r="Z442" s="1">
        <v>1.0</v>
      </c>
      <c r="AA442" s="1" t="s">
        <v>4356</v>
      </c>
      <c r="AB442" s="1">
        <v>18.0</v>
      </c>
      <c r="AC442" s="1">
        <v>35.0</v>
      </c>
      <c r="AD442" s="1">
        <v>4.0</v>
      </c>
      <c r="AE442" s="1">
        <v>11.0</v>
      </c>
      <c r="AF442" s="1">
        <v>3.0</v>
      </c>
      <c r="AG442" s="1">
        <v>0.0</v>
      </c>
      <c r="AH442" s="1">
        <v>150.0</v>
      </c>
      <c r="AI442" s="1">
        <v>103.0</v>
      </c>
      <c r="AJ442" s="1">
        <v>1.0</v>
      </c>
      <c r="AK442" s="1">
        <v>0.0</v>
      </c>
      <c r="AL442" s="1">
        <v>5.0</v>
      </c>
      <c r="AM442" s="1">
        <v>0.0</v>
      </c>
      <c r="AN442" s="1">
        <v>1.0</v>
      </c>
    </row>
    <row r="443">
      <c r="A443" s="1">
        <v>206.0</v>
      </c>
      <c r="B443" s="1" t="s">
        <v>4357</v>
      </c>
      <c r="C443" s="1" t="s">
        <v>4358</v>
      </c>
      <c r="D443" s="1" t="s">
        <v>4359</v>
      </c>
      <c r="E443" s="1" t="s">
        <v>43</v>
      </c>
      <c r="F443" s="2">
        <v>23594.0</v>
      </c>
      <c r="G443" s="1" t="s">
        <v>4360</v>
      </c>
      <c r="H443" s="1">
        <v>65.0</v>
      </c>
      <c r="I443" s="1" t="s">
        <v>2396</v>
      </c>
      <c r="J443" s="1">
        <v>1.0</v>
      </c>
      <c r="K443" s="2">
        <v>42907.0</v>
      </c>
      <c r="M443" s="1">
        <v>0.0</v>
      </c>
      <c r="N443" s="1" t="s">
        <v>75</v>
      </c>
      <c r="O443" s="1" t="s">
        <v>76</v>
      </c>
      <c r="P443" s="1" t="s">
        <v>4361</v>
      </c>
      <c r="S443" s="1" t="s">
        <v>269</v>
      </c>
      <c r="T443" s="1">
        <v>313.0</v>
      </c>
      <c r="U443" s="3" t="s">
        <v>4362</v>
      </c>
      <c r="V443" s="1">
        <v>720780.0</v>
      </c>
      <c r="W443" s="1" t="s">
        <v>4363</v>
      </c>
      <c r="X443" s="3" t="s">
        <v>4364</v>
      </c>
      <c r="Y443" s="3" t="s">
        <v>4365</v>
      </c>
      <c r="Z443" s="1">
        <v>2.0</v>
      </c>
      <c r="AA443" s="1" t="s">
        <v>4366</v>
      </c>
      <c r="AB443" s="1">
        <v>18.0</v>
      </c>
      <c r="AC443" s="1">
        <v>33.0</v>
      </c>
      <c r="AD443" s="1">
        <v>8.0</v>
      </c>
      <c r="AE443" s="1">
        <v>0.0</v>
      </c>
      <c r="AF443" s="1">
        <v>0.0</v>
      </c>
      <c r="AG443" s="1">
        <v>3.0</v>
      </c>
      <c r="AH443" s="1">
        <v>81.0</v>
      </c>
      <c r="AI443" s="1">
        <v>27.0</v>
      </c>
      <c r="AJ443" s="1">
        <v>1.0</v>
      </c>
      <c r="AK443" s="1">
        <v>0.0</v>
      </c>
      <c r="AL443" s="1">
        <v>5.0</v>
      </c>
      <c r="AM443" s="1">
        <v>10.0</v>
      </c>
      <c r="AN443" s="1">
        <v>0.0</v>
      </c>
    </row>
    <row r="444">
      <c r="A444" s="1">
        <v>285.0</v>
      </c>
      <c r="B444" s="1" t="s">
        <v>4367</v>
      </c>
      <c r="C444" s="1" t="s">
        <v>4368</v>
      </c>
      <c r="D444" s="1" t="s">
        <v>1431</v>
      </c>
      <c r="E444" s="1" t="s">
        <v>43</v>
      </c>
      <c r="F444" s="2">
        <v>28128.0</v>
      </c>
      <c r="G444" s="1" t="s">
        <v>2217</v>
      </c>
      <c r="H444" s="1">
        <v>92.0</v>
      </c>
      <c r="I444" s="1" t="s">
        <v>781</v>
      </c>
      <c r="J444" s="1">
        <v>2.0</v>
      </c>
      <c r="K444" s="2">
        <v>42907.0</v>
      </c>
      <c r="M444" s="1">
        <v>0.0</v>
      </c>
      <c r="N444" s="1" t="s">
        <v>75</v>
      </c>
      <c r="O444" s="1" t="s">
        <v>76</v>
      </c>
      <c r="P444" s="1" t="s">
        <v>4369</v>
      </c>
      <c r="S444" s="1" t="s">
        <v>4370</v>
      </c>
      <c r="T444" s="1">
        <v>209.0</v>
      </c>
      <c r="U444" s="3" t="s">
        <v>4371</v>
      </c>
      <c r="V444" s="1">
        <v>722086.0</v>
      </c>
      <c r="W444" s="1" t="s">
        <v>4372</v>
      </c>
      <c r="X444" s="3" t="s">
        <v>4373</v>
      </c>
      <c r="Y444" s="3" t="s">
        <v>4374</v>
      </c>
      <c r="Z444" s="1">
        <v>1.0</v>
      </c>
      <c r="AA444" s="1" t="s">
        <v>4375</v>
      </c>
      <c r="AB444" s="1">
        <v>18.0</v>
      </c>
      <c r="AC444" s="1">
        <v>41.0</v>
      </c>
      <c r="AD444" s="1">
        <v>15.0</v>
      </c>
      <c r="AE444" s="1">
        <v>26.0</v>
      </c>
      <c r="AF444" s="1">
        <v>3.0</v>
      </c>
      <c r="AG444" s="1">
        <v>7.0</v>
      </c>
      <c r="AH444" s="1">
        <v>130.0</v>
      </c>
      <c r="AI444" s="1">
        <v>60.0</v>
      </c>
      <c r="AJ444" s="1">
        <v>0.0</v>
      </c>
      <c r="AK444" s="1">
        <v>0.0</v>
      </c>
      <c r="AL444" s="1">
        <v>5.0</v>
      </c>
      <c r="AM444" s="1">
        <v>7.0</v>
      </c>
      <c r="AN444" s="1">
        <v>1.0</v>
      </c>
    </row>
    <row r="445">
      <c r="A445" s="1">
        <v>190.0</v>
      </c>
      <c r="B445" s="1" t="s">
        <v>4376</v>
      </c>
      <c r="C445" s="1" t="s">
        <v>4377</v>
      </c>
      <c r="D445" s="1" t="s">
        <v>2374</v>
      </c>
      <c r="E445" s="1" t="s">
        <v>43</v>
      </c>
      <c r="F445" s="2">
        <v>26506.0</v>
      </c>
      <c r="G445" s="1" t="s">
        <v>1331</v>
      </c>
      <c r="H445" s="1">
        <v>86.0</v>
      </c>
      <c r="I445" s="1" t="s">
        <v>513</v>
      </c>
      <c r="J445" s="1">
        <v>4.0</v>
      </c>
      <c r="K445" s="2">
        <v>42907.0</v>
      </c>
      <c r="M445" s="1">
        <v>0.0</v>
      </c>
      <c r="N445" s="1" t="s">
        <v>280</v>
      </c>
      <c r="O445" s="1" t="s">
        <v>281</v>
      </c>
      <c r="P445" s="1" t="s">
        <v>4378</v>
      </c>
      <c r="S445" s="1" t="s">
        <v>1905</v>
      </c>
      <c r="T445" s="1">
        <v>265.0</v>
      </c>
      <c r="U445" s="3" t="s">
        <v>4379</v>
      </c>
      <c r="V445" s="1">
        <v>722162.0</v>
      </c>
      <c r="W445" s="1" t="s">
        <v>4380</v>
      </c>
      <c r="X445" s="3" t="s">
        <v>4381</v>
      </c>
      <c r="Y445" s="3" t="s">
        <v>4382</v>
      </c>
      <c r="Z445" s="1">
        <v>1.0</v>
      </c>
      <c r="AA445" s="1" t="s">
        <v>4383</v>
      </c>
      <c r="AB445" s="1">
        <v>18.0</v>
      </c>
      <c r="AC445" s="1">
        <v>31.0</v>
      </c>
      <c r="AD445" s="1">
        <v>35.0</v>
      </c>
      <c r="AE445" s="1">
        <v>18.0</v>
      </c>
      <c r="AF445" s="1">
        <v>2.0</v>
      </c>
      <c r="AG445" s="1">
        <v>4.0</v>
      </c>
      <c r="AH445" s="1">
        <v>245.0</v>
      </c>
      <c r="AI445" s="1">
        <v>25.0</v>
      </c>
      <c r="AJ445" s="1">
        <v>0.0</v>
      </c>
      <c r="AK445" s="1">
        <v>0.0</v>
      </c>
      <c r="AL445" s="1">
        <v>8.0</v>
      </c>
      <c r="AM445" s="1">
        <v>0.0</v>
      </c>
      <c r="AN445" s="1">
        <v>1.0</v>
      </c>
    </row>
    <row r="446">
      <c r="A446" s="1">
        <v>416.0</v>
      </c>
      <c r="B446" s="1" t="s">
        <v>4384</v>
      </c>
      <c r="C446" s="1" t="s">
        <v>4385</v>
      </c>
      <c r="D446" s="1" t="s">
        <v>4386</v>
      </c>
      <c r="E446" s="1" t="s">
        <v>43</v>
      </c>
      <c r="F446" s="2">
        <v>21315.0</v>
      </c>
      <c r="G446" s="1" t="s">
        <v>1251</v>
      </c>
      <c r="H446" s="1">
        <v>59.0</v>
      </c>
      <c r="I446" s="1" t="s">
        <v>172</v>
      </c>
      <c r="J446" s="1">
        <v>7.0</v>
      </c>
      <c r="K446" s="2">
        <v>42907.0</v>
      </c>
      <c r="M446" s="1">
        <v>0.0</v>
      </c>
      <c r="N446" s="1" t="s">
        <v>46</v>
      </c>
      <c r="O446" s="1" t="s">
        <v>47</v>
      </c>
      <c r="P446" s="1" t="s">
        <v>4387</v>
      </c>
      <c r="S446" s="1" t="s">
        <v>827</v>
      </c>
      <c r="T446" s="1">
        <v>123.0</v>
      </c>
      <c r="U446" s="3" t="s">
        <v>4388</v>
      </c>
      <c r="V446" s="1">
        <v>267585.0</v>
      </c>
      <c r="W446" s="1" t="s">
        <v>4389</v>
      </c>
      <c r="X446" s="3" t="s">
        <v>4390</v>
      </c>
      <c r="Y446" s="3" t="s">
        <v>4391</v>
      </c>
      <c r="Z446" s="1">
        <v>2.0</v>
      </c>
      <c r="AA446" s="1" t="s">
        <v>4392</v>
      </c>
      <c r="AB446" s="1">
        <v>18.0</v>
      </c>
      <c r="AC446" s="1">
        <v>27.0</v>
      </c>
      <c r="AD446" s="1">
        <v>64.0</v>
      </c>
      <c r="AE446" s="1">
        <v>139.0</v>
      </c>
      <c r="AF446" s="1">
        <v>46.0</v>
      </c>
      <c r="AG446" s="1">
        <v>107.0</v>
      </c>
      <c r="AH446" s="1">
        <v>595.0</v>
      </c>
      <c r="AI446" s="1">
        <v>26.0</v>
      </c>
      <c r="AJ446" s="1">
        <v>1.0</v>
      </c>
      <c r="AK446" s="1">
        <v>2.0</v>
      </c>
      <c r="AL446" s="1">
        <v>15.0</v>
      </c>
      <c r="AM446" s="1">
        <v>11.0</v>
      </c>
      <c r="AN446" s="1">
        <v>1.0</v>
      </c>
    </row>
    <row r="447">
      <c r="A447" s="1">
        <v>488.0</v>
      </c>
      <c r="B447" s="1" t="s">
        <v>4393</v>
      </c>
      <c r="C447" s="1" t="s">
        <v>4394</v>
      </c>
      <c r="D447" s="1" t="s">
        <v>1115</v>
      </c>
      <c r="E447" s="1" t="s">
        <v>43</v>
      </c>
      <c r="F447" s="2">
        <v>25800.0</v>
      </c>
      <c r="G447" s="1" t="s">
        <v>4395</v>
      </c>
      <c r="H447" s="1">
        <v>78.0</v>
      </c>
      <c r="I447" s="1" t="s">
        <v>74</v>
      </c>
      <c r="J447" s="1">
        <v>1.0</v>
      </c>
      <c r="K447" s="2">
        <v>42907.0</v>
      </c>
      <c r="M447" s="1">
        <v>0.0</v>
      </c>
      <c r="N447" s="1" t="s">
        <v>75</v>
      </c>
      <c r="O447" s="1" t="s">
        <v>76</v>
      </c>
      <c r="P447" s="1" t="s">
        <v>4396</v>
      </c>
      <c r="S447" s="1" t="s">
        <v>4397</v>
      </c>
      <c r="T447" s="1">
        <v>321.0</v>
      </c>
      <c r="U447" s="3" t="s">
        <v>4398</v>
      </c>
      <c r="V447" s="1">
        <v>721776.0</v>
      </c>
      <c r="W447" s="1" t="s">
        <v>4399</v>
      </c>
      <c r="X447" s="3" t="s">
        <v>4400</v>
      </c>
      <c r="Y447" s="3" t="s">
        <v>4401</v>
      </c>
      <c r="Z447" s="1">
        <v>1.0</v>
      </c>
      <c r="AA447" s="1" t="s">
        <v>4402</v>
      </c>
      <c r="AB447" s="1">
        <v>17.0</v>
      </c>
      <c r="AC447" s="1">
        <v>25.0</v>
      </c>
      <c r="AD447" s="1">
        <v>11.0</v>
      </c>
      <c r="AE447" s="1">
        <v>1.0</v>
      </c>
      <c r="AF447" s="1">
        <v>0.0</v>
      </c>
      <c r="AG447" s="1">
        <v>0.0</v>
      </c>
      <c r="AH447" s="1">
        <v>8.0</v>
      </c>
      <c r="AI447" s="1">
        <v>2.0</v>
      </c>
      <c r="AJ447" s="1">
        <v>0.0</v>
      </c>
      <c r="AK447" s="1">
        <v>0.0</v>
      </c>
      <c r="AL447" s="1">
        <v>5.0</v>
      </c>
      <c r="AM447" s="1">
        <v>0.0</v>
      </c>
      <c r="AN447" s="1">
        <v>0.0</v>
      </c>
    </row>
    <row r="448">
      <c r="A448" s="1">
        <v>281.0</v>
      </c>
      <c r="B448" s="1" t="s">
        <v>4403</v>
      </c>
      <c r="C448" s="1" t="s">
        <v>4404</v>
      </c>
      <c r="D448" s="1" t="s">
        <v>4405</v>
      </c>
      <c r="E448" s="1" t="s">
        <v>58</v>
      </c>
      <c r="F448" s="2">
        <v>24578.0</v>
      </c>
      <c r="G448" s="1" t="s">
        <v>1571</v>
      </c>
      <c r="H448" s="1">
        <v>974.0</v>
      </c>
      <c r="I448" s="1" t="s">
        <v>2717</v>
      </c>
      <c r="J448" s="1">
        <v>1.0</v>
      </c>
      <c r="K448" s="2">
        <v>42907.0</v>
      </c>
      <c r="M448" s="1">
        <v>0.0</v>
      </c>
      <c r="N448" s="1" t="s">
        <v>115</v>
      </c>
      <c r="O448" s="1" t="s">
        <v>116</v>
      </c>
      <c r="P448" s="1" t="s">
        <v>4406</v>
      </c>
      <c r="S448" s="1" t="s">
        <v>90</v>
      </c>
      <c r="T448" s="1">
        <v>503.0</v>
      </c>
      <c r="U448" s="3" t="s">
        <v>4407</v>
      </c>
      <c r="V448" s="1">
        <v>610681.0</v>
      </c>
      <c r="W448" s="1" t="s">
        <v>4408</v>
      </c>
      <c r="X448" s="3" t="s">
        <v>4409</v>
      </c>
      <c r="Y448" s="3" t="s">
        <v>4410</v>
      </c>
      <c r="Z448" s="1">
        <v>1.0</v>
      </c>
      <c r="AA448" s="1" t="s">
        <v>4411</v>
      </c>
      <c r="AB448" s="1">
        <v>17.0</v>
      </c>
      <c r="AC448" s="1">
        <v>33.0</v>
      </c>
      <c r="AD448" s="1">
        <v>51.0</v>
      </c>
      <c r="AE448" s="1">
        <v>61.0</v>
      </c>
      <c r="AF448" s="1">
        <v>31.0</v>
      </c>
      <c r="AG448" s="1">
        <v>67.0</v>
      </c>
      <c r="AH448" s="1">
        <v>1296.0</v>
      </c>
      <c r="AI448" s="1">
        <v>83.0</v>
      </c>
      <c r="AJ448" s="1">
        <v>0.0</v>
      </c>
      <c r="AK448" s="1">
        <v>0.0</v>
      </c>
      <c r="AL448" s="1">
        <v>5.0</v>
      </c>
      <c r="AM448" s="1">
        <v>22.0</v>
      </c>
      <c r="AN448" s="1">
        <v>3.0</v>
      </c>
    </row>
    <row r="449">
      <c r="A449" s="1">
        <v>533.0</v>
      </c>
      <c r="B449" s="1" t="s">
        <v>4412</v>
      </c>
      <c r="C449" s="1" t="s">
        <v>4413</v>
      </c>
      <c r="D449" s="1" t="s">
        <v>4414</v>
      </c>
      <c r="E449" s="1" t="s">
        <v>58</v>
      </c>
      <c r="F449" s="2">
        <v>18025.0</v>
      </c>
      <c r="G449" s="1" t="s">
        <v>4415</v>
      </c>
      <c r="H449" s="1">
        <v>93.0</v>
      </c>
      <c r="I449" s="1" t="s">
        <v>196</v>
      </c>
      <c r="J449" s="1">
        <v>4.0</v>
      </c>
      <c r="K449" s="2">
        <v>42907.0</v>
      </c>
      <c r="M449" s="1">
        <v>0.0</v>
      </c>
      <c r="N449" s="1" t="s">
        <v>101</v>
      </c>
      <c r="O449" s="1" t="s">
        <v>102</v>
      </c>
      <c r="S449" s="1" t="s">
        <v>4416</v>
      </c>
      <c r="T449" s="1">
        <v>593.0</v>
      </c>
      <c r="U449" s="3" t="s">
        <v>4417</v>
      </c>
      <c r="V449" s="1">
        <v>689.0</v>
      </c>
      <c r="W449" s="1" t="s">
        <v>4418</v>
      </c>
      <c r="X449" s="3" t="s">
        <v>4419</v>
      </c>
      <c r="Y449" s="3" t="s">
        <v>4420</v>
      </c>
      <c r="Z449" s="1">
        <v>2.0</v>
      </c>
      <c r="AB449" s="1">
        <v>17.0</v>
      </c>
      <c r="AC449" s="1">
        <v>27.0</v>
      </c>
      <c r="AD449" s="1">
        <v>41.0</v>
      </c>
      <c r="AE449" s="1">
        <v>56.0</v>
      </c>
      <c r="AF449" s="1">
        <v>58.0</v>
      </c>
      <c r="AG449" s="1">
        <v>41.0</v>
      </c>
      <c r="AH449" s="1">
        <v>674.0</v>
      </c>
      <c r="AI449" s="1">
        <v>23.0</v>
      </c>
      <c r="AJ449" s="1">
        <v>0.0</v>
      </c>
      <c r="AK449" s="1">
        <v>5.0</v>
      </c>
      <c r="AL449" s="1">
        <v>21.0</v>
      </c>
      <c r="AM449" s="1">
        <v>19.0</v>
      </c>
      <c r="AN449" s="1">
        <v>2.0</v>
      </c>
    </row>
    <row r="450">
      <c r="A450" s="1">
        <v>554.0</v>
      </c>
      <c r="B450" s="1" t="s">
        <v>4421</v>
      </c>
      <c r="C450" s="1" t="s">
        <v>4422</v>
      </c>
      <c r="D450" s="1" t="s">
        <v>126</v>
      </c>
      <c r="E450" s="1" t="s">
        <v>43</v>
      </c>
      <c r="F450" s="2">
        <v>23547.0</v>
      </c>
      <c r="G450" s="1" t="s">
        <v>512</v>
      </c>
      <c r="H450" s="1">
        <v>79.0</v>
      </c>
      <c r="I450" s="1" t="s">
        <v>2228</v>
      </c>
      <c r="J450" s="1">
        <v>3.0</v>
      </c>
      <c r="K450" s="2">
        <v>42907.0</v>
      </c>
      <c r="M450" s="1">
        <v>0.0</v>
      </c>
      <c r="N450" s="1" t="s">
        <v>75</v>
      </c>
      <c r="O450" s="1" t="s">
        <v>76</v>
      </c>
      <c r="P450" s="1" t="s">
        <v>4423</v>
      </c>
      <c r="S450" s="1" t="s">
        <v>429</v>
      </c>
      <c r="T450" s="1">
        <v>560.0</v>
      </c>
      <c r="U450" s="3" t="s">
        <v>4424</v>
      </c>
      <c r="V450" s="1">
        <v>722134.0</v>
      </c>
      <c r="W450" s="1" t="s">
        <v>4425</v>
      </c>
      <c r="X450" s="3" t="s">
        <v>4426</v>
      </c>
      <c r="Y450" s="3" t="s">
        <v>4427</v>
      </c>
      <c r="Z450" s="1">
        <v>1.0</v>
      </c>
      <c r="AA450" s="1" t="s">
        <v>4428</v>
      </c>
      <c r="AB450" s="1">
        <v>17.0</v>
      </c>
      <c r="AC450" s="1">
        <v>34.0</v>
      </c>
      <c r="AD450" s="1">
        <v>6.0</v>
      </c>
      <c r="AE450" s="1">
        <v>0.0</v>
      </c>
      <c r="AF450" s="1">
        <v>0.0</v>
      </c>
      <c r="AG450" s="1">
        <v>0.0</v>
      </c>
      <c r="AH450" s="1">
        <v>41.0</v>
      </c>
      <c r="AI450" s="1">
        <v>3.0</v>
      </c>
      <c r="AJ450" s="1">
        <v>0.0</v>
      </c>
      <c r="AK450" s="1">
        <v>0.0</v>
      </c>
      <c r="AL450" s="1">
        <v>6.0</v>
      </c>
      <c r="AM450" s="1">
        <v>1.0</v>
      </c>
      <c r="AN450" s="1">
        <v>0.0</v>
      </c>
    </row>
    <row r="451">
      <c r="A451" s="1">
        <v>129.0</v>
      </c>
      <c r="B451" s="1" t="s">
        <v>4429</v>
      </c>
      <c r="C451" s="1" t="s">
        <v>4430</v>
      </c>
      <c r="D451" s="1" t="s">
        <v>2374</v>
      </c>
      <c r="E451" s="1" t="s">
        <v>43</v>
      </c>
      <c r="F451" s="2">
        <v>22329.0</v>
      </c>
      <c r="G451" s="1" t="s">
        <v>207</v>
      </c>
      <c r="H451" s="1">
        <v>36.0</v>
      </c>
      <c r="I451" s="1" t="s">
        <v>1813</v>
      </c>
      <c r="J451" s="1">
        <v>2.0</v>
      </c>
      <c r="K451" s="2">
        <v>42907.0</v>
      </c>
      <c r="M451" s="1">
        <v>0.0</v>
      </c>
      <c r="N451" s="1" t="s">
        <v>61</v>
      </c>
      <c r="O451" s="1" t="s">
        <v>62</v>
      </c>
      <c r="P451" s="1" t="s">
        <v>4431</v>
      </c>
      <c r="S451" s="1" t="s">
        <v>2484</v>
      </c>
      <c r="T451" s="1">
        <v>19.0</v>
      </c>
      <c r="U451" s="3" t="s">
        <v>4432</v>
      </c>
      <c r="V451" s="1">
        <v>1327.0</v>
      </c>
      <c r="W451" s="1" t="s">
        <v>4433</v>
      </c>
      <c r="X451" s="3" t="s">
        <v>4434</v>
      </c>
      <c r="Y451" s="3" t="s">
        <v>4435</v>
      </c>
      <c r="Z451" s="1">
        <v>1.0</v>
      </c>
      <c r="AA451" s="1" t="s">
        <v>4436</v>
      </c>
      <c r="AB451" s="1">
        <v>17.0</v>
      </c>
      <c r="AC451" s="1">
        <v>25.0</v>
      </c>
      <c r="AD451" s="1">
        <v>17.0</v>
      </c>
      <c r="AE451" s="1">
        <v>29.0</v>
      </c>
      <c r="AF451" s="1">
        <v>34.0</v>
      </c>
      <c r="AG451" s="1">
        <v>49.0</v>
      </c>
      <c r="AH451" s="1">
        <v>529.0</v>
      </c>
      <c r="AI451" s="1">
        <v>28.0</v>
      </c>
      <c r="AJ451" s="1">
        <v>1.0</v>
      </c>
      <c r="AK451" s="1">
        <v>0.0</v>
      </c>
      <c r="AL451" s="1">
        <v>32.0</v>
      </c>
      <c r="AM451" s="1">
        <v>12.0</v>
      </c>
      <c r="AN451" s="1">
        <v>0.0</v>
      </c>
    </row>
    <row r="452">
      <c r="A452" s="1">
        <v>472.0</v>
      </c>
      <c r="B452" s="1" t="s">
        <v>4437</v>
      </c>
      <c r="C452" s="1" t="s">
        <v>4438</v>
      </c>
      <c r="D452" s="1" t="s">
        <v>3527</v>
      </c>
      <c r="E452" s="1" t="s">
        <v>58</v>
      </c>
      <c r="F452" s="2">
        <v>23121.0</v>
      </c>
      <c r="G452" s="1" t="s">
        <v>4439</v>
      </c>
      <c r="H452" s="1">
        <v>999.0</v>
      </c>
      <c r="I452" s="1" t="s">
        <v>256</v>
      </c>
      <c r="J452" s="1">
        <v>11.0</v>
      </c>
      <c r="K452" s="2">
        <v>42907.0</v>
      </c>
      <c r="M452" s="1">
        <v>0.0</v>
      </c>
      <c r="N452" s="1" t="s">
        <v>75</v>
      </c>
      <c r="O452" s="1" t="s">
        <v>76</v>
      </c>
      <c r="P452" s="1" t="s">
        <v>4440</v>
      </c>
      <c r="S452" s="1" t="s">
        <v>151</v>
      </c>
      <c r="T452" s="1">
        <v>351.0</v>
      </c>
      <c r="U452" s="3" t="s">
        <v>4441</v>
      </c>
      <c r="V452" s="1">
        <v>721024.0</v>
      </c>
      <c r="W452" s="1" t="s">
        <v>4442</v>
      </c>
      <c r="X452" s="3" t="s">
        <v>4443</v>
      </c>
      <c r="Y452" s="3" t="s">
        <v>4444</v>
      </c>
      <c r="Z452" s="1">
        <v>1.0</v>
      </c>
      <c r="AA452" s="1" t="s">
        <v>4445</v>
      </c>
      <c r="AB452" s="1">
        <v>17.0</v>
      </c>
      <c r="AC452" s="1">
        <v>30.0</v>
      </c>
      <c r="AD452" s="1">
        <v>19.0</v>
      </c>
      <c r="AE452" s="1">
        <v>14.0</v>
      </c>
      <c r="AF452" s="1">
        <v>6.0</v>
      </c>
      <c r="AG452" s="1">
        <v>1.0</v>
      </c>
      <c r="AH452" s="1">
        <v>32.0</v>
      </c>
      <c r="AI452" s="1">
        <v>12.0</v>
      </c>
      <c r="AJ452" s="1">
        <v>1.0</v>
      </c>
      <c r="AK452" s="1">
        <v>0.0</v>
      </c>
      <c r="AL452" s="1">
        <v>8.0</v>
      </c>
      <c r="AM452" s="1">
        <v>4.0</v>
      </c>
      <c r="AN452" s="1">
        <v>1.0</v>
      </c>
    </row>
    <row r="453">
      <c r="A453" s="1">
        <v>46.0</v>
      </c>
      <c r="B453" s="1" t="s">
        <v>4446</v>
      </c>
      <c r="C453" s="1" t="s">
        <v>3136</v>
      </c>
      <c r="D453" s="1" t="s">
        <v>4447</v>
      </c>
      <c r="E453" s="1" t="s">
        <v>43</v>
      </c>
      <c r="F453" s="2">
        <v>22399.0</v>
      </c>
      <c r="G453" s="1" t="s">
        <v>4448</v>
      </c>
      <c r="H453" s="1">
        <v>999.0</v>
      </c>
      <c r="I453" s="1" t="s">
        <v>256</v>
      </c>
      <c r="J453" s="1">
        <v>8.0</v>
      </c>
      <c r="K453" s="2">
        <v>42907.0</v>
      </c>
      <c r="M453" s="1">
        <v>0.0</v>
      </c>
      <c r="N453" s="1" t="s">
        <v>46</v>
      </c>
      <c r="O453" s="1" t="s">
        <v>47</v>
      </c>
      <c r="P453" s="1" t="s">
        <v>4449</v>
      </c>
      <c r="S453" s="1" t="s">
        <v>827</v>
      </c>
      <c r="T453" s="1">
        <v>144.0</v>
      </c>
      <c r="U453" s="3" t="s">
        <v>4450</v>
      </c>
      <c r="V453" s="1">
        <v>695100.0</v>
      </c>
      <c r="W453" s="1" t="s">
        <v>4451</v>
      </c>
      <c r="X453" s="3" t="s">
        <v>4452</v>
      </c>
      <c r="Y453" s="3" t="s">
        <v>4453</v>
      </c>
      <c r="Z453" s="1">
        <v>1.0</v>
      </c>
      <c r="AA453" s="1" t="s">
        <v>4454</v>
      </c>
      <c r="AB453" s="1">
        <v>17.0</v>
      </c>
      <c r="AC453" s="1">
        <v>11.0</v>
      </c>
      <c r="AD453" s="1">
        <v>11.0</v>
      </c>
      <c r="AE453" s="1">
        <v>84.0</v>
      </c>
      <c r="AF453" s="1">
        <v>62.0</v>
      </c>
      <c r="AG453" s="1">
        <v>18.0</v>
      </c>
      <c r="AH453" s="1">
        <v>498.0</v>
      </c>
      <c r="AI453" s="1">
        <v>21.0</v>
      </c>
      <c r="AJ453" s="1">
        <v>1.0</v>
      </c>
      <c r="AK453" s="1">
        <v>0.0</v>
      </c>
      <c r="AL453" s="1">
        <v>18.0</v>
      </c>
      <c r="AM453" s="1">
        <v>5.0</v>
      </c>
      <c r="AN453" s="1">
        <v>2.0</v>
      </c>
    </row>
    <row r="454">
      <c r="A454" s="1">
        <v>239.0</v>
      </c>
      <c r="B454" s="1" t="s">
        <v>4455</v>
      </c>
      <c r="C454" s="1" t="s">
        <v>4456</v>
      </c>
      <c r="D454" s="1" t="s">
        <v>810</v>
      </c>
      <c r="E454" s="1" t="s">
        <v>43</v>
      </c>
      <c r="F454" s="2">
        <v>18693.0</v>
      </c>
      <c r="G454" s="1" t="s">
        <v>3027</v>
      </c>
      <c r="H454" s="1">
        <v>94.0</v>
      </c>
      <c r="I454" s="1" t="s">
        <v>642</v>
      </c>
      <c r="J454" s="1">
        <v>8.0</v>
      </c>
      <c r="K454" s="2">
        <v>42907.0</v>
      </c>
      <c r="M454" s="1">
        <v>0.0</v>
      </c>
      <c r="N454" s="1" t="s">
        <v>61</v>
      </c>
      <c r="O454" s="1" t="s">
        <v>62</v>
      </c>
      <c r="P454" s="3" t="s">
        <v>4457</v>
      </c>
      <c r="S454" s="1" t="s">
        <v>4458</v>
      </c>
      <c r="T454" s="1">
        <v>11.0</v>
      </c>
      <c r="U454" s="3" t="s">
        <v>4459</v>
      </c>
      <c r="V454" s="1">
        <v>1630.0</v>
      </c>
      <c r="W454" s="1" t="s">
        <v>4460</v>
      </c>
      <c r="X454" s="3" t="s">
        <v>4461</v>
      </c>
      <c r="Y454" s="3" t="s">
        <v>4462</v>
      </c>
      <c r="Z454" s="1">
        <v>2.0</v>
      </c>
      <c r="AB454" s="1">
        <v>17.0</v>
      </c>
      <c r="AC454" s="1">
        <v>28.0</v>
      </c>
      <c r="AD454" s="1">
        <v>34.0</v>
      </c>
      <c r="AE454" s="1">
        <v>0.0</v>
      </c>
      <c r="AF454" s="1">
        <v>23.0</v>
      </c>
      <c r="AG454" s="1">
        <v>3.0</v>
      </c>
      <c r="AH454" s="1">
        <v>265.0</v>
      </c>
      <c r="AI454" s="1">
        <v>13.0</v>
      </c>
      <c r="AJ454" s="1">
        <v>0.0</v>
      </c>
      <c r="AK454" s="1">
        <v>0.0</v>
      </c>
      <c r="AL454" s="1">
        <v>49.0</v>
      </c>
      <c r="AM454" s="1">
        <v>5.0</v>
      </c>
      <c r="AN454" s="1">
        <v>0.0</v>
      </c>
    </row>
    <row r="455">
      <c r="A455" s="1">
        <v>225.0</v>
      </c>
      <c r="B455" s="1" t="s">
        <v>4463</v>
      </c>
      <c r="C455" s="1" t="s">
        <v>4464</v>
      </c>
      <c r="D455" s="1" t="s">
        <v>42</v>
      </c>
      <c r="E455" s="1" t="s">
        <v>43</v>
      </c>
      <c r="F455" s="2">
        <v>24880.0</v>
      </c>
      <c r="G455" s="1" t="s">
        <v>4465</v>
      </c>
      <c r="H455" s="1">
        <v>34.0</v>
      </c>
      <c r="I455" s="1" t="s">
        <v>1252</v>
      </c>
      <c r="J455" s="1">
        <v>5.0</v>
      </c>
      <c r="K455" s="2">
        <v>42907.0</v>
      </c>
      <c r="M455" s="1">
        <v>0.0</v>
      </c>
      <c r="N455" s="1" t="s">
        <v>75</v>
      </c>
      <c r="O455" s="1" t="s">
        <v>76</v>
      </c>
      <c r="P455" s="1" t="s">
        <v>4466</v>
      </c>
      <c r="S455" s="1" t="s">
        <v>4467</v>
      </c>
      <c r="T455" s="1">
        <v>395.0</v>
      </c>
      <c r="U455" s="3" t="s">
        <v>4468</v>
      </c>
      <c r="V455" s="1">
        <v>719700.0</v>
      </c>
      <c r="W455" s="1" t="s">
        <v>4469</v>
      </c>
      <c r="X455" s="3" t="s">
        <v>4470</v>
      </c>
      <c r="Y455" s="3" t="s">
        <v>4471</v>
      </c>
      <c r="Z455" s="1">
        <v>2.0</v>
      </c>
      <c r="AA455" s="1" t="s">
        <v>4472</v>
      </c>
      <c r="AB455" s="1">
        <v>17.0</v>
      </c>
      <c r="AC455" s="1">
        <v>24.0</v>
      </c>
      <c r="AD455" s="1">
        <v>7.0</v>
      </c>
      <c r="AE455" s="1">
        <v>0.0</v>
      </c>
      <c r="AF455" s="1">
        <v>0.0</v>
      </c>
      <c r="AG455" s="1">
        <v>2.0</v>
      </c>
      <c r="AH455" s="1">
        <v>69.0</v>
      </c>
      <c r="AI455" s="1">
        <v>27.0</v>
      </c>
      <c r="AJ455" s="1">
        <v>0.0</v>
      </c>
      <c r="AK455" s="1">
        <v>0.0</v>
      </c>
      <c r="AL455" s="1">
        <v>6.0</v>
      </c>
      <c r="AM455" s="1">
        <v>11.0</v>
      </c>
      <c r="AN455" s="1">
        <v>0.0</v>
      </c>
    </row>
    <row r="456">
      <c r="A456" s="1">
        <v>524.0</v>
      </c>
      <c r="B456" s="1" t="s">
        <v>4473</v>
      </c>
      <c r="C456" s="1" t="s">
        <v>4474</v>
      </c>
      <c r="D456" s="1" t="s">
        <v>369</v>
      </c>
      <c r="E456" s="1" t="s">
        <v>43</v>
      </c>
      <c r="F456" s="2">
        <v>24165.0</v>
      </c>
      <c r="G456" s="1" t="s">
        <v>4475</v>
      </c>
      <c r="H456" s="1">
        <v>69.0</v>
      </c>
      <c r="I456" s="1" t="s">
        <v>1363</v>
      </c>
      <c r="J456" s="1">
        <v>2.0</v>
      </c>
      <c r="K456" s="2">
        <v>42907.0</v>
      </c>
      <c r="M456" s="1">
        <v>0.0</v>
      </c>
      <c r="N456" s="1" t="s">
        <v>75</v>
      </c>
      <c r="O456" s="1" t="s">
        <v>76</v>
      </c>
      <c r="P456" s="1" t="s">
        <v>4476</v>
      </c>
      <c r="S456" s="1" t="s">
        <v>4477</v>
      </c>
      <c r="T456" s="1">
        <v>308.0</v>
      </c>
      <c r="U456" s="3" t="s">
        <v>4478</v>
      </c>
      <c r="V456" s="1">
        <v>722344.0</v>
      </c>
      <c r="W456" s="1" t="s">
        <v>4479</v>
      </c>
      <c r="X456" s="3" t="s">
        <v>4480</v>
      </c>
      <c r="Y456" s="3" t="s">
        <v>4481</v>
      </c>
      <c r="Z456" s="1">
        <v>2.0</v>
      </c>
      <c r="AA456" s="1" t="s">
        <v>4482</v>
      </c>
      <c r="AB456" s="1">
        <v>17.0</v>
      </c>
      <c r="AC456" s="1">
        <v>34.0</v>
      </c>
      <c r="AD456" s="1">
        <v>12.0</v>
      </c>
      <c r="AE456" s="1">
        <v>6.0</v>
      </c>
      <c r="AF456" s="1">
        <v>0.0</v>
      </c>
      <c r="AG456" s="1">
        <v>0.0</v>
      </c>
      <c r="AH456" s="1">
        <v>33.0</v>
      </c>
      <c r="AI456" s="1">
        <v>11.0</v>
      </c>
      <c r="AJ456" s="1">
        <v>1.0</v>
      </c>
      <c r="AK456" s="1">
        <v>0.0</v>
      </c>
      <c r="AL456" s="1">
        <v>6.0</v>
      </c>
      <c r="AM456" s="1">
        <v>0.0</v>
      </c>
      <c r="AN456" s="1">
        <v>1.0</v>
      </c>
    </row>
    <row r="457">
      <c r="A457" s="1">
        <v>37.0</v>
      </c>
      <c r="B457" s="1" t="s">
        <v>4483</v>
      </c>
      <c r="C457" s="1" t="s">
        <v>4484</v>
      </c>
      <c r="D457" s="1" t="s">
        <v>1421</v>
      </c>
      <c r="E457" s="1" t="s">
        <v>43</v>
      </c>
      <c r="F457" s="2">
        <v>30723.0</v>
      </c>
      <c r="G457" s="1" t="s">
        <v>4485</v>
      </c>
      <c r="H457" s="1">
        <v>18.0</v>
      </c>
      <c r="I457" s="1" t="s">
        <v>2336</v>
      </c>
      <c r="J457" s="1">
        <v>3.0</v>
      </c>
      <c r="K457" s="2">
        <v>42907.0</v>
      </c>
      <c r="M457" s="1">
        <v>0.0</v>
      </c>
      <c r="N457" s="1" t="s">
        <v>75</v>
      </c>
      <c r="O457" s="1" t="s">
        <v>76</v>
      </c>
      <c r="P457" s="1" t="s">
        <v>4486</v>
      </c>
      <c r="S457" s="1" t="s">
        <v>162</v>
      </c>
      <c r="T457" s="1">
        <v>388.0</v>
      </c>
      <c r="U457" s="3" t="s">
        <v>4487</v>
      </c>
      <c r="V457" s="1">
        <v>719052.0</v>
      </c>
      <c r="W457" s="1" t="s">
        <v>4488</v>
      </c>
      <c r="X457" s="3" t="s">
        <v>4489</v>
      </c>
      <c r="Y457" s="3" t="s">
        <v>4490</v>
      </c>
      <c r="Z457" s="1">
        <v>1.0</v>
      </c>
      <c r="AA457" s="1" t="s">
        <v>4491</v>
      </c>
      <c r="AB457" s="1">
        <v>17.0</v>
      </c>
      <c r="AC457" s="1">
        <v>34.0</v>
      </c>
      <c r="AD457" s="1">
        <v>10.0</v>
      </c>
      <c r="AE457" s="1">
        <v>0.0</v>
      </c>
      <c r="AF457" s="1">
        <v>0.0</v>
      </c>
      <c r="AG457" s="1">
        <v>0.0</v>
      </c>
      <c r="AH457" s="1">
        <v>5.0</v>
      </c>
      <c r="AI457" s="1">
        <v>2.0</v>
      </c>
      <c r="AJ457" s="1">
        <v>0.0</v>
      </c>
      <c r="AK457" s="1">
        <v>0.0</v>
      </c>
      <c r="AL457" s="1">
        <v>5.0</v>
      </c>
      <c r="AM457" s="1">
        <v>11.0</v>
      </c>
      <c r="AN457" s="1">
        <v>0.0</v>
      </c>
    </row>
    <row r="458">
      <c r="A458" s="1">
        <v>265.0</v>
      </c>
      <c r="B458" s="1" t="s">
        <v>4492</v>
      </c>
      <c r="C458" s="1" t="s">
        <v>4493</v>
      </c>
      <c r="D458" s="1" t="s">
        <v>4494</v>
      </c>
      <c r="E458" s="1" t="s">
        <v>58</v>
      </c>
      <c r="F458" s="2">
        <v>17587.0</v>
      </c>
      <c r="G458" s="1" t="s">
        <v>718</v>
      </c>
      <c r="H458" s="1">
        <v>83.0</v>
      </c>
      <c r="I458" s="1" t="s">
        <v>1231</v>
      </c>
      <c r="J458" s="1">
        <v>1.0</v>
      </c>
      <c r="K458" s="2">
        <v>42907.0</v>
      </c>
      <c r="M458" s="1">
        <v>0.0</v>
      </c>
      <c r="N458" s="1" t="s">
        <v>61</v>
      </c>
      <c r="O458" s="1" t="s">
        <v>62</v>
      </c>
      <c r="P458" s="1" t="s">
        <v>4495</v>
      </c>
      <c r="S458" s="1" t="s">
        <v>4496</v>
      </c>
      <c r="T458" s="1">
        <v>87.0</v>
      </c>
      <c r="U458" s="3" t="s">
        <v>4497</v>
      </c>
      <c r="V458" s="1">
        <v>267378.0</v>
      </c>
      <c r="W458" s="1" t="s">
        <v>4498</v>
      </c>
      <c r="X458" s="3" t="s">
        <v>4499</v>
      </c>
      <c r="Y458" s="3" t="s">
        <v>4500</v>
      </c>
      <c r="Z458" s="1">
        <v>2.0</v>
      </c>
      <c r="AA458" s="1" t="s">
        <v>4501</v>
      </c>
      <c r="AB458" s="1">
        <v>17.0</v>
      </c>
      <c r="AC458" s="1">
        <v>17.0</v>
      </c>
      <c r="AD458" s="1">
        <v>4.0</v>
      </c>
      <c r="AE458" s="1">
        <v>4.0</v>
      </c>
      <c r="AF458" s="1">
        <v>10.0</v>
      </c>
      <c r="AG458" s="1">
        <v>0.0</v>
      </c>
      <c r="AH458" s="1">
        <v>434.0</v>
      </c>
      <c r="AI458" s="1">
        <v>17.0</v>
      </c>
      <c r="AJ458" s="1">
        <v>0.0</v>
      </c>
      <c r="AK458" s="1">
        <v>0.0</v>
      </c>
      <c r="AL458" s="1">
        <v>24.0</v>
      </c>
      <c r="AM458" s="1">
        <v>5.0</v>
      </c>
      <c r="AN458" s="1">
        <v>2.0</v>
      </c>
    </row>
    <row r="459">
      <c r="A459" s="1">
        <v>531.0</v>
      </c>
      <c r="B459" s="1" t="s">
        <v>4502</v>
      </c>
      <c r="C459" s="1" t="s">
        <v>4503</v>
      </c>
      <c r="D459" s="1" t="s">
        <v>403</v>
      </c>
      <c r="E459" s="1" t="s">
        <v>58</v>
      </c>
      <c r="F459" s="2">
        <v>21806.0</v>
      </c>
      <c r="G459" s="1" t="s">
        <v>4504</v>
      </c>
      <c r="H459" s="1">
        <v>33.0</v>
      </c>
      <c r="I459" s="1" t="s">
        <v>348</v>
      </c>
      <c r="J459" s="1">
        <v>9.0</v>
      </c>
      <c r="K459" s="2">
        <v>42907.0</v>
      </c>
      <c r="M459" s="1">
        <v>0.0</v>
      </c>
      <c r="N459" s="1" t="s">
        <v>280</v>
      </c>
      <c r="O459" s="1" t="s">
        <v>281</v>
      </c>
      <c r="P459" s="3" t="s">
        <v>4505</v>
      </c>
      <c r="S459" s="1">
        <v>0.0</v>
      </c>
      <c r="T459" s="1">
        <v>256.0</v>
      </c>
      <c r="U459" s="3" t="s">
        <v>4506</v>
      </c>
      <c r="V459" s="1">
        <v>719640.0</v>
      </c>
      <c r="W459" s="1" t="s">
        <v>4507</v>
      </c>
      <c r="X459" s="3" t="s">
        <v>4508</v>
      </c>
      <c r="Y459" s="3" t="s">
        <v>4509</v>
      </c>
      <c r="Z459" s="1">
        <v>2.0</v>
      </c>
      <c r="AA459" s="1" t="s">
        <v>4510</v>
      </c>
      <c r="AB459" s="1">
        <v>17.0</v>
      </c>
      <c r="AC459" s="1">
        <v>38.0</v>
      </c>
      <c r="AD459" s="1">
        <v>20.0</v>
      </c>
      <c r="AE459" s="1">
        <v>14.0</v>
      </c>
      <c r="AF459" s="1">
        <v>6.0</v>
      </c>
      <c r="AG459" s="1">
        <v>4.0</v>
      </c>
      <c r="AH459" s="1">
        <v>215.0</v>
      </c>
      <c r="AI459" s="1">
        <v>18.0</v>
      </c>
      <c r="AJ459" s="1">
        <v>0.0</v>
      </c>
      <c r="AK459" s="1">
        <v>0.0</v>
      </c>
      <c r="AL459" s="1">
        <v>5.0</v>
      </c>
      <c r="AM459" s="1">
        <v>0.0</v>
      </c>
      <c r="AN459" s="1">
        <v>2.0</v>
      </c>
    </row>
    <row r="460">
      <c r="A460" s="1">
        <v>353.0</v>
      </c>
      <c r="B460" s="1" t="s">
        <v>4511</v>
      </c>
      <c r="C460" s="1" t="s">
        <v>4512</v>
      </c>
      <c r="D460" s="1" t="s">
        <v>4513</v>
      </c>
      <c r="E460" s="1" t="s">
        <v>58</v>
      </c>
      <c r="F460" s="2">
        <v>30224.0</v>
      </c>
      <c r="G460" s="1" t="s">
        <v>3008</v>
      </c>
      <c r="H460" s="1">
        <v>38.0</v>
      </c>
      <c r="I460" s="1" t="s">
        <v>267</v>
      </c>
      <c r="J460" s="1">
        <v>10.0</v>
      </c>
      <c r="K460" s="2">
        <v>42907.0</v>
      </c>
      <c r="M460" s="1">
        <v>0.0</v>
      </c>
      <c r="N460" s="1" t="s">
        <v>75</v>
      </c>
      <c r="O460" s="1" t="s">
        <v>76</v>
      </c>
      <c r="P460" s="1" t="s">
        <v>4514</v>
      </c>
      <c r="S460" s="1" t="s">
        <v>3925</v>
      </c>
      <c r="T460" s="1">
        <v>279.0</v>
      </c>
      <c r="U460" s="3" t="s">
        <v>4515</v>
      </c>
      <c r="V460" s="1">
        <v>719882.0</v>
      </c>
      <c r="W460" s="1" t="s">
        <v>4516</v>
      </c>
      <c r="X460" s="3" t="s">
        <v>4517</v>
      </c>
      <c r="Y460" s="3" t="s">
        <v>4518</v>
      </c>
      <c r="Z460" s="1">
        <v>1.0</v>
      </c>
      <c r="AA460" s="1" t="s">
        <v>4519</v>
      </c>
      <c r="AB460" s="1">
        <v>17.0</v>
      </c>
      <c r="AC460" s="1">
        <v>24.0</v>
      </c>
      <c r="AD460" s="1">
        <v>1.0</v>
      </c>
      <c r="AE460" s="1">
        <v>2.0</v>
      </c>
      <c r="AF460" s="1">
        <v>0.0</v>
      </c>
      <c r="AG460" s="1">
        <v>0.0</v>
      </c>
      <c r="AH460" s="1">
        <v>73.0</v>
      </c>
      <c r="AI460" s="1">
        <v>44.0</v>
      </c>
      <c r="AJ460" s="1">
        <v>0.0</v>
      </c>
      <c r="AK460" s="1">
        <v>0.0</v>
      </c>
      <c r="AL460" s="1">
        <v>5.0</v>
      </c>
      <c r="AM460" s="1">
        <v>0.0</v>
      </c>
      <c r="AN460" s="1">
        <v>1.0</v>
      </c>
    </row>
    <row r="461">
      <c r="A461" s="1">
        <v>105.0</v>
      </c>
      <c r="B461" s="1" t="s">
        <v>4520</v>
      </c>
      <c r="C461" s="1" t="s">
        <v>4521</v>
      </c>
      <c r="D461" s="1" t="s">
        <v>1561</v>
      </c>
      <c r="E461" s="1" t="s">
        <v>43</v>
      </c>
      <c r="F461" s="2">
        <v>32170.0</v>
      </c>
      <c r="G461" s="1" t="s">
        <v>4522</v>
      </c>
      <c r="H461" s="1">
        <v>72.0</v>
      </c>
      <c r="I461" s="1" t="s">
        <v>2494</v>
      </c>
      <c r="J461" s="1">
        <v>1.0</v>
      </c>
      <c r="K461" s="2">
        <v>42907.0</v>
      </c>
      <c r="M461" s="1">
        <v>0.0</v>
      </c>
      <c r="N461" s="1" t="s">
        <v>75</v>
      </c>
      <c r="O461" s="1" t="s">
        <v>76</v>
      </c>
      <c r="P461" s="1" t="s">
        <v>4523</v>
      </c>
      <c r="S461" s="1" t="s">
        <v>967</v>
      </c>
      <c r="T461" s="1">
        <v>303.0</v>
      </c>
      <c r="U461" s="3" t="s">
        <v>4524</v>
      </c>
      <c r="V461" s="1">
        <v>721372.0</v>
      </c>
      <c r="W461" s="1" t="s">
        <v>4525</v>
      </c>
      <c r="X461" s="3" t="s">
        <v>4526</v>
      </c>
      <c r="Y461" s="3" t="s">
        <v>4527</v>
      </c>
      <c r="Z461" s="1">
        <v>1.0</v>
      </c>
      <c r="AA461" s="1" t="s">
        <v>4528</v>
      </c>
      <c r="AB461" s="1">
        <v>17.0</v>
      </c>
      <c r="AC461" s="1">
        <v>35.0</v>
      </c>
      <c r="AD461" s="1">
        <v>19.0</v>
      </c>
      <c r="AE461" s="1">
        <v>12.0</v>
      </c>
      <c r="AF461" s="1">
        <v>3.0</v>
      </c>
      <c r="AG461" s="1">
        <v>1.0</v>
      </c>
      <c r="AH461" s="1">
        <v>73.0</v>
      </c>
      <c r="AI461" s="1">
        <v>42.0</v>
      </c>
      <c r="AJ461" s="1">
        <v>1.0</v>
      </c>
      <c r="AK461" s="1">
        <v>0.0</v>
      </c>
      <c r="AL461" s="1">
        <v>6.0</v>
      </c>
      <c r="AM461" s="1">
        <v>9.0</v>
      </c>
      <c r="AN461" s="1">
        <v>1.0</v>
      </c>
    </row>
    <row r="462">
      <c r="A462" s="1">
        <v>160.0</v>
      </c>
      <c r="B462" s="1" t="s">
        <v>4529</v>
      </c>
      <c r="C462" s="1" t="s">
        <v>4530</v>
      </c>
      <c r="D462" s="1" t="s">
        <v>3056</v>
      </c>
      <c r="E462" s="1" t="s">
        <v>43</v>
      </c>
      <c r="F462" s="2">
        <v>24029.0</v>
      </c>
      <c r="G462" s="1" t="s">
        <v>404</v>
      </c>
      <c r="H462" s="1">
        <v>31.0</v>
      </c>
      <c r="I462" s="1" t="s">
        <v>360</v>
      </c>
      <c r="J462" s="1">
        <v>5.0</v>
      </c>
      <c r="K462" s="2">
        <v>42907.0</v>
      </c>
      <c r="M462" s="1">
        <v>0.0</v>
      </c>
      <c r="N462" s="1" t="s">
        <v>75</v>
      </c>
      <c r="O462" s="1" t="s">
        <v>76</v>
      </c>
      <c r="P462" s="1" t="s">
        <v>4531</v>
      </c>
      <c r="S462" s="1" t="s">
        <v>4532</v>
      </c>
      <c r="T462" s="1">
        <v>645.0</v>
      </c>
      <c r="U462" s="3" t="s">
        <v>4533</v>
      </c>
      <c r="V462" s="1">
        <v>719528.0</v>
      </c>
      <c r="W462" s="1" t="s">
        <v>4534</v>
      </c>
      <c r="X462" s="3" t="s">
        <v>4535</v>
      </c>
      <c r="Y462" s="3" t="s">
        <v>4536</v>
      </c>
      <c r="Z462" s="1">
        <v>1.0</v>
      </c>
      <c r="AA462" s="1" t="s">
        <v>4537</v>
      </c>
      <c r="AB462" s="1">
        <v>17.0</v>
      </c>
      <c r="AC462" s="1">
        <v>23.0</v>
      </c>
      <c r="AD462" s="1">
        <v>0.0</v>
      </c>
      <c r="AE462" s="1">
        <v>0.0</v>
      </c>
      <c r="AF462" s="1">
        <v>0.0</v>
      </c>
      <c r="AG462" s="1">
        <v>0.0</v>
      </c>
      <c r="AH462" s="1">
        <v>29.0</v>
      </c>
      <c r="AI462" s="1">
        <v>7.0</v>
      </c>
      <c r="AJ462" s="1">
        <v>0.0</v>
      </c>
      <c r="AK462" s="1">
        <v>0.0</v>
      </c>
      <c r="AL462" s="1">
        <v>5.0</v>
      </c>
      <c r="AM462" s="1">
        <v>3.0</v>
      </c>
      <c r="AN462" s="1">
        <v>0.0</v>
      </c>
    </row>
    <row r="463">
      <c r="A463" s="1">
        <v>312.0</v>
      </c>
      <c r="B463" s="1" t="s">
        <v>4538</v>
      </c>
      <c r="C463" s="1" t="s">
        <v>4539</v>
      </c>
      <c r="D463" s="1" t="s">
        <v>3047</v>
      </c>
      <c r="E463" s="1" t="s">
        <v>43</v>
      </c>
      <c r="F463" s="2">
        <v>18214.0</v>
      </c>
      <c r="G463" s="1" t="s">
        <v>4540</v>
      </c>
      <c r="H463" s="1">
        <v>67.0</v>
      </c>
      <c r="I463" s="1" t="s">
        <v>244</v>
      </c>
      <c r="J463" s="1">
        <v>8.0</v>
      </c>
      <c r="K463" s="2">
        <v>42907.0</v>
      </c>
      <c r="M463" s="1">
        <v>0.0</v>
      </c>
      <c r="N463" s="1" t="s">
        <v>61</v>
      </c>
      <c r="O463" s="1" t="s">
        <v>62</v>
      </c>
      <c r="P463" s="3" t="s">
        <v>4541</v>
      </c>
      <c r="S463" s="1" t="s">
        <v>4542</v>
      </c>
      <c r="T463" s="1">
        <v>77.0</v>
      </c>
      <c r="U463" s="3" t="s">
        <v>4543</v>
      </c>
      <c r="V463" s="1">
        <v>266776.0</v>
      </c>
      <c r="W463" s="1" t="s">
        <v>4544</v>
      </c>
      <c r="X463" s="3" t="s">
        <v>4545</v>
      </c>
      <c r="Y463" s="3" t="s">
        <v>4546</v>
      </c>
      <c r="Z463" s="1">
        <v>1.0</v>
      </c>
      <c r="AB463" s="1">
        <v>17.0</v>
      </c>
      <c r="AC463" s="1">
        <v>46.0</v>
      </c>
      <c r="AD463" s="1">
        <v>51.0</v>
      </c>
      <c r="AE463" s="1">
        <v>36.0</v>
      </c>
      <c r="AF463" s="1">
        <v>63.0</v>
      </c>
      <c r="AG463" s="1">
        <v>23.0</v>
      </c>
      <c r="AH463" s="1">
        <v>823.0</v>
      </c>
      <c r="AI463" s="1">
        <v>33.0</v>
      </c>
      <c r="AJ463" s="1">
        <v>1.0</v>
      </c>
      <c r="AK463" s="1">
        <v>0.0</v>
      </c>
      <c r="AL463" s="1">
        <v>31.0</v>
      </c>
      <c r="AM463" s="1">
        <v>9.0</v>
      </c>
      <c r="AN463" s="1">
        <v>1.0</v>
      </c>
    </row>
    <row r="464">
      <c r="A464" s="1">
        <v>148.0</v>
      </c>
      <c r="B464" s="1" t="s">
        <v>4547</v>
      </c>
      <c r="C464" s="1" t="s">
        <v>4548</v>
      </c>
      <c r="D464" s="1" t="s">
        <v>4549</v>
      </c>
      <c r="E464" s="1" t="s">
        <v>58</v>
      </c>
      <c r="F464" s="2">
        <v>28480.0</v>
      </c>
      <c r="G464" s="1" t="s">
        <v>4550</v>
      </c>
      <c r="H464" s="1">
        <v>34.0</v>
      </c>
      <c r="I464" s="1" t="s">
        <v>1252</v>
      </c>
      <c r="J464" s="1">
        <v>2.0</v>
      </c>
      <c r="K464" s="2">
        <v>42907.0</v>
      </c>
      <c r="M464" s="1">
        <v>0.0</v>
      </c>
      <c r="N464" s="1" t="s">
        <v>173</v>
      </c>
      <c r="O464" s="1" t="s">
        <v>174</v>
      </c>
      <c r="P464" s="1" t="s">
        <v>4551</v>
      </c>
      <c r="S464" s="1" t="s">
        <v>3601</v>
      </c>
      <c r="T464" s="1">
        <v>620.0</v>
      </c>
      <c r="U464" s="3" t="s">
        <v>4552</v>
      </c>
      <c r="V464" s="1">
        <v>719676.0</v>
      </c>
      <c r="W464" s="1" t="s">
        <v>4553</v>
      </c>
      <c r="X464" s="3" t="s">
        <v>4554</v>
      </c>
      <c r="Y464" s="3" t="s">
        <v>4555</v>
      </c>
      <c r="Z464" s="1">
        <v>1.0</v>
      </c>
      <c r="AA464" s="1" t="s">
        <v>4556</v>
      </c>
      <c r="AB464" s="1">
        <v>17.0</v>
      </c>
      <c r="AC464" s="1">
        <v>22.0</v>
      </c>
      <c r="AD464" s="1">
        <v>8.0</v>
      </c>
      <c r="AE464" s="1">
        <v>27.0</v>
      </c>
      <c r="AF464" s="1">
        <v>32.0</v>
      </c>
      <c r="AG464" s="1">
        <v>133.0</v>
      </c>
      <c r="AH464" s="1">
        <v>2062.0</v>
      </c>
      <c r="AI464" s="1">
        <v>32.0</v>
      </c>
      <c r="AJ464" s="1">
        <v>0.0</v>
      </c>
      <c r="AK464" s="1">
        <v>0.0</v>
      </c>
      <c r="AL464" s="1">
        <v>12.0</v>
      </c>
      <c r="AM464" s="1">
        <v>14.0</v>
      </c>
      <c r="AN464" s="1">
        <v>1.0</v>
      </c>
    </row>
    <row r="465">
      <c r="A465" s="1">
        <v>194.0</v>
      </c>
      <c r="B465" s="1" t="s">
        <v>4557</v>
      </c>
      <c r="C465" s="1" t="s">
        <v>4558</v>
      </c>
      <c r="D465" s="1" t="s">
        <v>4559</v>
      </c>
      <c r="E465" s="1" t="s">
        <v>58</v>
      </c>
      <c r="F465" s="2">
        <v>30820.0</v>
      </c>
      <c r="G465" s="1" t="s">
        <v>1761</v>
      </c>
      <c r="H465" s="1">
        <v>92.0</v>
      </c>
      <c r="I465" s="1" t="s">
        <v>781</v>
      </c>
      <c r="J465" s="1">
        <v>11.0</v>
      </c>
      <c r="K465" s="2">
        <v>42907.0</v>
      </c>
      <c r="M465" s="1">
        <v>0.0</v>
      </c>
      <c r="N465" s="1" t="s">
        <v>75</v>
      </c>
      <c r="O465" s="1" t="s">
        <v>76</v>
      </c>
      <c r="P465" s="1" t="s">
        <v>4560</v>
      </c>
      <c r="S465" s="1" t="s">
        <v>2940</v>
      </c>
      <c r="T465" s="1">
        <v>441.0</v>
      </c>
      <c r="U465" s="3" t="s">
        <v>4561</v>
      </c>
      <c r="V465" s="1">
        <v>721600.0</v>
      </c>
      <c r="W465" s="1" t="s">
        <v>4562</v>
      </c>
      <c r="X465" s="3" t="s">
        <v>4563</v>
      </c>
      <c r="Y465" s="3" t="s">
        <v>4564</v>
      </c>
      <c r="Z465" s="1">
        <v>1.0</v>
      </c>
      <c r="AA465" s="1" t="s">
        <v>4565</v>
      </c>
      <c r="AB465" s="1">
        <v>17.0</v>
      </c>
      <c r="AC465" s="1">
        <v>18.0</v>
      </c>
      <c r="AD465" s="1">
        <v>28.0</v>
      </c>
      <c r="AE465" s="1">
        <v>17.0</v>
      </c>
      <c r="AF465" s="1">
        <v>10.0</v>
      </c>
      <c r="AG465" s="1">
        <v>7.0</v>
      </c>
      <c r="AH465" s="1">
        <v>109.0</v>
      </c>
      <c r="AI465" s="1">
        <v>51.0</v>
      </c>
      <c r="AJ465" s="1">
        <v>1.0</v>
      </c>
      <c r="AK465" s="1">
        <v>0.0</v>
      </c>
      <c r="AL465" s="1">
        <v>8.0</v>
      </c>
      <c r="AM465" s="1">
        <v>5.0</v>
      </c>
      <c r="AN465" s="1">
        <v>2.0</v>
      </c>
    </row>
    <row r="466">
      <c r="A466" s="1">
        <v>193.0</v>
      </c>
      <c r="B466" s="1" t="s">
        <v>4566</v>
      </c>
      <c r="C466" s="1" t="s">
        <v>4567</v>
      </c>
      <c r="D466" s="1" t="s">
        <v>4568</v>
      </c>
      <c r="E466" s="1" t="s">
        <v>43</v>
      </c>
      <c r="F466" s="2">
        <v>30421.0</v>
      </c>
      <c r="G466" s="1" t="s">
        <v>4569</v>
      </c>
      <c r="H466" s="1">
        <v>999.0</v>
      </c>
      <c r="I466" s="1" t="s">
        <v>256</v>
      </c>
      <c r="J466" s="1">
        <v>6.0</v>
      </c>
      <c r="K466" s="2">
        <v>42907.0</v>
      </c>
      <c r="M466" s="1">
        <v>0.0</v>
      </c>
      <c r="N466" s="1" t="s">
        <v>75</v>
      </c>
      <c r="O466" s="1" t="s">
        <v>76</v>
      </c>
      <c r="P466" s="1" t="s">
        <v>4570</v>
      </c>
      <c r="S466" s="1" t="s">
        <v>151</v>
      </c>
      <c r="T466" s="1">
        <v>564.0</v>
      </c>
      <c r="U466" s="3" t="s">
        <v>4571</v>
      </c>
      <c r="V466" s="1">
        <v>721174.0</v>
      </c>
      <c r="W466" s="1" t="s">
        <v>4572</v>
      </c>
      <c r="X466" s="3" t="s">
        <v>4573</v>
      </c>
      <c r="Y466" s="3" t="s">
        <v>4574</v>
      </c>
      <c r="Z466" s="1">
        <v>1.0</v>
      </c>
      <c r="AA466" s="1" t="s">
        <v>4575</v>
      </c>
      <c r="AB466" s="1">
        <v>17.0</v>
      </c>
      <c r="AC466" s="1">
        <v>24.0</v>
      </c>
      <c r="AD466" s="1">
        <v>9.0</v>
      </c>
      <c r="AE466" s="1">
        <v>8.0</v>
      </c>
      <c r="AF466" s="1">
        <v>4.0</v>
      </c>
      <c r="AG466" s="1">
        <v>1.0</v>
      </c>
      <c r="AH466" s="1">
        <v>26.0</v>
      </c>
      <c r="AI466" s="1">
        <v>13.0</v>
      </c>
      <c r="AJ466" s="1">
        <v>0.0</v>
      </c>
      <c r="AK466" s="1">
        <v>1.0</v>
      </c>
      <c r="AL466" s="1">
        <v>5.0</v>
      </c>
      <c r="AM466" s="1">
        <v>2.0</v>
      </c>
      <c r="AN466" s="1">
        <v>1.0</v>
      </c>
    </row>
    <row r="467">
      <c r="A467" s="1">
        <v>21.0</v>
      </c>
      <c r="B467" s="1" t="s">
        <v>4576</v>
      </c>
      <c r="C467" s="1" t="s">
        <v>4577</v>
      </c>
      <c r="D467" s="1" t="s">
        <v>2982</v>
      </c>
      <c r="E467" s="1" t="s">
        <v>43</v>
      </c>
      <c r="F467" s="2">
        <v>23870.0</v>
      </c>
      <c r="G467" s="1" t="s">
        <v>4578</v>
      </c>
      <c r="H467" s="1">
        <v>50.0</v>
      </c>
      <c r="I467" s="1" t="s">
        <v>2472</v>
      </c>
      <c r="J467" s="1">
        <v>2.0</v>
      </c>
      <c r="K467" s="2">
        <v>42907.0</v>
      </c>
      <c r="M467" s="1">
        <v>0.0</v>
      </c>
      <c r="N467" s="1" t="s">
        <v>75</v>
      </c>
      <c r="O467" s="1" t="s">
        <v>76</v>
      </c>
      <c r="P467" s="1" t="s">
        <v>4579</v>
      </c>
      <c r="S467" s="1" t="s">
        <v>4580</v>
      </c>
      <c r="T467" s="1">
        <v>559.0</v>
      </c>
      <c r="U467" s="3" t="s">
        <v>4581</v>
      </c>
      <c r="V467" s="1">
        <v>720190.0</v>
      </c>
      <c r="W467" s="1" t="s">
        <v>4582</v>
      </c>
      <c r="X467" s="3" t="s">
        <v>4583</v>
      </c>
      <c r="Y467" s="3" t="s">
        <v>4584</v>
      </c>
      <c r="Z467" s="1">
        <v>2.0</v>
      </c>
      <c r="AA467" s="1" t="s">
        <v>4585</v>
      </c>
      <c r="AB467" s="1">
        <v>17.0</v>
      </c>
      <c r="AC467" s="1">
        <v>34.0</v>
      </c>
      <c r="AD467" s="1">
        <v>33.0</v>
      </c>
      <c r="AE467" s="1">
        <v>12.0</v>
      </c>
      <c r="AF467" s="1">
        <v>6.0</v>
      </c>
      <c r="AG467" s="1">
        <v>2.0</v>
      </c>
      <c r="AH467" s="1">
        <v>66.0</v>
      </c>
      <c r="AI467" s="1">
        <v>17.0</v>
      </c>
      <c r="AJ467" s="1">
        <v>1.0</v>
      </c>
      <c r="AK467" s="1">
        <v>0.0</v>
      </c>
      <c r="AL467" s="1">
        <v>6.0</v>
      </c>
      <c r="AM467" s="1">
        <v>21.0</v>
      </c>
      <c r="AN467" s="1">
        <v>3.0</v>
      </c>
    </row>
    <row r="468">
      <c r="A468" s="1">
        <v>381.0</v>
      </c>
      <c r="B468" s="1" t="s">
        <v>4586</v>
      </c>
      <c r="C468" s="1" t="s">
        <v>4587</v>
      </c>
      <c r="D468" s="1" t="s">
        <v>2503</v>
      </c>
      <c r="E468" s="1" t="s">
        <v>58</v>
      </c>
      <c r="F468" s="2">
        <v>22916.0</v>
      </c>
      <c r="G468" s="1" t="s">
        <v>4588</v>
      </c>
      <c r="H468" s="1">
        <v>27.0</v>
      </c>
      <c r="I468" s="1" t="s">
        <v>2698</v>
      </c>
      <c r="J468" s="1">
        <v>3.0</v>
      </c>
      <c r="K468" s="2">
        <v>42907.0</v>
      </c>
      <c r="M468" s="1">
        <v>0.0</v>
      </c>
      <c r="N468" s="1" t="s">
        <v>75</v>
      </c>
      <c r="O468" s="1" t="s">
        <v>76</v>
      </c>
      <c r="P468" s="1" t="s">
        <v>4589</v>
      </c>
      <c r="S468" s="1" t="s">
        <v>151</v>
      </c>
      <c r="T468" s="1">
        <v>224.0</v>
      </c>
      <c r="U468" s="3" t="s">
        <v>4590</v>
      </c>
      <c r="V468" s="1">
        <v>719350.0</v>
      </c>
      <c r="W468" s="1" t="s">
        <v>4591</v>
      </c>
      <c r="X468" s="3" t="s">
        <v>4592</v>
      </c>
      <c r="Y468" s="3" t="s">
        <v>4593</v>
      </c>
      <c r="Z468" s="1">
        <v>1.0</v>
      </c>
      <c r="AA468" s="1" t="s">
        <v>4594</v>
      </c>
      <c r="AB468" s="1">
        <v>17.0</v>
      </c>
      <c r="AC468" s="1">
        <v>37.0</v>
      </c>
      <c r="AD468" s="1">
        <v>14.0</v>
      </c>
      <c r="AE468" s="1">
        <v>5.0</v>
      </c>
      <c r="AF468" s="1">
        <v>0.0</v>
      </c>
      <c r="AG468" s="1">
        <v>0.0</v>
      </c>
      <c r="AH468" s="1">
        <v>62.0</v>
      </c>
      <c r="AI468" s="1">
        <v>25.0</v>
      </c>
      <c r="AJ468" s="1">
        <v>1.0</v>
      </c>
      <c r="AK468" s="1">
        <v>0.0</v>
      </c>
      <c r="AL468" s="1">
        <v>7.0</v>
      </c>
      <c r="AM468" s="1">
        <v>3.0</v>
      </c>
      <c r="AN468" s="1">
        <v>1.0</v>
      </c>
    </row>
    <row r="469">
      <c r="A469" s="1">
        <v>248.0</v>
      </c>
      <c r="B469" s="1" t="s">
        <v>4595</v>
      </c>
      <c r="C469" s="1" t="s">
        <v>4596</v>
      </c>
      <c r="D469" s="1" t="s">
        <v>4597</v>
      </c>
      <c r="E469" s="1" t="s">
        <v>43</v>
      </c>
      <c r="F469" s="2">
        <v>24541.0</v>
      </c>
      <c r="G469" s="1" t="s">
        <v>4598</v>
      </c>
      <c r="H469" s="1">
        <v>75.0</v>
      </c>
      <c r="I469" s="1" t="s">
        <v>232</v>
      </c>
      <c r="J469" s="1">
        <v>9.0</v>
      </c>
      <c r="K469" s="2">
        <v>42907.0</v>
      </c>
      <c r="M469" s="1">
        <v>0.0</v>
      </c>
      <c r="N469" s="1" t="s">
        <v>75</v>
      </c>
      <c r="O469" s="1" t="s">
        <v>76</v>
      </c>
      <c r="P469" s="1" t="s">
        <v>4599</v>
      </c>
      <c r="S469" s="1" t="s">
        <v>2484</v>
      </c>
      <c r="T469" s="1">
        <v>465.0</v>
      </c>
      <c r="U469" s="3" t="s">
        <v>4600</v>
      </c>
      <c r="V469" s="1">
        <v>721690.0</v>
      </c>
      <c r="W469" s="1" t="s">
        <v>4601</v>
      </c>
      <c r="X469" s="3" t="s">
        <v>4602</v>
      </c>
      <c r="Y469" s="3" t="s">
        <v>4603</v>
      </c>
      <c r="Z469" s="1">
        <v>2.0</v>
      </c>
      <c r="AA469" s="1" t="s">
        <v>4604</v>
      </c>
      <c r="AB469" s="1">
        <v>17.0</v>
      </c>
      <c r="AC469" s="1">
        <v>26.0</v>
      </c>
      <c r="AD469" s="1">
        <v>13.0</v>
      </c>
      <c r="AE469" s="1">
        <v>10.0</v>
      </c>
      <c r="AF469" s="1">
        <v>1.0</v>
      </c>
      <c r="AG469" s="1">
        <v>3.0</v>
      </c>
      <c r="AH469" s="1">
        <v>80.0</v>
      </c>
      <c r="AI469" s="1">
        <v>44.0</v>
      </c>
      <c r="AJ469" s="1">
        <v>1.0</v>
      </c>
      <c r="AK469" s="1">
        <v>0.0</v>
      </c>
      <c r="AL469" s="1">
        <v>5.0</v>
      </c>
      <c r="AM469" s="1">
        <v>6.0</v>
      </c>
      <c r="AN469" s="1">
        <v>1.0</v>
      </c>
    </row>
    <row r="470">
      <c r="A470" s="1">
        <v>191.0</v>
      </c>
      <c r="B470" s="1" t="s">
        <v>4605</v>
      </c>
      <c r="C470" s="1" t="s">
        <v>4606</v>
      </c>
      <c r="D470" s="1" t="s">
        <v>1540</v>
      </c>
      <c r="E470" s="1" t="s">
        <v>43</v>
      </c>
      <c r="F470" s="2">
        <v>24968.0</v>
      </c>
      <c r="G470" s="1" t="s">
        <v>4607</v>
      </c>
      <c r="H470" s="1">
        <v>93.0</v>
      </c>
      <c r="I470" s="1" t="s">
        <v>196</v>
      </c>
      <c r="J470" s="1">
        <v>12.0</v>
      </c>
      <c r="K470" s="2">
        <v>42907.0</v>
      </c>
      <c r="M470" s="1">
        <v>0.0</v>
      </c>
      <c r="N470" s="1" t="s">
        <v>75</v>
      </c>
      <c r="O470" s="1" t="s">
        <v>76</v>
      </c>
      <c r="P470" s="1" t="s">
        <v>4608</v>
      </c>
      <c r="S470" s="1" t="s">
        <v>4609</v>
      </c>
      <c r="T470" s="1">
        <v>380.0</v>
      </c>
      <c r="U470" s="3" t="s">
        <v>4610</v>
      </c>
      <c r="V470" s="1">
        <v>720854.0</v>
      </c>
      <c r="W470" s="1" t="s">
        <v>4611</v>
      </c>
      <c r="X470" s="3" t="s">
        <v>4612</v>
      </c>
      <c r="Y470" s="3" t="s">
        <v>4613</v>
      </c>
      <c r="Z470" s="1">
        <v>1.0</v>
      </c>
      <c r="AB470" s="1">
        <v>17.0</v>
      </c>
      <c r="AC470" s="1">
        <v>35.0</v>
      </c>
      <c r="AD470" s="1">
        <v>21.0</v>
      </c>
      <c r="AE470" s="1">
        <v>16.0</v>
      </c>
      <c r="AF470" s="1">
        <v>0.0</v>
      </c>
      <c r="AG470" s="1">
        <v>2.0</v>
      </c>
      <c r="AH470" s="1">
        <v>68.0</v>
      </c>
      <c r="AI470" s="1">
        <v>19.0</v>
      </c>
      <c r="AJ470" s="1">
        <v>0.0</v>
      </c>
      <c r="AK470" s="1">
        <v>0.0</v>
      </c>
      <c r="AL470" s="1">
        <v>7.0</v>
      </c>
      <c r="AM470" s="1">
        <v>26.0</v>
      </c>
      <c r="AN470" s="1">
        <v>1.0</v>
      </c>
    </row>
    <row r="471">
      <c r="A471" s="1">
        <v>479.0</v>
      </c>
      <c r="B471" s="1" t="s">
        <v>4614</v>
      </c>
      <c r="C471" s="1" t="s">
        <v>4615</v>
      </c>
      <c r="D471" s="1" t="s">
        <v>4616</v>
      </c>
      <c r="E471" s="1" t="s">
        <v>43</v>
      </c>
      <c r="F471" s="2">
        <v>22871.0</v>
      </c>
      <c r="G471" s="1" t="s">
        <v>4617</v>
      </c>
      <c r="H471" s="1">
        <v>91.0</v>
      </c>
      <c r="I471" s="1" t="s">
        <v>610</v>
      </c>
      <c r="J471" s="1">
        <v>1.0</v>
      </c>
      <c r="K471" s="2">
        <v>42907.0</v>
      </c>
      <c r="M471" s="1">
        <v>0.0</v>
      </c>
      <c r="N471" s="1" t="s">
        <v>75</v>
      </c>
      <c r="O471" s="1" t="s">
        <v>76</v>
      </c>
      <c r="P471" s="1" t="s">
        <v>4618</v>
      </c>
      <c r="S471" s="1" t="s">
        <v>839</v>
      </c>
      <c r="T471" s="1">
        <v>339.0</v>
      </c>
      <c r="U471" s="3" t="s">
        <v>4619</v>
      </c>
      <c r="V471" s="1">
        <v>267622.0</v>
      </c>
      <c r="W471" s="1" t="s">
        <v>4620</v>
      </c>
      <c r="X471" s="3" t="s">
        <v>4621</v>
      </c>
      <c r="Y471" s="3" t="s">
        <v>4622</v>
      </c>
      <c r="Z471" s="1">
        <v>2.0</v>
      </c>
      <c r="AA471" s="1" t="s">
        <v>4623</v>
      </c>
      <c r="AB471" s="1">
        <v>17.0</v>
      </c>
      <c r="AC471" s="1">
        <v>26.0</v>
      </c>
      <c r="AD471" s="1">
        <v>3.0</v>
      </c>
      <c r="AE471" s="1">
        <v>26.0</v>
      </c>
      <c r="AF471" s="1">
        <v>22.0</v>
      </c>
      <c r="AG471" s="1">
        <v>0.0</v>
      </c>
      <c r="AH471" s="1">
        <v>63.0</v>
      </c>
      <c r="AI471" s="1">
        <v>26.0</v>
      </c>
      <c r="AJ471" s="1">
        <v>0.0</v>
      </c>
      <c r="AK471" s="1">
        <v>0.0</v>
      </c>
      <c r="AL471" s="1">
        <v>5.0</v>
      </c>
      <c r="AM471" s="1">
        <v>5.0</v>
      </c>
      <c r="AN471" s="1">
        <v>0.0</v>
      </c>
    </row>
    <row r="472">
      <c r="A472" s="1">
        <v>44.0</v>
      </c>
      <c r="B472" s="1" t="s">
        <v>4624</v>
      </c>
      <c r="C472" s="1" t="s">
        <v>4625</v>
      </c>
      <c r="D472" s="1" t="s">
        <v>866</v>
      </c>
      <c r="E472" s="1" t="s">
        <v>43</v>
      </c>
      <c r="F472" s="2">
        <v>24705.0</v>
      </c>
      <c r="G472" s="1" t="s">
        <v>975</v>
      </c>
      <c r="H472" s="1">
        <v>60.0</v>
      </c>
      <c r="I472" s="1" t="s">
        <v>769</v>
      </c>
      <c r="J472" s="1">
        <v>5.0</v>
      </c>
      <c r="K472" s="2">
        <v>42907.0</v>
      </c>
      <c r="M472" s="1">
        <v>0.0</v>
      </c>
      <c r="N472" s="1" t="s">
        <v>61</v>
      </c>
      <c r="O472" s="1" t="s">
        <v>62</v>
      </c>
      <c r="P472" s="3" t="s">
        <v>4626</v>
      </c>
      <c r="S472" s="1" t="s">
        <v>1086</v>
      </c>
      <c r="T472" s="1">
        <v>31.0</v>
      </c>
      <c r="U472" s="3" t="s">
        <v>4627</v>
      </c>
      <c r="V472" s="1">
        <v>720586.0</v>
      </c>
      <c r="W472" s="1" t="s">
        <v>4628</v>
      </c>
      <c r="X472" s="3" t="s">
        <v>4629</v>
      </c>
      <c r="Y472" s="3" t="s">
        <v>4630</v>
      </c>
      <c r="Z472" s="1">
        <v>1.0</v>
      </c>
      <c r="AB472" s="1">
        <v>17.0</v>
      </c>
      <c r="AC472" s="1">
        <v>22.0</v>
      </c>
      <c r="AD472" s="1">
        <v>4.0</v>
      </c>
      <c r="AE472" s="1">
        <v>9.0</v>
      </c>
      <c r="AF472" s="1">
        <v>4.0</v>
      </c>
      <c r="AG472" s="1">
        <v>9.0</v>
      </c>
      <c r="AH472" s="1">
        <v>410.0</v>
      </c>
      <c r="AI472" s="1">
        <v>16.0</v>
      </c>
      <c r="AJ472" s="1">
        <v>0.0</v>
      </c>
      <c r="AK472" s="1">
        <v>0.0</v>
      </c>
      <c r="AL472" s="1">
        <v>35.0</v>
      </c>
      <c r="AM472" s="1">
        <v>15.0</v>
      </c>
      <c r="AN472" s="1">
        <v>1.0</v>
      </c>
    </row>
    <row r="473">
      <c r="A473" s="1">
        <v>133.0</v>
      </c>
      <c r="B473" s="1" t="s">
        <v>4631</v>
      </c>
      <c r="C473" s="1" t="s">
        <v>4632</v>
      </c>
      <c r="D473" s="1" t="s">
        <v>4633</v>
      </c>
      <c r="E473" s="1" t="s">
        <v>58</v>
      </c>
      <c r="F473" s="2">
        <v>27918.0</v>
      </c>
      <c r="G473" s="1" t="s">
        <v>4634</v>
      </c>
      <c r="H473" s="1">
        <v>6.0</v>
      </c>
      <c r="I473" s="1" t="s">
        <v>438</v>
      </c>
      <c r="J473" s="1">
        <v>4.0</v>
      </c>
      <c r="K473" s="2">
        <v>42907.0</v>
      </c>
      <c r="M473" s="1">
        <v>0.0</v>
      </c>
      <c r="N473" s="1" t="s">
        <v>75</v>
      </c>
      <c r="O473" s="1" t="s">
        <v>76</v>
      </c>
      <c r="P473" s="1" t="s">
        <v>4635</v>
      </c>
      <c r="S473" s="1" t="s">
        <v>4636</v>
      </c>
      <c r="T473" s="1">
        <v>451.0</v>
      </c>
      <c r="U473" s="3" t="s">
        <v>4637</v>
      </c>
      <c r="V473" s="1">
        <v>718768.0</v>
      </c>
      <c r="W473" s="1" t="s">
        <v>4638</v>
      </c>
      <c r="X473" s="3" t="s">
        <v>4639</v>
      </c>
      <c r="Y473" s="3" t="s">
        <v>4640</v>
      </c>
      <c r="Z473" s="1">
        <v>1.0</v>
      </c>
      <c r="AA473" s="1" t="s">
        <v>4641</v>
      </c>
      <c r="AB473" s="1">
        <v>16.0</v>
      </c>
      <c r="AC473" s="1">
        <v>21.0</v>
      </c>
      <c r="AD473" s="1">
        <v>5.0</v>
      </c>
      <c r="AE473" s="1">
        <v>2.0</v>
      </c>
      <c r="AF473" s="1">
        <v>2.0</v>
      </c>
      <c r="AG473" s="1">
        <v>4.0</v>
      </c>
      <c r="AH473" s="1">
        <v>28.0</v>
      </c>
      <c r="AI473" s="1">
        <v>1.0</v>
      </c>
      <c r="AJ473" s="1">
        <v>0.0</v>
      </c>
      <c r="AK473" s="1">
        <v>0.0</v>
      </c>
      <c r="AL473" s="1">
        <v>5.0</v>
      </c>
      <c r="AM473" s="1">
        <v>9.0</v>
      </c>
      <c r="AN473" s="1">
        <v>0.0</v>
      </c>
    </row>
    <row r="474">
      <c r="A474" s="1">
        <v>564.0</v>
      </c>
      <c r="B474" s="1" t="s">
        <v>4642</v>
      </c>
      <c r="C474" s="1" t="s">
        <v>4643</v>
      </c>
      <c r="D474" s="1" t="s">
        <v>4644</v>
      </c>
      <c r="E474" s="1" t="s">
        <v>43</v>
      </c>
      <c r="F474" s="2">
        <v>23441.0</v>
      </c>
      <c r="G474" s="1" t="s">
        <v>4645</v>
      </c>
      <c r="H474" s="1">
        <v>17.0</v>
      </c>
      <c r="I474" s="1" t="s">
        <v>2055</v>
      </c>
      <c r="J474" s="1">
        <v>3.0</v>
      </c>
      <c r="K474" s="2">
        <v>42907.0</v>
      </c>
      <c r="M474" s="1">
        <v>0.0</v>
      </c>
      <c r="N474" s="1" t="s">
        <v>75</v>
      </c>
      <c r="O474" s="1" t="s">
        <v>76</v>
      </c>
      <c r="P474" s="3" t="s">
        <v>4646</v>
      </c>
      <c r="S474" s="1" t="s">
        <v>2484</v>
      </c>
      <c r="T474" s="1">
        <v>526.0</v>
      </c>
      <c r="U474" s="3" t="s">
        <v>4647</v>
      </c>
      <c r="V474" s="1">
        <v>719100.0</v>
      </c>
      <c r="W474" s="1" t="s">
        <v>4648</v>
      </c>
      <c r="X474" s="3" t="s">
        <v>4649</v>
      </c>
      <c r="Y474" s="3" t="s">
        <v>4650</v>
      </c>
      <c r="Z474" s="1">
        <v>1.0</v>
      </c>
      <c r="AB474" s="1">
        <v>16.0</v>
      </c>
      <c r="AC474" s="1">
        <v>22.0</v>
      </c>
      <c r="AD474" s="1">
        <v>3.0</v>
      </c>
      <c r="AE474" s="1">
        <v>0.0</v>
      </c>
      <c r="AF474" s="1">
        <v>0.0</v>
      </c>
      <c r="AG474" s="1">
        <v>0.0</v>
      </c>
      <c r="AH474" s="1">
        <v>25.0</v>
      </c>
      <c r="AI474" s="1">
        <v>2.0</v>
      </c>
      <c r="AJ474" s="1">
        <v>0.0</v>
      </c>
      <c r="AK474" s="1">
        <v>0.0</v>
      </c>
      <c r="AL474" s="1">
        <v>5.0</v>
      </c>
      <c r="AM474" s="1">
        <v>4.0</v>
      </c>
      <c r="AN474" s="1">
        <v>0.0</v>
      </c>
    </row>
    <row r="475">
      <c r="A475" s="1">
        <v>298.0</v>
      </c>
      <c r="B475" s="1" t="s">
        <v>4651</v>
      </c>
      <c r="C475" s="1" t="s">
        <v>4652</v>
      </c>
      <c r="D475" s="1" t="s">
        <v>905</v>
      </c>
      <c r="E475" s="1" t="s">
        <v>43</v>
      </c>
      <c r="F475" s="2">
        <v>27878.0</v>
      </c>
      <c r="G475" s="1" t="s">
        <v>1273</v>
      </c>
      <c r="H475" s="1">
        <v>68.0</v>
      </c>
      <c r="I475" s="1" t="s">
        <v>1501</v>
      </c>
      <c r="J475" s="1">
        <v>5.0</v>
      </c>
      <c r="K475" s="2">
        <v>42907.0</v>
      </c>
      <c r="M475" s="1">
        <v>0.0</v>
      </c>
      <c r="N475" s="1" t="s">
        <v>46</v>
      </c>
      <c r="O475" s="1" t="s">
        <v>47</v>
      </c>
      <c r="P475" s="1" t="s">
        <v>4653</v>
      </c>
      <c r="S475" s="1" t="s">
        <v>697</v>
      </c>
      <c r="T475" s="1">
        <v>154.0</v>
      </c>
      <c r="U475" s="3" t="s">
        <v>4654</v>
      </c>
      <c r="V475" s="1">
        <v>642935.0</v>
      </c>
      <c r="W475" s="1" t="s">
        <v>4655</v>
      </c>
      <c r="X475" s="3" t="s">
        <v>4656</v>
      </c>
      <c r="Y475" s="3" t="s">
        <v>4657</v>
      </c>
      <c r="Z475" s="1">
        <v>2.0</v>
      </c>
      <c r="AA475" s="1" t="s">
        <v>4658</v>
      </c>
      <c r="AB475" s="1">
        <v>16.0</v>
      </c>
      <c r="AC475" s="1">
        <v>20.0</v>
      </c>
      <c r="AD475" s="1">
        <v>5.0</v>
      </c>
      <c r="AE475" s="1">
        <v>23.0</v>
      </c>
      <c r="AF475" s="1">
        <v>20.0</v>
      </c>
      <c r="AG475" s="1">
        <v>7.0</v>
      </c>
      <c r="AH475" s="1">
        <v>448.0</v>
      </c>
      <c r="AI475" s="1">
        <v>21.0</v>
      </c>
      <c r="AJ475" s="1">
        <v>0.0</v>
      </c>
      <c r="AK475" s="1">
        <v>0.0</v>
      </c>
      <c r="AL475" s="1">
        <v>23.0</v>
      </c>
      <c r="AM475" s="1">
        <v>21.0</v>
      </c>
      <c r="AN475" s="1">
        <v>2.0</v>
      </c>
    </row>
    <row r="476">
      <c r="A476" s="1">
        <v>286.0</v>
      </c>
      <c r="B476" s="1" t="s">
        <v>4659</v>
      </c>
      <c r="C476" s="1" t="s">
        <v>4660</v>
      </c>
      <c r="D476" s="1" t="s">
        <v>1341</v>
      </c>
      <c r="E476" s="1" t="s">
        <v>43</v>
      </c>
      <c r="F476" s="2">
        <v>32888.0</v>
      </c>
      <c r="G476" s="1" t="s">
        <v>4661</v>
      </c>
      <c r="H476" s="1">
        <v>22.0</v>
      </c>
      <c r="I476" s="1" t="s">
        <v>1883</v>
      </c>
      <c r="J476" s="1">
        <v>2.0</v>
      </c>
      <c r="K476" s="2">
        <v>42907.0</v>
      </c>
      <c r="M476" s="1">
        <v>0.0</v>
      </c>
      <c r="N476" s="1" t="s">
        <v>75</v>
      </c>
      <c r="O476" s="1" t="s">
        <v>76</v>
      </c>
      <c r="P476" s="1" t="s">
        <v>4662</v>
      </c>
      <c r="S476" s="1" t="s">
        <v>162</v>
      </c>
      <c r="T476" s="1">
        <v>212.0</v>
      </c>
      <c r="U476" s="3" t="s">
        <v>4663</v>
      </c>
      <c r="V476" s="1">
        <v>719218.0</v>
      </c>
      <c r="W476" s="1" t="s">
        <v>4664</v>
      </c>
      <c r="X476" s="3" t="s">
        <v>4665</v>
      </c>
      <c r="Y476" s="3" t="s">
        <v>4666</v>
      </c>
      <c r="Z476" s="1">
        <v>1.0</v>
      </c>
      <c r="AA476" s="1" t="s">
        <v>4667</v>
      </c>
      <c r="AB476" s="1">
        <v>16.0</v>
      </c>
      <c r="AC476" s="1">
        <v>29.0</v>
      </c>
      <c r="AD476" s="1">
        <v>12.0</v>
      </c>
      <c r="AE476" s="1">
        <v>5.0</v>
      </c>
      <c r="AF476" s="1">
        <v>2.0</v>
      </c>
      <c r="AG476" s="1">
        <v>0.0</v>
      </c>
      <c r="AH476" s="1">
        <v>22.0</v>
      </c>
      <c r="AI476" s="1">
        <v>8.0</v>
      </c>
      <c r="AJ476" s="1">
        <v>0.0</v>
      </c>
      <c r="AK476" s="1">
        <v>0.0</v>
      </c>
      <c r="AL476" s="1">
        <v>5.0</v>
      </c>
      <c r="AM476" s="1">
        <v>0.0</v>
      </c>
      <c r="AN476" s="1">
        <v>1.0</v>
      </c>
    </row>
    <row r="477">
      <c r="A477" s="1">
        <v>237.0</v>
      </c>
      <c r="B477" s="1" t="s">
        <v>4668</v>
      </c>
      <c r="C477" s="1" t="s">
        <v>4669</v>
      </c>
      <c r="D477" s="1" t="s">
        <v>522</v>
      </c>
      <c r="E477" s="1" t="s">
        <v>43</v>
      </c>
      <c r="F477" s="2">
        <v>26763.0</v>
      </c>
      <c r="G477" s="1" t="s">
        <v>1136</v>
      </c>
      <c r="H477" s="1">
        <v>14.0</v>
      </c>
      <c r="I477" s="1" t="s">
        <v>1137</v>
      </c>
      <c r="J477" s="1">
        <v>4.0</v>
      </c>
      <c r="K477" s="2">
        <v>42907.0</v>
      </c>
      <c r="M477" s="1">
        <v>0.0</v>
      </c>
      <c r="N477" s="1" t="s">
        <v>75</v>
      </c>
      <c r="O477" s="1" t="s">
        <v>76</v>
      </c>
      <c r="P477" s="1" t="s">
        <v>4670</v>
      </c>
      <c r="S477" s="1" t="s">
        <v>1465</v>
      </c>
      <c r="T477" s="1">
        <v>271.0</v>
      </c>
      <c r="U477" s="3" t="s">
        <v>4671</v>
      </c>
      <c r="V477" s="1">
        <v>719024.0</v>
      </c>
      <c r="W477" s="1" t="s">
        <v>4672</v>
      </c>
      <c r="X477" s="3" t="s">
        <v>4673</v>
      </c>
      <c r="Y477" s="3" t="s">
        <v>4674</v>
      </c>
      <c r="Z477" s="1">
        <v>2.0</v>
      </c>
      <c r="AA477" s="1" t="s">
        <v>4675</v>
      </c>
      <c r="AB477" s="1">
        <v>16.0</v>
      </c>
      <c r="AC477" s="1">
        <v>31.0</v>
      </c>
      <c r="AD477" s="1">
        <v>10.0</v>
      </c>
      <c r="AE477" s="1">
        <v>8.0</v>
      </c>
      <c r="AF477" s="1">
        <v>2.0</v>
      </c>
      <c r="AG477" s="1">
        <v>14.0</v>
      </c>
      <c r="AH477" s="1">
        <v>49.0</v>
      </c>
      <c r="AI477" s="1">
        <v>2.0</v>
      </c>
      <c r="AJ477" s="1">
        <v>0.0</v>
      </c>
      <c r="AK477" s="1">
        <v>0.0</v>
      </c>
      <c r="AL477" s="1">
        <v>7.0</v>
      </c>
      <c r="AM477" s="1">
        <v>39.0</v>
      </c>
      <c r="AN477" s="1">
        <v>2.0</v>
      </c>
    </row>
    <row r="478">
      <c r="A478" s="1">
        <v>408.0</v>
      </c>
      <c r="B478" s="1" t="s">
        <v>4676</v>
      </c>
      <c r="C478" s="1" t="s">
        <v>4677</v>
      </c>
      <c r="D478" s="1" t="s">
        <v>3837</v>
      </c>
      <c r="E478" s="1" t="s">
        <v>58</v>
      </c>
      <c r="F478" s="2">
        <v>31635.0</v>
      </c>
      <c r="G478" s="1" t="s">
        <v>437</v>
      </c>
      <c r="H478" s="1">
        <v>6.0</v>
      </c>
      <c r="I478" s="1" t="s">
        <v>438</v>
      </c>
      <c r="J478" s="1">
        <v>5.0</v>
      </c>
      <c r="K478" s="2">
        <v>42907.0</v>
      </c>
      <c r="M478" s="1">
        <v>0.0</v>
      </c>
      <c r="N478" s="1" t="s">
        <v>61</v>
      </c>
      <c r="O478" s="1" t="s">
        <v>62</v>
      </c>
      <c r="P478" s="1" t="s">
        <v>4678</v>
      </c>
      <c r="S478" s="1" t="s">
        <v>936</v>
      </c>
      <c r="T478" s="1">
        <v>150.0</v>
      </c>
      <c r="U478" s="3" t="s">
        <v>4679</v>
      </c>
      <c r="V478" s="1">
        <v>713448.0</v>
      </c>
      <c r="W478" s="1" t="s">
        <v>4680</v>
      </c>
      <c r="X478" s="3" t="s">
        <v>4681</v>
      </c>
      <c r="Y478" s="3" t="s">
        <v>4682</v>
      </c>
      <c r="Z478" s="1">
        <v>2.0</v>
      </c>
      <c r="AA478" s="1" t="s">
        <v>4683</v>
      </c>
      <c r="AB478" s="1">
        <v>16.0</v>
      </c>
      <c r="AC478" s="1">
        <v>22.0</v>
      </c>
      <c r="AD478" s="1">
        <v>25.0</v>
      </c>
      <c r="AE478" s="1">
        <v>26.0</v>
      </c>
      <c r="AF478" s="1">
        <v>3.0</v>
      </c>
      <c r="AG478" s="1">
        <v>103.0</v>
      </c>
      <c r="AH478" s="1">
        <v>384.0</v>
      </c>
      <c r="AI478" s="1">
        <v>14.0</v>
      </c>
      <c r="AJ478" s="1">
        <v>0.0</v>
      </c>
      <c r="AK478" s="1">
        <v>11.0</v>
      </c>
      <c r="AL478" s="1">
        <v>20.0</v>
      </c>
      <c r="AM478" s="1">
        <v>10.0</v>
      </c>
      <c r="AN478" s="1">
        <v>2.0</v>
      </c>
    </row>
    <row r="479">
      <c r="A479" s="1">
        <v>359.0</v>
      </c>
      <c r="B479" s="1" t="s">
        <v>4684</v>
      </c>
      <c r="C479" s="1" t="s">
        <v>4685</v>
      </c>
      <c r="D479" s="1" t="s">
        <v>4686</v>
      </c>
      <c r="E479" s="1" t="s">
        <v>43</v>
      </c>
      <c r="F479" s="2">
        <v>26092.0</v>
      </c>
      <c r="G479" s="1" t="s">
        <v>4687</v>
      </c>
      <c r="H479" s="1">
        <v>94.0</v>
      </c>
      <c r="I479" s="1" t="s">
        <v>642</v>
      </c>
      <c r="J479" s="1">
        <v>9.0</v>
      </c>
      <c r="K479" s="2">
        <v>42907.0</v>
      </c>
      <c r="M479" s="1">
        <v>0.0</v>
      </c>
      <c r="N479" s="1" t="s">
        <v>115</v>
      </c>
      <c r="O479" s="1" t="s">
        <v>116</v>
      </c>
      <c r="P479" s="1" t="s">
        <v>4688</v>
      </c>
      <c r="S479" s="1">
        <v>0.0</v>
      </c>
      <c r="T479" s="1">
        <v>517.0</v>
      </c>
      <c r="U479" s="3" t="s">
        <v>4689</v>
      </c>
      <c r="V479" s="1">
        <v>429893.0</v>
      </c>
      <c r="W479" s="1" t="s">
        <v>4690</v>
      </c>
      <c r="X479" s="3" t="s">
        <v>4691</v>
      </c>
      <c r="Y479" s="3" t="s">
        <v>4692</v>
      </c>
      <c r="Z479" s="1">
        <v>2.0</v>
      </c>
      <c r="AA479" s="1" t="s">
        <v>4693</v>
      </c>
      <c r="AB479" s="1">
        <v>16.0</v>
      </c>
      <c r="AC479" s="1">
        <v>14.0</v>
      </c>
      <c r="AD479" s="1">
        <v>5.0</v>
      </c>
      <c r="AE479" s="1">
        <v>18.0</v>
      </c>
      <c r="AF479" s="1">
        <v>18.0</v>
      </c>
      <c r="AG479" s="1">
        <v>10.0</v>
      </c>
      <c r="AH479" s="1">
        <v>1145.0</v>
      </c>
      <c r="AI479" s="1">
        <v>78.0</v>
      </c>
      <c r="AJ479" s="1">
        <v>0.0</v>
      </c>
      <c r="AK479" s="1">
        <v>0.0</v>
      </c>
      <c r="AL479" s="1">
        <v>5.0</v>
      </c>
      <c r="AM479" s="1">
        <v>17.0</v>
      </c>
      <c r="AN479" s="1">
        <v>2.0</v>
      </c>
    </row>
    <row r="480">
      <c r="A480" s="1">
        <v>340.0</v>
      </c>
      <c r="B480" s="1" t="s">
        <v>4694</v>
      </c>
      <c r="C480" s="1" t="s">
        <v>4695</v>
      </c>
      <c r="D480" s="1" t="s">
        <v>4696</v>
      </c>
      <c r="E480" s="1" t="s">
        <v>43</v>
      </c>
      <c r="F480" s="2">
        <v>17566.0</v>
      </c>
      <c r="G480" s="1" t="s">
        <v>718</v>
      </c>
      <c r="H480" s="1">
        <v>30.0</v>
      </c>
      <c r="I480" s="1" t="s">
        <v>1751</v>
      </c>
      <c r="J480" s="1">
        <v>2.0</v>
      </c>
      <c r="K480" s="2">
        <v>42907.0</v>
      </c>
      <c r="M480" s="1">
        <v>0.0</v>
      </c>
      <c r="N480" s="1" t="s">
        <v>814</v>
      </c>
      <c r="O480" s="1" t="s">
        <v>837</v>
      </c>
      <c r="P480" s="1" t="s">
        <v>4697</v>
      </c>
      <c r="S480" s="1" t="s">
        <v>304</v>
      </c>
      <c r="T480" s="1">
        <v>58.0</v>
      </c>
      <c r="U480" s="3" t="s">
        <v>4698</v>
      </c>
      <c r="V480" s="1">
        <v>606212.0</v>
      </c>
      <c r="W480" s="1" t="s">
        <v>4699</v>
      </c>
      <c r="X480" s="3" t="s">
        <v>4700</v>
      </c>
      <c r="Y480" s="3" t="s">
        <v>4701</v>
      </c>
      <c r="Z480" s="1">
        <v>1.0</v>
      </c>
      <c r="AA480" s="1" t="s">
        <v>4702</v>
      </c>
      <c r="AB480" s="1">
        <v>16.0</v>
      </c>
      <c r="AC480" s="1">
        <v>11.0</v>
      </c>
      <c r="AD480" s="1">
        <v>2.0</v>
      </c>
      <c r="AE480" s="1">
        <v>33.0</v>
      </c>
      <c r="AF480" s="1">
        <v>40.0</v>
      </c>
      <c r="AG480" s="1">
        <v>39.0</v>
      </c>
      <c r="AH480" s="1">
        <v>258.0</v>
      </c>
      <c r="AI480" s="1">
        <v>0.0</v>
      </c>
      <c r="AJ480" s="1">
        <v>0.0</v>
      </c>
      <c r="AK480" s="1">
        <v>8.0</v>
      </c>
      <c r="AL480" s="1">
        <v>13.0</v>
      </c>
      <c r="AM480" s="1">
        <v>19.0</v>
      </c>
      <c r="AN480" s="1">
        <v>1.0</v>
      </c>
    </row>
    <row r="481">
      <c r="A481" s="1">
        <v>339.0</v>
      </c>
      <c r="B481" s="1" t="s">
        <v>4703</v>
      </c>
      <c r="C481" s="1" t="s">
        <v>4704</v>
      </c>
      <c r="D481" s="1" t="s">
        <v>4705</v>
      </c>
      <c r="E481" s="1" t="s">
        <v>43</v>
      </c>
      <c r="F481" s="2">
        <v>24701.0</v>
      </c>
      <c r="G481" s="1" t="s">
        <v>811</v>
      </c>
      <c r="H481" s="1" t="s">
        <v>4146</v>
      </c>
      <c r="I481" s="1" t="s">
        <v>4147</v>
      </c>
      <c r="J481" s="1">
        <v>2.0</v>
      </c>
      <c r="K481" s="2">
        <v>42907.0</v>
      </c>
      <c r="M481" s="1">
        <v>0.0</v>
      </c>
      <c r="N481" s="1" t="s">
        <v>814</v>
      </c>
      <c r="O481" s="1" t="s">
        <v>815</v>
      </c>
      <c r="P481" s="3" t="s">
        <v>4706</v>
      </c>
      <c r="S481" s="1" t="s">
        <v>151</v>
      </c>
      <c r="T481" s="1">
        <v>648.0</v>
      </c>
      <c r="U481" s="3" t="s">
        <v>4707</v>
      </c>
      <c r="V481" s="1">
        <v>719286.0</v>
      </c>
      <c r="W481" s="1" t="s">
        <v>4708</v>
      </c>
      <c r="X481" s="3" t="s">
        <v>4709</v>
      </c>
      <c r="Y481" s="3" t="s">
        <v>4710</v>
      </c>
      <c r="Z481" s="1">
        <v>1.0</v>
      </c>
      <c r="AA481" s="1" t="s">
        <v>4711</v>
      </c>
      <c r="AB481" s="1">
        <v>16.0</v>
      </c>
      <c r="AC481" s="1">
        <v>18.0</v>
      </c>
      <c r="AD481" s="1">
        <v>4.0</v>
      </c>
      <c r="AE481" s="1">
        <v>29.0</v>
      </c>
      <c r="AF481" s="1">
        <v>5.0</v>
      </c>
      <c r="AG481" s="1">
        <v>56.0</v>
      </c>
      <c r="AH481" s="1">
        <v>229.0</v>
      </c>
      <c r="AI481" s="1">
        <v>3.0</v>
      </c>
      <c r="AJ481" s="1">
        <v>0.0</v>
      </c>
      <c r="AK481" s="1">
        <v>0.0</v>
      </c>
      <c r="AL481" s="1">
        <v>6.0</v>
      </c>
      <c r="AM481" s="1">
        <v>15.0</v>
      </c>
      <c r="AN481" s="1">
        <v>1.0</v>
      </c>
    </row>
    <row r="482">
      <c r="A482" s="1">
        <v>134.0</v>
      </c>
      <c r="B482" s="1" t="s">
        <v>4712</v>
      </c>
      <c r="C482" s="1" t="s">
        <v>4713</v>
      </c>
      <c r="D482" s="1" t="s">
        <v>1361</v>
      </c>
      <c r="E482" s="1" t="s">
        <v>43</v>
      </c>
      <c r="F482" s="2">
        <v>19648.0</v>
      </c>
      <c r="G482" s="1" t="s">
        <v>4714</v>
      </c>
      <c r="H482" s="1">
        <v>13.0</v>
      </c>
      <c r="I482" s="1" t="s">
        <v>279</v>
      </c>
      <c r="J482" s="1">
        <v>9.0</v>
      </c>
      <c r="K482" s="2">
        <v>42907.0</v>
      </c>
      <c r="M482" s="1">
        <v>0.0</v>
      </c>
      <c r="N482" s="1" t="s">
        <v>61</v>
      </c>
      <c r="O482" s="1" t="s">
        <v>62</v>
      </c>
      <c r="P482" s="1" t="s">
        <v>4715</v>
      </c>
      <c r="S482" s="1" t="s">
        <v>827</v>
      </c>
      <c r="T482" s="1">
        <v>88.0</v>
      </c>
      <c r="U482" s="3" t="s">
        <v>4716</v>
      </c>
      <c r="V482" s="1">
        <v>1029.0</v>
      </c>
      <c r="W482" s="1" t="s">
        <v>4717</v>
      </c>
      <c r="X482" s="3" t="s">
        <v>4718</v>
      </c>
      <c r="Y482" s="3" t="s">
        <v>4719</v>
      </c>
      <c r="Z482" s="1">
        <v>1.0</v>
      </c>
      <c r="AA482" s="1" t="s">
        <v>4720</v>
      </c>
      <c r="AB482" s="1">
        <v>16.0</v>
      </c>
      <c r="AC482" s="1">
        <v>26.0</v>
      </c>
      <c r="AD482" s="1">
        <v>12.0</v>
      </c>
      <c r="AE482" s="1">
        <v>0.0</v>
      </c>
      <c r="AF482" s="1">
        <v>12.0</v>
      </c>
      <c r="AG482" s="1">
        <v>0.0</v>
      </c>
      <c r="AH482" s="1">
        <v>203.0</v>
      </c>
      <c r="AI482" s="1">
        <v>13.0</v>
      </c>
      <c r="AJ482" s="1">
        <v>0.0</v>
      </c>
      <c r="AK482" s="1">
        <v>0.0</v>
      </c>
      <c r="AL482" s="1">
        <v>51.0</v>
      </c>
      <c r="AM482" s="1">
        <v>3.0</v>
      </c>
      <c r="AN482" s="1">
        <v>0.0</v>
      </c>
    </row>
    <row r="483">
      <c r="A483" s="1">
        <v>532.0</v>
      </c>
      <c r="B483" s="1" t="s">
        <v>4721</v>
      </c>
      <c r="C483" s="1" t="s">
        <v>4722</v>
      </c>
      <c r="D483" s="1" t="s">
        <v>1094</v>
      </c>
      <c r="E483" s="1" t="s">
        <v>58</v>
      </c>
      <c r="F483" s="2">
        <v>29209.0</v>
      </c>
      <c r="G483" s="1" t="s">
        <v>4723</v>
      </c>
      <c r="H483" s="1">
        <v>77.0</v>
      </c>
      <c r="I483" s="1" t="s">
        <v>503</v>
      </c>
      <c r="J483" s="1">
        <v>10.0</v>
      </c>
      <c r="K483" s="2">
        <v>42907.0</v>
      </c>
      <c r="M483" s="1">
        <v>0.0</v>
      </c>
      <c r="N483" s="1" t="s">
        <v>75</v>
      </c>
      <c r="O483" s="1" t="s">
        <v>76</v>
      </c>
      <c r="P483" s="1" t="s">
        <v>4724</v>
      </c>
      <c r="S483" s="1" t="s">
        <v>118</v>
      </c>
      <c r="T483" s="1">
        <v>341.0</v>
      </c>
      <c r="U483" s="3" t="s">
        <v>4725</v>
      </c>
      <c r="V483" s="1">
        <v>721718.0</v>
      </c>
      <c r="W483" s="1" t="s">
        <v>4726</v>
      </c>
      <c r="X483" s="3" t="s">
        <v>4727</v>
      </c>
      <c r="Y483" s="3" t="s">
        <v>4728</v>
      </c>
      <c r="Z483" s="1">
        <v>1.0</v>
      </c>
      <c r="AA483" s="1" t="s">
        <v>4729</v>
      </c>
      <c r="AB483" s="1">
        <v>16.0</v>
      </c>
      <c r="AC483" s="1">
        <v>23.0</v>
      </c>
      <c r="AD483" s="1">
        <v>8.0</v>
      </c>
      <c r="AE483" s="1">
        <v>9.0</v>
      </c>
      <c r="AF483" s="1">
        <v>3.0</v>
      </c>
      <c r="AG483" s="1">
        <v>12.0</v>
      </c>
      <c r="AH483" s="1">
        <v>58.0</v>
      </c>
      <c r="AI483" s="1">
        <v>26.0</v>
      </c>
      <c r="AJ483" s="1">
        <v>1.0</v>
      </c>
      <c r="AK483" s="1">
        <v>0.0</v>
      </c>
      <c r="AL483" s="1">
        <v>5.0</v>
      </c>
      <c r="AM483" s="1">
        <v>10.0</v>
      </c>
      <c r="AN483" s="1">
        <v>1.0</v>
      </c>
    </row>
    <row r="484">
      <c r="A484" s="1">
        <v>165.0</v>
      </c>
      <c r="B484" s="1" t="s">
        <v>4730</v>
      </c>
      <c r="C484" s="1" t="s">
        <v>4731</v>
      </c>
      <c r="D484" s="1" t="s">
        <v>4732</v>
      </c>
      <c r="E484" s="1" t="s">
        <v>43</v>
      </c>
      <c r="F484" s="2">
        <v>16635.0</v>
      </c>
      <c r="G484" s="1" t="s">
        <v>4733</v>
      </c>
      <c r="H484" s="1">
        <v>62.0</v>
      </c>
      <c r="I484" s="1" t="s">
        <v>427</v>
      </c>
      <c r="J484" s="1">
        <v>3.0</v>
      </c>
      <c r="K484" s="2">
        <v>42907.0</v>
      </c>
      <c r="M484" s="1">
        <v>0.0</v>
      </c>
      <c r="N484" s="1" t="s">
        <v>814</v>
      </c>
      <c r="O484" s="1" t="s">
        <v>4734</v>
      </c>
      <c r="S484" s="1" t="s">
        <v>4351</v>
      </c>
      <c r="T484" s="1">
        <v>236.0</v>
      </c>
      <c r="U484" s="3" t="s">
        <v>4735</v>
      </c>
      <c r="V484" s="1">
        <v>720664.0</v>
      </c>
      <c r="W484" s="1" t="s">
        <v>4736</v>
      </c>
      <c r="X484" s="3" t="s">
        <v>4737</v>
      </c>
      <c r="Y484" s="3" t="s">
        <v>4738</v>
      </c>
      <c r="Z484" s="1">
        <v>2.0</v>
      </c>
      <c r="AB484" s="1">
        <v>16.0</v>
      </c>
      <c r="AC484" s="1">
        <v>28.0</v>
      </c>
      <c r="AD484" s="1">
        <v>19.0</v>
      </c>
      <c r="AE484" s="1">
        <v>13.0</v>
      </c>
      <c r="AF484" s="1">
        <v>15.0</v>
      </c>
      <c r="AG484" s="1">
        <v>5.0</v>
      </c>
      <c r="AH484" s="1">
        <v>190.0</v>
      </c>
      <c r="AI484" s="1">
        <v>0.0</v>
      </c>
      <c r="AJ484" s="1">
        <v>0.0</v>
      </c>
      <c r="AK484" s="1">
        <v>0.0</v>
      </c>
      <c r="AL484" s="1">
        <v>6.0</v>
      </c>
      <c r="AM484" s="1">
        <v>6.0</v>
      </c>
      <c r="AN484" s="1">
        <v>0.0</v>
      </c>
    </row>
    <row r="485">
      <c r="A485" s="1">
        <v>576.0</v>
      </c>
      <c r="B485" s="1" t="s">
        <v>4739</v>
      </c>
      <c r="C485" s="1" t="s">
        <v>4740</v>
      </c>
      <c r="D485" s="1" t="s">
        <v>2707</v>
      </c>
      <c r="E485" s="1" t="s">
        <v>43</v>
      </c>
      <c r="F485" s="2">
        <v>22828.0</v>
      </c>
      <c r="G485" s="1" t="s">
        <v>2442</v>
      </c>
      <c r="H485" s="1">
        <v>29.0</v>
      </c>
      <c r="I485" s="1" t="s">
        <v>393</v>
      </c>
      <c r="J485" s="1">
        <v>6.0</v>
      </c>
      <c r="K485" s="2">
        <v>42907.0</v>
      </c>
      <c r="M485" s="1">
        <v>0.0</v>
      </c>
      <c r="N485" s="1" t="s">
        <v>75</v>
      </c>
      <c r="O485" s="1" t="s">
        <v>76</v>
      </c>
      <c r="P485" s="1" t="s">
        <v>4741</v>
      </c>
      <c r="S485" s="1" t="s">
        <v>472</v>
      </c>
      <c r="T485" s="1">
        <v>422.0</v>
      </c>
      <c r="U485" s="3" t="s">
        <v>4742</v>
      </c>
      <c r="V485" s="1">
        <v>606171.0</v>
      </c>
      <c r="W485" s="1" t="s">
        <v>4743</v>
      </c>
      <c r="X485" s="3" t="s">
        <v>4744</v>
      </c>
      <c r="Y485" s="3" t="s">
        <v>4745</v>
      </c>
      <c r="Z485" s="1">
        <v>1.0</v>
      </c>
      <c r="AA485" s="1" t="s">
        <v>4746</v>
      </c>
      <c r="AB485" s="1">
        <v>16.0</v>
      </c>
      <c r="AC485" s="1">
        <v>5.0</v>
      </c>
      <c r="AD485" s="1">
        <v>0.0</v>
      </c>
      <c r="AE485" s="1">
        <v>129.0</v>
      </c>
      <c r="AF485" s="1">
        <v>42.0</v>
      </c>
      <c r="AG485" s="1">
        <v>2.0</v>
      </c>
      <c r="AH485" s="1">
        <v>390.0</v>
      </c>
      <c r="AI485" s="1">
        <v>226.0</v>
      </c>
      <c r="AJ485" s="1">
        <v>0.0</v>
      </c>
      <c r="AK485" s="1">
        <v>3.0</v>
      </c>
      <c r="AL485" s="1">
        <v>7.0</v>
      </c>
      <c r="AM485" s="1">
        <v>14.0</v>
      </c>
      <c r="AN485" s="1">
        <v>2.0</v>
      </c>
    </row>
    <row r="486">
      <c r="A486" s="1">
        <v>54.0</v>
      </c>
      <c r="B486" s="1" t="s">
        <v>4747</v>
      </c>
      <c r="C486" s="1" t="s">
        <v>4748</v>
      </c>
      <c r="D486" s="1" t="s">
        <v>629</v>
      </c>
      <c r="E486" s="1" t="s">
        <v>58</v>
      </c>
      <c r="F486" s="2">
        <v>25400.0</v>
      </c>
      <c r="G486" s="1" t="s">
        <v>266</v>
      </c>
      <c r="H486" s="1">
        <v>83.0</v>
      </c>
      <c r="I486" s="1" t="s">
        <v>1231</v>
      </c>
      <c r="J486" s="1">
        <v>6.0</v>
      </c>
      <c r="K486" s="2">
        <v>42907.0</v>
      </c>
      <c r="M486" s="1">
        <v>0.0</v>
      </c>
      <c r="N486" s="1" t="s">
        <v>75</v>
      </c>
      <c r="O486" s="1" t="s">
        <v>76</v>
      </c>
      <c r="P486" s="1" t="s">
        <v>4749</v>
      </c>
      <c r="S486" s="1" t="s">
        <v>549</v>
      </c>
      <c r="T486" s="1">
        <v>242.0</v>
      </c>
      <c r="U486" s="3" t="s">
        <v>4750</v>
      </c>
      <c r="V486" s="1">
        <v>721784.0</v>
      </c>
      <c r="W486" s="1" t="s">
        <v>4751</v>
      </c>
      <c r="X486" s="3" t="s">
        <v>4752</v>
      </c>
      <c r="Y486" s="3" t="s">
        <v>4753</v>
      </c>
      <c r="Z486" s="1">
        <v>1.0</v>
      </c>
      <c r="AA486" s="1" t="s">
        <v>4754</v>
      </c>
      <c r="AB486" s="1">
        <v>16.0</v>
      </c>
      <c r="AC486" s="1">
        <v>27.0</v>
      </c>
      <c r="AD486" s="1">
        <v>10.0</v>
      </c>
      <c r="AE486" s="1">
        <v>7.0</v>
      </c>
      <c r="AF486" s="1">
        <v>0.0</v>
      </c>
      <c r="AG486" s="1">
        <v>0.0</v>
      </c>
      <c r="AH486" s="1">
        <v>48.0</v>
      </c>
      <c r="AI486" s="1">
        <v>13.0</v>
      </c>
      <c r="AJ486" s="1">
        <v>1.0</v>
      </c>
      <c r="AK486" s="1">
        <v>0.0</v>
      </c>
      <c r="AL486" s="1">
        <v>5.0</v>
      </c>
      <c r="AM486" s="1">
        <v>5.0</v>
      </c>
      <c r="AN486" s="1">
        <v>1.0</v>
      </c>
    </row>
    <row r="487">
      <c r="A487" s="1">
        <v>403.0</v>
      </c>
      <c r="B487" s="1" t="s">
        <v>4755</v>
      </c>
      <c r="C487" s="1" t="s">
        <v>4756</v>
      </c>
      <c r="D487" s="1" t="s">
        <v>57</v>
      </c>
      <c r="E487" s="1" t="s">
        <v>58</v>
      </c>
      <c r="F487" s="2">
        <v>30668.0</v>
      </c>
      <c r="G487" s="1" t="s">
        <v>4276</v>
      </c>
      <c r="H487" s="1">
        <v>83.0</v>
      </c>
      <c r="I487" s="1" t="s">
        <v>1231</v>
      </c>
      <c r="J487" s="1">
        <v>7.0</v>
      </c>
      <c r="K487" s="2">
        <v>42907.0</v>
      </c>
      <c r="M487" s="1">
        <v>0.0</v>
      </c>
      <c r="N487" s="1" t="s">
        <v>75</v>
      </c>
      <c r="O487" s="1" t="s">
        <v>76</v>
      </c>
      <c r="P487" s="1" t="s">
        <v>4757</v>
      </c>
      <c r="S487" s="1" t="s">
        <v>4758</v>
      </c>
      <c r="T487" s="1">
        <v>479.0</v>
      </c>
      <c r="U487" s="3" t="s">
        <v>4759</v>
      </c>
      <c r="V487" s="1">
        <v>721792.0</v>
      </c>
      <c r="W487" s="1" t="s">
        <v>4760</v>
      </c>
      <c r="X487" s="3" t="s">
        <v>4761</v>
      </c>
      <c r="Y487" s="3" t="s">
        <v>4762</v>
      </c>
      <c r="Z487" s="1">
        <v>1.0</v>
      </c>
      <c r="AA487" s="1" t="s">
        <v>4763</v>
      </c>
      <c r="AB487" s="1">
        <v>16.0</v>
      </c>
      <c r="AC487" s="1">
        <v>19.0</v>
      </c>
      <c r="AD487" s="1">
        <v>7.0</v>
      </c>
      <c r="AE487" s="1">
        <v>4.0</v>
      </c>
      <c r="AF487" s="1">
        <v>0.0</v>
      </c>
      <c r="AG487" s="1">
        <v>0.0</v>
      </c>
      <c r="AH487" s="1">
        <v>30.0</v>
      </c>
      <c r="AI487" s="1">
        <v>2.0</v>
      </c>
      <c r="AJ487" s="1">
        <v>0.0</v>
      </c>
      <c r="AK487" s="1">
        <v>0.0</v>
      </c>
      <c r="AL487" s="1">
        <v>8.0</v>
      </c>
      <c r="AM487" s="1">
        <v>6.0</v>
      </c>
      <c r="AN487" s="1">
        <v>1.0</v>
      </c>
    </row>
    <row r="488">
      <c r="A488" s="1">
        <v>444.0</v>
      </c>
      <c r="B488" s="1" t="s">
        <v>4764</v>
      </c>
      <c r="C488" s="1" t="s">
        <v>4765</v>
      </c>
      <c r="D488" s="1" t="s">
        <v>3905</v>
      </c>
      <c r="E488" s="1" t="s">
        <v>58</v>
      </c>
      <c r="F488" s="2">
        <v>21069.0</v>
      </c>
      <c r="G488" s="1" t="s">
        <v>4766</v>
      </c>
      <c r="H488" s="1">
        <v>977.0</v>
      </c>
      <c r="I488" s="1" t="s">
        <v>4767</v>
      </c>
      <c r="J488" s="1">
        <v>1.0</v>
      </c>
      <c r="K488" s="2">
        <v>42907.0</v>
      </c>
      <c r="M488" s="1">
        <v>0.0</v>
      </c>
      <c r="N488" s="1" t="s">
        <v>61</v>
      </c>
      <c r="O488" s="1" t="s">
        <v>62</v>
      </c>
      <c r="S488" s="1" t="s">
        <v>4768</v>
      </c>
      <c r="T488" s="1">
        <v>40.0</v>
      </c>
      <c r="U488" s="3" t="s">
        <v>4769</v>
      </c>
      <c r="V488" s="1">
        <v>721126.0</v>
      </c>
      <c r="W488" s="1" t="s">
        <v>4770</v>
      </c>
      <c r="X488" s="3" t="s">
        <v>4771</v>
      </c>
      <c r="Y488" s="3" t="s">
        <v>4772</v>
      </c>
      <c r="Z488" s="1">
        <v>1.0</v>
      </c>
      <c r="AB488" s="1">
        <v>16.0</v>
      </c>
      <c r="AC488" s="1">
        <v>36.0</v>
      </c>
      <c r="AD488" s="1">
        <v>3.0</v>
      </c>
      <c r="AE488" s="1">
        <v>1.0</v>
      </c>
      <c r="AF488" s="1">
        <v>1.0</v>
      </c>
      <c r="AG488" s="1">
        <v>1.0</v>
      </c>
      <c r="AH488" s="1">
        <v>249.0</v>
      </c>
      <c r="AI488" s="1">
        <v>15.0</v>
      </c>
      <c r="AJ488" s="1">
        <v>0.0</v>
      </c>
      <c r="AK488" s="1">
        <v>0.0</v>
      </c>
      <c r="AL488" s="1">
        <v>3.0</v>
      </c>
      <c r="AM488" s="1">
        <v>0.0</v>
      </c>
      <c r="AN488" s="1">
        <v>1.0</v>
      </c>
    </row>
    <row r="489">
      <c r="A489" s="1">
        <v>473.0</v>
      </c>
      <c r="B489" s="1" t="s">
        <v>4773</v>
      </c>
      <c r="C489" s="1" t="s">
        <v>4774</v>
      </c>
      <c r="D489" s="1" t="s">
        <v>866</v>
      </c>
      <c r="E489" s="1" t="s">
        <v>43</v>
      </c>
      <c r="F489" s="2">
        <v>33568.0</v>
      </c>
      <c r="G489" s="1" t="s">
        <v>4349</v>
      </c>
      <c r="H489" s="1">
        <v>85.0</v>
      </c>
      <c r="I489" s="1" t="s">
        <v>1853</v>
      </c>
      <c r="J489" s="1">
        <v>5.0</v>
      </c>
      <c r="K489" s="2">
        <v>42907.0</v>
      </c>
      <c r="M489" s="1">
        <v>0.0</v>
      </c>
      <c r="N489" s="1" t="s">
        <v>75</v>
      </c>
      <c r="O489" s="1" t="s">
        <v>76</v>
      </c>
      <c r="P489" s="1" t="s">
        <v>4775</v>
      </c>
      <c r="S489" s="1" t="s">
        <v>269</v>
      </c>
      <c r="T489" s="1">
        <v>466.0</v>
      </c>
      <c r="U489" s="3" t="s">
        <v>4776</v>
      </c>
      <c r="V489" s="1">
        <v>722070.0</v>
      </c>
      <c r="W489" s="1" t="s">
        <v>4777</v>
      </c>
      <c r="X489" s="3" t="s">
        <v>4778</v>
      </c>
      <c r="Y489" s="3" t="s">
        <v>4779</v>
      </c>
      <c r="Z489" s="1">
        <v>1.0</v>
      </c>
      <c r="AA489" s="1" t="s">
        <v>4780</v>
      </c>
      <c r="AB489" s="1">
        <v>16.0</v>
      </c>
      <c r="AC489" s="1">
        <v>29.0</v>
      </c>
      <c r="AD489" s="1">
        <v>8.0</v>
      </c>
      <c r="AE489" s="1">
        <v>8.0</v>
      </c>
      <c r="AF489" s="1">
        <v>1.0</v>
      </c>
      <c r="AG489" s="1">
        <v>0.0</v>
      </c>
      <c r="AH489" s="1">
        <v>41.0</v>
      </c>
      <c r="AI489" s="1">
        <v>12.0</v>
      </c>
      <c r="AJ489" s="1">
        <v>1.0</v>
      </c>
      <c r="AK489" s="1">
        <v>0.0</v>
      </c>
      <c r="AL489" s="1">
        <v>6.0</v>
      </c>
      <c r="AM489" s="1">
        <v>6.0</v>
      </c>
      <c r="AN489" s="1">
        <v>1.0</v>
      </c>
    </row>
    <row r="490">
      <c r="A490" s="1">
        <v>270.0</v>
      </c>
      <c r="B490" s="1" t="s">
        <v>4781</v>
      </c>
      <c r="C490" s="1" t="s">
        <v>4782</v>
      </c>
      <c r="D490" s="1" t="s">
        <v>4783</v>
      </c>
      <c r="E490" s="1" t="s">
        <v>58</v>
      </c>
      <c r="F490" s="2">
        <v>30305.0</v>
      </c>
      <c r="G490" s="1" t="s">
        <v>4784</v>
      </c>
      <c r="H490" s="1">
        <v>50.0</v>
      </c>
      <c r="I490" s="1" t="s">
        <v>2472</v>
      </c>
      <c r="J490" s="1">
        <v>4.0</v>
      </c>
      <c r="K490" s="2">
        <v>42907.0</v>
      </c>
      <c r="M490" s="1">
        <v>0.0</v>
      </c>
      <c r="N490" s="1" t="s">
        <v>75</v>
      </c>
      <c r="O490" s="1" t="s">
        <v>76</v>
      </c>
      <c r="P490" s="1" t="s">
        <v>4785</v>
      </c>
      <c r="S490" s="1" t="s">
        <v>234</v>
      </c>
      <c r="T490" s="1">
        <v>633.0</v>
      </c>
      <c r="U490" s="3" t="s">
        <v>4786</v>
      </c>
      <c r="V490" s="1">
        <v>720202.0</v>
      </c>
      <c r="W490" s="1" t="s">
        <v>4787</v>
      </c>
      <c r="X490" s="3" t="s">
        <v>4788</v>
      </c>
      <c r="Y490" s="3" t="s">
        <v>4789</v>
      </c>
      <c r="Z490" s="1">
        <v>1.0</v>
      </c>
      <c r="AA490" s="1" t="s">
        <v>4790</v>
      </c>
      <c r="AB490" s="1">
        <v>16.0</v>
      </c>
      <c r="AC490" s="1">
        <v>44.0</v>
      </c>
      <c r="AD490" s="1">
        <v>15.0</v>
      </c>
      <c r="AE490" s="1">
        <v>9.0</v>
      </c>
      <c r="AF490" s="1">
        <v>1.0</v>
      </c>
      <c r="AG490" s="1">
        <v>0.0</v>
      </c>
      <c r="AH490" s="1">
        <v>16.0</v>
      </c>
      <c r="AI490" s="1">
        <v>8.0</v>
      </c>
      <c r="AJ490" s="1">
        <v>0.0</v>
      </c>
      <c r="AK490" s="1">
        <v>0.0</v>
      </c>
      <c r="AL490" s="1">
        <v>6.0</v>
      </c>
      <c r="AM490" s="1">
        <v>1.0</v>
      </c>
      <c r="AN490" s="1">
        <v>1.0</v>
      </c>
    </row>
    <row r="491">
      <c r="A491" s="1">
        <v>282.0</v>
      </c>
      <c r="B491" s="1" t="s">
        <v>4791</v>
      </c>
      <c r="C491" s="1" t="s">
        <v>4792</v>
      </c>
      <c r="D491" s="1" t="s">
        <v>3874</v>
      </c>
      <c r="E491" s="1" t="s">
        <v>43</v>
      </c>
      <c r="F491" s="2">
        <v>20978.0</v>
      </c>
      <c r="G491" s="1" t="s">
        <v>4793</v>
      </c>
      <c r="H491" s="1">
        <v>16.0</v>
      </c>
      <c r="I491" s="1" t="s">
        <v>1264</v>
      </c>
      <c r="J491" s="1">
        <v>3.0</v>
      </c>
      <c r="K491" s="2">
        <v>42907.0</v>
      </c>
      <c r="M491" s="1">
        <v>0.0</v>
      </c>
      <c r="N491" s="1" t="s">
        <v>115</v>
      </c>
      <c r="O491" s="1" t="s">
        <v>116</v>
      </c>
      <c r="P491" s="3" t="s">
        <v>4794</v>
      </c>
      <c r="S491" s="1" t="s">
        <v>4795</v>
      </c>
      <c r="T491" s="1">
        <v>578.0</v>
      </c>
      <c r="U491" s="3" t="s">
        <v>4796</v>
      </c>
      <c r="V491" s="1">
        <v>1809.0</v>
      </c>
      <c r="W491" s="1" t="s">
        <v>4797</v>
      </c>
      <c r="X491" s="3" t="s">
        <v>4798</v>
      </c>
      <c r="Y491" s="3" t="s">
        <v>4799</v>
      </c>
      <c r="Z491" s="1">
        <v>1.0</v>
      </c>
      <c r="AA491" s="1" t="s">
        <v>4800</v>
      </c>
      <c r="AB491" s="1">
        <v>16.0</v>
      </c>
      <c r="AC491" s="1">
        <v>29.0</v>
      </c>
      <c r="AD491" s="1">
        <v>22.0</v>
      </c>
      <c r="AE491" s="1">
        <v>2.0</v>
      </c>
      <c r="AF491" s="1">
        <v>16.0</v>
      </c>
      <c r="AG491" s="1">
        <v>0.0</v>
      </c>
      <c r="AH491" s="1">
        <v>1001.0</v>
      </c>
      <c r="AI491" s="1">
        <v>69.0</v>
      </c>
      <c r="AJ491" s="1">
        <v>0.0</v>
      </c>
      <c r="AK491" s="1">
        <v>0.0</v>
      </c>
      <c r="AL491" s="1">
        <v>5.0</v>
      </c>
      <c r="AM491" s="1">
        <v>10.0</v>
      </c>
      <c r="AN491" s="1">
        <v>0.0</v>
      </c>
    </row>
    <row r="492">
      <c r="A492" s="1">
        <v>290.0</v>
      </c>
      <c r="B492" s="1" t="s">
        <v>4801</v>
      </c>
      <c r="C492" s="1" t="s">
        <v>4802</v>
      </c>
      <c r="D492" s="1" t="s">
        <v>4803</v>
      </c>
      <c r="E492" s="1" t="s">
        <v>43</v>
      </c>
      <c r="F492" s="2">
        <v>21583.0</v>
      </c>
      <c r="G492" s="1" t="s">
        <v>207</v>
      </c>
      <c r="H492" s="1">
        <v>41.0</v>
      </c>
      <c r="I492" s="1" t="s">
        <v>1741</v>
      </c>
      <c r="J492" s="1">
        <v>3.0</v>
      </c>
      <c r="K492" s="2">
        <v>42907.0</v>
      </c>
      <c r="M492" s="1">
        <v>0.0</v>
      </c>
      <c r="N492" s="1" t="s">
        <v>46</v>
      </c>
      <c r="O492" s="1" t="s">
        <v>47</v>
      </c>
      <c r="P492" s="1" t="s">
        <v>4804</v>
      </c>
      <c r="S492" s="1" t="s">
        <v>4805</v>
      </c>
      <c r="T492" s="1">
        <v>111.0</v>
      </c>
      <c r="U492" s="3" t="s">
        <v>4806</v>
      </c>
      <c r="V492" s="1">
        <v>1960.0</v>
      </c>
      <c r="W492" s="1" t="s">
        <v>4807</v>
      </c>
      <c r="X492" s="3" t="s">
        <v>4808</v>
      </c>
      <c r="Y492" s="3" t="s">
        <v>4809</v>
      </c>
      <c r="Z492" s="1">
        <v>1.0</v>
      </c>
      <c r="AA492" s="1" t="s">
        <v>4810</v>
      </c>
      <c r="AB492" s="1">
        <v>16.0</v>
      </c>
      <c r="AC492" s="1">
        <v>24.0</v>
      </c>
      <c r="AD492" s="1">
        <v>12.0</v>
      </c>
      <c r="AE492" s="1">
        <v>12.0</v>
      </c>
      <c r="AF492" s="1">
        <v>71.0</v>
      </c>
      <c r="AG492" s="1">
        <v>10.0</v>
      </c>
      <c r="AH492" s="1">
        <v>612.0</v>
      </c>
      <c r="AI492" s="1">
        <v>27.0</v>
      </c>
      <c r="AJ492" s="1">
        <v>2.0</v>
      </c>
      <c r="AK492" s="1">
        <v>0.0</v>
      </c>
      <c r="AL492" s="1">
        <v>7.0</v>
      </c>
      <c r="AM492" s="1">
        <v>23.0</v>
      </c>
      <c r="AN492" s="1">
        <v>1.0</v>
      </c>
    </row>
    <row r="493">
      <c r="A493" s="1">
        <v>158.0</v>
      </c>
      <c r="B493" s="1" t="s">
        <v>4811</v>
      </c>
      <c r="C493" s="1" t="s">
        <v>3302</v>
      </c>
      <c r="D493" s="1" t="s">
        <v>3658</v>
      </c>
      <c r="E493" s="1" t="s">
        <v>58</v>
      </c>
      <c r="F493" s="2">
        <v>18031.0</v>
      </c>
      <c r="G493" s="1" t="s">
        <v>4812</v>
      </c>
      <c r="H493" s="1">
        <v>62.0</v>
      </c>
      <c r="I493" s="1" t="s">
        <v>427</v>
      </c>
      <c r="J493" s="1">
        <v>2.0</v>
      </c>
      <c r="K493" s="2">
        <v>42907.0</v>
      </c>
      <c r="M493" s="1">
        <v>0.0</v>
      </c>
      <c r="N493" s="1" t="s">
        <v>75</v>
      </c>
      <c r="O493" s="1" t="s">
        <v>76</v>
      </c>
      <c r="P493" s="1" t="s">
        <v>4813</v>
      </c>
      <c r="S493" s="1" t="s">
        <v>4814</v>
      </c>
      <c r="T493" s="1">
        <v>442.0</v>
      </c>
      <c r="U493" s="3" t="s">
        <v>4815</v>
      </c>
      <c r="V493" s="1">
        <v>334116.0</v>
      </c>
      <c r="W493" s="1" t="s">
        <v>4816</v>
      </c>
      <c r="X493" s="3" t="s">
        <v>4817</v>
      </c>
      <c r="Y493" s="3" t="s">
        <v>4818</v>
      </c>
      <c r="Z493" s="1">
        <v>1.0</v>
      </c>
      <c r="AA493" s="1" t="s">
        <v>4819</v>
      </c>
      <c r="AB493" s="1">
        <v>16.0</v>
      </c>
      <c r="AC493" s="1">
        <v>26.0</v>
      </c>
      <c r="AD493" s="1">
        <v>2.0</v>
      </c>
      <c r="AE493" s="1">
        <v>1.0</v>
      </c>
      <c r="AF493" s="1">
        <v>0.0</v>
      </c>
      <c r="AG493" s="1">
        <v>0.0</v>
      </c>
      <c r="AH493" s="1">
        <v>16.0</v>
      </c>
      <c r="AI493" s="1">
        <v>7.0</v>
      </c>
      <c r="AJ493" s="1">
        <v>0.0</v>
      </c>
      <c r="AK493" s="1">
        <v>0.0</v>
      </c>
      <c r="AL493" s="1">
        <v>7.0</v>
      </c>
      <c r="AM493" s="1">
        <v>15.0</v>
      </c>
      <c r="AN493" s="1">
        <v>1.0</v>
      </c>
    </row>
    <row r="494">
      <c r="A494" s="1">
        <v>392.0</v>
      </c>
      <c r="B494" s="1" t="s">
        <v>4820</v>
      </c>
      <c r="C494" s="1" t="s">
        <v>4821</v>
      </c>
      <c r="D494" s="1" t="s">
        <v>651</v>
      </c>
      <c r="E494" s="1" t="s">
        <v>58</v>
      </c>
      <c r="F494" s="2">
        <v>32080.0</v>
      </c>
      <c r="G494" s="1" t="s">
        <v>1761</v>
      </c>
      <c r="H494" s="1">
        <v>83.0</v>
      </c>
      <c r="I494" s="1" t="s">
        <v>1231</v>
      </c>
      <c r="J494" s="1">
        <v>2.0</v>
      </c>
      <c r="K494" s="2">
        <v>42907.0</v>
      </c>
      <c r="M494" s="1">
        <v>0.0</v>
      </c>
      <c r="N494" s="1" t="s">
        <v>75</v>
      </c>
      <c r="O494" s="1" t="s">
        <v>76</v>
      </c>
      <c r="P494" s="1" t="s">
        <v>4822</v>
      </c>
      <c r="S494" s="1" t="s">
        <v>4823</v>
      </c>
      <c r="T494" s="1">
        <v>195.0</v>
      </c>
      <c r="U494" s="3" t="s">
        <v>4824</v>
      </c>
      <c r="V494" s="1">
        <v>721656.0</v>
      </c>
      <c r="W494" s="1" t="s">
        <v>4825</v>
      </c>
      <c r="X494" s="3" t="s">
        <v>4826</v>
      </c>
      <c r="Y494" s="3" t="s">
        <v>4827</v>
      </c>
      <c r="Z494" s="1">
        <v>1.0</v>
      </c>
      <c r="AA494" s="1" t="s">
        <v>4828</v>
      </c>
      <c r="AB494" s="1">
        <v>16.0</v>
      </c>
      <c r="AC494" s="1">
        <v>21.0</v>
      </c>
      <c r="AD494" s="1">
        <v>4.0</v>
      </c>
      <c r="AE494" s="1">
        <v>1.0</v>
      </c>
      <c r="AF494" s="1">
        <v>0.0</v>
      </c>
      <c r="AG494" s="1">
        <v>0.0</v>
      </c>
      <c r="AH494" s="1">
        <v>91.0</v>
      </c>
      <c r="AI494" s="1">
        <v>72.0</v>
      </c>
      <c r="AJ494" s="1">
        <v>0.0</v>
      </c>
      <c r="AK494" s="1">
        <v>0.0</v>
      </c>
      <c r="AL494" s="1">
        <v>5.0</v>
      </c>
      <c r="AM494" s="1">
        <v>1.0</v>
      </c>
      <c r="AN494" s="1">
        <v>1.0</v>
      </c>
    </row>
    <row r="495">
      <c r="A495" s="1">
        <v>579.0</v>
      </c>
      <c r="B495" s="1" t="s">
        <v>4829</v>
      </c>
      <c r="C495" s="1" t="s">
        <v>4830</v>
      </c>
      <c r="D495" s="1" t="s">
        <v>738</v>
      </c>
      <c r="E495" s="1" t="s">
        <v>58</v>
      </c>
      <c r="F495" s="2">
        <v>31406.0</v>
      </c>
      <c r="G495" s="1" t="s">
        <v>4831</v>
      </c>
      <c r="H495" s="1">
        <v>75.0</v>
      </c>
      <c r="I495" s="1" t="s">
        <v>232</v>
      </c>
      <c r="J495" s="1">
        <v>16.0</v>
      </c>
      <c r="K495" s="2">
        <v>42938.0</v>
      </c>
      <c r="M495" s="1">
        <v>0.0</v>
      </c>
      <c r="N495" s="1" t="s">
        <v>75</v>
      </c>
      <c r="O495" s="1" t="s">
        <v>76</v>
      </c>
      <c r="P495" s="1" t="s">
        <v>4832</v>
      </c>
      <c r="S495" s="1" t="s">
        <v>2484</v>
      </c>
      <c r="T495" s="1">
        <v>240.0</v>
      </c>
      <c r="U495" s="3" t="s">
        <v>4833</v>
      </c>
      <c r="V495" s="1">
        <v>721956.0</v>
      </c>
      <c r="W495" s="1" t="s">
        <v>4834</v>
      </c>
      <c r="X495" s="3" t="s">
        <v>4835</v>
      </c>
      <c r="Y495" s="3" t="s">
        <v>4836</v>
      </c>
      <c r="Z495" s="1">
        <v>1.0</v>
      </c>
      <c r="AA495" s="1" t="s">
        <v>4837</v>
      </c>
      <c r="AB495" s="1">
        <v>16.0</v>
      </c>
      <c r="AC495" s="1">
        <v>30.0</v>
      </c>
      <c r="AD495" s="1">
        <v>5.0</v>
      </c>
      <c r="AE495" s="1">
        <v>3.0</v>
      </c>
      <c r="AF495" s="1">
        <v>0.0</v>
      </c>
      <c r="AG495" s="1">
        <v>0.0</v>
      </c>
      <c r="AH495" s="1">
        <v>13.0</v>
      </c>
      <c r="AI495" s="1">
        <v>8.0</v>
      </c>
      <c r="AJ495" s="1">
        <v>0.0</v>
      </c>
      <c r="AK495" s="1">
        <v>0.0</v>
      </c>
      <c r="AL495" s="1">
        <v>5.0</v>
      </c>
      <c r="AM495" s="1">
        <v>0.0</v>
      </c>
      <c r="AN495" s="1">
        <v>1.0</v>
      </c>
    </row>
    <row r="496">
      <c r="A496" s="1">
        <v>195.0</v>
      </c>
      <c r="B496" s="1" t="s">
        <v>4838</v>
      </c>
      <c r="C496" s="1" t="s">
        <v>4839</v>
      </c>
      <c r="D496" s="1" t="s">
        <v>323</v>
      </c>
      <c r="E496" s="1" t="s">
        <v>43</v>
      </c>
      <c r="F496" s="2">
        <v>30828.0</v>
      </c>
      <c r="G496" s="1" t="s">
        <v>4072</v>
      </c>
      <c r="H496" s="1">
        <v>95.0</v>
      </c>
      <c r="I496" s="1" t="s">
        <v>302</v>
      </c>
      <c r="J496" s="1">
        <v>10.0</v>
      </c>
      <c r="K496" s="2">
        <v>42907.0</v>
      </c>
      <c r="M496" s="1">
        <v>0.0</v>
      </c>
      <c r="N496" s="1" t="s">
        <v>75</v>
      </c>
      <c r="O496" s="1" t="s">
        <v>76</v>
      </c>
      <c r="P496" s="1" t="s">
        <v>4840</v>
      </c>
      <c r="S496" s="1" t="s">
        <v>118</v>
      </c>
      <c r="T496" s="1">
        <v>412.0</v>
      </c>
      <c r="U496" s="3" t="s">
        <v>4841</v>
      </c>
      <c r="V496" s="1">
        <v>720952.0</v>
      </c>
      <c r="W496" s="1" t="s">
        <v>4842</v>
      </c>
      <c r="X496" s="3" t="s">
        <v>4843</v>
      </c>
      <c r="Y496" s="3" t="s">
        <v>4844</v>
      </c>
      <c r="Z496" s="1">
        <v>1.0</v>
      </c>
      <c r="AA496" s="1" t="s">
        <v>4845</v>
      </c>
      <c r="AB496" s="1">
        <v>16.0</v>
      </c>
      <c r="AC496" s="1">
        <v>34.0</v>
      </c>
      <c r="AD496" s="1">
        <v>19.0</v>
      </c>
      <c r="AE496" s="1">
        <v>78.0</v>
      </c>
      <c r="AF496" s="1">
        <v>7.0</v>
      </c>
      <c r="AG496" s="1">
        <v>14.0</v>
      </c>
      <c r="AH496" s="1">
        <v>65.0</v>
      </c>
      <c r="AI496" s="1">
        <v>26.0</v>
      </c>
      <c r="AJ496" s="1">
        <v>0.0</v>
      </c>
      <c r="AK496" s="1">
        <v>0.0</v>
      </c>
      <c r="AL496" s="1">
        <v>5.0</v>
      </c>
      <c r="AM496" s="1">
        <v>2.0</v>
      </c>
      <c r="AN496" s="1">
        <v>1.0</v>
      </c>
    </row>
    <row r="497">
      <c r="A497" s="1">
        <v>540.0</v>
      </c>
      <c r="B497" s="1" t="s">
        <v>4846</v>
      </c>
      <c r="C497" s="1" t="s">
        <v>4847</v>
      </c>
      <c r="D497" s="1" t="s">
        <v>4848</v>
      </c>
      <c r="E497" s="1" t="s">
        <v>58</v>
      </c>
      <c r="F497" s="2">
        <v>31332.0</v>
      </c>
      <c r="G497" s="1" t="s">
        <v>4849</v>
      </c>
      <c r="H497" s="1">
        <v>26.0</v>
      </c>
      <c r="I497" s="1" t="s">
        <v>1873</v>
      </c>
      <c r="J497" s="1">
        <v>2.0</v>
      </c>
      <c r="K497" s="2">
        <v>42907.0</v>
      </c>
      <c r="M497" s="1">
        <v>0.0</v>
      </c>
      <c r="N497" s="1" t="s">
        <v>75</v>
      </c>
      <c r="O497" s="1" t="s">
        <v>76</v>
      </c>
      <c r="P497" s="1" t="s">
        <v>4850</v>
      </c>
      <c r="S497" s="1" t="s">
        <v>304</v>
      </c>
      <c r="T497" s="1">
        <v>452.0</v>
      </c>
      <c r="U497" s="3" t="s">
        <v>4851</v>
      </c>
      <c r="V497" s="1">
        <v>719302.0</v>
      </c>
      <c r="W497" s="1" t="s">
        <v>4852</v>
      </c>
      <c r="X497" s="3" t="s">
        <v>4853</v>
      </c>
      <c r="Y497" s="3" t="s">
        <v>4854</v>
      </c>
      <c r="Z497" s="1">
        <v>1.0</v>
      </c>
      <c r="AA497" s="1" t="s">
        <v>4855</v>
      </c>
      <c r="AB497" s="1">
        <v>16.0</v>
      </c>
      <c r="AC497" s="1">
        <v>31.0</v>
      </c>
      <c r="AD497" s="1">
        <v>7.0</v>
      </c>
      <c r="AE497" s="1">
        <v>28.0</v>
      </c>
      <c r="AF497" s="1">
        <v>4.0</v>
      </c>
      <c r="AG497" s="1">
        <v>4.0</v>
      </c>
      <c r="AH497" s="1">
        <v>126.0</v>
      </c>
      <c r="AI497" s="1">
        <v>58.0</v>
      </c>
      <c r="AJ497" s="1">
        <v>1.0</v>
      </c>
      <c r="AK497" s="1">
        <v>0.0</v>
      </c>
      <c r="AL497" s="1">
        <v>5.0</v>
      </c>
      <c r="AM497" s="1">
        <v>3.0</v>
      </c>
      <c r="AN497" s="1">
        <v>0.0</v>
      </c>
    </row>
    <row r="498">
      <c r="A498" s="1">
        <v>542.0</v>
      </c>
      <c r="B498" s="1" t="s">
        <v>4856</v>
      </c>
      <c r="C498" s="1" t="s">
        <v>4857</v>
      </c>
      <c r="D498" s="1" t="s">
        <v>810</v>
      </c>
      <c r="E498" s="1" t="s">
        <v>43</v>
      </c>
      <c r="F498" s="2">
        <v>21921.0</v>
      </c>
      <c r="G498" s="1" t="s">
        <v>3677</v>
      </c>
      <c r="H498" s="1">
        <v>78.0</v>
      </c>
      <c r="I498" s="1" t="s">
        <v>74</v>
      </c>
      <c r="J498" s="1">
        <v>8.0</v>
      </c>
      <c r="K498" s="2">
        <v>42907.0</v>
      </c>
      <c r="M498" s="1">
        <v>0.0</v>
      </c>
      <c r="N498" s="1" t="s">
        <v>61</v>
      </c>
      <c r="O498" s="1" t="s">
        <v>62</v>
      </c>
      <c r="P498" s="1" t="s">
        <v>4858</v>
      </c>
      <c r="S498" s="1" t="s">
        <v>234</v>
      </c>
      <c r="T498" s="1">
        <v>148.0</v>
      </c>
      <c r="U498" s="3" t="s">
        <v>4859</v>
      </c>
      <c r="V498" s="1">
        <v>721968.0</v>
      </c>
      <c r="W498" s="1" t="s">
        <v>4860</v>
      </c>
      <c r="X498" s="3" t="s">
        <v>4861</v>
      </c>
      <c r="Y498" s="3" t="s">
        <v>4862</v>
      </c>
      <c r="Z498" s="1">
        <v>2.0</v>
      </c>
      <c r="AA498" s="1" t="s">
        <v>4863</v>
      </c>
      <c r="AB498" s="1">
        <v>16.0</v>
      </c>
      <c r="AC498" s="1">
        <v>22.0</v>
      </c>
      <c r="AD498" s="1">
        <v>1.0</v>
      </c>
      <c r="AE498" s="1">
        <v>10.0</v>
      </c>
      <c r="AF498" s="1">
        <v>1.0</v>
      </c>
      <c r="AG498" s="1">
        <v>6.0</v>
      </c>
      <c r="AH498" s="1">
        <v>1275.0</v>
      </c>
      <c r="AI498" s="1">
        <v>34.0</v>
      </c>
      <c r="AJ498" s="1">
        <v>1.0</v>
      </c>
      <c r="AK498" s="1">
        <v>0.0</v>
      </c>
      <c r="AL498" s="1">
        <v>80.0</v>
      </c>
      <c r="AM498" s="1">
        <v>2.0</v>
      </c>
      <c r="AN498" s="1">
        <v>1.0</v>
      </c>
    </row>
    <row r="499">
      <c r="A499" s="1">
        <v>535.0</v>
      </c>
      <c r="B499" s="1" t="s">
        <v>4864</v>
      </c>
      <c r="C499" s="1" t="s">
        <v>4865</v>
      </c>
      <c r="D499" s="1" t="s">
        <v>2776</v>
      </c>
      <c r="E499" s="1" t="s">
        <v>43</v>
      </c>
      <c r="F499" s="2">
        <v>26942.0</v>
      </c>
      <c r="G499" s="1" t="s">
        <v>4866</v>
      </c>
      <c r="H499" s="1">
        <v>91.0</v>
      </c>
      <c r="I499" s="1" t="s">
        <v>610</v>
      </c>
      <c r="J499" s="1">
        <v>5.0</v>
      </c>
      <c r="K499" s="2">
        <v>42907.0</v>
      </c>
      <c r="M499" s="1">
        <v>0.0</v>
      </c>
      <c r="N499" s="1" t="s">
        <v>75</v>
      </c>
      <c r="O499" s="1" t="s">
        <v>76</v>
      </c>
      <c r="P499" s="1" t="s">
        <v>4867</v>
      </c>
      <c r="S499" s="1" t="s">
        <v>1592</v>
      </c>
      <c r="T499" s="1">
        <v>356.0</v>
      </c>
      <c r="U499" s="3" t="s">
        <v>4868</v>
      </c>
      <c r="V499" s="1">
        <v>722260.0</v>
      </c>
      <c r="W499" s="1" t="s">
        <v>4869</v>
      </c>
      <c r="X499" s="3" t="s">
        <v>4870</v>
      </c>
      <c r="Y499" s="3" t="s">
        <v>4871</v>
      </c>
      <c r="Z499" s="1">
        <v>1.0</v>
      </c>
      <c r="AA499" s="1" t="s">
        <v>4872</v>
      </c>
      <c r="AB499" s="1">
        <v>16.0</v>
      </c>
      <c r="AC499" s="1">
        <v>24.0</v>
      </c>
      <c r="AD499" s="1">
        <v>162.0</v>
      </c>
      <c r="AE499" s="1">
        <v>12.0</v>
      </c>
      <c r="AF499" s="1">
        <v>2.0</v>
      </c>
      <c r="AG499" s="1">
        <v>4.0</v>
      </c>
      <c r="AH499" s="1">
        <v>68.0</v>
      </c>
      <c r="AI499" s="1">
        <v>28.0</v>
      </c>
      <c r="AJ499" s="1">
        <v>0.0</v>
      </c>
      <c r="AK499" s="1">
        <v>0.0</v>
      </c>
      <c r="AL499" s="1">
        <v>5.0</v>
      </c>
      <c r="AM499" s="1">
        <v>3.0</v>
      </c>
      <c r="AN499" s="1">
        <v>0.0</v>
      </c>
    </row>
    <row r="500">
      <c r="A500" s="1">
        <v>462.0</v>
      </c>
      <c r="B500" s="1" t="s">
        <v>4873</v>
      </c>
      <c r="C500" s="1" t="s">
        <v>4874</v>
      </c>
      <c r="D500" s="1" t="s">
        <v>4875</v>
      </c>
      <c r="E500" s="1" t="s">
        <v>58</v>
      </c>
      <c r="F500" s="2">
        <v>19161.0</v>
      </c>
      <c r="G500" s="1" t="s">
        <v>3350</v>
      </c>
      <c r="H500" s="1">
        <v>32.0</v>
      </c>
      <c r="I500" s="1" t="s">
        <v>825</v>
      </c>
      <c r="J500" s="1">
        <v>2.0</v>
      </c>
      <c r="K500" s="2">
        <v>42907.0</v>
      </c>
      <c r="M500" s="1">
        <v>0.0</v>
      </c>
      <c r="N500" s="1" t="s">
        <v>115</v>
      </c>
      <c r="O500" s="1" t="s">
        <v>116</v>
      </c>
      <c r="P500" s="1" t="s">
        <v>4876</v>
      </c>
      <c r="S500" s="1" t="s">
        <v>2679</v>
      </c>
      <c r="T500" s="1">
        <v>515.0</v>
      </c>
      <c r="U500" s="3" t="s">
        <v>4877</v>
      </c>
      <c r="V500" s="1">
        <v>508.0</v>
      </c>
      <c r="W500" s="1" t="s">
        <v>4878</v>
      </c>
      <c r="X500" s="3" t="s">
        <v>4879</v>
      </c>
      <c r="Y500" s="3" t="s">
        <v>4880</v>
      </c>
      <c r="Z500" s="1">
        <v>1.0</v>
      </c>
      <c r="AA500" s="1" t="s">
        <v>4881</v>
      </c>
      <c r="AB500" s="1">
        <v>15.0</v>
      </c>
      <c r="AC500" s="1">
        <v>24.0</v>
      </c>
      <c r="AD500" s="1">
        <v>20.0</v>
      </c>
      <c r="AE500" s="1">
        <v>35.0</v>
      </c>
      <c r="AF500" s="1">
        <v>7.0</v>
      </c>
      <c r="AG500" s="1">
        <v>12.0</v>
      </c>
      <c r="AH500" s="1">
        <v>1102.0</v>
      </c>
      <c r="AI500" s="1">
        <v>66.0</v>
      </c>
      <c r="AJ500" s="1">
        <v>0.0</v>
      </c>
      <c r="AK500" s="1">
        <v>0.0</v>
      </c>
      <c r="AL500" s="1">
        <v>5.0</v>
      </c>
      <c r="AM500" s="1">
        <v>19.0</v>
      </c>
      <c r="AN500" s="1">
        <v>5.0</v>
      </c>
    </row>
    <row r="501">
      <c r="A501" s="1">
        <v>303.0</v>
      </c>
      <c r="B501" s="1" t="s">
        <v>4882</v>
      </c>
      <c r="C501" s="1" t="s">
        <v>4883</v>
      </c>
      <c r="D501" s="1" t="s">
        <v>1540</v>
      </c>
      <c r="E501" s="1" t="s">
        <v>43</v>
      </c>
      <c r="F501" s="2">
        <v>23188.0</v>
      </c>
      <c r="G501" s="1" t="s">
        <v>4884</v>
      </c>
      <c r="H501" s="1">
        <v>80.0</v>
      </c>
      <c r="I501" s="1" t="s">
        <v>1148</v>
      </c>
      <c r="J501" s="1">
        <v>5.0</v>
      </c>
      <c r="K501" s="2">
        <v>42907.0</v>
      </c>
      <c r="M501" s="1">
        <v>0.0</v>
      </c>
      <c r="N501" s="1" t="s">
        <v>46</v>
      </c>
      <c r="O501" s="1" t="s">
        <v>47</v>
      </c>
      <c r="P501" s="1" t="s">
        <v>4885</v>
      </c>
      <c r="S501" s="1" t="s">
        <v>4886</v>
      </c>
      <c r="T501" s="1">
        <v>125.0</v>
      </c>
      <c r="U501" s="3" t="s">
        <v>4887</v>
      </c>
      <c r="V501" s="1">
        <v>267241.0</v>
      </c>
      <c r="W501" s="1" t="s">
        <v>4888</v>
      </c>
      <c r="X501" s="3" t="s">
        <v>4889</v>
      </c>
      <c r="Y501" s="3" t="s">
        <v>4890</v>
      </c>
      <c r="Z501" s="1">
        <v>2.0</v>
      </c>
      <c r="AB501" s="1">
        <v>15.0</v>
      </c>
      <c r="AC501" s="1">
        <v>18.0</v>
      </c>
      <c r="AD501" s="1">
        <v>10.0</v>
      </c>
      <c r="AE501" s="1">
        <v>22.0</v>
      </c>
      <c r="AF501" s="1">
        <v>2.0</v>
      </c>
      <c r="AG501" s="1">
        <v>1.0</v>
      </c>
      <c r="AH501" s="1">
        <v>477.0</v>
      </c>
      <c r="AI501" s="1">
        <v>31.0</v>
      </c>
      <c r="AJ501" s="1">
        <v>0.0</v>
      </c>
      <c r="AK501" s="1">
        <v>0.0</v>
      </c>
      <c r="AL501" s="1">
        <v>15.0</v>
      </c>
      <c r="AM501" s="1">
        <v>19.0</v>
      </c>
      <c r="AN501" s="1">
        <v>4.0</v>
      </c>
    </row>
    <row r="502">
      <c r="A502" s="1">
        <v>60.0</v>
      </c>
      <c r="B502" s="1" t="s">
        <v>4891</v>
      </c>
      <c r="C502" s="1" t="s">
        <v>3657</v>
      </c>
      <c r="D502" s="1" t="s">
        <v>4892</v>
      </c>
      <c r="E502" s="1" t="s">
        <v>58</v>
      </c>
      <c r="F502" s="2">
        <v>21171.0</v>
      </c>
      <c r="G502" s="1" t="s">
        <v>4893</v>
      </c>
      <c r="H502" s="1">
        <v>45.0</v>
      </c>
      <c r="I502" s="1" t="s">
        <v>2531</v>
      </c>
      <c r="J502" s="1">
        <v>5.0</v>
      </c>
      <c r="K502" s="2">
        <v>42907.0</v>
      </c>
      <c r="M502" s="1">
        <v>0.0</v>
      </c>
      <c r="N502" s="1" t="s">
        <v>61</v>
      </c>
      <c r="O502" s="1" t="s">
        <v>62</v>
      </c>
      <c r="P502" s="1" t="s">
        <v>4894</v>
      </c>
      <c r="S502" s="1">
        <v>0.0</v>
      </c>
      <c r="T502" s="1">
        <v>20.0</v>
      </c>
      <c r="U502" s="3" t="s">
        <v>4895</v>
      </c>
      <c r="V502" s="1">
        <v>342935.0</v>
      </c>
      <c r="W502" s="1" t="s">
        <v>4896</v>
      </c>
      <c r="X502" s="3" t="s">
        <v>4897</v>
      </c>
      <c r="Y502" s="3" t="s">
        <v>4898</v>
      </c>
      <c r="Z502" s="1">
        <v>1.0</v>
      </c>
      <c r="AA502" s="1" t="s">
        <v>4899</v>
      </c>
      <c r="AB502" s="1">
        <v>15.0</v>
      </c>
      <c r="AC502" s="1">
        <v>32.0</v>
      </c>
      <c r="AD502" s="1">
        <v>19.0</v>
      </c>
      <c r="AE502" s="1">
        <v>2.0</v>
      </c>
      <c r="AF502" s="1">
        <v>0.0</v>
      </c>
      <c r="AG502" s="1">
        <v>1.0</v>
      </c>
      <c r="AH502" s="1">
        <v>490.0</v>
      </c>
      <c r="AI502" s="1">
        <v>18.0</v>
      </c>
      <c r="AJ502" s="1">
        <v>0.0</v>
      </c>
      <c r="AK502" s="1">
        <v>0.0</v>
      </c>
      <c r="AL502" s="1">
        <v>41.0</v>
      </c>
      <c r="AM502" s="1">
        <v>8.0</v>
      </c>
      <c r="AN502" s="1">
        <v>0.0</v>
      </c>
    </row>
    <row r="503">
      <c r="A503" s="1">
        <v>440.0</v>
      </c>
      <c r="B503" s="1" t="s">
        <v>4900</v>
      </c>
      <c r="C503" s="1" t="s">
        <v>3676</v>
      </c>
      <c r="D503" s="1" t="s">
        <v>4901</v>
      </c>
      <c r="E503" s="1" t="s">
        <v>58</v>
      </c>
      <c r="F503" s="2">
        <v>22018.0</v>
      </c>
      <c r="G503" s="1" t="s">
        <v>4902</v>
      </c>
      <c r="H503" s="1">
        <v>30.0</v>
      </c>
      <c r="I503" s="1" t="s">
        <v>1751</v>
      </c>
      <c r="J503" s="1">
        <v>1.0</v>
      </c>
      <c r="K503" s="2">
        <v>42907.0</v>
      </c>
      <c r="M503" s="1">
        <v>0.0</v>
      </c>
      <c r="N503" s="1" t="s">
        <v>75</v>
      </c>
      <c r="O503" s="1" t="s">
        <v>76</v>
      </c>
      <c r="P503" s="1" t="s">
        <v>4903</v>
      </c>
      <c r="S503" s="1" t="s">
        <v>4904</v>
      </c>
      <c r="T503" s="1">
        <v>413.0</v>
      </c>
      <c r="U503" s="3" t="s">
        <v>4905</v>
      </c>
      <c r="V503" s="1">
        <v>606202.0</v>
      </c>
      <c r="W503" s="1" t="s">
        <v>4906</v>
      </c>
      <c r="X503" s="3" t="s">
        <v>4907</v>
      </c>
      <c r="Y503" s="3" t="s">
        <v>4908</v>
      </c>
      <c r="Z503" s="1">
        <v>2.0</v>
      </c>
      <c r="AA503" s="1" t="s">
        <v>4909</v>
      </c>
      <c r="AB503" s="1">
        <v>15.0</v>
      </c>
      <c r="AC503" s="1">
        <v>34.0</v>
      </c>
      <c r="AD503" s="1">
        <v>12.0</v>
      </c>
      <c r="AE503" s="1">
        <v>5.0</v>
      </c>
      <c r="AF503" s="1">
        <v>4.0</v>
      </c>
      <c r="AG503" s="1">
        <v>0.0</v>
      </c>
      <c r="AH503" s="1">
        <v>22.0</v>
      </c>
      <c r="AI503" s="1">
        <v>2.0</v>
      </c>
      <c r="AJ503" s="1">
        <v>0.0</v>
      </c>
      <c r="AK503" s="1">
        <v>0.0</v>
      </c>
      <c r="AL503" s="1">
        <v>6.0</v>
      </c>
      <c r="AM503" s="1">
        <v>12.0</v>
      </c>
      <c r="AN503" s="1">
        <v>2.0</v>
      </c>
    </row>
    <row r="504">
      <c r="A504" s="1">
        <v>481.0</v>
      </c>
      <c r="B504" s="1" t="s">
        <v>4910</v>
      </c>
      <c r="C504" s="1" t="s">
        <v>478</v>
      </c>
      <c r="D504" s="1" t="s">
        <v>694</v>
      </c>
      <c r="E504" s="1" t="s">
        <v>58</v>
      </c>
      <c r="F504" s="2">
        <v>21338.0</v>
      </c>
      <c r="G504" s="1" t="s">
        <v>4793</v>
      </c>
      <c r="H504" s="1">
        <v>14.0</v>
      </c>
      <c r="I504" s="1" t="s">
        <v>1137</v>
      </c>
      <c r="J504" s="1">
        <v>2.0</v>
      </c>
      <c r="K504" s="2">
        <v>42907.0</v>
      </c>
      <c r="M504" s="1">
        <v>0.0</v>
      </c>
      <c r="N504" s="1" t="s">
        <v>115</v>
      </c>
      <c r="O504" s="1" t="s">
        <v>116</v>
      </c>
      <c r="P504" s="1" t="s">
        <v>4911</v>
      </c>
      <c r="S504" s="1" t="s">
        <v>4912</v>
      </c>
      <c r="T504" s="1">
        <v>509.0</v>
      </c>
      <c r="U504" s="3" t="s">
        <v>4913</v>
      </c>
      <c r="V504" s="1">
        <v>1198.0</v>
      </c>
      <c r="W504" s="1" t="s">
        <v>4914</v>
      </c>
      <c r="X504" s="3" t="s">
        <v>4915</v>
      </c>
      <c r="Y504" s="3" t="s">
        <v>4916</v>
      </c>
      <c r="Z504" s="1">
        <v>1.0</v>
      </c>
      <c r="AA504" s="1" t="s">
        <v>4917</v>
      </c>
      <c r="AB504" s="1">
        <v>15.0</v>
      </c>
      <c r="AC504" s="1">
        <v>19.0</v>
      </c>
      <c r="AD504" s="1">
        <v>9.0</v>
      </c>
      <c r="AE504" s="1">
        <v>16.0</v>
      </c>
      <c r="AF504" s="1">
        <v>52.0</v>
      </c>
      <c r="AG504" s="1">
        <v>2.0</v>
      </c>
      <c r="AH504" s="1">
        <v>1095.0</v>
      </c>
      <c r="AI504" s="1">
        <v>72.0</v>
      </c>
      <c r="AJ504" s="1">
        <v>1.0</v>
      </c>
      <c r="AK504" s="1">
        <v>0.0</v>
      </c>
      <c r="AL504" s="1">
        <v>5.0</v>
      </c>
      <c r="AM504" s="1">
        <v>1.0</v>
      </c>
      <c r="AN504" s="1">
        <v>3.0</v>
      </c>
    </row>
    <row r="505">
      <c r="A505" s="1">
        <v>377.0</v>
      </c>
      <c r="B505" s="1" t="s">
        <v>4918</v>
      </c>
      <c r="C505" s="1" t="s">
        <v>4919</v>
      </c>
      <c r="D505" s="1" t="s">
        <v>2374</v>
      </c>
      <c r="E505" s="1" t="s">
        <v>43</v>
      </c>
      <c r="F505" s="2">
        <v>22347.0</v>
      </c>
      <c r="G505" s="1" t="s">
        <v>207</v>
      </c>
      <c r="H505" s="1">
        <v>91.0</v>
      </c>
      <c r="I505" s="1" t="s">
        <v>610</v>
      </c>
      <c r="J505" s="1">
        <v>8.0</v>
      </c>
      <c r="K505" s="2">
        <v>42907.0</v>
      </c>
      <c r="M505" s="1">
        <v>0.0</v>
      </c>
      <c r="N505" s="1" t="s">
        <v>814</v>
      </c>
      <c r="O505" s="1" t="s">
        <v>4920</v>
      </c>
      <c r="P505" s="1" t="s">
        <v>4921</v>
      </c>
      <c r="S505" s="1" t="s">
        <v>4922</v>
      </c>
      <c r="T505" s="1">
        <v>237.0</v>
      </c>
      <c r="U505" s="3" t="s">
        <v>4923</v>
      </c>
      <c r="V505" s="1">
        <v>1206.0</v>
      </c>
      <c r="W505" s="1" t="s">
        <v>4924</v>
      </c>
      <c r="X505" s="3" t="s">
        <v>4925</v>
      </c>
      <c r="Y505" s="3" t="s">
        <v>4926</v>
      </c>
      <c r="Z505" s="1">
        <v>2.0</v>
      </c>
      <c r="AA505" s="1" t="s">
        <v>4927</v>
      </c>
      <c r="AB505" s="1">
        <v>15.0</v>
      </c>
      <c r="AC505" s="1">
        <v>15.0</v>
      </c>
      <c r="AD505" s="1">
        <v>7.0</v>
      </c>
      <c r="AE505" s="1">
        <v>25.0</v>
      </c>
      <c r="AF505" s="1">
        <v>69.0</v>
      </c>
      <c r="AG505" s="1">
        <v>4.0</v>
      </c>
      <c r="AH505" s="1">
        <v>4.0</v>
      </c>
      <c r="AI505" s="1">
        <v>0.0</v>
      </c>
      <c r="AJ505" s="1">
        <v>0.0</v>
      </c>
      <c r="AK505" s="1">
        <v>4.0</v>
      </c>
      <c r="AL505" s="1">
        <v>6.0</v>
      </c>
      <c r="AM505" s="1">
        <v>22.0</v>
      </c>
      <c r="AN505" s="1">
        <v>0.0</v>
      </c>
    </row>
    <row r="506">
      <c r="A506" s="1">
        <v>583.0</v>
      </c>
      <c r="B506" s="1" t="s">
        <v>4928</v>
      </c>
      <c r="C506" s="1" t="s">
        <v>4929</v>
      </c>
      <c r="D506" s="1" t="s">
        <v>2927</v>
      </c>
      <c r="E506" s="1" t="s">
        <v>43</v>
      </c>
      <c r="F506" s="2">
        <v>26685.0</v>
      </c>
      <c r="G506" s="1" t="s">
        <v>3481</v>
      </c>
      <c r="H506" s="1">
        <v>50.0</v>
      </c>
      <c r="I506" s="1" t="s">
        <v>2472</v>
      </c>
      <c r="J506" s="1">
        <v>3.0</v>
      </c>
      <c r="K506" s="2">
        <v>42938.0</v>
      </c>
      <c r="M506" s="1">
        <v>0.0</v>
      </c>
      <c r="N506" s="1" t="s">
        <v>75</v>
      </c>
      <c r="O506" s="1" t="s">
        <v>76</v>
      </c>
      <c r="S506" s="1" t="s">
        <v>538</v>
      </c>
      <c r="T506" s="1">
        <v>226.0</v>
      </c>
      <c r="U506" s="3" t="s">
        <v>4930</v>
      </c>
      <c r="V506" s="1">
        <v>720198.0</v>
      </c>
      <c r="W506" s="1" t="s">
        <v>4931</v>
      </c>
      <c r="X506" s="3" t="s">
        <v>4932</v>
      </c>
      <c r="Y506" s="3" t="s">
        <v>4933</v>
      </c>
      <c r="Z506" s="1">
        <v>1.0</v>
      </c>
      <c r="AB506" s="1">
        <v>15.0</v>
      </c>
      <c r="AC506" s="1">
        <v>29.0</v>
      </c>
      <c r="AD506" s="1">
        <v>9.0</v>
      </c>
      <c r="AE506" s="1">
        <v>7.0</v>
      </c>
      <c r="AF506" s="1">
        <v>2.0</v>
      </c>
      <c r="AG506" s="1">
        <v>13.0</v>
      </c>
      <c r="AH506" s="1">
        <v>55.0</v>
      </c>
      <c r="AI506" s="1">
        <v>14.0</v>
      </c>
      <c r="AJ506" s="1">
        <v>0.0</v>
      </c>
      <c r="AK506" s="1">
        <v>0.0</v>
      </c>
      <c r="AL506" s="1">
        <v>5.0</v>
      </c>
      <c r="AM506" s="1">
        <v>8.0</v>
      </c>
      <c r="AN506" s="1">
        <v>1.0</v>
      </c>
    </row>
    <row r="507">
      <c r="A507" s="1">
        <v>224.0</v>
      </c>
      <c r="B507" s="1" t="s">
        <v>4934</v>
      </c>
      <c r="C507" s="1" t="s">
        <v>4935</v>
      </c>
      <c r="D507" s="1" t="s">
        <v>3340</v>
      </c>
      <c r="E507" s="1" t="s">
        <v>58</v>
      </c>
      <c r="F507" s="2">
        <v>27656.0</v>
      </c>
      <c r="G507" s="1" t="s">
        <v>4936</v>
      </c>
      <c r="H507" s="1">
        <v>44.0</v>
      </c>
      <c r="I507" s="1" t="s">
        <v>492</v>
      </c>
      <c r="J507" s="1">
        <v>7.0</v>
      </c>
      <c r="K507" s="2">
        <v>42907.0</v>
      </c>
      <c r="M507" s="1">
        <v>0.0</v>
      </c>
      <c r="N507" s="1" t="s">
        <v>75</v>
      </c>
      <c r="O507" s="1" t="s">
        <v>76</v>
      </c>
      <c r="P507" s="1" t="s">
        <v>4937</v>
      </c>
      <c r="S507" s="1" t="s">
        <v>293</v>
      </c>
      <c r="T507" s="1">
        <v>324.0</v>
      </c>
      <c r="U507" s="3" t="s">
        <v>4938</v>
      </c>
      <c r="V507" s="1">
        <v>720038.0</v>
      </c>
      <c r="W507" s="1" t="s">
        <v>4939</v>
      </c>
      <c r="X507" s="3" t="s">
        <v>4940</v>
      </c>
      <c r="Y507" s="3" t="s">
        <v>4941</v>
      </c>
      <c r="Z507" s="1">
        <v>1.0</v>
      </c>
      <c r="AA507" s="1" t="s">
        <v>4942</v>
      </c>
      <c r="AB507" s="1">
        <v>15.0</v>
      </c>
      <c r="AC507" s="1">
        <v>32.0</v>
      </c>
      <c r="AD507" s="1">
        <v>2.0</v>
      </c>
      <c r="AE507" s="1">
        <v>4.0</v>
      </c>
      <c r="AF507" s="1">
        <v>0.0</v>
      </c>
      <c r="AG507" s="1">
        <v>0.0</v>
      </c>
      <c r="AH507" s="1">
        <v>97.0</v>
      </c>
      <c r="AI507" s="1">
        <v>44.0</v>
      </c>
      <c r="AJ507" s="1">
        <v>0.0</v>
      </c>
      <c r="AK507" s="1">
        <v>0.0</v>
      </c>
      <c r="AL507" s="1">
        <v>5.0</v>
      </c>
      <c r="AM507" s="1">
        <v>5.0</v>
      </c>
      <c r="AN507" s="1">
        <v>2.0</v>
      </c>
    </row>
    <row r="508">
      <c r="A508" s="1">
        <v>38.0</v>
      </c>
      <c r="B508" s="1" t="s">
        <v>4943</v>
      </c>
      <c r="C508" s="1" t="s">
        <v>4792</v>
      </c>
      <c r="D508" s="1" t="s">
        <v>4944</v>
      </c>
      <c r="E508" s="1" t="s">
        <v>43</v>
      </c>
      <c r="F508" s="2">
        <v>24343.0</v>
      </c>
      <c r="G508" s="1" t="s">
        <v>4945</v>
      </c>
      <c r="H508" s="1">
        <v>13.0</v>
      </c>
      <c r="I508" s="1" t="s">
        <v>279</v>
      </c>
      <c r="J508" s="1">
        <v>10.0</v>
      </c>
      <c r="K508" s="2">
        <v>42907.0</v>
      </c>
      <c r="M508" s="1">
        <v>0.0</v>
      </c>
      <c r="N508" s="1" t="s">
        <v>75</v>
      </c>
      <c r="O508" s="1" t="s">
        <v>2397</v>
      </c>
      <c r="P508" s="1" t="s">
        <v>4946</v>
      </c>
      <c r="S508" s="1" t="s">
        <v>526</v>
      </c>
      <c r="T508" s="1">
        <v>359.0</v>
      </c>
      <c r="U508" s="3" t="s">
        <v>4947</v>
      </c>
      <c r="V508" s="1">
        <v>605518.0</v>
      </c>
      <c r="W508" s="1" t="s">
        <v>4948</v>
      </c>
      <c r="X508" s="3" t="s">
        <v>4949</v>
      </c>
      <c r="Y508" s="3" t="s">
        <v>4950</v>
      </c>
      <c r="Z508" s="1">
        <v>1.0</v>
      </c>
      <c r="AA508" s="1" t="s">
        <v>4951</v>
      </c>
      <c r="AB508" s="1">
        <v>15.0</v>
      </c>
      <c r="AC508" s="1">
        <v>16.0</v>
      </c>
      <c r="AD508" s="1">
        <v>10.0</v>
      </c>
      <c r="AE508" s="1">
        <v>39.0</v>
      </c>
      <c r="AF508" s="1">
        <v>17.0</v>
      </c>
      <c r="AG508" s="1">
        <v>34.0</v>
      </c>
      <c r="AH508" s="1">
        <v>117.0</v>
      </c>
      <c r="AI508" s="1">
        <v>45.0</v>
      </c>
      <c r="AJ508" s="1">
        <v>0.0</v>
      </c>
      <c r="AK508" s="1">
        <v>0.0</v>
      </c>
      <c r="AL508" s="1">
        <v>8.0</v>
      </c>
      <c r="AM508" s="1">
        <v>5.0</v>
      </c>
      <c r="AN508" s="1">
        <v>1.0</v>
      </c>
    </row>
    <row r="509">
      <c r="A509" s="1">
        <v>12.0</v>
      </c>
      <c r="B509" s="1" t="s">
        <v>4952</v>
      </c>
      <c r="C509" s="1" t="s">
        <v>4953</v>
      </c>
      <c r="D509" s="1" t="s">
        <v>4954</v>
      </c>
      <c r="E509" s="1" t="s">
        <v>58</v>
      </c>
      <c r="F509" s="2">
        <v>22503.0</v>
      </c>
      <c r="G509" s="1" t="s">
        <v>4955</v>
      </c>
      <c r="H509" s="1">
        <v>75.0</v>
      </c>
      <c r="I509" s="1" t="s">
        <v>232</v>
      </c>
      <c r="J509" s="1">
        <v>10.0</v>
      </c>
      <c r="K509" s="2">
        <v>42907.0</v>
      </c>
      <c r="M509" s="1">
        <v>0.0</v>
      </c>
      <c r="N509" s="1" t="s">
        <v>75</v>
      </c>
      <c r="O509" s="1" t="s">
        <v>76</v>
      </c>
      <c r="P509" s="1" t="s">
        <v>4956</v>
      </c>
      <c r="S509" s="1" t="s">
        <v>90</v>
      </c>
      <c r="T509" s="1">
        <v>282.0</v>
      </c>
      <c r="U509" s="3" t="s">
        <v>4957</v>
      </c>
      <c r="V509" s="1">
        <v>643205.0</v>
      </c>
      <c r="W509" s="1" t="s">
        <v>4958</v>
      </c>
      <c r="X509" s="3" t="s">
        <v>4959</v>
      </c>
      <c r="Y509" s="3" t="s">
        <v>4960</v>
      </c>
      <c r="Z509" s="1">
        <v>2.0</v>
      </c>
      <c r="AA509" s="1" t="s">
        <v>4961</v>
      </c>
      <c r="AB509" s="1">
        <v>15.0</v>
      </c>
      <c r="AC509" s="1">
        <v>19.0</v>
      </c>
      <c r="AD509" s="1">
        <v>9.0</v>
      </c>
      <c r="AE509" s="1">
        <v>20.0</v>
      </c>
      <c r="AF509" s="1">
        <v>11.0</v>
      </c>
      <c r="AG509" s="1">
        <v>5.0</v>
      </c>
      <c r="AH509" s="1">
        <v>42.0</v>
      </c>
      <c r="AI509" s="1">
        <v>13.0</v>
      </c>
      <c r="AJ509" s="1">
        <v>1.0</v>
      </c>
      <c r="AK509" s="1">
        <v>0.0</v>
      </c>
      <c r="AL509" s="1">
        <v>5.0</v>
      </c>
      <c r="AM509" s="1">
        <v>1.0</v>
      </c>
      <c r="AN509" s="1">
        <v>3.0</v>
      </c>
    </row>
    <row r="510">
      <c r="A510" s="1">
        <v>257.0</v>
      </c>
      <c r="B510" s="1" t="s">
        <v>4962</v>
      </c>
      <c r="C510" s="1" t="s">
        <v>4963</v>
      </c>
      <c r="D510" s="1" t="s">
        <v>242</v>
      </c>
      <c r="E510" s="1" t="s">
        <v>43</v>
      </c>
      <c r="F510" s="2">
        <v>26153.0</v>
      </c>
      <c r="G510" s="1" t="s">
        <v>59</v>
      </c>
      <c r="H510" s="1">
        <v>73.0</v>
      </c>
      <c r="I510" s="1" t="s">
        <v>60</v>
      </c>
      <c r="J510" s="1">
        <v>4.0</v>
      </c>
      <c r="K510" s="2">
        <v>42907.0</v>
      </c>
      <c r="M510" s="1">
        <v>0.0</v>
      </c>
      <c r="N510" s="1" t="s">
        <v>280</v>
      </c>
      <c r="O510" s="1" t="s">
        <v>281</v>
      </c>
      <c r="P510" s="1" t="s">
        <v>4964</v>
      </c>
      <c r="S510" s="1" t="s">
        <v>198</v>
      </c>
      <c r="T510" s="1">
        <v>248.0</v>
      </c>
      <c r="U510" s="3" t="s">
        <v>4965</v>
      </c>
      <c r="V510" s="1">
        <v>721418.0</v>
      </c>
      <c r="W510" s="1" t="s">
        <v>4966</v>
      </c>
      <c r="X510" s="3" t="s">
        <v>4967</v>
      </c>
      <c r="Y510" s="3" t="s">
        <v>4968</v>
      </c>
      <c r="Z510" s="1">
        <v>1.0</v>
      </c>
      <c r="AA510" s="1" t="s">
        <v>4969</v>
      </c>
      <c r="AB510" s="1">
        <v>15.0</v>
      </c>
      <c r="AC510" s="1">
        <v>18.0</v>
      </c>
      <c r="AD510" s="1">
        <v>9.0</v>
      </c>
      <c r="AE510" s="1">
        <v>69.0</v>
      </c>
      <c r="AF510" s="1">
        <v>23.0</v>
      </c>
      <c r="AG510" s="1">
        <v>13.0</v>
      </c>
      <c r="AH510" s="1">
        <v>282.0</v>
      </c>
      <c r="AI510" s="1">
        <v>39.0</v>
      </c>
      <c r="AJ510" s="1">
        <v>1.0</v>
      </c>
      <c r="AK510" s="1">
        <v>1.0</v>
      </c>
      <c r="AL510" s="1">
        <v>5.0</v>
      </c>
      <c r="AM510" s="1">
        <v>9.0</v>
      </c>
      <c r="AN510" s="1">
        <v>0.0</v>
      </c>
    </row>
    <row r="511">
      <c r="A511" s="1">
        <v>360.0</v>
      </c>
      <c r="B511" s="1" t="s">
        <v>4970</v>
      </c>
      <c r="C511" s="1" t="s">
        <v>4971</v>
      </c>
      <c r="D511" s="1" t="s">
        <v>4972</v>
      </c>
      <c r="E511" s="1" t="s">
        <v>58</v>
      </c>
      <c r="F511" s="2">
        <v>19737.0</v>
      </c>
      <c r="G511" s="1" t="s">
        <v>4973</v>
      </c>
      <c r="H511" s="1">
        <v>64.0</v>
      </c>
      <c r="I511" s="1" t="s">
        <v>579</v>
      </c>
      <c r="J511" s="1">
        <v>1.0</v>
      </c>
      <c r="K511" s="2">
        <v>42907.0</v>
      </c>
      <c r="M511" s="1">
        <v>0.0</v>
      </c>
      <c r="N511" s="1" t="s">
        <v>280</v>
      </c>
      <c r="O511" s="1" t="s">
        <v>281</v>
      </c>
      <c r="P511" s="3" t="s">
        <v>4974</v>
      </c>
      <c r="S511" s="1" t="s">
        <v>4975</v>
      </c>
      <c r="T511" s="1">
        <v>263.0</v>
      </c>
      <c r="U511" s="3" t="s">
        <v>4976</v>
      </c>
      <c r="V511" s="1">
        <v>720720.0</v>
      </c>
      <c r="W511" s="1" t="s">
        <v>4977</v>
      </c>
      <c r="X511" s="3" t="s">
        <v>4978</v>
      </c>
      <c r="Y511" s="3" t="s">
        <v>4979</v>
      </c>
      <c r="Z511" s="1">
        <v>2.0</v>
      </c>
      <c r="AA511" s="1" t="s">
        <v>4980</v>
      </c>
      <c r="AB511" s="1">
        <v>15.0</v>
      </c>
      <c r="AC511" s="1">
        <v>30.0</v>
      </c>
      <c r="AD511" s="1">
        <v>4.0</v>
      </c>
      <c r="AE511" s="1">
        <v>5.0</v>
      </c>
      <c r="AF511" s="1">
        <v>1.0</v>
      </c>
      <c r="AG511" s="1">
        <v>0.0</v>
      </c>
      <c r="AH511" s="1">
        <v>218.0</v>
      </c>
      <c r="AI511" s="1">
        <v>19.0</v>
      </c>
      <c r="AJ511" s="1">
        <v>0.0</v>
      </c>
      <c r="AK511" s="1">
        <v>0.0</v>
      </c>
      <c r="AL511" s="1">
        <v>5.0</v>
      </c>
      <c r="AM511" s="1">
        <v>0.0</v>
      </c>
      <c r="AN511" s="1">
        <v>2.0</v>
      </c>
    </row>
    <row r="512">
      <c r="A512" s="1">
        <v>81.0</v>
      </c>
      <c r="B512" s="1" t="s">
        <v>4981</v>
      </c>
      <c r="C512" s="1" t="s">
        <v>4982</v>
      </c>
      <c r="D512" s="1" t="s">
        <v>4983</v>
      </c>
      <c r="E512" s="1" t="s">
        <v>43</v>
      </c>
      <c r="F512" s="2">
        <v>27032.0</v>
      </c>
      <c r="G512" s="1" t="s">
        <v>231</v>
      </c>
      <c r="H512" s="1">
        <v>77.0</v>
      </c>
      <c r="I512" s="1" t="s">
        <v>503</v>
      </c>
      <c r="J512" s="1">
        <v>5.0</v>
      </c>
      <c r="K512" s="2">
        <v>42907.0</v>
      </c>
      <c r="M512" s="1">
        <v>0.0</v>
      </c>
      <c r="N512" s="1" t="s">
        <v>46</v>
      </c>
      <c r="O512" s="1" t="s">
        <v>47</v>
      </c>
      <c r="P512" s="1" t="s">
        <v>4984</v>
      </c>
      <c r="S512" s="1" t="s">
        <v>2484</v>
      </c>
      <c r="T512" s="1">
        <v>124.0</v>
      </c>
      <c r="U512" s="3" t="s">
        <v>4985</v>
      </c>
      <c r="V512" s="1">
        <v>335758.0</v>
      </c>
      <c r="W512" s="1" t="s">
        <v>4986</v>
      </c>
      <c r="X512" s="3" t="s">
        <v>4987</v>
      </c>
      <c r="Y512" s="3" t="s">
        <v>4988</v>
      </c>
      <c r="Z512" s="1">
        <v>2.0</v>
      </c>
      <c r="AA512" s="1" t="s">
        <v>4989</v>
      </c>
      <c r="AB512" s="1">
        <v>15.0</v>
      </c>
      <c r="AC512" s="1">
        <v>5.0</v>
      </c>
      <c r="AD512" s="1">
        <v>1.0</v>
      </c>
      <c r="AE512" s="1">
        <v>20.0</v>
      </c>
      <c r="AF512" s="1">
        <v>21.0</v>
      </c>
      <c r="AG512" s="1">
        <v>0.0</v>
      </c>
      <c r="AH512" s="1">
        <v>245.0</v>
      </c>
      <c r="AI512" s="1">
        <v>14.0</v>
      </c>
      <c r="AJ512" s="1">
        <v>0.0</v>
      </c>
      <c r="AK512" s="1">
        <v>0.0</v>
      </c>
      <c r="AL512" s="1">
        <v>9.0</v>
      </c>
      <c r="AM512" s="1">
        <v>0.0</v>
      </c>
      <c r="AN512" s="1">
        <v>1.0</v>
      </c>
    </row>
    <row r="513">
      <c r="A513" s="1">
        <v>438.0</v>
      </c>
      <c r="B513" s="1" t="s">
        <v>4990</v>
      </c>
      <c r="C513" s="1" t="s">
        <v>4991</v>
      </c>
      <c r="D513" s="1" t="s">
        <v>4992</v>
      </c>
      <c r="E513" s="1" t="s">
        <v>43</v>
      </c>
      <c r="F513" s="2">
        <v>27870.0</v>
      </c>
      <c r="G513" s="1" t="s">
        <v>1903</v>
      </c>
      <c r="H513" s="1">
        <v>56.0</v>
      </c>
      <c r="I513" s="1" t="s">
        <v>1343</v>
      </c>
      <c r="J513" s="1">
        <v>5.0</v>
      </c>
      <c r="K513" s="2">
        <v>42907.0</v>
      </c>
      <c r="M513" s="1">
        <v>0.0</v>
      </c>
      <c r="N513" s="1" t="s">
        <v>75</v>
      </c>
      <c r="O513" s="1" t="s">
        <v>76</v>
      </c>
      <c r="P513" s="1" t="s">
        <v>4993</v>
      </c>
      <c r="S513" s="1" t="s">
        <v>4994</v>
      </c>
      <c r="T513" s="1">
        <v>354.0</v>
      </c>
      <c r="U513" s="3" t="s">
        <v>4995</v>
      </c>
      <c r="V513" s="1">
        <v>343493.0</v>
      </c>
      <c r="W513" s="1" t="s">
        <v>4996</v>
      </c>
      <c r="X513" s="3" t="s">
        <v>4997</v>
      </c>
      <c r="Y513" s="3" t="s">
        <v>4998</v>
      </c>
      <c r="Z513" s="1">
        <v>1.0</v>
      </c>
      <c r="AA513" s="1" t="s">
        <v>4999</v>
      </c>
      <c r="AB513" s="1">
        <v>15.0</v>
      </c>
      <c r="AC513" s="1">
        <v>30.0</v>
      </c>
      <c r="AD513" s="1">
        <v>5.0</v>
      </c>
      <c r="AE513" s="1">
        <v>0.0</v>
      </c>
      <c r="AF513" s="1">
        <v>0.0</v>
      </c>
      <c r="AG513" s="1">
        <v>0.0</v>
      </c>
      <c r="AH513" s="1">
        <v>6.0</v>
      </c>
      <c r="AI513" s="1">
        <v>1.0</v>
      </c>
      <c r="AJ513" s="1">
        <v>0.0</v>
      </c>
      <c r="AK513" s="1">
        <v>0.0</v>
      </c>
      <c r="AL513" s="1">
        <v>5.0</v>
      </c>
      <c r="AM513" s="1">
        <v>9.0</v>
      </c>
      <c r="AN513" s="1">
        <v>0.0</v>
      </c>
    </row>
    <row r="514">
      <c r="A514" s="1">
        <v>448.0</v>
      </c>
      <c r="B514" s="1" t="s">
        <v>5000</v>
      </c>
      <c r="C514" s="1" t="s">
        <v>5001</v>
      </c>
      <c r="D514" s="1" t="s">
        <v>856</v>
      </c>
      <c r="E514" s="1" t="s">
        <v>43</v>
      </c>
      <c r="F514" s="2">
        <v>19557.0</v>
      </c>
      <c r="G514" s="1" t="s">
        <v>5002</v>
      </c>
      <c r="H514" s="1">
        <v>49.0</v>
      </c>
      <c r="I514" s="1" t="s">
        <v>220</v>
      </c>
      <c r="J514" s="1">
        <v>3.0</v>
      </c>
      <c r="K514" s="2">
        <v>42907.0</v>
      </c>
      <c r="M514" s="1">
        <v>0.0</v>
      </c>
      <c r="N514" s="1" t="s">
        <v>61</v>
      </c>
      <c r="O514" s="1" t="s">
        <v>62</v>
      </c>
      <c r="P514" s="1" t="s">
        <v>5003</v>
      </c>
      <c r="S514" s="1" t="s">
        <v>2484</v>
      </c>
      <c r="T514" s="1">
        <v>36.0</v>
      </c>
      <c r="U514" s="3" t="s">
        <v>5004</v>
      </c>
      <c r="V514" s="1">
        <v>2792.0</v>
      </c>
      <c r="W514" s="1" t="s">
        <v>5005</v>
      </c>
      <c r="X514" s="3" t="s">
        <v>5006</v>
      </c>
      <c r="Y514" s="3" t="s">
        <v>5007</v>
      </c>
      <c r="Z514" s="1">
        <v>2.0</v>
      </c>
      <c r="AA514" s="1" t="s">
        <v>5008</v>
      </c>
      <c r="AB514" s="1">
        <v>15.0</v>
      </c>
      <c r="AC514" s="1">
        <v>21.0</v>
      </c>
      <c r="AD514" s="1">
        <v>16.0</v>
      </c>
      <c r="AE514" s="1">
        <v>39.0</v>
      </c>
      <c r="AF514" s="1">
        <v>17.0</v>
      </c>
      <c r="AG514" s="1">
        <v>19.0</v>
      </c>
      <c r="AH514" s="1">
        <v>413.0</v>
      </c>
      <c r="AI514" s="1">
        <v>16.0</v>
      </c>
      <c r="AJ514" s="1">
        <v>0.0</v>
      </c>
      <c r="AK514" s="1">
        <v>0.0</v>
      </c>
      <c r="AL514" s="1">
        <v>38.0</v>
      </c>
      <c r="AM514" s="1">
        <v>7.0</v>
      </c>
      <c r="AN514" s="1">
        <v>1.0</v>
      </c>
    </row>
    <row r="515">
      <c r="A515" s="1">
        <v>496.0</v>
      </c>
      <c r="B515" s="1" t="s">
        <v>5009</v>
      </c>
      <c r="C515" s="1" t="s">
        <v>5010</v>
      </c>
      <c r="D515" s="1" t="s">
        <v>86</v>
      </c>
      <c r="E515" s="1" t="s">
        <v>43</v>
      </c>
      <c r="F515" s="2">
        <v>28120.0</v>
      </c>
      <c r="G515" s="1" t="s">
        <v>5011</v>
      </c>
      <c r="H515" s="1">
        <v>76.0</v>
      </c>
      <c r="I515" s="1" t="s">
        <v>371</v>
      </c>
      <c r="J515" s="1">
        <v>10.0</v>
      </c>
      <c r="K515" s="2">
        <v>42907.0</v>
      </c>
      <c r="M515" s="1">
        <v>0.0</v>
      </c>
      <c r="N515" s="1" t="s">
        <v>75</v>
      </c>
      <c r="O515" s="1" t="s">
        <v>76</v>
      </c>
      <c r="P515" s="1" t="s">
        <v>5012</v>
      </c>
      <c r="S515" s="1" t="s">
        <v>162</v>
      </c>
      <c r="T515" s="1">
        <v>625.0</v>
      </c>
      <c r="U515" s="3" t="s">
        <v>5013</v>
      </c>
      <c r="V515" s="1">
        <v>721522.0</v>
      </c>
      <c r="W515" s="1" t="s">
        <v>5014</v>
      </c>
      <c r="X515" s="3" t="s">
        <v>5015</v>
      </c>
      <c r="Y515" s="3" t="s">
        <v>5016</v>
      </c>
      <c r="Z515" s="1">
        <v>1.0</v>
      </c>
      <c r="AA515" s="1" t="s">
        <v>5017</v>
      </c>
      <c r="AB515" s="1">
        <v>14.0</v>
      </c>
      <c r="AC515" s="1">
        <v>28.0</v>
      </c>
      <c r="AD515" s="1">
        <v>2.0</v>
      </c>
      <c r="AE515" s="1">
        <v>6.0</v>
      </c>
      <c r="AF515" s="1">
        <v>0.0</v>
      </c>
      <c r="AG515" s="1">
        <v>0.0</v>
      </c>
      <c r="AH515" s="1">
        <v>44.0</v>
      </c>
      <c r="AI515" s="1">
        <v>3.0</v>
      </c>
      <c r="AJ515" s="1">
        <v>0.0</v>
      </c>
      <c r="AK515" s="1">
        <v>0.0</v>
      </c>
      <c r="AL515" s="1">
        <v>6.0</v>
      </c>
      <c r="AM515" s="1">
        <v>4.0</v>
      </c>
      <c r="AN515" s="1">
        <v>2.0</v>
      </c>
    </row>
    <row r="516">
      <c r="A516" s="1">
        <v>337.0</v>
      </c>
      <c r="B516" s="1" t="s">
        <v>5018</v>
      </c>
      <c r="C516" s="1" t="s">
        <v>5019</v>
      </c>
      <c r="D516" s="1" t="s">
        <v>5020</v>
      </c>
      <c r="E516" s="1" t="s">
        <v>58</v>
      </c>
      <c r="F516" s="2">
        <v>22809.0</v>
      </c>
      <c r="G516" s="1" t="s">
        <v>5021</v>
      </c>
      <c r="H516" s="1">
        <v>44.0</v>
      </c>
      <c r="I516" s="1" t="s">
        <v>492</v>
      </c>
      <c r="J516" s="1">
        <v>3.0</v>
      </c>
      <c r="K516" s="2">
        <v>42907.0</v>
      </c>
      <c r="M516" s="1">
        <v>0.0</v>
      </c>
      <c r="N516" s="1" t="s">
        <v>75</v>
      </c>
      <c r="O516" s="1" t="s">
        <v>76</v>
      </c>
      <c r="P516" s="1" t="s">
        <v>5022</v>
      </c>
      <c r="S516" s="1" t="s">
        <v>2484</v>
      </c>
      <c r="T516" s="1">
        <v>550.0</v>
      </c>
      <c r="U516" s="3" t="s">
        <v>5023</v>
      </c>
      <c r="V516" s="1">
        <v>720116.0</v>
      </c>
      <c r="W516" s="1" t="s">
        <v>5024</v>
      </c>
      <c r="X516" s="3" t="s">
        <v>5025</v>
      </c>
      <c r="Y516" s="3" t="s">
        <v>5026</v>
      </c>
      <c r="Z516" s="1">
        <v>1.0</v>
      </c>
      <c r="AA516" s="1" t="s">
        <v>5027</v>
      </c>
      <c r="AB516" s="1">
        <v>14.0</v>
      </c>
      <c r="AC516" s="1">
        <v>29.0</v>
      </c>
      <c r="AD516" s="1">
        <v>7.0</v>
      </c>
      <c r="AE516" s="1">
        <v>4.0</v>
      </c>
      <c r="AF516" s="1">
        <v>0.0</v>
      </c>
      <c r="AG516" s="1">
        <v>0.0</v>
      </c>
      <c r="AH516" s="1">
        <v>9.0</v>
      </c>
      <c r="AI516" s="1">
        <v>1.0</v>
      </c>
      <c r="AJ516" s="1">
        <v>0.0</v>
      </c>
      <c r="AK516" s="1">
        <v>0.0</v>
      </c>
      <c r="AL516" s="1">
        <v>5.0</v>
      </c>
      <c r="AM516" s="1">
        <v>1.0</v>
      </c>
      <c r="AN516" s="1">
        <v>1.0</v>
      </c>
    </row>
    <row r="517">
      <c r="A517" s="1">
        <v>346.0</v>
      </c>
      <c r="B517" s="1" t="s">
        <v>5028</v>
      </c>
      <c r="C517" s="1" t="s">
        <v>5029</v>
      </c>
      <c r="D517" s="1" t="s">
        <v>5030</v>
      </c>
      <c r="E517" s="1" t="s">
        <v>43</v>
      </c>
      <c r="F517" s="2">
        <v>30431.0</v>
      </c>
      <c r="G517" s="1" t="s">
        <v>1663</v>
      </c>
      <c r="H517" s="1">
        <v>999.0</v>
      </c>
      <c r="I517" s="1" t="s">
        <v>256</v>
      </c>
      <c r="J517" s="1">
        <v>9.0</v>
      </c>
      <c r="K517" s="2">
        <v>42907.0</v>
      </c>
      <c r="M517" s="1">
        <v>0.0</v>
      </c>
      <c r="N517" s="1" t="s">
        <v>814</v>
      </c>
      <c r="O517" s="1" t="s">
        <v>2397</v>
      </c>
      <c r="P517" s="1" t="s">
        <v>5031</v>
      </c>
      <c r="S517" s="1" t="s">
        <v>162</v>
      </c>
      <c r="T517" s="1">
        <v>640.0</v>
      </c>
      <c r="U517" s="3" t="s">
        <v>5032</v>
      </c>
      <c r="V517" s="1">
        <v>720996.0</v>
      </c>
      <c r="W517" s="1" t="s">
        <v>5033</v>
      </c>
      <c r="X517" s="3" t="s">
        <v>5034</v>
      </c>
      <c r="Y517" s="3" t="s">
        <v>5035</v>
      </c>
      <c r="Z517" s="1">
        <v>1.0</v>
      </c>
      <c r="AA517" s="1" t="s">
        <v>5036</v>
      </c>
      <c r="AB517" s="1">
        <v>14.0</v>
      </c>
      <c r="AC517" s="1">
        <v>16.0</v>
      </c>
      <c r="AD517" s="1">
        <v>5.0</v>
      </c>
      <c r="AE517" s="1">
        <v>8.0</v>
      </c>
      <c r="AF517" s="1">
        <v>11.0</v>
      </c>
      <c r="AG517" s="1">
        <v>11.0</v>
      </c>
      <c r="AH517" s="1">
        <v>13.0</v>
      </c>
      <c r="AI517" s="1">
        <v>0.0</v>
      </c>
      <c r="AJ517" s="1">
        <v>0.0</v>
      </c>
      <c r="AK517" s="1">
        <v>0.0</v>
      </c>
      <c r="AL517" s="1">
        <v>2.0</v>
      </c>
      <c r="AM517" s="1">
        <v>30.0</v>
      </c>
      <c r="AN517" s="1">
        <v>1.0</v>
      </c>
    </row>
    <row r="518">
      <c r="A518" s="1">
        <v>389.0</v>
      </c>
      <c r="B518" s="1" t="s">
        <v>5037</v>
      </c>
      <c r="C518" s="1" t="s">
        <v>5038</v>
      </c>
      <c r="D518" s="1" t="s">
        <v>254</v>
      </c>
      <c r="E518" s="1" t="s">
        <v>43</v>
      </c>
      <c r="F518" s="2">
        <v>28992.0</v>
      </c>
      <c r="G518" s="1" t="s">
        <v>5039</v>
      </c>
      <c r="H518" s="1">
        <v>47.0</v>
      </c>
      <c r="I518" s="1" t="s">
        <v>907</v>
      </c>
      <c r="J518" s="1">
        <v>2.0</v>
      </c>
      <c r="K518" s="2">
        <v>42907.0</v>
      </c>
      <c r="M518" s="1">
        <v>0.0</v>
      </c>
      <c r="N518" s="1" t="s">
        <v>75</v>
      </c>
      <c r="O518" s="1" t="s">
        <v>76</v>
      </c>
      <c r="P518" s="1" t="s">
        <v>5040</v>
      </c>
      <c r="S518" s="1" t="s">
        <v>5041</v>
      </c>
      <c r="T518" s="1">
        <v>474.0</v>
      </c>
      <c r="U518" s="3" t="s">
        <v>5042</v>
      </c>
      <c r="V518" s="1">
        <v>720030.0</v>
      </c>
      <c r="W518" s="1" t="s">
        <v>5043</v>
      </c>
      <c r="X518" s="3" t="s">
        <v>5044</v>
      </c>
      <c r="Y518" s="3" t="s">
        <v>5045</v>
      </c>
      <c r="Z518" s="1">
        <v>1.0</v>
      </c>
      <c r="AA518" s="1" t="s">
        <v>5046</v>
      </c>
      <c r="AB518" s="1">
        <v>14.0</v>
      </c>
      <c r="AC518" s="1">
        <v>34.0</v>
      </c>
      <c r="AD518" s="1">
        <v>19.0</v>
      </c>
      <c r="AE518" s="1">
        <v>4.0</v>
      </c>
      <c r="AF518" s="1">
        <v>0.0</v>
      </c>
      <c r="AG518" s="1">
        <v>0.0</v>
      </c>
      <c r="AH518" s="1">
        <v>51.0</v>
      </c>
      <c r="AI518" s="1">
        <v>14.0</v>
      </c>
      <c r="AJ518" s="1">
        <v>0.0</v>
      </c>
      <c r="AK518" s="1">
        <v>0.0</v>
      </c>
      <c r="AL518" s="1">
        <v>5.0</v>
      </c>
      <c r="AM518" s="1">
        <v>4.0</v>
      </c>
      <c r="AN518" s="1">
        <v>0.0</v>
      </c>
    </row>
    <row r="519">
      <c r="A519" s="1">
        <v>401.0</v>
      </c>
      <c r="B519" s="1" t="s">
        <v>5047</v>
      </c>
      <c r="C519" s="1" t="s">
        <v>5048</v>
      </c>
      <c r="D519" s="1" t="s">
        <v>42</v>
      </c>
      <c r="E519" s="1" t="s">
        <v>43</v>
      </c>
      <c r="F519" s="2">
        <v>21485.0</v>
      </c>
      <c r="G519" s="1" t="s">
        <v>5049</v>
      </c>
      <c r="H519" s="1">
        <v>988.0</v>
      </c>
      <c r="I519" s="1" t="s">
        <v>5050</v>
      </c>
      <c r="J519" s="1">
        <v>2.0</v>
      </c>
      <c r="K519" s="2">
        <v>42907.0</v>
      </c>
      <c r="M519" s="1">
        <v>0.0</v>
      </c>
      <c r="N519" s="1" t="s">
        <v>46</v>
      </c>
      <c r="O519" s="1" t="s">
        <v>5051</v>
      </c>
      <c r="P519" s="1" t="s">
        <v>5052</v>
      </c>
      <c r="S519" s="1" t="s">
        <v>5053</v>
      </c>
      <c r="T519" s="1">
        <v>104.0</v>
      </c>
      <c r="U519" s="3" t="s">
        <v>5054</v>
      </c>
      <c r="V519" s="1">
        <v>610775.0</v>
      </c>
      <c r="W519" s="1" t="s">
        <v>5055</v>
      </c>
      <c r="X519" s="3" t="s">
        <v>5056</v>
      </c>
      <c r="Y519" s="3" t="s">
        <v>5057</v>
      </c>
      <c r="Z519" s="1">
        <v>2.0</v>
      </c>
      <c r="AA519" s="1" t="s">
        <v>5058</v>
      </c>
      <c r="AB519" s="1">
        <v>14.0</v>
      </c>
      <c r="AC519" s="1">
        <v>25.0</v>
      </c>
      <c r="AD519" s="1">
        <v>8.0</v>
      </c>
      <c r="AE519" s="1">
        <v>30.0</v>
      </c>
      <c r="AF519" s="1">
        <v>5.0</v>
      </c>
      <c r="AG519" s="1">
        <v>16.0</v>
      </c>
      <c r="AH519" s="1">
        <v>449.0</v>
      </c>
      <c r="AI519" s="1">
        <v>29.0</v>
      </c>
      <c r="AJ519" s="1">
        <v>0.0</v>
      </c>
      <c r="AK519" s="1">
        <v>0.0</v>
      </c>
      <c r="AL519" s="1">
        <v>5.0</v>
      </c>
      <c r="AM519" s="1">
        <v>11.0</v>
      </c>
      <c r="AN519" s="1">
        <v>2.0</v>
      </c>
    </row>
    <row r="520">
      <c r="A520" s="1">
        <v>77.0</v>
      </c>
      <c r="B520" s="1" t="s">
        <v>5059</v>
      </c>
      <c r="C520" s="1" t="s">
        <v>5060</v>
      </c>
      <c r="D520" s="1" t="s">
        <v>1652</v>
      </c>
      <c r="E520" s="1" t="s">
        <v>43</v>
      </c>
      <c r="F520" s="2">
        <v>22388.0</v>
      </c>
      <c r="G520" s="1" t="s">
        <v>2918</v>
      </c>
      <c r="H520" s="1">
        <v>77.0</v>
      </c>
      <c r="I520" s="1" t="s">
        <v>503</v>
      </c>
      <c r="J520" s="1">
        <v>3.0</v>
      </c>
      <c r="K520" s="2">
        <v>42907.0</v>
      </c>
      <c r="M520" s="1">
        <v>0.0</v>
      </c>
      <c r="N520" s="1" t="s">
        <v>46</v>
      </c>
      <c r="O520" s="1" t="s">
        <v>47</v>
      </c>
      <c r="P520" s="1" t="s">
        <v>5061</v>
      </c>
      <c r="S520" s="1" t="s">
        <v>304</v>
      </c>
      <c r="T520" s="1">
        <v>132.0</v>
      </c>
      <c r="U520" s="3" t="s">
        <v>5062</v>
      </c>
      <c r="V520" s="1">
        <v>267801.0</v>
      </c>
      <c r="W520" s="1" t="s">
        <v>5063</v>
      </c>
      <c r="X520" s="3" t="s">
        <v>5064</v>
      </c>
      <c r="Y520" s="3" t="s">
        <v>5065</v>
      </c>
      <c r="Z520" s="1">
        <v>1.0</v>
      </c>
      <c r="AA520" s="1" t="s">
        <v>5066</v>
      </c>
      <c r="AB520" s="1">
        <v>14.0</v>
      </c>
      <c r="AC520" s="1">
        <v>13.0</v>
      </c>
      <c r="AD520" s="1">
        <v>6.0</v>
      </c>
      <c r="AE520" s="1">
        <v>39.0</v>
      </c>
      <c r="AF520" s="1">
        <v>5.0</v>
      </c>
      <c r="AG520" s="1">
        <v>4.0</v>
      </c>
      <c r="AH520" s="1">
        <v>229.0</v>
      </c>
      <c r="AI520" s="1">
        <v>14.0</v>
      </c>
      <c r="AJ520" s="1">
        <v>0.0</v>
      </c>
      <c r="AK520" s="1">
        <v>0.0</v>
      </c>
      <c r="AL520" s="1">
        <v>4.0</v>
      </c>
      <c r="AM520" s="1">
        <v>11.0</v>
      </c>
      <c r="AN520" s="1">
        <v>3.0</v>
      </c>
    </row>
    <row r="521">
      <c r="A521" s="1">
        <v>309.0</v>
      </c>
      <c r="B521" s="1" t="s">
        <v>5067</v>
      </c>
      <c r="C521" s="1" t="s">
        <v>5068</v>
      </c>
      <c r="D521" s="1" t="s">
        <v>5069</v>
      </c>
      <c r="E521" s="1" t="s">
        <v>58</v>
      </c>
      <c r="F521" s="2">
        <v>29312.0</v>
      </c>
      <c r="G521" s="1" t="s">
        <v>5070</v>
      </c>
      <c r="H521" s="1">
        <v>69.0</v>
      </c>
      <c r="I521" s="1" t="s">
        <v>1363</v>
      </c>
      <c r="J521" s="1">
        <v>7.0</v>
      </c>
      <c r="K521" s="2">
        <v>42907.0</v>
      </c>
      <c r="M521" s="1">
        <v>0.0</v>
      </c>
      <c r="N521" s="1" t="s">
        <v>75</v>
      </c>
      <c r="O521" s="1" t="s">
        <v>76</v>
      </c>
      <c r="P521" s="1" t="s">
        <v>5071</v>
      </c>
      <c r="S521" s="1" t="s">
        <v>5072</v>
      </c>
      <c r="T521" s="1">
        <v>573.0</v>
      </c>
      <c r="U521" s="3" t="s">
        <v>5073</v>
      </c>
      <c r="V521" s="1">
        <v>722300.0</v>
      </c>
      <c r="W521" s="1" t="s">
        <v>5074</v>
      </c>
      <c r="X521" s="3" t="s">
        <v>5075</v>
      </c>
      <c r="Y521" s="3" t="s">
        <v>5076</v>
      </c>
      <c r="Z521" s="1">
        <v>1.0</v>
      </c>
      <c r="AA521" s="1" t="s">
        <v>5077</v>
      </c>
      <c r="AB521" s="1">
        <v>14.0</v>
      </c>
      <c r="AC521" s="1">
        <v>28.0</v>
      </c>
      <c r="AD521" s="1">
        <v>6.0</v>
      </c>
      <c r="AE521" s="1">
        <v>5.0</v>
      </c>
      <c r="AF521" s="1">
        <v>0.0</v>
      </c>
      <c r="AG521" s="1">
        <v>0.0</v>
      </c>
      <c r="AH521" s="1">
        <v>14.0</v>
      </c>
      <c r="AI521" s="1">
        <v>1.0</v>
      </c>
      <c r="AJ521" s="1">
        <v>0.0</v>
      </c>
      <c r="AK521" s="1">
        <v>0.0</v>
      </c>
      <c r="AL521" s="1">
        <v>5.0</v>
      </c>
      <c r="AM521" s="1">
        <v>4.0</v>
      </c>
      <c r="AN521" s="1">
        <v>1.0</v>
      </c>
    </row>
    <row r="522">
      <c r="A522" s="1">
        <v>235.0</v>
      </c>
      <c r="B522" s="1" t="s">
        <v>5078</v>
      </c>
      <c r="C522" s="1" t="s">
        <v>5079</v>
      </c>
      <c r="D522" s="1" t="s">
        <v>5080</v>
      </c>
      <c r="E522" s="1" t="s">
        <v>43</v>
      </c>
      <c r="F522" s="2">
        <v>24769.0</v>
      </c>
      <c r="G522" s="1" t="s">
        <v>3975</v>
      </c>
      <c r="H522" s="1">
        <v>93.0</v>
      </c>
      <c r="I522" s="1" t="s">
        <v>196</v>
      </c>
      <c r="J522" s="1">
        <v>5.0</v>
      </c>
      <c r="K522" s="2">
        <v>42907.0</v>
      </c>
      <c r="M522" s="1">
        <v>0.0</v>
      </c>
      <c r="N522" s="1" t="s">
        <v>46</v>
      </c>
      <c r="O522" s="1" t="s">
        <v>47</v>
      </c>
      <c r="P522" s="1" t="s">
        <v>5081</v>
      </c>
      <c r="S522" s="1" t="s">
        <v>5082</v>
      </c>
      <c r="T522" s="1">
        <v>135.0</v>
      </c>
      <c r="U522" s="3" t="s">
        <v>5083</v>
      </c>
      <c r="V522" s="1">
        <v>268019.0</v>
      </c>
      <c r="W522" s="1" t="s">
        <v>5084</v>
      </c>
      <c r="X522" s="3" t="s">
        <v>5085</v>
      </c>
      <c r="Y522" s="3" t="s">
        <v>5086</v>
      </c>
      <c r="Z522" s="1">
        <v>2.0</v>
      </c>
      <c r="AA522" s="1" t="s">
        <v>5087</v>
      </c>
      <c r="AB522" s="1">
        <v>14.0</v>
      </c>
      <c r="AC522" s="1">
        <v>15.0</v>
      </c>
      <c r="AD522" s="1">
        <v>24.0</v>
      </c>
      <c r="AE522" s="1">
        <v>34.0</v>
      </c>
      <c r="AF522" s="1">
        <v>34.0</v>
      </c>
      <c r="AG522" s="1">
        <v>31.0</v>
      </c>
      <c r="AH522" s="1">
        <v>487.0</v>
      </c>
      <c r="AI522" s="1">
        <v>34.0</v>
      </c>
      <c r="AJ522" s="1">
        <v>0.0</v>
      </c>
      <c r="AK522" s="1">
        <v>0.0</v>
      </c>
      <c r="AL522" s="1">
        <v>15.0</v>
      </c>
      <c r="AM522" s="1">
        <v>5.0</v>
      </c>
      <c r="AN522" s="1">
        <v>3.0</v>
      </c>
    </row>
    <row r="523">
      <c r="A523" s="1">
        <v>322.0</v>
      </c>
      <c r="B523" s="1" t="s">
        <v>5088</v>
      </c>
      <c r="C523" s="1" t="s">
        <v>5089</v>
      </c>
      <c r="D523" s="1" t="s">
        <v>856</v>
      </c>
      <c r="E523" s="1" t="s">
        <v>43</v>
      </c>
      <c r="F523" s="2">
        <v>30705.0</v>
      </c>
      <c r="G523" s="1" t="s">
        <v>2609</v>
      </c>
      <c r="H523" s="1">
        <v>29.0</v>
      </c>
      <c r="I523" s="1" t="s">
        <v>393</v>
      </c>
      <c r="J523" s="1">
        <v>2.0</v>
      </c>
      <c r="K523" s="2">
        <v>42907.0</v>
      </c>
      <c r="M523" s="1">
        <v>0.0</v>
      </c>
      <c r="N523" s="1" t="s">
        <v>75</v>
      </c>
      <c r="O523" s="1" t="s">
        <v>76</v>
      </c>
      <c r="P523" s="1" t="s">
        <v>5090</v>
      </c>
      <c r="S523" s="1" t="s">
        <v>5091</v>
      </c>
      <c r="T523" s="1">
        <v>568.0</v>
      </c>
      <c r="U523" s="3" t="s">
        <v>5092</v>
      </c>
      <c r="V523" s="1">
        <v>719396.0</v>
      </c>
      <c r="W523" s="1" t="s">
        <v>5093</v>
      </c>
      <c r="X523" s="3" t="s">
        <v>5094</v>
      </c>
      <c r="Y523" s="3" t="s">
        <v>5095</v>
      </c>
      <c r="Z523" s="1">
        <v>1.0</v>
      </c>
      <c r="AA523" s="1" t="s">
        <v>5096</v>
      </c>
      <c r="AB523" s="1">
        <v>14.0</v>
      </c>
      <c r="AC523" s="1">
        <v>27.0</v>
      </c>
      <c r="AD523" s="1">
        <v>22.0</v>
      </c>
      <c r="AE523" s="1">
        <v>8.0</v>
      </c>
      <c r="AF523" s="1">
        <v>1.0</v>
      </c>
      <c r="AG523" s="1">
        <v>2.0</v>
      </c>
      <c r="AH523" s="1">
        <v>10.0</v>
      </c>
      <c r="AI523" s="1">
        <v>2.0</v>
      </c>
      <c r="AJ523" s="1">
        <v>1.0</v>
      </c>
      <c r="AK523" s="1">
        <v>0.0</v>
      </c>
      <c r="AL523" s="1">
        <v>5.0</v>
      </c>
      <c r="AM523" s="1">
        <v>10.0</v>
      </c>
      <c r="AN523" s="1">
        <v>0.0</v>
      </c>
    </row>
    <row r="524">
      <c r="A524" s="1">
        <v>586.0</v>
      </c>
      <c r="B524" s="1" t="s">
        <v>5097</v>
      </c>
      <c r="C524" s="1" t="s">
        <v>5098</v>
      </c>
      <c r="D524" s="1" t="s">
        <v>5099</v>
      </c>
      <c r="E524" s="1" t="s">
        <v>58</v>
      </c>
      <c r="F524" s="2">
        <v>23726.0</v>
      </c>
      <c r="G524" s="1" t="s">
        <v>1500</v>
      </c>
      <c r="H524" s="1">
        <v>84.0</v>
      </c>
      <c r="I524" s="1" t="s">
        <v>719</v>
      </c>
      <c r="J524" s="1">
        <v>4.0</v>
      </c>
      <c r="K524" s="2">
        <v>42969.0</v>
      </c>
      <c r="M524" s="1">
        <v>0.0</v>
      </c>
      <c r="N524" s="1" t="s">
        <v>814</v>
      </c>
      <c r="O524" s="1" t="s">
        <v>4734</v>
      </c>
      <c r="P524" s="1" t="s">
        <v>5100</v>
      </c>
      <c r="S524" s="1" t="s">
        <v>5101</v>
      </c>
      <c r="T524" s="1">
        <v>67.0</v>
      </c>
      <c r="U524" s="3" t="s">
        <v>5102</v>
      </c>
      <c r="V524" s="1">
        <v>721932.0</v>
      </c>
      <c r="W524" s="1" t="s">
        <v>5103</v>
      </c>
      <c r="X524" s="3" t="s">
        <v>5104</v>
      </c>
      <c r="Y524" s="3" t="s">
        <v>5105</v>
      </c>
      <c r="Z524" s="1">
        <v>2.0</v>
      </c>
      <c r="AA524" s="1" t="s">
        <v>5106</v>
      </c>
      <c r="AB524" s="1">
        <v>14.0</v>
      </c>
      <c r="AC524" s="1">
        <v>20.0</v>
      </c>
      <c r="AD524" s="1">
        <v>23.0</v>
      </c>
      <c r="AE524" s="1">
        <v>65.0</v>
      </c>
      <c r="AF524" s="1">
        <v>7.0</v>
      </c>
      <c r="AG524" s="1">
        <v>189.0</v>
      </c>
      <c r="AH524" s="1">
        <v>208.0</v>
      </c>
      <c r="AI524" s="1">
        <v>0.0</v>
      </c>
      <c r="AJ524" s="1">
        <v>0.0</v>
      </c>
      <c r="AK524" s="1">
        <v>4.0</v>
      </c>
      <c r="AL524" s="1">
        <v>9.0</v>
      </c>
      <c r="AM524" s="1">
        <v>22.0</v>
      </c>
      <c r="AN524" s="1">
        <v>2.0</v>
      </c>
    </row>
    <row r="525">
      <c r="A525" s="1">
        <v>463.0</v>
      </c>
      <c r="B525" s="1" t="s">
        <v>5107</v>
      </c>
      <c r="C525" s="1" t="s">
        <v>5108</v>
      </c>
      <c r="D525" s="1" t="s">
        <v>5109</v>
      </c>
      <c r="E525" s="1" t="s">
        <v>58</v>
      </c>
      <c r="F525" s="2">
        <v>18338.0</v>
      </c>
      <c r="G525" s="1" t="s">
        <v>5110</v>
      </c>
      <c r="H525" s="1">
        <v>972.0</v>
      </c>
      <c r="I525" s="1" t="s">
        <v>5111</v>
      </c>
      <c r="J525" s="1">
        <v>1.0</v>
      </c>
      <c r="K525" s="2">
        <v>42907.0</v>
      </c>
      <c r="M525" s="1">
        <v>0.0</v>
      </c>
      <c r="N525" s="1" t="s">
        <v>115</v>
      </c>
      <c r="O525" s="1" t="s">
        <v>5112</v>
      </c>
      <c r="S525" s="1" t="s">
        <v>957</v>
      </c>
      <c r="T525" s="1">
        <v>581.0</v>
      </c>
      <c r="U525" s="3" t="s">
        <v>5113</v>
      </c>
      <c r="V525" s="1">
        <v>720988.0</v>
      </c>
      <c r="W525" s="1" t="s">
        <v>5114</v>
      </c>
      <c r="X525" s="3" t="s">
        <v>5115</v>
      </c>
      <c r="Y525" s="3" t="s">
        <v>5116</v>
      </c>
      <c r="Z525" s="1">
        <v>1.0</v>
      </c>
      <c r="AB525" s="1">
        <v>14.0</v>
      </c>
      <c r="AC525" s="1">
        <v>22.0</v>
      </c>
      <c r="AD525" s="1">
        <v>3.0</v>
      </c>
      <c r="AE525" s="1">
        <v>12.0</v>
      </c>
      <c r="AF525" s="1">
        <v>3.0</v>
      </c>
      <c r="AG525" s="1">
        <v>4.0</v>
      </c>
      <c r="AH525" s="1">
        <v>1120.0</v>
      </c>
      <c r="AI525" s="1">
        <v>75.0</v>
      </c>
      <c r="AJ525" s="1">
        <v>0.0</v>
      </c>
      <c r="AK525" s="1">
        <v>0.0</v>
      </c>
      <c r="AL525" s="1">
        <v>5.0</v>
      </c>
      <c r="AM525" s="1">
        <v>6.0</v>
      </c>
      <c r="AN525" s="1">
        <v>3.0</v>
      </c>
    </row>
    <row r="526">
      <c r="A526" s="1">
        <v>269.0</v>
      </c>
      <c r="B526" s="1" t="s">
        <v>5117</v>
      </c>
      <c r="C526" s="1" t="s">
        <v>5118</v>
      </c>
      <c r="D526" s="1" t="s">
        <v>3101</v>
      </c>
      <c r="E526" s="1" t="s">
        <v>58</v>
      </c>
      <c r="F526" s="2">
        <v>24706.0</v>
      </c>
      <c r="G526" s="1" t="s">
        <v>857</v>
      </c>
      <c r="H526" s="1">
        <v>34.0</v>
      </c>
      <c r="I526" s="1" t="s">
        <v>1252</v>
      </c>
      <c r="J526" s="1">
        <v>1.0</v>
      </c>
      <c r="K526" s="2">
        <v>42907.0</v>
      </c>
      <c r="M526" s="1">
        <v>0.0</v>
      </c>
      <c r="N526" s="1" t="s">
        <v>75</v>
      </c>
      <c r="O526" s="1" t="s">
        <v>76</v>
      </c>
      <c r="P526" s="1" t="s">
        <v>5119</v>
      </c>
      <c r="S526" s="1" t="s">
        <v>5120</v>
      </c>
      <c r="T526" s="1">
        <v>492.0</v>
      </c>
      <c r="U526" s="3" t="s">
        <v>5121</v>
      </c>
      <c r="V526" s="1">
        <v>719668.0</v>
      </c>
      <c r="W526" s="1" t="s">
        <v>5122</v>
      </c>
      <c r="X526" s="3" t="s">
        <v>5123</v>
      </c>
      <c r="Y526" s="3" t="s">
        <v>5124</v>
      </c>
      <c r="Z526" s="1">
        <v>2.0</v>
      </c>
      <c r="AA526" s="1" t="s">
        <v>5125</v>
      </c>
      <c r="AB526" s="1">
        <v>14.0</v>
      </c>
      <c r="AC526" s="1">
        <v>17.0</v>
      </c>
      <c r="AD526" s="1">
        <v>7.0</v>
      </c>
      <c r="AE526" s="1">
        <v>1.0</v>
      </c>
      <c r="AF526" s="1">
        <v>9.0</v>
      </c>
      <c r="AG526" s="1">
        <v>0.0</v>
      </c>
      <c r="AH526" s="1">
        <v>10.0</v>
      </c>
      <c r="AI526" s="1">
        <v>1.0</v>
      </c>
      <c r="AJ526" s="1">
        <v>0.0</v>
      </c>
      <c r="AK526" s="1">
        <v>0.0</v>
      </c>
      <c r="AL526" s="1">
        <v>5.0</v>
      </c>
      <c r="AM526" s="1">
        <v>6.0</v>
      </c>
      <c r="AN526" s="1">
        <v>1.0</v>
      </c>
    </row>
    <row r="527">
      <c r="A527" s="1">
        <v>422.0</v>
      </c>
      <c r="B527" s="1" t="s">
        <v>5126</v>
      </c>
      <c r="C527" s="1" t="s">
        <v>5127</v>
      </c>
      <c r="D527" s="1" t="s">
        <v>1361</v>
      </c>
      <c r="E527" s="1" t="s">
        <v>43</v>
      </c>
      <c r="F527" s="2">
        <v>19650.0</v>
      </c>
      <c r="G527" s="1" t="s">
        <v>5128</v>
      </c>
      <c r="H527" s="1">
        <v>13.0</v>
      </c>
      <c r="I527" s="1" t="s">
        <v>279</v>
      </c>
      <c r="J527" s="1">
        <v>15.0</v>
      </c>
      <c r="K527" s="2">
        <v>42907.0</v>
      </c>
      <c r="M527" s="1">
        <v>0.0</v>
      </c>
      <c r="N527" s="1" t="s">
        <v>61</v>
      </c>
      <c r="O527" s="1" t="s">
        <v>62</v>
      </c>
      <c r="P527" s="1" t="s">
        <v>5129</v>
      </c>
      <c r="S527" s="1" t="s">
        <v>5130</v>
      </c>
      <c r="T527" s="1">
        <v>101.0</v>
      </c>
      <c r="U527" s="3" t="s">
        <v>5131</v>
      </c>
      <c r="V527" s="1">
        <v>330788.0</v>
      </c>
      <c r="W527" s="1" t="s">
        <v>5132</v>
      </c>
      <c r="X527" s="3" t="s">
        <v>5133</v>
      </c>
      <c r="Y527" s="3" t="s">
        <v>5134</v>
      </c>
      <c r="Z527" s="1">
        <v>2.0</v>
      </c>
      <c r="AA527" s="1" t="s">
        <v>5135</v>
      </c>
      <c r="AB527" s="1">
        <v>14.0</v>
      </c>
      <c r="AC527" s="1">
        <v>18.0</v>
      </c>
      <c r="AD527" s="1">
        <v>0.0</v>
      </c>
      <c r="AE527" s="1">
        <v>0.0</v>
      </c>
      <c r="AF527" s="1">
        <v>1.0</v>
      </c>
      <c r="AG527" s="1">
        <v>7.0</v>
      </c>
      <c r="AH527" s="1">
        <v>236.0</v>
      </c>
      <c r="AI527" s="1">
        <v>13.0</v>
      </c>
      <c r="AJ527" s="1">
        <v>0.0</v>
      </c>
      <c r="AK527" s="1">
        <v>1.0</v>
      </c>
      <c r="AL527" s="1">
        <v>16.0</v>
      </c>
      <c r="AM527" s="1">
        <v>0.0</v>
      </c>
      <c r="AN527" s="1">
        <v>0.0</v>
      </c>
    </row>
    <row r="528">
      <c r="A528" s="1">
        <v>299.0</v>
      </c>
      <c r="B528" s="1" t="s">
        <v>5136</v>
      </c>
      <c r="C528" s="1" t="s">
        <v>5137</v>
      </c>
      <c r="D528" s="1" t="s">
        <v>5138</v>
      </c>
      <c r="E528" s="1" t="s">
        <v>58</v>
      </c>
      <c r="F528" s="2">
        <v>27524.0</v>
      </c>
      <c r="G528" s="1" t="s">
        <v>5139</v>
      </c>
      <c r="H528" s="1">
        <v>987.0</v>
      </c>
      <c r="I528" s="1" t="s">
        <v>5140</v>
      </c>
      <c r="J528" s="1">
        <v>1.0</v>
      </c>
      <c r="K528" s="2">
        <v>42907.0</v>
      </c>
      <c r="M528" s="1">
        <v>0.0</v>
      </c>
      <c r="N528" s="1" t="s">
        <v>46</v>
      </c>
      <c r="O528" s="1" t="s">
        <v>5141</v>
      </c>
      <c r="P528" s="1" t="s">
        <v>5142</v>
      </c>
      <c r="S528" s="1" t="s">
        <v>5143</v>
      </c>
      <c r="T528" s="1">
        <v>130.0</v>
      </c>
      <c r="U528" s="3" t="s">
        <v>5144</v>
      </c>
      <c r="V528" s="1">
        <v>702052.0</v>
      </c>
      <c r="W528" s="1" t="s">
        <v>5145</v>
      </c>
      <c r="X528" s="3" t="s">
        <v>5146</v>
      </c>
      <c r="Y528" s="3" t="s">
        <v>5147</v>
      </c>
      <c r="Z528" s="1">
        <v>1.0</v>
      </c>
      <c r="AA528" s="1" t="s">
        <v>5148</v>
      </c>
      <c r="AB528" s="1">
        <v>14.0</v>
      </c>
      <c r="AC528" s="1">
        <v>32.0</v>
      </c>
      <c r="AD528" s="1">
        <v>23.0</v>
      </c>
      <c r="AE528" s="1">
        <v>28.0</v>
      </c>
      <c r="AF528" s="1">
        <v>16.0</v>
      </c>
      <c r="AG528" s="1">
        <v>12.0</v>
      </c>
      <c r="AH528" s="1">
        <v>445.0</v>
      </c>
      <c r="AI528" s="1">
        <v>26.0</v>
      </c>
      <c r="AJ528" s="1">
        <v>0.0</v>
      </c>
      <c r="AK528" s="1">
        <v>0.0</v>
      </c>
      <c r="AL528" s="1">
        <v>16.0</v>
      </c>
      <c r="AM528" s="1">
        <v>6.0</v>
      </c>
      <c r="AN528" s="1">
        <v>1.0</v>
      </c>
    </row>
    <row r="529">
      <c r="A529" s="1">
        <v>103.0</v>
      </c>
      <c r="B529" s="1" t="s">
        <v>5149</v>
      </c>
      <c r="C529" s="1" t="s">
        <v>5150</v>
      </c>
      <c r="D529" s="1" t="s">
        <v>1540</v>
      </c>
      <c r="E529" s="1" t="s">
        <v>43</v>
      </c>
      <c r="F529" s="2">
        <v>30286.0</v>
      </c>
      <c r="G529" s="1" t="s">
        <v>5151</v>
      </c>
      <c r="H529" s="1">
        <v>1.0</v>
      </c>
      <c r="I529" s="1" t="s">
        <v>88</v>
      </c>
      <c r="J529" s="1">
        <v>4.0</v>
      </c>
      <c r="K529" s="2">
        <v>42907.0</v>
      </c>
      <c r="M529" s="1">
        <v>0.0</v>
      </c>
      <c r="N529" s="1" t="s">
        <v>75</v>
      </c>
      <c r="O529" s="1" t="s">
        <v>76</v>
      </c>
      <c r="P529" s="3" t="s">
        <v>5152</v>
      </c>
      <c r="S529" s="1" t="s">
        <v>5153</v>
      </c>
      <c r="T529" s="1">
        <v>544.0</v>
      </c>
      <c r="U529" s="3" t="s">
        <v>5154</v>
      </c>
      <c r="V529" s="1">
        <v>718682.0</v>
      </c>
      <c r="W529" s="1" t="s">
        <v>5155</v>
      </c>
      <c r="X529" s="3" t="s">
        <v>5156</v>
      </c>
      <c r="Y529" s="3" t="s">
        <v>5157</v>
      </c>
      <c r="Z529" s="1">
        <v>1.0</v>
      </c>
      <c r="AA529" s="1" t="s">
        <v>5158</v>
      </c>
      <c r="AB529" s="1">
        <v>14.0</v>
      </c>
      <c r="AC529" s="1">
        <v>28.0</v>
      </c>
      <c r="AD529" s="1">
        <v>6.0</v>
      </c>
      <c r="AE529" s="1">
        <v>5.0</v>
      </c>
      <c r="AF529" s="1">
        <v>4.0</v>
      </c>
      <c r="AG529" s="1">
        <v>27.0</v>
      </c>
      <c r="AH529" s="1">
        <v>75.0</v>
      </c>
      <c r="AI529" s="1">
        <v>15.0</v>
      </c>
      <c r="AJ529" s="1">
        <v>0.0</v>
      </c>
      <c r="AK529" s="1">
        <v>0.0</v>
      </c>
      <c r="AL529" s="1">
        <v>6.0</v>
      </c>
      <c r="AM529" s="1">
        <v>3.0</v>
      </c>
      <c r="AN529" s="1">
        <v>0.0</v>
      </c>
    </row>
    <row r="530">
      <c r="A530" s="1">
        <v>293.0</v>
      </c>
      <c r="B530" s="1" t="s">
        <v>5159</v>
      </c>
      <c r="C530" s="1" t="s">
        <v>5160</v>
      </c>
      <c r="D530" s="1" t="s">
        <v>242</v>
      </c>
      <c r="E530" s="1" t="s">
        <v>43</v>
      </c>
      <c r="F530" s="2">
        <v>21207.0</v>
      </c>
      <c r="G530" s="1" t="s">
        <v>857</v>
      </c>
      <c r="H530" s="1">
        <v>34.0</v>
      </c>
      <c r="I530" s="1" t="s">
        <v>1252</v>
      </c>
      <c r="J530" s="1">
        <v>9.0</v>
      </c>
      <c r="K530" s="2">
        <v>42907.0</v>
      </c>
      <c r="M530" s="1">
        <v>0.0</v>
      </c>
      <c r="N530" s="1" t="s">
        <v>75</v>
      </c>
      <c r="O530" s="1" t="s">
        <v>76</v>
      </c>
      <c r="P530" s="1" t="s">
        <v>5161</v>
      </c>
      <c r="S530" s="1" t="s">
        <v>198</v>
      </c>
      <c r="T530" s="1">
        <v>389.0</v>
      </c>
      <c r="U530" s="3" t="s">
        <v>5162</v>
      </c>
      <c r="V530" s="1">
        <v>606639.0</v>
      </c>
      <c r="W530" s="1" t="s">
        <v>5163</v>
      </c>
      <c r="X530" s="3" t="s">
        <v>5164</v>
      </c>
      <c r="Y530" s="3" t="s">
        <v>5165</v>
      </c>
      <c r="Z530" s="1">
        <v>1.0</v>
      </c>
      <c r="AA530" s="1" t="s">
        <v>5166</v>
      </c>
      <c r="AB530" s="1">
        <v>14.0</v>
      </c>
      <c r="AC530" s="1">
        <v>35.0</v>
      </c>
      <c r="AD530" s="1">
        <v>15.0</v>
      </c>
      <c r="AE530" s="1">
        <v>1.0</v>
      </c>
      <c r="AF530" s="1">
        <v>2.0</v>
      </c>
      <c r="AG530" s="1">
        <v>1.0</v>
      </c>
      <c r="AH530" s="1">
        <v>64.0</v>
      </c>
      <c r="AI530" s="1">
        <v>13.0</v>
      </c>
      <c r="AJ530" s="1">
        <v>0.0</v>
      </c>
      <c r="AK530" s="1">
        <v>0.0</v>
      </c>
      <c r="AL530" s="1">
        <v>6.0</v>
      </c>
      <c r="AM530" s="1">
        <v>19.0</v>
      </c>
      <c r="AN530" s="1">
        <v>0.0</v>
      </c>
    </row>
    <row r="531">
      <c r="A531" s="1">
        <v>15.0</v>
      </c>
      <c r="B531" s="1" t="s">
        <v>5167</v>
      </c>
      <c r="C531" s="1" t="s">
        <v>5168</v>
      </c>
      <c r="D531" s="1" t="s">
        <v>2355</v>
      </c>
      <c r="E531" s="1" t="s">
        <v>58</v>
      </c>
      <c r="F531" s="2">
        <v>28055.0</v>
      </c>
      <c r="G531" s="1" t="s">
        <v>5169</v>
      </c>
      <c r="H531" s="1">
        <v>52.0</v>
      </c>
      <c r="I531" s="1" t="s">
        <v>3028</v>
      </c>
      <c r="J531" s="1">
        <v>1.0</v>
      </c>
      <c r="K531" s="2">
        <v>42907.0</v>
      </c>
      <c r="M531" s="1">
        <v>0.0</v>
      </c>
      <c r="N531" s="1" t="s">
        <v>75</v>
      </c>
      <c r="O531" s="1" t="s">
        <v>76</v>
      </c>
      <c r="P531" s="1" t="s">
        <v>5170</v>
      </c>
      <c r="S531" s="1" t="s">
        <v>5171</v>
      </c>
      <c r="T531" s="1">
        <v>600.0</v>
      </c>
      <c r="U531" s="3" t="s">
        <v>5172</v>
      </c>
      <c r="V531" s="1">
        <v>720242.0</v>
      </c>
      <c r="W531" s="1" t="s">
        <v>5173</v>
      </c>
      <c r="X531" s="3" t="s">
        <v>5174</v>
      </c>
      <c r="Y531" s="3" t="s">
        <v>5175</v>
      </c>
      <c r="Z531" s="1">
        <v>1.0</v>
      </c>
      <c r="AA531" s="1" t="s">
        <v>5176</v>
      </c>
      <c r="AB531" s="1">
        <v>13.0</v>
      </c>
      <c r="AC531" s="1">
        <v>20.0</v>
      </c>
      <c r="AD531" s="1">
        <v>6.0</v>
      </c>
      <c r="AE531" s="1">
        <v>5.0</v>
      </c>
      <c r="AF531" s="1">
        <v>2.0</v>
      </c>
      <c r="AG531" s="1">
        <v>0.0</v>
      </c>
      <c r="AH531" s="1">
        <v>106.0</v>
      </c>
      <c r="AI531" s="1">
        <v>45.0</v>
      </c>
      <c r="AJ531" s="1">
        <v>0.0</v>
      </c>
      <c r="AK531" s="1">
        <v>0.0</v>
      </c>
      <c r="AL531" s="1">
        <v>6.0</v>
      </c>
      <c r="AM531" s="1">
        <v>1.0</v>
      </c>
      <c r="AN531" s="1">
        <v>0.0</v>
      </c>
    </row>
    <row r="532">
      <c r="A532" s="1">
        <v>121.0</v>
      </c>
      <c r="B532" s="1" t="s">
        <v>5177</v>
      </c>
      <c r="C532" s="1" t="s">
        <v>5178</v>
      </c>
      <c r="D532" s="1" t="s">
        <v>5179</v>
      </c>
      <c r="E532" s="1" t="s">
        <v>43</v>
      </c>
      <c r="F532" s="2">
        <v>28950.0</v>
      </c>
      <c r="G532" s="1" t="s">
        <v>5180</v>
      </c>
      <c r="H532" s="1">
        <v>35.0</v>
      </c>
      <c r="I532" s="1" t="s">
        <v>415</v>
      </c>
      <c r="J532" s="1">
        <v>8.0</v>
      </c>
      <c r="K532" s="2">
        <v>42907.0</v>
      </c>
      <c r="M532" s="1">
        <v>0.0</v>
      </c>
      <c r="N532" s="1" t="s">
        <v>75</v>
      </c>
      <c r="O532" s="1" t="s">
        <v>76</v>
      </c>
      <c r="P532" s="1" t="s">
        <v>5181</v>
      </c>
      <c r="S532" s="1" t="s">
        <v>304</v>
      </c>
      <c r="T532" s="1">
        <v>419.0</v>
      </c>
      <c r="U532" s="3" t="s">
        <v>5182</v>
      </c>
      <c r="V532" s="1">
        <v>719770.0</v>
      </c>
      <c r="W532" s="1" t="s">
        <v>5183</v>
      </c>
      <c r="X532" s="3" t="s">
        <v>5184</v>
      </c>
      <c r="Y532" s="3" t="s">
        <v>5185</v>
      </c>
      <c r="Z532" s="1">
        <v>1.0</v>
      </c>
      <c r="AA532" s="1" t="s">
        <v>5186</v>
      </c>
      <c r="AB532" s="1">
        <v>13.0</v>
      </c>
      <c r="AC532" s="1">
        <v>12.0</v>
      </c>
      <c r="AD532" s="1">
        <v>1.0</v>
      </c>
      <c r="AE532" s="1">
        <v>3.0</v>
      </c>
      <c r="AF532" s="1">
        <v>12.0</v>
      </c>
      <c r="AG532" s="1">
        <v>0.0</v>
      </c>
      <c r="AH532" s="1">
        <v>5.0</v>
      </c>
      <c r="AI532" s="1">
        <v>1.0</v>
      </c>
      <c r="AJ532" s="1">
        <v>0.0</v>
      </c>
      <c r="AK532" s="1">
        <v>0.0</v>
      </c>
      <c r="AL532" s="1">
        <v>5.0</v>
      </c>
      <c r="AM532" s="1">
        <v>0.0</v>
      </c>
      <c r="AN532" s="1">
        <v>1.0</v>
      </c>
    </row>
    <row r="533">
      <c r="A533" s="1">
        <v>450.0</v>
      </c>
      <c r="B533" s="1" t="s">
        <v>5187</v>
      </c>
      <c r="C533" s="1" t="s">
        <v>5188</v>
      </c>
      <c r="D533" s="1" t="s">
        <v>5189</v>
      </c>
      <c r="E533" s="1" t="s">
        <v>43</v>
      </c>
      <c r="F533" s="2">
        <v>20279.0</v>
      </c>
      <c r="G533" s="1" t="s">
        <v>5190</v>
      </c>
      <c r="H533" s="1">
        <v>42.0</v>
      </c>
      <c r="I533" s="1" t="s">
        <v>536</v>
      </c>
      <c r="J533" s="1">
        <v>4.0</v>
      </c>
      <c r="K533" s="2">
        <v>42907.0</v>
      </c>
      <c r="M533" s="1">
        <v>0.0</v>
      </c>
      <c r="N533" s="1" t="s">
        <v>61</v>
      </c>
      <c r="O533" s="1" t="s">
        <v>62</v>
      </c>
      <c r="P533" s="1" t="s">
        <v>5191</v>
      </c>
      <c r="S533" s="1" t="s">
        <v>5192</v>
      </c>
      <c r="T533" s="1">
        <v>64.0</v>
      </c>
      <c r="U533" s="3" t="s">
        <v>5193</v>
      </c>
      <c r="V533" s="1">
        <v>267429.0</v>
      </c>
      <c r="W533" s="1" t="s">
        <v>5194</v>
      </c>
      <c r="X533" s="3" t="s">
        <v>5195</v>
      </c>
      <c r="Y533" s="3" t="s">
        <v>5196</v>
      </c>
      <c r="Z533" s="1">
        <v>1.0</v>
      </c>
      <c r="AA533" s="1" t="s">
        <v>5197</v>
      </c>
      <c r="AB533" s="1">
        <v>13.0</v>
      </c>
      <c r="AC533" s="1">
        <v>38.0</v>
      </c>
      <c r="AD533" s="1">
        <v>14.0</v>
      </c>
      <c r="AE533" s="1">
        <v>20.0</v>
      </c>
      <c r="AF533" s="1">
        <v>22.0</v>
      </c>
      <c r="AG533" s="1">
        <v>91.0</v>
      </c>
      <c r="AH533" s="1">
        <v>1938.0</v>
      </c>
      <c r="AI533" s="1">
        <v>55.0</v>
      </c>
      <c r="AJ533" s="1">
        <v>0.0</v>
      </c>
      <c r="AK533" s="1">
        <v>4.0</v>
      </c>
      <c r="AL533" s="1">
        <v>65.0</v>
      </c>
      <c r="AM533" s="1">
        <v>19.0</v>
      </c>
      <c r="AN533" s="1">
        <v>2.0</v>
      </c>
    </row>
    <row r="534">
      <c r="A534" s="1">
        <v>347.0</v>
      </c>
      <c r="B534" s="1" t="s">
        <v>5198</v>
      </c>
      <c r="C534" s="1" t="s">
        <v>5199</v>
      </c>
      <c r="D534" s="1" t="s">
        <v>501</v>
      </c>
      <c r="E534" s="1" t="s">
        <v>43</v>
      </c>
      <c r="F534" s="2">
        <v>20028.0</v>
      </c>
      <c r="G534" s="1" t="s">
        <v>5200</v>
      </c>
      <c r="H534" s="1">
        <v>86.0</v>
      </c>
      <c r="I534" s="1" t="s">
        <v>513</v>
      </c>
      <c r="J534" s="1">
        <v>3.0</v>
      </c>
      <c r="K534" s="2">
        <v>42907.0</v>
      </c>
      <c r="M534" s="1">
        <v>0.0</v>
      </c>
      <c r="N534" s="1" t="s">
        <v>75</v>
      </c>
      <c r="O534" s="1" t="s">
        <v>76</v>
      </c>
      <c r="P534" s="1" t="s">
        <v>5201</v>
      </c>
      <c r="S534" s="1" t="s">
        <v>304</v>
      </c>
      <c r="T534" s="1">
        <v>417.0</v>
      </c>
      <c r="U534" s="3" t="s">
        <v>5202</v>
      </c>
      <c r="V534" s="1">
        <v>336439.0</v>
      </c>
      <c r="W534" s="1" t="s">
        <v>5203</v>
      </c>
      <c r="X534" s="3" t="s">
        <v>5204</v>
      </c>
      <c r="Y534" s="3" t="s">
        <v>5205</v>
      </c>
      <c r="Z534" s="1">
        <v>1.0</v>
      </c>
      <c r="AA534" s="1" t="s">
        <v>5206</v>
      </c>
      <c r="AB534" s="1">
        <v>13.0</v>
      </c>
      <c r="AC534" s="1">
        <v>17.0</v>
      </c>
      <c r="AD534" s="1">
        <v>4.0</v>
      </c>
      <c r="AE534" s="1">
        <v>2.0</v>
      </c>
      <c r="AF534" s="1">
        <v>0.0</v>
      </c>
      <c r="AG534" s="1">
        <v>0.0</v>
      </c>
      <c r="AH534" s="1">
        <v>59.0</v>
      </c>
      <c r="AI534" s="1">
        <v>25.0</v>
      </c>
      <c r="AJ534" s="1">
        <v>0.0</v>
      </c>
      <c r="AK534" s="1">
        <v>0.0</v>
      </c>
      <c r="AL534" s="1">
        <v>5.0</v>
      </c>
      <c r="AM534" s="1">
        <v>9.0</v>
      </c>
      <c r="AN534" s="1">
        <v>1.0</v>
      </c>
    </row>
    <row r="535">
      <c r="A535" s="1">
        <v>580.0</v>
      </c>
      <c r="B535" s="1" t="s">
        <v>5207</v>
      </c>
      <c r="C535" s="1" t="s">
        <v>5208</v>
      </c>
      <c r="D535" s="1" t="s">
        <v>469</v>
      </c>
      <c r="E535" s="1" t="s">
        <v>43</v>
      </c>
      <c r="F535" s="2">
        <v>27865.0</v>
      </c>
      <c r="G535" s="1" t="s">
        <v>5209</v>
      </c>
      <c r="H535" s="1">
        <v>40.0</v>
      </c>
      <c r="I535" s="1" t="s">
        <v>664</v>
      </c>
      <c r="J535" s="1">
        <v>1.0</v>
      </c>
      <c r="K535" s="2">
        <v>42938.0</v>
      </c>
      <c r="M535" s="1">
        <v>0.0</v>
      </c>
      <c r="N535" s="1" t="s">
        <v>280</v>
      </c>
      <c r="O535" s="1" t="s">
        <v>281</v>
      </c>
      <c r="S535" s="1" t="s">
        <v>5210</v>
      </c>
      <c r="T535" s="1">
        <v>249.0</v>
      </c>
      <c r="U535" s="3" t="s">
        <v>5211</v>
      </c>
      <c r="V535" s="1">
        <v>719918.0</v>
      </c>
      <c r="W535" s="1" t="s">
        <v>5212</v>
      </c>
      <c r="X535" s="3" t="s">
        <v>5213</v>
      </c>
      <c r="Y535" s="3" t="s">
        <v>5214</v>
      </c>
      <c r="Z535" s="1">
        <v>2.0</v>
      </c>
      <c r="AB535" s="1">
        <v>13.0</v>
      </c>
      <c r="AC535" s="1">
        <v>23.0</v>
      </c>
      <c r="AD535" s="1">
        <v>10.0</v>
      </c>
      <c r="AE535" s="1">
        <v>1.0</v>
      </c>
      <c r="AF535" s="1">
        <v>0.0</v>
      </c>
      <c r="AG535" s="1">
        <v>0.0</v>
      </c>
      <c r="AH535" s="1">
        <v>189.0</v>
      </c>
      <c r="AI535" s="1">
        <v>15.0</v>
      </c>
      <c r="AJ535" s="1">
        <v>0.0</v>
      </c>
      <c r="AK535" s="1">
        <v>0.0</v>
      </c>
      <c r="AL535" s="1">
        <v>5.0</v>
      </c>
      <c r="AM535" s="1">
        <v>0.0</v>
      </c>
      <c r="AN535" s="1">
        <v>0.0</v>
      </c>
    </row>
    <row r="536">
      <c r="A536" s="1">
        <v>93.0</v>
      </c>
      <c r="B536" s="1" t="s">
        <v>5215</v>
      </c>
      <c r="C536" s="1" t="s">
        <v>5216</v>
      </c>
      <c r="D536" s="1" t="s">
        <v>3249</v>
      </c>
      <c r="E536" s="1" t="s">
        <v>58</v>
      </c>
      <c r="F536" s="2">
        <v>22258.0</v>
      </c>
      <c r="G536" s="1" t="s">
        <v>207</v>
      </c>
      <c r="H536" s="1">
        <v>19.0</v>
      </c>
      <c r="I536" s="1" t="s">
        <v>524</v>
      </c>
      <c r="J536" s="1">
        <v>2.0</v>
      </c>
      <c r="K536" s="2">
        <v>42907.0</v>
      </c>
      <c r="M536" s="1">
        <v>0.0</v>
      </c>
      <c r="N536" s="1" t="s">
        <v>61</v>
      </c>
      <c r="O536" s="1" t="s">
        <v>62</v>
      </c>
      <c r="P536" s="3" t="s">
        <v>5217</v>
      </c>
      <c r="S536" s="1" t="s">
        <v>78</v>
      </c>
      <c r="T536" s="1">
        <v>5.0</v>
      </c>
      <c r="U536" s="3" t="s">
        <v>5218</v>
      </c>
      <c r="V536" s="1">
        <v>719272.0</v>
      </c>
      <c r="W536" s="1" t="s">
        <v>5219</v>
      </c>
      <c r="X536" s="3" t="s">
        <v>5220</v>
      </c>
      <c r="Y536" s="3" t="s">
        <v>5221</v>
      </c>
      <c r="Z536" s="1">
        <v>2.0</v>
      </c>
      <c r="AA536" s="1" t="s">
        <v>5222</v>
      </c>
      <c r="AB536" s="1">
        <v>13.0</v>
      </c>
      <c r="AC536" s="1">
        <v>23.0</v>
      </c>
      <c r="AD536" s="1">
        <v>4.0</v>
      </c>
      <c r="AE536" s="1">
        <v>4.0</v>
      </c>
      <c r="AF536" s="1">
        <v>3.0</v>
      </c>
      <c r="AG536" s="1">
        <v>0.0</v>
      </c>
      <c r="AH536" s="1">
        <v>491.0</v>
      </c>
      <c r="AI536" s="1">
        <v>20.0</v>
      </c>
      <c r="AJ536" s="1">
        <v>0.0</v>
      </c>
      <c r="AK536" s="1">
        <v>0.0</v>
      </c>
      <c r="AL536" s="1">
        <v>31.0</v>
      </c>
      <c r="AM536" s="1">
        <v>25.0</v>
      </c>
      <c r="AN536" s="1">
        <v>1.0</v>
      </c>
    </row>
    <row r="537">
      <c r="A537" s="1">
        <v>396.0</v>
      </c>
      <c r="B537" s="1" t="s">
        <v>5223</v>
      </c>
      <c r="C537" s="1" t="s">
        <v>5224</v>
      </c>
      <c r="D537" s="1" t="s">
        <v>1822</v>
      </c>
      <c r="E537" s="1" t="s">
        <v>43</v>
      </c>
      <c r="F537" s="2">
        <v>27999.0</v>
      </c>
      <c r="G537" s="1" t="s">
        <v>1852</v>
      </c>
      <c r="H537" s="1">
        <v>41.0</v>
      </c>
      <c r="I537" s="1" t="s">
        <v>1741</v>
      </c>
      <c r="J537" s="1">
        <v>2.0</v>
      </c>
      <c r="K537" s="2">
        <v>42907.0</v>
      </c>
      <c r="M537" s="1">
        <v>0.0</v>
      </c>
      <c r="N537" s="1" t="s">
        <v>61</v>
      </c>
      <c r="O537" s="1" t="s">
        <v>62</v>
      </c>
      <c r="P537" s="1" t="s">
        <v>5225</v>
      </c>
      <c r="S537" s="1" t="s">
        <v>162</v>
      </c>
      <c r="T537" s="1">
        <v>139.0</v>
      </c>
      <c r="U537" s="3" t="s">
        <v>5226</v>
      </c>
      <c r="V537" s="1">
        <v>719946.0</v>
      </c>
      <c r="W537" s="1" t="s">
        <v>5227</v>
      </c>
      <c r="X537" s="3" t="s">
        <v>5228</v>
      </c>
      <c r="Y537" s="3" t="s">
        <v>5229</v>
      </c>
      <c r="Z537" s="1">
        <v>1.0</v>
      </c>
      <c r="AA537" s="1" t="s">
        <v>5230</v>
      </c>
      <c r="AB537" s="1">
        <v>13.0</v>
      </c>
      <c r="AC537" s="1">
        <v>11.0</v>
      </c>
      <c r="AD537" s="1">
        <v>2.0</v>
      </c>
      <c r="AE537" s="1">
        <v>10.0</v>
      </c>
      <c r="AF537" s="1">
        <v>4.0</v>
      </c>
      <c r="AG537" s="1">
        <v>6.0</v>
      </c>
      <c r="AH537" s="1">
        <v>795.0</v>
      </c>
      <c r="AI537" s="1">
        <v>36.0</v>
      </c>
      <c r="AJ537" s="1">
        <v>0.0</v>
      </c>
      <c r="AK537" s="1">
        <v>8.0</v>
      </c>
      <c r="AL537" s="1">
        <v>57.0</v>
      </c>
      <c r="AM537" s="1">
        <v>22.0</v>
      </c>
      <c r="AN537" s="1">
        <v>1.0</v>
      </c>
    </row>
    <row r="538">
      <c r="A538" s="1">
        <v>366.0</v>
      </c>
      <c r="B538" s="1" t="s">
        <v>5231</v>
      </c>
      <c r="C538" s="1" t="s">
        <v>5232</v>
      </c>
      <c r="D538" s="1" t="s">
        <v>1045</v>
      </c>
      <c r="E538" s="1" t="s">
        <v>58</v>
      </c>
      <c r="F538" s="2">
        <v>22418.0</v>
      </c>
      <c r="G538" s="1" t="s">
        <v>5233</v>
      </c>
      <c r="H538" s="1">
        <v>974.0</v>
      </c>
      <c r="I538" s="1" t="s">
        <v>2717</v>
      </c>
      <c r="J538" s="1">
        <v>6.0</v>
      </c>
      <c r="K538" s="2">
        <v>42907.0</v>
      </c>
      <c r="M538" s="1">
        <v>0.0</v>
      </c>
      <c r="N538" s="1" t="s">
        <v>61</v>
      </c>
      <c r="O538" s="1" t="s">
        <v>62</v>
      </c>
      <c r="S538" s="1" t="s">
        <v>151</v>
      </c>
      <c r="T538" s="1">
        <v>44.0</v>
      </c>
      <c r="U538" s="3" t="s">
        <v>5234</v>
      </c>
      <c r="V538" s="1">
        <v>721070.0</v>
      </c>
      <c r="W538" s="1" t="s">
        <v>5235</v>
      </c>
      <c r="X538" s="3" t="s">
        <v>5236</v>
      </c>
      <c r="Y538" s="3" t="s">
        <v>5237</v>
      </c>
      <c r="Z538" s="1">
        <v>2.0</v>
      </c>
      <c r="AB538" s="1">
        <v>13.0</v>
      </c>
      <c r="AC538" s="1">
        <v>18.0</v>
      </c>
      <c r="AD538" s="1">
        <v>5.0</v>
      </c>
      <c r="AE538" s="1">
        <v>23.0</v>
      </c>
      <c r="AF538" s="1">
        <v>1.0</v>
      </c>
      <c r="AG538" s="1">
        <v>47.0</v>
      </c>
      <c r="AH538" s="1">
        <v>402.0</v>
      </c>
      <c r="AI538" s="1">
        <v>21.0</v>
      </c>
      <c r="AJ538" s="1">
        <v>0.0</v>
      </c>
      <c r="AK538" s="1">
        <v>0.0</v>
      </c>
      <c r="AL538" s="1">
        <v>11.0</v>
      </c>
      <c r="AM538" s="1">
        <v>0.0</v>
      </c>
      <c r="AN538" s="1">
        <v>1.0</v>
      </c>
    </row>
    <row r="539">
      <c r="A539" s="1">
        <v>107.0</v>
      </c>
      <c r="B539" s="1" t="s">
        <v>5238</v>
      </c>
      <c r="C539" s="1" t="s">
        <v>5239</v>
      </c>
      <c r="D539" s="1" t="s">
        <v>905</v>
      </c>
      <c r="E539" s="1" t="s">
        <v>43</v>
      </c>
      <c r="F539" s="2">
        <v>27201.0</v>
      </c>
      <c r="G539" s="1" t="s">
        <v>1914</v>
      </c>
      <c r="H539" s="1">
        <v>971.0</v>
      </c>
      <c r="I539" s="1" t="s">
        <v>5240</v>
      </c>
      <c r="J539" s="1">
        <v>1.0</v>
      </c>
      <c r="K539" s="2">
        <v>42907.0</v>
      </c>
      <c r="M539" s="1">
        <v>0.0</v>
      </c>
      <c r="N539" s="1" t="s">
        <v>75</v>
      </c>
      <c r="O539" s="1" t="s">
        <v>76</v>
      </c>
      <c r="P539" s="1" t="s">
        <v>5241</v>
      </c>
      <c r="S539" s="1" t="s">
        <v>5242</v>
      </c>
      <c r="T539" s="1">
        <v>311.0</v>
      </c>
      <c r="U539" s="3" t="s">
        <v>5243</v>
      </c>
      <c r="V539" s="1">
        <v>720960.0</v>
      </c>
      <c r="W539" s="1" t="s">
        <v>5244</v>
      </c>
      <c r="X539" s="3" t="s">
        <v>5245</v>
      </c>
      <c r="Y539" s="3" t="s">
        <v>5246</v>
      </c>
      <c r="Z539" s="1">
        <v>1.0</v>
      </c>
      <c r="AA539" s="1" t="s">
        <v>5247</v>
      </c>
      <c r="AB539" s="1">
        <v>13.0</v>
      </c>
      <c r="AC539" s="1">
        <v>30.0</v>
      </c>
      <c r="AD539" s="1">
        <v>17.0</v>
      </c>
      <c r="AE539" s="1">
        <v>39.0</v>
      </c>
      <c r="AF539" s="1">
        <v>5.0</v>
      </c>
      <c r="AG539" s="1">
        <v>39.0</v>
      </c>
      <c r="AH539" s="1">
        <v>280.0</v>
      </c>
      <c r="AI539" s="1">
        <v>146.0</v>
      </c>
      <c r="AJ539" s="1">
        <v>1.0</v>
      </c>
      <c r="AK539" s="1">
        <v>0.0</v>
      </c>
      <c r="AL539" s="1">
        <v>5.0</v>
      </c>
      <c r="AM539" s="1">
        <v>2.0</v>
      </c>
      <c r="AN539" s="1">
        <v>1.0</v>
      </c>
    </row>
    <row r="540">
      <c r="A540" s="1">
        <v>22.0</v>
      </c>
      <c r="B540" s="1" t="s">
        <v>5248</v>
      </c>
      <c r="C540" s="1" t="s">
        <v>5249</v>
      </c>
      <c r="D540" s="1" t="s">
        <v>2889</v>
      </c>
      <c r="E540" s="1" t="s">
        <v>43</v>
      </c>
      <c r="F540" s="2">
        <v>21820.0</v>
      </c>
      <c r="G540" s="1" t="s">
        <v>5250</v>
      </c>
      <c r="H540" s="1">
        <v>973.0</v>
      </c>
      <c r="I540" s="1" t="s">
        <v>5251</v>
      </c>
      <c r="J540" s="1">
        <v>1.0</v>
      </c>
      <c r="K540" s="2">
        <v>42907.0</v>
      </c>
      <c r="M540" s="1">
        <v>0.0</v>
      </c>
      <c r="N540" s="1" t="s">
        <v>101</v>
      </c>
      <c r="O540" s="1" t="s">
        <v>5112</v>
      </c>
      <c r="P540" s="1" t="s">
        <v>5252</v>
      </c>
      <c r="S540" s="1" t="s">
        <v>5253</v>
      </c>
      <c r="T540" s="1">
        <v>597.0</v>
      </c>
      <c r="U540" s="3" t="s">
        <v>5254</v>
      </c>
      <c r="V540" s="1">
        <v>610667.0</v>
      </c>
      <c r="W540" s="1" t="s">
        <v>5255</v>
      </c>
      <c r="X540" s="3" t="s">
        <v>5256</v>
      </c>
      <c r="Y540" s="3" t="s">
        <v>5257</v>
      </c>
      <c r="Z540" s="1">
        <v>2.0</v>
      </c>
      <c r="AA540" s="1" t="s">
        <v>5258</v>
      </c>
      <c r="AB540" s="1">
        <v>13.0</v>
      </c>
      <c r="AC540" s="1">
        <v>33.0</v>
      </c>
      <c r="AD540" s="1">
        <v>23.0</v>
      </c>
      <c r="AE540" s="1">
        <v>26.0</v>
      </c>
      <c r="AF540" s="1">
        <v>0.0</v>
      </c>
      <c r="AG540" s="1">
        <v>11.0</v>
      </c>
      <c r="AH540" s="1">
        <v>679.0</v>
      </c>
      <c r="AI540" s="1">
        <v>33.0</v>
      </c>
      <c r="AJ540" s="1">
        <v>0.0</v>
      </c>
      <c r="AK540" s="1">
        <v>0.0</v>
      </c>
      <c r="AL540" s="1">
        <v>9.0</v>
      </c>
      <c r="AM540" s="1">
        <v>23.0</v>
      </c>
      <c r="AN540" s="1">
        <v>4.0</v>
      </c>
    </row>
    <row r="541">
      <c r="A541" s="1">
        <v>349.0</v>
      </c>
      <c r="B541" s="1" t="s">
        <v>5259</v>
      </c>
      <c r="C541" s="1" t="s">
        <v>5260</v>
      </c>
      <c r="D541" s="1" t="s">
        <v>589</v>
      </c>
      <c r="E541" s="1" t="s">
        <v>43</v>
      </c>
      <c r="F541" s="2">
        <v>21464.0</v>
      </c>
      <c r="G541" s="1" t="s">
        <v>5049</v>
      </c>
      <c r="H541" s="1">
        <v>69.0</v>
      </c>
      <c r="I541" s="1" t="s">
        <v>1363</v>
      </c>
      <c r="J541" s="1">
        <v>6.0</v>
      </c>
      <c r="K541" s="2">
        <v>42907.0</v>
      </c>
      <c r="M541" s="1">
        <v>0.0</v>
      </c>
      <c r="N541" s="1" t="s">
        <v>75</v>
      </c>
      <c r="O541" s="1" t="s">
        <v>76</v>
      </c>
      <c r="P541" s="1" t="s">
        <v>5261</v>
      </c>
      <c r="S541" s="1" t="s">
        <v>198</v>
      </c>
      <c r="T541" s="1">
        <v>272.0</v>
      </c>
      <c r="U541" s="3" t="s">
        <v>5262</v>
      </c>
      <c r="V541" s="1">
        <v>721344.0</v>
      </c>
      <c r="W541" s="1" t="s">
        <v>5263</v>
      </c>
      <c r="X541" s="3" t="s">
        <v>5264</v>
      </c>
      <c r="Y541" s="3" t="s">
        <v>5265</v>
      </c>
      <c r="Z541" s="1">
        <v>1.0</v>
      </c>
      <c r="AA541" s="1" t="s">
        <v>5266</v>
      </c>
      <c r="AB541" s="1">
        <v>12.0</v>
      </c>
      <c r="AC541" s="1">
        <v>19.0</v>
      </c>
      <c r="AD541" s="1">
        <v>1.0</v>
      </c>
      <c r="AE541" s="1">
        <v>0.0</v>
      </c>
      <c r="AF541" s="1">
        <v>4.0</v>
      </c>
      <c r="AG541" s="1">
        <v>1.0</v>
      </c>
      <c r="AH541" s="1">
        <v>17.0</v>
      </c>
      <c r="AI541" s="1">
        <v>9.0</v>
      </c>
      <c r="AJ541" s="1">
        <v>0.0</v>
      </c>
      <c r="AK541" s="1">
        <v>0.0</v>
      </c>
      <c r="AL541" s="1">
        <v>5.0</v>
      </c>
      <c r="AM541" s="1">
        <v>1.0</v>
      </c>
      <c r="AN541" s="1">
        <v>0.0</v>
      </c>
    </row>
    <row r="542">
      <c r="A542" s="1">
        <v>354.0</v>
      </c>
      <c r="B542" s="1" t="s">
        <v>5267</v>
      </c>
      <c r="C542" s="1" t="s">
        <v>5268</v>
      </c>
      <c r="D542" s="1" t="s">
        <v>1146</v>
      </c>
      <c r="E542" s="1" t="s">
        <v>43</v>
      </c>
      <c r="F542" s="2">
        <v>20942.0</v>
      </c>
      <c r="G542" s="1" t="s">
        <v>5269</v>
      </c>
      <c r="H542" s="1">
        <v>84.0</v>
      </c>
      <c r="I542" s="1" t="s">
        <v>719</v>
      </c>
      <c r="J542" s="1">
        <v>2.0</v>
      </c>
      <c r="K542" s="2">
        <v>42907.0</v>
      </c>
      <c r="M542" s="1">
        <v>0.0</v>
      </c>
      <c r="N542" s="1" t="s">
        <v>61</v>
      </c>
      <c r="O542" s="1" t="s">
        <v>62</v>
      </c>
      <c r="P542" s="1" t="s">
        <v>5270</v>
      </c>
      <c r="S542" s="1" t="s">
        <v>5271</v>
      </c>
      <c r="T542" s="1">
        <v>52.0</v>
      </c>
      <c r="U542" s="3" t="s">
        <v>5272</v>
      </c>
      <c r="V542" s="1">
        <v>336316.0</v>
      </c>
      <c r="W542" s="1" t="s">
        <v>5273</v>
      </c>
      <c r="X542" s="3" t="s">
        <v>5274</v>
      </c>
      <c r="Y542" s="3" t="s">
        <v>5275</v>
      </c>
      <c r="Z542" s="1">
        <v>2.0</v>
      </c>
      <c r="AA542" s="1" t="s">
        <v>5276</v>
      </c>
      <c r="AB542" s="1">
        <v>12.0</v>
      </c>
      <c r="AC542" s="1">
        <v>18.0</v>
      </c>
      <c r="AD542" s="1">
        <v>15.0</v>
      </c>
      <c r="AE542" s="1">
        <v>1.0</v>
      </c>
      <c r="AF542" s="1">
        <v>1.0</v>
      </c>
      <c r="AG542" s="1">
        <v>0.0</v>
      </c>
      <c r="AH542" s="1">
        <v>484.0</v>
      </c>
      <c r="AI542" s="1">
        <v>17.0</v>
      </c>
      <c r="AJ542" s="1">
        <v>0.0</v>
      </c>
      <c r="AK542" s="1">
        <v>1.0</v>
      </c>
      <c r="AL542" s="1">
        <v>58.0</v>
      </c>
      <c r="AM542" s="1">
        <v>14.0</v>
      </c>
      <c r="AN542" s="1">
        <v>0.0</v>
      </c>
    </row>
    <row r="543">
      <c r="A543" s="1">
        <v>544.0</v>
      </c>
      <c r="B543" s="1" t="s">
        <v>5277</v>
      </c>
      <c r="C543" s="1" t="s">
        <v>5278</v>
      </c>
      <c r="D543" s="1" t="s">
        <v>312</v>
      </c>
      <c r="E543" s="1" t="s">
        <v>58</v>
      </c>
      <c r="F543" s="2">
        <v>23985.0</v>
      </c>
      <c r="G543" s="1" t="s">
        <v>5279</v>
      </c>
      <c r="H543" s="1">
        <v>69.0</v>
      </c>
      <c r="I543" s="1" t="s">
        <v>1363</v>
      </c>
      <c r="J543" s="1">
        <v>13.0</v>
      </c>
      <c r="K543" s="2">
        <v>42907.0</v>
      </c>
      <c r="M543" s="1">
        <v>0.0</v>
      </c>
      <c r="N543" s="1" t="s">
        <v>75</v>
      </c>
      <c r="O543" s="1" t="s">
        <v>76</v>
      </c>
      <c r="S543" s="1" t="s">
        <v>5280</v>
      </c>
      <c r="T543" s="1">
        <v>624.0</v>
      </c>
      <c r="U543" s="3" t="s">
        <v>5281</v>
      </c>
      <c r="V543" s="1">
        <v>721352.0</v>
      </c>
      <c r="W543" s="1" t="s">
        <v>5282</v>
      </c>
      <c r="X543" s="3" t="s">
        <v>5283</v>
      </c>
      <c r="Y543" s="3" t="s">
        <v>5284</v>
      </c>
      <c r="Z543" s="1">
        <v>1.0</v>
      </c>
      <c r="AB543" s="1">
        <v>12.0</v>
      </c>
      <c r="AC543" s="1">
        <v>17.0</v>
      </c>
      <c r="AD543" s="1">
        <v>4.0</v>
      </c>
      <c r="AE543" s="1">
        <v>3.0</v>
      </c>
      <c r="AF543" s="1">
        <v>2.0</v>
      </c>
      <c r="AG543" s="1">
        <v>0.0</v>
      </c>
      <c r="AH543" s="1">
        <v>53.0</v>
      </c>
      <c r="AI543" s="1">
        <v>14.0</v>
      </c>
      <c r="AJ543" s="1">
        <v>0.0</v>
      </c>
      <c r="AK543" s="1">
        <v>0.0</v>
      </c>
      <c r="AL543" s="1">
        <v>6.0</v>
      </c>
      <c r="AM543" s="1">
        <v>5.0</v>
      </c>
      <c r="AN543" s="1">
        <v>1.0</v>
      </c>
    </row>
    <row r="544">
      <c r="A544" s="1">
        <v>120.0</v>
      </c>
      <c r="B544" s="1" t="s">
        <v>5285</v>
      </c>
      <c r="C544" s="1" t="s">
        <v>5286</v>
      </c>
      <c r="D544" s="1" t="s">
        <v>4045</v>
      </c>
      <c r="E544" s="1" t="s">
        <v>43</v>
      </c>
      <c r="F544" s="2">
        <v>23205.0</v>
      </c>
      <c r="G544" s="1" t="s">
        <v>1541</v>
      </c>
      <c r="H544" s="1">
        <v>88.0</v>
      </c>
      <c r="I544" s="1" t="s">
        <v>1542</v>
      </c>
      <c r="J544" s="1">
        <v>4.0</v>
      </c>
      <c r="K544" s="2">
        <v>42907.0</v>
      </c>
      <c r="M544" s="1">
        <v>0.0</v>
      </c>
      <c r="N544" s="1" t="s">
        <v>61</v>
      </c>
      <c r="O544" s="1" t="s">
        <v>62</v>
      </c>
      <c r="P544" s="1" t="s">
        <v>5287</v>
      </c>
      <c r="S544" s="1" t="s">
        <v>5288</v>
      </c>
      <c r="T544" s="1">
        <v>127.0</v>
      </c>
      <c r="U544" s="3" t="s">
        <v>5289</v>
      </c>
      <c r="V544" s="1">
        <v>267324.0</v>
      </c>
      <c r="W544" s="1" t="s">
        <v>5290</v>
      </c>
      <c r="X544" s="3" t="s">
        <v>5291</v>
      </c>
      <c r="Y544" s="3" t="s">
        <v>5292</v>
      </c>
      <c r="Z544" s="1">
        <v>2.0</v>
      </c>
      <c r="AA544" s="1" t="s">
        <v>5293</v>
      </c>
      <c r="AB544" s="1">
        <v>12.0</v>
      </c>
      <c r="AC544" s="1">
        <v>24.0</v>
      </c>
      <c r="AD544" s="1">
        <v>5.0</v>
      </c>
      <c r="AE544" s="1">
        <v>3.0</v>
      </c>
      <c r="AF544" s="1">
        <v>0.0</v>
      </c>
      <c r="AG544" s="1">
        <v>17.0</v>
      </c>
      <c r="AH544" s="1">
        <v>299.0</v>
      </c>
      <c r="AI544" s="1">
        <v>13.0</v>
      </c>
      <c r="AJ544" s="1">
        <v>0.0</v>
      </c>
      <c r="AK544" s="1">
        <v>1.0</v>
      </c>
      <c r="AL544" s="1">
        <v>31.0</v>
      </c>
      <c r="AM544" s="1">
        <v>34.0</v>
      </c>
      <c r="AN544" s="1">
        <v>1.0</v>
      </c>
    </row>
    <row r="545">
      <c r="A545" s="1">
        <v>410.0</v>
      </c>
      <c r="B545" s="1" t="s">
        <v>5294</v>
      </c>
      <c r="C545" s="1" t="s">
        <v>5295</v>
      </c>
      <c r="D545" s="1" t="s">
        <v>5296</v>
      </c>
      <c r="E545" s="1" t="s">
        <v>43</v>
      </c>
      <c r="F545" s="2">
        <v>19372.0</v>
      </c>
      <c r="G545" s="1" t="s">
        <v>5297</v>
      </c>
      <c r="H545" s="1">
        <v>972.0</v>
      </c>
      <c r="I545" s="1" t="s">
        <v>5111</v>
      </c>
      <c r="J545" s="1">
        <v>3.0</v>
      </c>
      <c r="K545" s="2">
        <v>42907.0</v>
      </c>
      <c r="M545" s="1">
        <v>0.0</v>
      </c>
      <c r="N545" s="1" t="s">
        <v>115</v>
      </c>
      <c r="O545" s="1" t="s">
        <v>5112</v>
      </c>
      <c r="P545" s="1" t="s">
        <v>5298</v>
      </c>
      <c r="S545" s="1" t="s">
        <v>5299</v>
      </c>
      <c r="T545" s="1">
        <v>501.0</v>
      </c>
      <c r="U545" s="3" t="s">
        <v>5300</v>
      </c>
      <c r="V545" s="1">
        <v>337483.0</v>
      </c>
      <c r="W545" s="1" t="s">
        <v>5301</v>
      </c>
      <c r="X545" s="3" t="s">
        <v>5302</v>
      </c>
      <c r="Y545" s="3" t="s">
        <v>5303</v>
      </c>
      <c r="Z545" s="1">
        <v>1.0</v>
      </c>
      <c r="AA545" s="1" t="s">
        <v>5304</v>
      </c>
      <c r="AB545" s="1">
        <v>12.0</v>
      </c>
      <c r="AC545" s="1">
        <v>15.0</v>
      </c>
      <c r="AD545" s="1">
        <v>31.0</v>
      </c>
      <c r="AE545" s="1">
        <v>61.0</v>
      </c>
      <c r="AF545" s="1">
        <v>37.0</v>
      </c>
      <c r="AG545" s="1">
        <v>37.0</v>
      </c>
      <c r="AH545" s="1">
        <v>1150.0</v>
      </c>
      <c r="AI545" s="1">
        <v>88.0</v>
      </c>
      <c r="AJ545" s="1">
        <v>2.0</v>
      </c>
      <c r="AK545" s="1">
        <v>0.0</v>
      </c>
      <c r="AL545" s="1">
        <v>6.0</v>
      </c>
      <c r="AM545" s="1">
        <v>0.0</v>
      </c>
      <c r="AN545" s="1">
        <v>2.0</v>
      </c>
    </row>
    <row r="546">
      <c r="A546" s="1">
        <v>156.0</v>
      </c>
      <c r="B546" s="1" t="s">
        <v>5305</v>
      </c>
      <c r="C546" s="1" t="s">
        <v>5306</v>
      </c>
      <c r="D546" s="1" t="s">
        <v>2991</v>
      </c>
      <c r="E546" s="1" t="s">
        <v>43</v>
      </c>
      <c r="F546" s="2">
        <v>16531.0</v>
      </c>
      <c r="G546" s="1" t="s">
        <v>718</v>
      </c>
      <c r="H546" s="1">
        <v>13.0</v>
      </c>
      <c r="I546" s="1" t="s">
        <v>279</v>
      </c>
      <c r="J546" s="1">
        <v>6.0</v>
      </c>
      <c r="K546" s="2">
        <v>42907.0</v>
      </c>
      <c r="M546" s="1">
        <v>0.0</v>
      </c>
      <c r="N546" s="1" t="s">
        <v>61</v>
      </c>
      <c r="O546" s="1" t="s">
        <v>62</v>
      </c>
      <c r="P546" s="1" t="s">
        <v>5307</v>
      </c>
      <c r="S546" s="1" t="s">
        <v>5308</v>
      </c>
      <c r="T546" s="1">
        <v>84.0</v>
      </c>
      <c r="U546" s="3" t="s">
        <v>5309</v>
      </c>
      <c r="V546" s="1">
        <v>2796.0</v>
      </c>
      <c r="W546" s="1" t="s">
        <v>5310</v>
      </c>
      <c r="X546" s="3" t="s">
        <v>5311</v>
      </c>
      <c r="Y546" s="3" t="s">
        <v>5312</v>
      </c>
      <c r="Z546" s="1">
        <v>3.0</v>
      </c>
      <c r="AA546" s="1" t="s">
        <v>5313</v>
      </c>
      <c r="AB546" s="1">
        <v>12.0</v>
      </c>
      <c r="AC546" s="1">
        <v>8.0</v>
      </c>
      <c r="AD546" s="1">
        <v>9.0</v>
      </c>
      <c r="AE546" s="1">
        <v>3.0</v>
      </c>
      <c r="AF546" s="1">
        <v>29.0</v>
      </c>
      <c r="AG546" s="1">
        <v>4.0</v>
      </c>
      <c r="AH546" s="1">
        <v>257.0</v>
      </c>
      <c r="AI546" s="1">
        <v>14.0</v>
      </c>
      <c r="AJ546" s="1">
        <v>1.0</v>
      </c>
      <c r="AK546" s="1">
        <v>2.0</v>
      </c>
      <c r="AL546" s="1">
        <v>37.0</v>
      </c>
      <c r="AM546" s="1">
        <v>14.0</v>
      </c>
      <c r="AN546" s="1">
        <v>2.0</v>
      </c>
    </row>
    <row r="547">
      <c r="A547" s="1">
        <v>491.0</v>
      </c>
      <c r="B547" s="1" t="s">
        <v>5314</v>
      </c>
      <c r="C547" s="1" t="s">
        <v>5315</v>
      </c>
      <c r="D547" s="1" t="s">
        <v>1551</v>
      </c>
      <c r="E547" s="1" t="s">
        <v>58</v>
      </c>
      <c r="F547" s="2">
        <v>20581.0</v>
      </c>
      <c r="G547" s="1" t="s">
        <v>5316</v>
      </c>
      <c r="H547" s="1">
        <v>971.0</v>
      </c>
      <c r="I547" s="1" t="s">
        <v>5240</v>
      </c>
      <c r="J547" s="1">
        <v>4.0</v>
      </c>
      <c r="K547" s="2">
        <v>42907.0</v>
      </c>
      <c r="M547" s="1">
        <v>0.0</v>
      </c>
      <c r="N547" s="1" t="s">
        <v>115</v>
      </c>
      <c r="O547" s="1" t="s">
        <v>5112</v>
      </c>
      <c r="P547" s="3" t="s">
        <v>5317</v>
      </c>
      <c r="S547" s="1" t="s">
        <v>2348</v>
      </c>
      <c r="T547" s="1">
        <v>496.0</v>
      </c>
      <c r="U547" s="3" t="s">
        <v>5318</v>
      </c>
      <c r="V547" s="1">
        <v>643145.0</v>
      </c>
      <c r="W547" s="1" t="s">
        <v>5319</v>
      </c>
      <c r="X547" s="3" t="s">
        <v>5320</v>
      </c>
      <c r="Y547" s="3" t="s">
        <v>5321</v>
      </c>
      <c r="Z547" s="1">
        <v>2.0</v>
      </c>
      <c r="AA547" s="1" t="s">
        <v>5322</v>
      </c>
      <c r="AB547" s="1">
        <v>12.0</v>
      </c>
      <c r="AC547" s="1">
        <v>20.0</v>
      </c>
      <c r="AD547" s="1">
        <v>9.0</v>
      </c>
      <c r="AE547" s="1">
        <v>10.0</v>
      </c>
      <c r="AF547" s="1">
        <v>7.0</v>
      </c>
      <c r="AG547" s="1">
        <v>26.0</v>
      </c>
      <c r="AH547" s="1">
        <v>1172.0</v>
      </c>
      <c r="AI547" s="1">
        <v>80.0</v>
      </c>
      <c r="AJ547" s="1">
        <v>0.0</v>
      </c>
      <c r="AK547" s="1">
        <v>0.0</v>
      </c>
      <c r="AL547" s="1">
        <v>5.0</v>
      </c>
      <c r="AM547" s="1">
        <v>0.0</v>
      </c>
      <c r="AN547" s="1">
        <v>1.0</v>
      </c>
    </row>
    <row r="548">
      <c r="A548" s="1">
        <v>217.0</v>
      </c>
      <c r="B548" s="1" t="s">
        <v>5323</v>
      </c>
      <c r="C548" s="1" t="s">
        <v>5324</v>
      </c>
      <c r="D548" s="1" t="s">
        <v>1695</v>
      </c>
      <c r="E548" s="1" t="s">
        <v>58</v>
      </c>
      <c r="F548" s="2">
        <v>24859.0</v>
      </c>
      <c r="G548" s="1" t="s">
        <v>5325</v>
      </c>
      <c r="H548" s="1">
        <v>974.0</v>
      </c>
      <c r="I548" s="1" t="s">
        <v>2717</v>
      </c>
      <c r="J548" s="1">
        <v>3.0</v>
      </c>
      <c r="K548" s="2">
        <v>42907.0</v>
      </c>
      <c r="M548" s="1">
        <v>0.0</v>
      </c>
      <c r="N548" s="1" t="s">
        <v>61</v>
      </c>
      <c r="O548" s="1" t="s">
        <v>62</v>
      </c>
      <c r="P548" s="1" t="s">
        <v>5326</v>
      </c>
      <c r="S548" s="1" t="s">
        <v>3558</v>
      </c>
      <c r="T548" s="1">
        <v>109.0</v>
      </c>
      <c r="U548" s="3" t="s">
        <v>5327</v>
      </c>
      <c r="V548" s="1">
        <v>721046.0</v>
      </c>
      <c r="W548" s="1" t="s">
        <v>5328</v>
      </c>
      <c r="X548" s="3" t="s">
        <v>5329</v>
      </c>
      <c r="Y548" s="3" t="s">
        <v>5330</v>
      </c>
      <c r="Z548" s="1">
        <v>1.0</v>
      </c>
      <c r="AA548" s="1" t="s">
        <v>5331</v>
      </c>
      <c r="AB548" s="1">
        <v>11.0</v>
      </c>
      <c r="AC548" s="1">
        <v>20.0</v>
      </c>
      <c r="AD548" s="1">
        <v>4.0</v>
      </c>
      <c r="AE548" s="1">
        <v>8.0</v>
      </c>
      <c r="AF548" s="1">
        <v>5.0</v>
      </c>
      <c r="AG548" s="1">
        <v>3.0</v>
      </c>
      <c r="AH548" s="1">
        <v>656.0</v>
      </c>
      <c r="AI548" s="1">
        <v>30.0</v>
      </c>
      <c r="AJ548" s="1">
        <v>0.0</v>
      </c>
      <c r="AK548" s="1">
        <v>0.0</v>
      </c>
      <c r="AL548" s="1">
        <v>46.0</v>
      </c>
      <c r="AM548" s="1">
        <v>6.0</v>
      </c>
      <c r="AN548" s="1">
        <v>2.0</v>
      </c>
    </row>
    <row r="549">
      <c r="A549" s="1">
        <v>563.0</v>
      </c>
      <c r="B549" s="1" t="s">
        <v>5332</v>
      </c>
      <c r="C549" s="1" t="s">
        <v>5333</v>
      </c>
      <c r="D549" s="1" t="s">
        <v>5334</v>
      </c>
      <c r="E549" s="1" t="s">
        <v>43</v>
      </c>
      <c r="F549" s="2">
        <v>25498.0</v>
      </c>
      <c r="G549" s="1" t="s">
        <v>5139</v>
      </c>
      <c r="H549" s="1">
        <v>987.0</v>
      </c>
      <c r="I549" s="1" t="s">
        <v>5140</v>
      </c>
      <c r="J549" s="1">
        <v>3.0</v>
      </c>
      <c r="K549" s="2">
        <v>42907.0</v>
      </c>
      <c r="M549" s="1">
        <v>0.0</v>
      </c>
      <c r="N549" s="1" t="s">
        <v>101</v>
      </c>
      <c r="O549" s="1" t="s">
        <v>5335</v>
      </c>
      <c r="P549" s="1" t="s">
        <v>5336</v>
      </c>
      <c r="S549" s="1" t="s">
        <v>440</v>
      </c>
      <c r="T549" s="1">
        <v>582.0</v>
      </c>
      <c r="U549" s="3" t="s">
        <v>5337</v>
      </c>
      <c r="V549" s="1">
        <v>721118.0</v>
      </c>
      <c r="W549" s="1" t="s">
        <v>5338</v>
      </c>
      <c r="X549" s="3" t="s">
        <v>5339</v>
      </c>
      <c r="Y549" s="3" t="s">
        <v>5340</v>
      </c>
      <c r="Z549" s="1">
        <v>1.0</v>
      </c>
      <c r="AA549" s="1" t="s">
        <v>5341</v>
      </c>
      <c r="AB549" s="1">
        <v>11.0</v>
      </c>
      <c r="AC549" s="1">
        <v>24.0</v>
      </c>
      <c r="AD549" s="1">
        <v>8.0</v>
      </c>
      <c r="AE549" s="1">
        <v>11.0</v>
      </c>
      <c r="AF549" s="1">
        <v>5.0</v>
      </c>
      <c r="AG549" s="1">
        <v>0.0</v>
      </c>
      <c r="AH549" s="1">
        <v>640.0</v>
      </c>
      <c r="AI549" s="1">
        <v>28.0</v>
      </c>
      <c r="AJ549" s="1">
        <v>0.0</v>
      </c>
      <c r="AK549" s="1">
        <v>0.0</v>
      </c>
      <c r="AL549" s="1">
        <v>13.0</v>
      </c>
      <c r="AM549" s="1">
        <v>0.0</v>
      </c>
      <c r="AN549" s="1">
        <v>4.0</v>
      </c>
    </row>
    <row r="550">
      <c r="A550" s="1">
        <v>126.0</v>
      </c>
      <c r="B550" s="1" t="s">
        <v>5342</v>
      </c>
      <c r="C550" s="1" t="s">
        <v>5343</v>
      </c>
      <c r="D550" s="1" t="s">
        <v>42</v>
      </c>
      <c r="E550" s="1" t="s">
        <v>43</v>
      </c>
      <c r="F550" s="2">
        <v>23206.0</v>
      </c>
      <c r="G550" s="1" t="s">
        <v>672</v>
      </c>
      <c r="H550" s="1">
        <v>81.0</v>
      </c>
      <c r="I550" s="1" t="s">
        <v>673</v>
      </c>
      <c r="J550" s="1">
        <v>1.0</v>
      </c>
      <c r="K550" s="2">
        <v>42907.0</v>
      </c>
      <c r="M550" s="1">
        <v>0.0</v>
      </c>
      <c r="N550" s="1" t="s">
        <v>75</v>
      </c>
      <c r="O550" s="1" t="s">
        <v>76</v>
      </c>
      <c r="P550" s="1" t="s">
        <v>5344</v>
      </c>
      <c r="S550" s="1" t="s">
        <v>5345</v>
      </c>
      <c r="T550" s="1">
        <v>469.0</v>
      </c>
      <c r="U550" s="3" t="s">
        <v>5346</v>
      </c>
      <c r="V550" s="1">
        <v>267673.0</v>
      </c>
      <c r="W550" s="1" t="s">
        <v>5347</v>
      </c>
      <c r="X550" s="3" t="s">
        <v>5348</v>
      </c>
      <c r="Y550" s="3" t="s">
        <v>5349</v>
      </c>
      <c r="Z550" s="1">
        <v>2.0</v>
      </c>
      <c r="AA550" s="1" t="s">
        <v>5350</v>
      </c>
      <c r="AB550" s="1">
        <v>11.0</v>
      </c>
      <c r="AC550" s="1">
        <v>16.0</v>
      </c>
      <c r="AD550" s="1">
        <v>7.0</v>
      </c>
      <c r="AE550" s="1">
        <v>19.0</v>
      </c>
      <c r="AF550" s="1">
        <v>4.0</v>
      </c>
      <c r="AG550" s="1">
        <v>8.0</v>
      </c>
      <c r="AH550" s="1">
        <v>15.0</v>
      </c>
      <c r="AI550" s="1">
        <v>1.0</v>
      </c>
      <c r="AJ550" s="1">
        <v>0.0</v>
      </c>
      <c r="AK550" s="1">
        <v>2.0</v>
      </c>
      <c r="AL550" s="1">
        <v>7.0</v>
      </c>
      <c r="AM550" s="1">
        <v>12.0</v>
      </c>
      <c r="AN550" s="1">
        <v>1.0</v>
      </c>
    </row>
    <row r="551">
      <c r="A551" s="1">
        <v>300.0</v>
      </c>
      <c r="B551" s="1" t="s">
        <v>5351</v>
      </c>
      <c r="C551" s="1" t="s">
        <v>5352</v>
      </c>
      <c r="D551" s="1" t="s">
        <v>3905</v>
      </c>
      <c r="E551" s="1" t="s">
        <v>58</v>
      </c>
      <c r="F551" s="2">
        <v>18186.0</v>
      </c>
      <c r="G551" s="1" t="s">
        <v>5353</v>
      </c>
      <c r="H551" s="1">
        <v>27.0</v>
      </c>
      <c r="I551" s="1" t="s">
        <v>2698</v>
      </c>
      <c r="J551" s="1">
        <v>5.0</v>
      </c>
      <c r="K551" s="2">
        <v>42907.0</v>
      </c>
      <c r="M551" s="1">
        <v>0.0</v>
      </c>
      <c r="N551" s="1" t="s">
        <v>75</v>
      </c>
      <c r="O551" s="1" t="s">
        <v>76</v>
      </c>
      <c r="P551" s="3" t="s">
        <v>5354</v>
      </c>
      <c r="S551" s="1" t="s">
        <v>5355</v>
      </c>
      <c r="T551" s="1">
        <v>304.0</v>
      </c>
      <c r="U551" s="3" t="s">
        <v>5356</v>
      </c>
      <c r="V551" s="1">
        <v>719364.0</v>
      </c>
      <c r="W551" s="1" t="s">
        <v>5357</v>
      </c>
      <c r="X551" s="3" t="s">
        <v>5358</v>
      </c>
      <c r="Y551" s="3" t="s">
        <v>5359</v>
      </c>
      <c r="Z551" s="1">
        <v>1.0</v>
      </c>
      <c r="AB551" s="1">
        <v>11.0</v>
      </c>
      <c r="AC551" s="1">
        <v>13.0</v>
      </c>
      <c r="AD551" s="1">
        <v>2.0</v>
      </c>
      <c r="AE551" s="1">
        <v>3.0</v>
      </c>
      <c r="AF551" s="1">
        <v>0.0</v>
      </c>
      <c r="AG551" s="1">
        <v>0.0</v>
      </c>
      <c r="AH551" s="1">
        <v>56.0</v>
      </c>
      <c r="AI551" s="1">
        <v>13.0</v>
      </c>
      <c r="AJ551" s="1">
        <v>0.0</v>
      </c>
      <c r="AK551" s="1">
        <v>0.0</v>
      </c>
      <c r="AL551" s="1">
        <v>6.0</v>
      </c>
      <c r="AM551" s="1">
        <v>29.0</v>
      </c>
      <c r="AN551" s="1">
        <v>2.0</v>
      </c>
    </row>
    <row r="552">
      <c r="A552" s="1">
        <v>470.0</v>
      </c>
      <c r="B552" s="1" t="s">
        <v>5360</v>
      </c>
      <c r="C552" s="1" t="s">
        <v>5361</v>
      </c>
      <c r="D552" s="1" t="s">
        <v>413</v>
      </c>
      <c r="E552" s="1" t="s">
        <v>43</v>
      </c>
      <c r="F552" s="2">
        <v>26162.0</v>
      </c>
      <c r="G552" s="1" t="s">
        <v>1291</v>
      </c>
      <c r="H552" s="1">
        <v>92.0</v>
      </c>
      <c r="I552" s="1" t="s">
        <v>781</v>
      </c>
      <c r="J552" s="1">
        <v>9.0</v>
      </c>
      <c r="K552" s="2">
        <v>42907.0</v>
      </c>
      <c r="M552" s="1">
        <v>0.0</v>
      </c>
      <c r="N552" s="1" t="s">
        <v>75</v>
      </c>
      <c r="O552" s="1" t="s">
        <v>76</v>
      </c>
      <c r="P552" s="1" t="s">
        <v>5362</v>
      </c>
      <c r="S552" s="1" t="s">
        <v>4458</v>
      </c>
      <c r="T552" s="1">
        <v>381.0</v>
      </c>
      <c r="U552" s="3" t="s">
        <v>5363</v>
      </c>
      <c r="V552" s="1">
        <v>346876.0</v>
      </c>
      <c r="W552" s="1" t="s">
        <v>5364</v>
      </c>
      <c r="X552" s="3" t="s">
        <v>5365</v>
      </c>
      <c r="Y552" s="3" t="s">
        <v>5366</v>
      </c>
      <c r="Z552" s="1">
        <v>1.0</v>
      </c>
      <c r="AA552" s="1" t="s">
        <v>5367</v>
      </c>
      <c r="AB552" s="1">
        <v>11.0</v>
      </c>
      <c r="AC552" s="1">
        <v>5.0</v>
      </c>
      <c r="AD552" s="1">
        <v>0.0</v>
      </c>
      <c r="AE552" s="1">
        <v>3.0</v>
      </c>
      <c r="AF552" s="1">
        <v>13.0</v>
      </c>
      <c r="AG552" s="1">
        <v>0.0</v>
      </c>
      <c r="AH552" s="1">
        <v>189.0</v>
      </c>
      <c r="AI552" s="1">
        <v>11.0</v>
      </c>
      <c r="AJ552" s="1">
        <v>0.0</v>
      </c>
      <c r="AK552" s="1">
        <v>0.0</v>
      </c>
      <c r="AL552" s="1">
        <v>9.0</v>
      </c>
      <c r="AM552" s="1">
        <v>7.0</v>
      </c>
      <c r="AN552" s="1">
        <v>0.0</v>
      </c>
    </row>
    <row r="553">
      <c r="A553" s="1">
        <v>91.0</v>
      </c>
      <c r="B553" s="1" t="s">
        <v>5368</v>
      </c>
      <c r="C553" s="1" t="s">
        <v>5369</v>
      </c>
      <c r="D553" s="1" t="s">
        <v>5370</v>
      </c>
      <c r="E553" s="1" t="s">
        <v>58</v>
      </c>
      <c r="F553" s="2">
        <v>29294.0</v>
      </c>
      <c r="G553" s="1" t="s">
        <v>370</v>
      </c>
      <c r="H553" s="1">
        <v>76.0</v>
      </c>
      <c r="I553" s="1" t="s">
        <v>371</v>
      </c>
      <c r="J553" s="1">
        <v>4.0</v>
      </c>
      <c r="K553" s="2">
        <v>42907.0</v>
      </c>
      <c r="M553" s="1">
        <v>0.0</v>
      </c>
      <c r="N553" s="1" t="s">
        <v>75</v>
      </c>
      <c r="O553" s="1" t="s">
        <v>76</v>
      </c>
      <c r="P553" s="3" t="s">
        <v>5371</v>
      </c>
      <c r="S553" s="1" t="s">
        <v>78</v>
      </c>
      <c r="T553" s="1">
        <v>291.0</v>
      </c>
      <c r="U553" s="3" t="s">
        <v>5372</v>
      </c>
      <c r="V553" s="1">
        <v>722118.0</v>
      </c>
      <c r="W553" s="1" t="s">
        <v>5373</v>
      </c>
      <c r="X553" s="3" t="s">
        <v>5374</v>
      </c>
      <c r="Y553" s="3" t="s">
        <v>5375</v>
      </c>
      <c r="Z553" s="1">
        <v>1.0</v>
      </c>
      <c r="AA553" s="1" t="s">
        <v>5376</v>
      </c>
      <c r="AB553" s="1">
        <v>11.0</v>
      </c>
      <c r="AC553" s="1">
        <v>16.0</v>
      </c>
      <c r="AD553" s="1">
        <v>2.0</v>
      </c>
      <c r="AE553" s="1">
        <v>15.0</v>
      </c>
      <c r="AF553" s="1">
        <v>8.0</v>
      </c>
      <c r="AG553" s="1">
        <v>2.0</v>
      </c>
      <c r="AH553" s="1">
        <v>94.0</v>
      </c>
      <c r="AI553" s="1">
        <v>39.0</v>
      </c>
      <c r="AJ553" s="1">
        <v>1.0</v>
      </c>
      <c r="AK553" s="1">
        <v>0.0</v>
      </c>
      <c r="AL553" s="1">
        <v>5.0</v>
      </c>
      <c r="AM553" s="1">
        <v>3.0</v>
      </c>
      <c r="AN553" s="1">
        <v>0.0</v>
      </c>
    </row>
    <row r="554">
      <c r="A554" s="1">
        <v>466.0</v>
      </c>
      <c r="B554" s="1" t="s">
        <v>5377</v>
      </c>
      <c r="C554" s="1" t="s">
        <v>5378</v>
      </c>
      <c r="D554" s="1" t="s">
        <v>5379</v>
      </c>
      <c r="E554" s="1" t="s">
        <v>43</v>
      </c>
      <c r="F554" s="2">
        <v>21632.0</v>
      </c>
      <c r="G554" s="1" t="s">
        <v>5380</v>
      </c>
      <c r="H554" s="1">
        <v>976.0</v>
      </c>
      <c r="I554" s="1" t="s">
        <v>5381</v>
      </c>
      <c r="J554" s="1">
        <v>2.0</v>
      </c>
      <c r="K554" s="2">
        <v>42907.0</v>
      </c>
      <c r="M554" s="1">
        <v>0.0</v>
      </c>
      <c r="N554" s="1" t="s">
        <v>61</v>
      </c>
      <c r="O554" s="1" t="s">
        <v>62</v>
      </c>
      <c r="P554" s="1" t="s">
        <v>5382</v>
      </c>
      <c r="S554" s="1" t="s">
        <v>304</v>
      </c>
      <c r="T554" s="1">
        <v>98.0</v>
      </c>
      <c r="U554" s="3" t="s">
        <v>5383</v>
      </c>
      <c r="V554" s="1">
        <v>267901.0</v>
      </c>
      <c r="W554" s="1" t="s">
        <v>5384</v>
      </c>
      <c r="X554" s="3" t="s">
        <v>5385</v>
      </c>
      <c r="Y554" s="3" t="s">
        <v>5386</v>
      </c>
      <c r="Z554" s="1">
        <v>1.0</v>
      </c>
      <c r="AB554" s="1">
        <v>10.0</v>
      </c>
      <c r="AC554" s="1">
        <v>15.0</v>
      </c>
      <c r="AD554" s="1">
        <v>10.0</v>
      </c>
      <c r="AE554" s="1">
        <v>20.0</v>
      </c>
      <c r="AF554" s="1">
        <v>2.0</v>
      </c>
      <c r="AG554" s="1">
        <v>6.0</v>
      </c>
      <c r="AH554" s="1">
        <v>288.0</v>
      </c>
      <c r="AI554" s="1">
        <v>22.0</v>
      </c>
      <c r="AJ554" s="1">
        <v>0.0</v>
      </c>
      <c r="AK554" s="1">
        <v>0.0</v>
      </c>
      <c r="AL554" s="1">
        <v>9.0</v>
      </c>
      <c r="AM554" s="1">
        <v>6.0</v>
      </c>
      <c r="AN554" s="1">
        <v>2.0</v>
      </c>
    </row>
    <row r="555">
      <c r="A555" s="1">
        <v>111.0</v>
      </c>
      <c r="B555" s="1" t="s">
        <v>5387</v>
      </c>
      <c r="C555" s="1" t="s">
        <v>5388</v>
      </c>
      <c r="D555" s="1" t="s">
        <v>5389</v>
      </c>
      <c r="E555" s="1" t="s">
        <v>58</v>
      </c>
      <c r="F555" s="2">
        <v>28569.0</v>
      </c>
      <c r="G555" s="1" t="s">
        <v>5390</v>
      </c>
      <c r="H555" s="1">
        <v>999.0</v>
      </c>
      <c r="I555" s="1" t="s">
        <v>256</v>
      </c>
      <c r="J555" s="1">
        <v>10.0</v>
      </c>
      <c r="K555" s="2">
        <v>42907.0</v>
      </c>
      <c r="M555" s="1">
        <v>0.0</v>
      </c>
      <c r="N555" s="1" t="s">
        <v>75</v>
      </c>
      <c r="O555" s="1" t="s">
        <v>76</v>
      </c>
      <c r="P555" s="1" t="s">
        <v>5391</v>
      </c>
      <c r="S555" s="1" t="s">
        <v>2484</v>
      </c>
      <c r="T555" s="1">
        <v>555.0</v>
      </c>
      <c r="U555" s="3" t="s">
        <v>5392</v>
      </c>
      <c r="V555" s="1">
        <v>721004.0</v>
      </c>
      <c r="W555" s="1" t="s">
        <v>5393</v>
      </c>
      <c r="X555" s="3" t="s">
        <v>5394</v>
      </c>
      <c r="Y555" s="3" t="s">
        <v>5395</v>
      </c>
      <c r="Z555" s="1">
        <v>1.0</v>
      </c>
      <c r="AA555" s="1" t="s">
        <v>5396</v>
      </c>
      <c r="AB555" s="1">
        <v>10.0</v>
      </c>
      <c r="AC555" s="1">
        <v>18.0</v>
      </c>
      <c r="AD555" s="1">
        <v>3.0</v>
      </c>
      <c r="AE555" s="1">
        <v>0.0</v>
      </c>
      <c r="AF555" s="1">
        <v>0.0</v>
      </c>
      <c r="AG555" s="1">
        <v>3.0</v>
      </c>
      <c r="AH555" s="1">
        <v>34.0</v>
      </c>
      <c r="AI555" s="1">
        <v>11.0</v>
      </c>
      <c r="AJ555" s="1">
        <v>0.0</v>
      </c>
      <c r="AK555" s="1">
        <v>0.0</v>
      </c>
      <c r="AL555" s="1">
        <v>5.0</v>
      </c>
      <c r="AM555" s="1">
        <v>4.0</v>
      </c>
      <c r="AN555" s="1">
        <v>0.0</v>
      </c>
    </row>
    <row r="556">
      <c r="A556" s="1">
        <v>204.0</v>
      </c>
      <c r="B556" s="1" t="s">
        <v>5397</v>
      </c>
      <c r="C556" s="1" t="s">
        <v>5398</v>
      </c>
      <c r="D556" s="1" t="s">
        <v>915</v>
      </c>
      <c r="E556" s="1" t="s">
        <v>43</v>
      </c>
      <c r="F556" s="2">
        <v>23665.0</v>
      </c>
      <c r="G556" s="1" t="s">
        <v>5325</v>
      </c>
      <c r="H556" s="1">
        <v>974.0</v>
      </c>
      <c r="I556" s="1" t="s">
        <v>2717</v>
      </c>
      <c r="J556" s="1">
        <v>4.0</v>
      </c>
      <c r="K556" s="2">
        <v>42907.0</v>
      </c>
      <c r="M556" s="1">
        <v>0.0</v>
      </c>
      <c r="N556" s="1" t="s">
        <v>61</v>
      </c>
      <c r="O556" s="1" t="s">
        <v>62</v>
      </c>
      <c r="P556" s="1" t="s">
        <v>5399</v>
      </c>
      <c r="S556" s="1" t="s">
        <v>5400</v>
      </c>
      <c r="T556" s="1">
        <v>110.0</v>
      </c>
      <c r="U556" s="3" t="s">
        <v>5401</v>
      </c>
      <c r="V556" s="1">
        <v>721054.0</v>
      </c>
      <c r="W556" s="1" t="s">
        <v>5402</v>
      </c>
      <c r="X556" s="3" t="s">
        <v>5403</v>
      </c>
      <c r="Y556" s="3" t="s">
        <v>5404</v>
      </c>
      <c r="Z556" s="1">
        <v>2.0</v>
      </c>
      <c r="AA556" s="1" t="s">
        <v>5405</v>
      </c>
      <c r="AB556" s="1">
        <v>10.0</v>
      </c>
      <c r="AC556" s="1">
        <v>26.0</v>
      </c>
      <c r="AD556" s="1">
        <v>13.0</v>
      </c>
      <c r="AE556" s="1">
        <v>23.0</v>
      </c>
      <c r="AF556" s="1">
        <v>1.0</v>
      </c>
      <c r="AG556" s="1">
        <v>22.0</v>
      </c>
      <c r="AH556" s="1">
        <v>369.0</v>
      </c>
      <c r="AI556" s="1">
        <v>16.0</v>
      </c>
      <c r="AJ556" s="1">
        <v>0.0</v>
      </c>
      <c r="AK556" s="1">
        <v>0.0</v>
      </c>
      <c r="AL556" s="1">
        <v>23.0</v>
      </c>
      <c r="AM556" s="1">
        <v>14.0</v>
      </c>
      <c r="AN556" s="1">
        <v>3.0</v>
      </c>
    </row>
    <row r="557">
      <c r="A557" s="1">
        <v>338.0</v>
      </c>
      <c r="B557" s="1" t="s">
        <v>5406</v>
      </c>
      <c r="C557" s="1" t="s">
        <v>1450</v>
      </c>
      <c r="D557" s="1" t="s">
        <v>413</v>
      </c>
      <c r="E557" s="1" t="s">
        <v>43</v>
      </c>
      <c r="F557" s="2">
        <v>28216.0</v>
      </c>
      <c r="G557" s="1" t="s">
        <v>1571</v>
      </c>
      <c r="H557" s="1">
        <v>974.0</v>
      </c>
      <c r="I557" s="1" t="s">
        <v>2717</v>
      </c>
      <c r="J557" s="1">
        <v>7.0</v>
      </c>
      <c r="K557" s="2">
        <v>42907.0</v>
      </c>
      <c r="M557" s="1">
        <v>0.0</v>
      </c>
      <c r="N557" s="1" t="s">
        <v>280</v>
      </c>
      <c r="O557" s="1" t="s">
        <v>281</v>
      </c>
      <c r="P557" s="1" t="s">
        <v>5407</v>
      </c>
      <c r="S557" s="1" t="s">
        <v>5408</v>
      </c>
      <c r="T557" s="1">
        <v>258.0</v>
      </c>
      <c r="U557" s="3" t="s">
        <v>5409</v>
      </c>
      <c r="V557" s="1">
        <v>610733.0</v>
      </c>
      <c r="W557" s="1" t="s">
        <v>5410</v>
      </c>
      <c r="X557" s="3" t="s">
        <v>5411</v>
      </c>
      <c r="Y557" s="3" t="s">
        <v>5412</v>
      </c>
      <c r="Z557" s="1">
        <v>2.0</v>
      </c>
      <c r="AA557" s="1" t="s">
        <v>5413</v>
      </c>
      <c r="AB557" s="1">
        <v>10.0</v>
      </c>
      <c r="AC557" s="1">
        <v>11.0</v>
      </c>
      <c r="AD557" s="1">
        <v>2.0</v>
      </c>
      <c r="AE557" s="1">
        <v>4.0</v>
      </c>
      <c r="AF557" s="1">
        <v>1.0</v>
      </c>
      <c r="AG557" s="1">
        <v>0.0</v>
      </c>
      <c r="AH557" s="1">
        <v>231.0</v>
      </c>
      <c r="AI557" s="1">
        <v>26.0</v>
      </c>
      <c r="AJ557" s="1">
        <v>0.0</v>
      </c>
      <c r="AK557" s="1">
        <v>0.0</v>
      </c>
      <c r="AL557" s="1">
        <v>5.0</v>
      </c>
      <c r="AM557" s="1">
        <v>0.0</v>
      </c>
      <c r="AN557" s="1">
        <v>2.0</v>
      </c>
    </row>
    <row r="558">
      <c r="A558" s="1">
        <v>536.0</v>
      </c>
      <c r="B558" s="1" t="s">
        <v>5414</v>
      </c>
      <c r="C558" s="1" t="s">
        <v>5415</v>
      </c>
      <c r="D558" s="1" t="s">
        <v>5416</v>
      </c>
      <c r="E558" s="1" t="s">
        <v>58</v>
      </c>
      <c r="F558" s="2">
        <v>27465.0</v>
      </c>
      <c r="G558" s="1" t="s">
        <v>5417</v>
      </c>
      <c r="H558" s="1">
        <v>971.0</v>
      </c>
      <c r="I558" s="1" t="s">
        <v>5240</v>
      </c>
      <c r="J558" s="1">
        <v>2.0</v>
      </c>
      <c r="K558" s="2">
        <v>42907.0</v>
      </c>
      <c r="M558" s="1">
        <v>0.0</v>
      </c>
      <c r="N558" s="1" t="s">
        <v>280</v>
      </c>
      <c r="O558" s="1" t="s">
        <v>281</v>
      </c>
      <c r="P558" s="3" t="s">
        <v>5418</v>
      </c>
      <c r="S558" s="1" t="s">
        <v>429</v>
      </c>
      <c r="T558" s="1">
        <v>189.0</v>
      </c>
      <c r="U558" s="3" t="s">
        <v>5419</v>
      </c>
      <c r="V558" s="1">
        <v>720968.0</v>
      </c>
      <c r="W558" s="1" t="s">
        <v>5420</v>
      </c>
      <c r="X558" s="3" t="s">
        <v>5421</v>
      </c>
      <c r="Y558" s="3" t="s">
        <v>5422</v>
      </c>
      <c r="Z558" s="1">
        <v>1.0</v>
      </c>
      <c r="AB558" s="1">
        <v>9.0</v>
      </c>
      <c r="AC558" s="1">
        <v>23.0</v>
      </c>
      <c r="AD558" s="1">
        <v>11.0</v>
      </c>
      <c r="AE558" s="1">
        <v>6.0</v>
      </c>
      <c r="AF558" s="1">
        <v>1.0</v>
      </c>
      <c r="AG558" s="1">
        <v>0.0</v>
      </c>
      <c r="AH558" s="1">
        <v>292.0</v>
      </c>
      <c r="AI558" s="1">
        <v>30.0</v>
      </c>
      <c r="AJ558" s="1">
        <v>0.0</v>
      </c>
      <c r="AK558" s="1">
        <v>0.0</v>
      </c>
      <c r="AL558" s="1">
        <v>5.0</v>
      </c>
      <c r="AM558" s="1">
        <v>3.0</v>
      </c>
      <c r="AN558" s="1">
        <v>3.0</v>
      </c>
    </row>
    <row r="559">
      <c r="A559" s="1">
        <v>241.0</v>
      </c>
      <c r="B559" s="1" t="s">
        <v>5423</v>
      </c>
      <c r="C559" s="1" t="s">
        <v>5424</v>
      </c>
      <c r="D559" s="1" t="s">
        <v>42</v>
      </c>
      <c r="E559" s="1" t="s">
        <v>43</v>
      </c>
      <c r="F559" s="2">
        <v>24848.0</v>
      </c>
      <c r="G559" s="1" t="s">
        <v>5425</v>
      </c>
      <c r="H559" s="1">
        <v>988.0</v>
      </c>
      <c r="I559" s="1" t="s">
        <v>5050</v>
      </c>
      <c r="J559" s="1">
        <v>1.0</v>
      </c>
      <c r="K559" s="2">
        <v>42907.0</v>
      </c>
      <c r="M559" s="1">
        <v>0.0</v>
      </c>
      <c r="N559" s="1" t="s">
        <v>46</v>
      </c>
      <c r="O559" s="1" t="s">
        <v>5051</v>
      </c>
      <c r="S559" s="1" t="s">
        <v>118</v>
      </c>
      <c r="T559" s="1">
        <v>120.0</v>
      </c>
      <c r="U559" s="3" t="s">
        <v>5426</v>
      </c>
      <c r="V559" s="1">
        <v>721094.0</v>
      </c>
      <c r="W559" s="1" t="s">
        <v>5427</v>
      </c>
      <c r="X559" s="3" t="s">
        <v>5428</v>
      </c>
      <c r="Y559" s="3" t="s">
        <v>5429</v>
      </c>
      <c r="Z559" s="1">
        <v>1.0</v>
      </c>
      <c r="AB559" s="1">
        <v>9.0</v>
      </c>
      <c r="AC559" s="1">
        <v>17.0</v>
      </c>
      <c r="AD559" s="1">
        <v>3.0</v>
      </c>
      <c r="AE559" s="1">
        <v>40.0</v>
      </c>
      <c r="AF559" s="1">
        <v>14.0</v>
      </c>
      <c r="AG559" s="1">
        <v>15.0</v>
      </c>
      <c r="AH559" s="1">
        <v>471.0</v>
      </c>
      <c r="AI559" s="1">
        <v>33.0</v>
      </c>
      <c r="AJ559" s="1">
        <v>0.0</v>
      </c>
      <c r="AK559" s="1">
        <v>0.0</v>
      </c>
      <c r="AL559" s="1">
        <v>6.0</v>
      </c>
      <c r="AM559" s="1">
        <v>3.0</v>
      </c>
      <c r="AN559" s="1">
        <v>1.0</v>
      </c>
    </row>
    <row r="560">
      <c r="A560" s="1">
        <v>455.0</v>
      </c>
      <c r="B560" s="1" t="s">
        <v>5430</v>
      </c>
      <c r="C560" s="1" t="s">
        <v>5431</v>
      </c>
      <c r="D560" s="1" t="s">
        <v>5432</v>
      </c>
      <c r="E560" s="1" t="s">
        <v>43</v>
      </c>
      <c r="F560" s="2">
        <v>20509.0</v>
      </c>
      <c r="G560" s="1" t="s">
        <v>5433</v>
      </c>
      <c r="H560" s="1">
        <v>971.0</v>
      </c>
      <c r="I560" s="1" t="s">
        <v>5240</v>
      </c>
      <c r="J560" s="1">
        <v>3.0</v>
      </c>
      <c r="K560" s="2">
        <v>42907.0</v>
      </c>
      <c r="M560" s="1">
        <v>0.0</v>
      </c>
      <c r="N560" s="1" t="s">
        <v>280</v>
      </c>
      <c r="O560" s="1" t="s">
        <v>281</v>
      </c>
      <c r="P560" s="3" t="s">
        <v>5434</v>
      </c>
      <c r="S560" s="1" t="s">
        <v>5435</v>
      </c>
      <c r="T560" s="1">
        <v>188.0</v>
      </c>
      <c r="U560" s="3" t="s">
        <v>5436</v>
      </c>
      <c r="V560" s="1">
        <v>720976.0</v>
      </c>
      <c r="W560" s="1" t="s">
        <v>5437</v>
      </c>
      <c r="X560" s="3" t="s">
        <v>5438</v>
      </c>
      <c r="Y560" s="3" t="s">
        <v>5439</v>
      </c>
      <c r="Z560" s="1">
        <v>1.0</v>
      </c>
      <c r="AA560" s="1" t="s">
        <v>5440</v>
      </c>
      <c r="AB560" s="1">
        <v>9.0</v>
      </c>
      <c r="AC560" s="1">
        <v>22.0</v>
      </c>
      <c r="AD560" s="1">
        <v>13.0</v>
      </c>
      <c r="AE560" s="1">
        <v>8.0</v>
      </c>
      <c r="AF560" s="1">
        <v>1.0</v>
      </c>
      <c r="AG560" s="1">
        <v>6.0</v>
      </c>
      <c r="AH560" s="1">
        <v>220.0</v>
      </c>
      <c r="AI560" s="1">
        <v>21.0</v>
      </c>
      <c r="AJ560" s="1">
        <v>0.0</v>
      </c>
      <c r="AK560" s="1">
        <v>0.0</v>
      </c>
      <c r="AL560" s="1">
        <v>6.0</v>
      </c>
      <c r="AM560" s="1">
        <v>8.0</v>
      </c>
      <c r="AN560" s="1">
        <v>2.0</v>
      </c>
    </row>
    <row r="561">
      <c r="A561" s="1">
        <v>464.0</v>
      </c>
      <c r="B561" s="1" t="s">
        <v>5441</v>
      </c>
      <c r="C561" s="1" t="s">
        <v>5442</v>
      </c>
      <c r="D561" s="1" t="s">
        <v>1902</v>
      </c>
      <c r="E561" s="1" t="s">
        <v>58</v>
      </c>
      <c r="F561" s="2">
        <v>26466.0</v>
      </c>
      <c r="G561" s="1" t="s">
        <v>5443</v>
      </c>
      <c r="H561" s="1">
        <v>987.0</v>
      </c>
      <c r="I561" s="1" t="s">
        <v>5140</v>
      </c>
      <c r="J561" s="1">
        <v>2.0</v>
      </c>
      <c r="K561" s="2">
        <v>42907.0</v>
      </c>
      <c r="M561" s="1">
        <v>0.0</v>
      </c>
      <c r="N561" s="1" t="s">
        <v>46</v>
      </c>
      <c r="O561" s="1" t="s">
        <v>5141</v>
      </c>
      <c r="P561" s="3" t="s">
        <v>5444</v>
      </c>
      <c r="S561" s="1" t="s">
        <v>269</v>
      </c>
      <c r="T561" s="1">
        <v>145.0</v>
      </c>
      <c r="U561" s="3" t="s">
        <v>5445</v>
      </c>
      <c r="V561" s="1">
        <v>721110.0</v>
      </c>
      <c r="W561" s="1" t="s">
        <v>5446</v>
      </c>
      <c r="X561" s="3" t="s">
        <v>5447</v>
      </c>
      <c r="Y561" s="3" t="s">
        <v>5448</v>
      </c>
      <c r="Z561" s="1">
        <v>1.0</v>
      </c>
      <c r="AB561" s="1">
        <v>9.0</v>
      </c>
      <c r="AC561" s="1">
        <v>10.0</v>
      </c>
      <c r="AD561" s="1">
        <v>3.0</v>
      </c>
      <c r="AE561" s="1">
        <v>21.0</v>
      </c>
      <c r="AF561" s="1">
        <v>13.0</v>
      </c>
      <c r="AG561" s="1">
        <v>4.0</v>
      </c>
      <c r="AH561" s="1">
        <v>462.0</v>
      </c>
      <c r="AI561" s="1">
        <v>30.0</v>
      </c>
      <c r="AJ561" s="1">
        <v>0.0</v>
      </c>
      <c r="AK561" s="1">
        <v>0.0</v>
      </c>
      <c r="AL561" s="1">
        <v>5.0</v>
      </c>
      <c r="AM561" s="1">
        <v>2.0</v>
      </c>
      <c r="AN561" s="1">
        <v>1.0</v>
      </c>
    </row>
    <row r="562">
      <c r="A562" s="1">
        <v>511.0</v>
      </c>
      <c r="B562" s="1" t="s">
        <v>5449</v>
      </c>
      <c r="C562" s="1" t="s">
        <v>5450</v>
      </c>
      <c r="D562" s="1" t="s">
        <v>2119</v>
      </c>
      <c r="E562" s="1" t="s">
        <v>58</v>
      </c>
      <c r="F562" s="2">
        <v>18499.0</v>
      </c>
      <c r="G562" s="1" t="s">
        <v>5451</v>
      </c>
      <c r="H562" s="1">
        <v>974.0</v>
      </c>
      <c r="I562" s="1" t="s">
        <v>2717</v>
      </c>
      <c r="J562" s="1">
        <v>2.0</v>
      </c>
      <c r="K562" s="2">
        <v>42907.0</v>
      </c>
      <c r="M562" s="1">
        <v>0.0</v>
      </c>
      <c r="N562" s="1" t="s">
        <v>101</v>
      </c>
      <c r="O562" s="1" t="s">
        <v>102</v>
      </c>
      <c r="P562" s="1" t="s">
        <v>5452</v>
      </c>
      <c r="S562" s="1" t="s">
        <v>5453</v>
      </c>
      <c r="T562" s="1">
        <v>594.0</v>
      </c>
      <c r="U562" s="3" t="s">
        <v>5454</v>
      </c>
      <c r="V562" s="1">
        <v>441.0</v>
      </c>
      <c r="W562" s="1" t="s">
        <v>5455</v>
      </c>
      <c r="X562" s="3" t="s">
        <v>5456</v>
      </c>
      <c r="Y562" s="3" t="s">
        <v>5457</v>
      </c>
      <c r="Z562" s="1">
        <v>1.0</v>
      </c>
      <c r="AA562" s="1" t="s">
        <v>5458</v>
      </c>
      <c r="AB562" s="1">
        <v>8.0</v>
      </c>
      <c r="AC562" s="1">
        <v>8.0</v>
      </c>
      <c r="AD562" s="1">
        <v>8.0</v>
      </c>
      <c r="AE562" s="1">
        <v>22.0</v>
      </c>
      <c r="AF562" s="1">
        <v>10.0</v>
      </c>
      <c r="AG562" s="1">
        <v>15.0</v>
      </c>
      <c r="AH562" s="1">
        <v>657.0</v>
      </c>
      <c r="AI562" s="1">
        <v>28.0</v>
      </c>
      <c r="AJ562" s="1">
        <v>1.0</v>
      </c>
      <c r="AK562" s="1">
        <v>1.0</v>
      </c>
      <c r="AL562" s="1">
        <v>10.0</v>
      </c>
      <c r="AM562" s="1">
        <v>18.0</v>
      </c>
      <c r="AN562" s="1">
        <v>2.0</v>
      </c>
    </row>
    <row r="563">
      <c r="A563" s="1">
        <v>14.0</v>
      </c>
      <c r="B563" s="1" t="s">
        <v>5459</v>
      </c>
      <c r="C563" s="1" t="s">
        <v>5460</v>
      </c>
      <c r="D563" s="1" t="s">
        <v>905</v>
      </c>
      <c r="E563" s="1" t="s">
        <v>43</v>
      </c>
      <c r="F563" s="2">
        <v>18780.0</v>
      </c>
      <c r="G563" s="1" t="s">
        <v>695</v>
      </c>
      <c r="H563" s="1">
        <v>60.0</v>
      </c>
      <c r="I563" s="1" t="s">
        <v>769</v>
      </c>
      <c r="J563" s="1">
        <v>1.0</v>
      </c>
      <c r="K563" s="2">
        <v>42907.0</v>
      </c>
      <c r="M563" s="1">
        <v>0.0</v>
      </c>
      <c r="N563" s="1" t="s">
        <v>61</v>
      </c>
      <c r="O563" s="1" t="s">
        <v>62</v>
      </c>
      <c r="P563" s="1" t="s">
        <v>5461</v>
      </c>
      <c r="S563" s="1" t="s">
        <v>5462</v>
      </c>
      <c r="T563" s="1">
        <v>100.0</v>
      </c>
      <c r="U563" s="3" t="s">
        <v>5463</v>
      </c>
      <c r="V563" s="1">
        <v>998.0</v>
      </c>
      <c r="W563" s="1" t="s">
        <v>5464</v>
      </c>
      <c r="X563" s="3" t="s">
        <v>5465</v>
      </c>
      <c r="Y563" s="3" t="s">
        <v>5466</v>
      </c>
      <c r="Z563" s="1">
        <v>1.0</v>
      </c>
      <c r="AA563" s="1" t="s">
        <v>5467</v>
      </c>
      <c r="AB563" s="1">
        <v>8.0</v>
      </c>
      <c r="AC563" s="1">
        <v>9.0</v>
      </c>
      <c r="AD563" s="1">
        <v>1.0</v>
      </c>
      <c r="AE563" s="1">
        <v>4.0</v>
      </c>
      <c r="AF563" s="1">
        <v>2.0</v>
      </c>
      <c r="AG563" s="1">
        <v>0.0</v>
      </c>
      <c r="AH563" s="1">
        <v>423.0</v>
      </c>
      <c r="AI563" s="1">
        <v>17.0</v>
      </c>
      <c r="AJ563" s="1">
        <v>0.0</v>
      </c>
      <c r="AK563" s="1">
        <v>3.0</v>
      </c>
      <c r="AL563" s="1">
        <v>43.0</v>
      </c>
      <c r="AM563" s="1">
        <v>33.0</v>
      </c>
      <c r="AN563" s="1">
        <v>1.0</v>
      </c>
    </row>
    <row r="564">
      <c r="A564" s="1">
        <v>513.0</v>
      </c>
      <c r="B564" s="1" t="s">
        <v>5468</v>
      </c>
      <c r="C564" s="1" t="s">
        <v>5469</v>
      </c>
      <c r="D564" s="1" t="s">
        <v>4644</v>
      </c>
      <c r="E564" s="1" t="s">
        <v>43</v>
      </c>
      <c r="F564" s="2">
        <v>23877.0</v>
      </c>
      <c r="G564" s="1" t="s">
        <v>5470</v>
      </c>
      <c r="H564" s="1">
        <v>972.0</v>
      </c>
      <c r="I564" s="1" t="s">
        <v>5111</v>
      </c>
      <c r="J564" s="1">
        <v>4.0</v>
      </c>
      <c r="K564" s="2">
        <v>42907.0</v>
      </c>
      <c r="M564" s="1">
        <v>0.0</v>
      </c>
      <c r="N564" s="1" t="s">
        <v>101</v>
      </c>
      <c r="O564" s="1" t="s">
        <v>5471</v>
      </c>
      <c r="S564" s="1" t="s">
        <v>482</v>
      </c>
      <c r="T564" s="1">
        <v>595.0</v>
      </c>
      <c r="U564" s="3" t="s">
        <v>5472</v>
      </c>
      <c r="V564" s="1">
        <v>610654.0</v>
      </c>
      <c r="W564" s="1" t="s">
        <v>5473</v>
      </c>
      <c r="X564" s="3" t="s">
        <v>5474</v>
      </c>
      <c r="Y564" s="3" t="s">
        <v>5475</v>
      </c>
      <c r="Z564" s="1">
        <v>1.0</v>
      </c>
      <c r="AB564" s="1">
        <v>8.0</v>
      </c>
      <c r="AC564" s="1">
        <v>8.0</v>
      </c>
      <c r="AD564" s="1">
        <v>12.0</v>
      </c>
      <c r="AE564" s="1">
        <v>45.0</v>
      </c>
      <c r="AF564" s="1">
        <v>13.0</v>
      </c>
      <c r="AG564" s="1">
        <v>42.0</v>
      </c>
      <c r="AH564" s="1">
        <v>675.0</v>
      </c>
      <c r="AI564" s="1">
        <v>27.0</v>
      </c>
      <c r="AJ564" s="1">
        <v>0.0</v>
      </c>
      <c r="AK564" s="1">
        <v>0.0</v>
      </c>
      <c r="AL564" s="1">
        <v>11.0</v>
      </c>
      <c r="AM564" s="1">
        <v>1.0</v>
      </c>
      <c r="AN564" s="1">
        <v>1.0</v>
      </c>
    </row>
    <row r="565">
      <c r="A565" s="1">
        <v>582.0</v>
      </c>
      <c r="B565" s="1" t="s">
        <v>5476</v>
      </c>
      <c r="C565" s="1" t="s">
        <v>5477</v>
      </c>
      <c r="D565" s="1" t="s">
        <v>1540</v>
      </c>
      <c r="E565" s="1" t="s">
        <v>43</v>
      </c>
      <c r="F565" s="2">
        <v>23551.0</v>
      </c>
      <c r="G565" s="1" t="s">
        <v>5478</v>
      </c>
      <c r="H565" s="1">
        <v>975.0</v>
      </c>
      <c r="I565" s="1" t="s">
        <v>5479</v>
      </c>
      <c r="J565" s="1">
        <v>1.0</v>
      </c>
      <c r="K565" s="2">
        <v>42938.0</v>
      </c>
      <c r="M565" s="1">
        <v>0.0</v>
      </c>
      <c r="N565" s="1" t="s">
        <v>75</v>
      </c>
      <c r="O565" s="1" t="s">
        <v>5480</v>
      </c>
      <c r="P565" s="1" t="s">
        <v>5481</v>
      </c>
      <c r="S565" s="1" t="s">
        <v>5482</v>
      </c>
      <c r="T565" s="1">
        <v>599.0</v>
      </c>
      <c r="U565" s="3" t="s">
        <v>5483</v>
      </c>
      <c r="V565" s="1">
        <v>702054.0</v>
      </c>
      <c r="W565" s="1" t="s">
        <v>5484</v>
      </c>
      <c r="X565" s="3" t="s">
        <v>5485</v>
      </c>
      <c r="Y565" s="3" t="s">
        <v>5486</v>
      </c>
      <c r="Z565" s="1">
        <v>1.0</v>
      </c>
      <c r="AA565" s="1" t="s">
        <v>5487</v>
      </c>
      <c r="AB565" s="1">
        <v>7.0</v>
      </c>
      <c r="AC565" s="1">
        <v>18.0</v>
      </c>
      <c r="AD565" s="1">
        <v>7.0</v>
      </c>
      <c r="AE565" s="1">
        <v>6.0</v>
      </c>
      <c r="AF565" s="1">
        <v>0.0</v>
      </c>
      <c r="AG565" s="1">
        <v>0.0</v>
      </c>
      <c r="AH565" s="1">
        <v>67.0</v>
      </c>
      <c r="AI565" s="1">
        <v>18.0</v>
      </c>
      <c r="AJ565" s="1">
        <v>0.0</v>
      </c>
      <c r="AK565" s="1">
        <v>0.0</v>
      </c>
      <c r="AL565" s="1">
        <v>6.0</v>
      </c>
      <c r="AM565" s="1">
        <v>1.0</v>
      </c>
      <c r="AN565" s="1">
        <v>0.0</v>
      </c>
    </row>
    <row r="566">
      <c r="A566" s="1">
        <v>61.0</v>
      </c>
      <c r="B566" s="1" t="s">
        <v>5488</v>
      </c>
      <c r="C566" s="1" t="s">
        <v>5489</v>
      </c>
      <c r="D566" s="1" t="s">
        <v>619</v>
      </c>
      <c r="E566" s="1" t="s">
        <v>58</v>
      </c>
      <c r="F566" s="2">
        <v>22932.0</v>
      </c>
      <c r="G566" s="1" t="s">
        <v>5490</v>
      </c>
      <c r="H566" s="1">
        <v>6.0</v>
      </c>
      <c r="I566" s="1" t="s">
        <v>438</v>
      </c>
      <c r="J566" s="1">
        <v>9.0</v>
      </c>
      <c r="K566" s="2">
        <v>42907.0</v>
      </c>
      <c r="M566" s="1">
        <v>0.0</v>
      </c>
      <c r="N566" s="1" t="s">
        <v>61</v>
      </c>
      <c r="O566" s="1" t="s">
        <v>62</v>
      </c>
      <c r="P566" s="1" t="s">
        <v>5491</v>
      </c>
      <c r="S566" s="1" t="s">
        <v>2484</v>
      </c>
      <c r="T566" s="1">
        <v>85.0</v>
      </c>
      <c r="U566" s="3" t="s">
        <v>5492</v>
      </c>
      <c r="V566" s="1">
        <v>267794.0</v>
      </c>
      <c r="W566" s="1" t="s">
        <v>5493</v>
      </c>
      <c r="X566" s="3" t="s">
        <v>5494</v>
      </c>
      <c r="Y566" s="3" t="s">
        <v>5495</v>
      </c>
      <c r="Z566" s="1">
        <v>1.0</v>
      </c>
      <c r="AA566" s="1" t="s">
        <v>5496</v>
      </c>
      <c r="AB566" s="1">
        <v>7.0</v>
      </c>
      <c r="AC566" s="1">
        <v>8.0</v>
      </c>
      <c r="AD566" s="1">
        <v>0.0</v>
      </c>
      <c r="AE566" s="1">
        <v>0.0</v>
      </c>
      <c r="AF566" s="1">
        <v>0.0</v>
      </c>
      <c r="AG566" s="1">
        <v>1.0</v>
      </c>
      <c r="AH566" s="1">
        <v>346.0</v>
      </c>
      <c r="AI566" s="1">
        <v>18.0</v>
      </c>
      <c r="AJ566" s="1">
        <v>0.0</v>
      </c>
      <c r="AK566" s="1">
        <v>1.0</v>
      </c>
      <c r="AL566" s="1">
        <v>23.0</v>
      </c>
      <c r="AM566" s="1">
        <v>13.0</v>
      </c>
      <c r="AN566" s="1">
        <v>0.0</v>
      </c>
    </row>
    <row r="567">
      <c r="A567" s="1">
        <v>240.0</v>
      </c>
      <c r="B567" s="1" t="s">
        <v>5497</v>
      </c>
      <c r="C567" s="1" t="s">
        <v>5498</v>
      </c>
      <c r="D567" s="1" t="s">
        <v>1361</v>
      </c>
      <c r="E567" s="1" t="s">
        <v>43</v>
      </c>
      <c r="F567" s="2">
        <v>14036.0</v>
      </c>
      <c r="G567" s="1" t="s">
        <v>437</v>
      </c>
      <c r="H567" s="1">
        <v>6.0</v>
      </c>
      <c r="I567" s="1" t="s">
        <v>438</v>
      </c>
      <c r="J567" s="1">
        <v>8.0</v>
      </c>
      <c r="K567" s="2">
        <v>42907.0</v>
      </c>
      <c r="M567" s="1">
        <v>0.0</v>
      </c>
      <c r="N567" s="1" t="s">
        <v>61</v>
      </c>
      <c r="O567" s="1" t="s">
        <v>62</v>
      </c>
      <c r="S567" s="1" t="s">
        <v>5499</v>
      </c>
      <c r="T567" s="1">
        <v>83.0</v>
      </c>
      <c r="U567" s="3" t="s">
        <v>5500</v>
      </c>
      <c r="V567" s="1">
        <v>223837.0</v>
      </c>
      <c r="W567" s="1" t="s">
        <v>5501</v>
      </c>
      <c r="X567" s="3" t="s">
        <v>5502</v>
      </c>
      <c r="Y567" s="3" t="s">
        <v>5503</v>
      </c>
      <c r="Z567" s="1">
        <v>1.0</v>
      </c>
      <c r="AB567" s="1">
        <v>5.0</v>
      </c>
      <c r="AC567" s="1">
        <v>5.0</v>
      </c>
      <c r="AD567" s="1">
        <v>0.0</v>
      </c>
      <c r="AE567" s="1">
        <v>11.0</v>
      </c>
      <c r="AF567" s="1">
        <v>8.0</v>
      </c>
      <c r="AG567" s="1">
        <v>0.0</v>
      </c>
      <c r="AH567" s="1">
        <v>582.0</v>
      </c>
      <c r="AI567" s="1">
        <v>32.0</v>
      </c>
      <c r="AJ567" s="1">
        <v>0.0</v>
      </c>
      <c r="AK567" s="1">
        <v>2.0</v>
      </c>
      <c r="AL567" s="1">
        <v>61.0</v>
      </c>
      <c r="AM567" s="1">
        <v>13.0</v>
      </c>
      <c r="AN567" s="1">
        <v>0.0</v>
      </c>
    </row>
    <row r="568">
      <c r="A568" s="1">
        <v>211.0</v>
      </c>
      <c r="B568" s="1" t="s">
        <v>5504</v>
      </c>
      <c r="C568" s="1" t="s">
        <v>5505</v>
      </c>
      <c r="D568" s="1" t="s">
        <v>4983</v>
      </c>
      <c r="E568" s="1" t="s">
        <v>43</v>
      </c>
      <c r="F568" s="2">
        <v>23650.0</v>
      </c>
      <c r="G568" s="1" t="s">
        <v>1095</v>
      </c>
      <c r="H568" s="1">
        <v>91.0</v>
      </c>
      <c r="I568" s="1" t="s">
        <v>610</v>
      </c>
      <c r="J568" s="1">
        <v>2.0</v>
      </c>
      <c r="K568" s="2">
        <v>42907.0</v>
      </c>
      <c r="M568" s="1">
        <v>0.0</v>
      </c>
      <c r="N568" s="1" t="s">
        <v>61</v>
      </c>
      <c r="O568" s="1" t="s">
        <v>62</v>
      </c>
      <c r="P568" s="1" t="s">
        <v>5506</v>
      </c>
      <c r="S568" s="1" t="s">
        <v>5507</v>
      </c>
      <c r="T568" s="1">
        <v>7.0</v>
      </c>
      <c r="U568" s="3" t="s">
        <v>5508</v>
      </c>
      <c r="V568" s="1">
        <v>2086.0</v>
      </c>
      <c r="W568" s="1" t="s">
        <v>5509</v>
      </c>
      <c r="X568" s="3" t="s">
        <v>5510</v>
      </c>
      <c r="Y568" s="3" t="s">
        <v>5511</v>
      </c>
      <c r="Z568" s="1">
        <v>1.0</v>
      </c>
      <c r="AA568" s="1" t="s">
        <v>5512</v>
      </c>
      <c r="AB568" s="1">
        <v>5.0</v>
      </c>
      <c r="AC568" s="1">
        <v>2.0</v>
      </c>
      <c r="AD568" s="1">
        <v>0.0</v>
      </c>
      <c r="AE568" s="1">
        <v>1.0</v>
      </c>
      <c r="AF568" s="1">
        <v>7.0</v>
      </c>
      <c r="AG568" s="1">
        <v>8.0</v>
      </c>
      <c r="AH568" s="1">
        <v>812.0</v>
      </c>
      <c r="AI568" s="1">
        <v>32.0</v>
      </c>
      <c r="AJ568" s="1">
        <v>0.0</v>
      </c>
      <c r="AK568" s="1">
        <v>0.0</v>
      </c>
      <c r="AL568" s="1">
        <v>36.0</v>
      </c>
      <c r="AM568" s="1">
        <v>28.0</v>
      </c>
      <c r="AN568" s="1">
        <v>1.0</v>
      </c>
    </row>
    <row r="569">
      <c r="A569" s="1">
        <v>405.0</v>
      </c>
      <c r="B569" s="1" t="s">
        <v>5513</v>
      </c>
      <c r="C569" s="1" t="s">
        <v>5514</v>
      </c>
      <c r="D569" s="1" t="s">
        <v>5515</v>
      </c>
      <c r="E569" s="1" t="s">
        <v>43</v>
      </c>
      <c r="F569" s="2">
        <v>22484.0</v>
      </c>
      <c r="G569" s="1" t="s">
        <v>5516</v>
      </c>
      <c r="H569" s="1">
        <v>972.0</v>
      </c>
      <c r="I569" s="1" t="s">
        <v>5111</v>
      </c>
      <c r="J569" s="1">
        <v>2.0</v>
      </c>
      <c r="K569" s="2">
        <v>42907.0</v>
      </c>
      <c r="M569" s="1">
        <v>0.0</v>
      </c>
      <c r="N569" s="1" t="s">
        <v>101</v>
      </c>
      <c r="O569" s="1" t="s">
        <v>102</v>
      </c>
      <c r="P569" s="1" t="s">
        <v>5517</v>
      </c>
      <c r="S569" s="1" t="s">
        <v>1465</v>
      </c>
      <c r="T569" s="1">
        <v>596.0</v>
      </c>
      <c r="U569" s="3" t="s">
        <v>5518</v>
      </c>
      <c r="V569" s="1">
        <v>610634.0</v>
      </c>
      <c r="W569" s="1" t="s">
        <v>5519</v>
      </c>
      <c r="X569" s="3" t="s">
        <v>5520</v>
      </c>
      <c r="Y569" s="3" t="s">
        <v>5521</v>
      </c>
      <c r="Z569" s="1">
        <v>1.0</v>
      </c>
      <c r="AA569" s="1" t="s">
        <v>5522</v>
      </c>
      <c r="AB569" s="1">
        <v>3.0</v>
      </c>
      <c r="AC569" s="1">
        <v>4.0</v>
      </c>
      <c r="AD569" s="1">
        <v>0.0</v>
      </c>
      <c r="AE569" s="1">
        <v>0.0</v>
      </c>
      <c r="AF569" s="1">
        <v>0.0</v>
      </c>
      <c r="AG569" s="1">
        <v>0.0</v>
      </c>
      <c r="AH569" s="1">
        <v>666.0</v>
      </c>
      <c r="AI569" s="1">
        <v>33.0</v>
      </c>
      <c r="AJ569" s="1">
        <v>0.0</v>
      </c>
      <c r="AK569" s="1">
        <v>0.0</v>
      </c>
      <c r="AL569" s="1">
        <v>9.0</v>
      </c>
      <c r="AM569" s="1">
        <v>17.0</v>
      </c>
      <c r="AN569" s="1">
        <v>0.0</v>
      </c>
    </row>
    <row r="570">
      <c r="A570" s="1">
        <v>587.0</v>
      </c>
      <c r="B570" s="1" t="s">
        <v>5523</v>
      </c>
      <c r="C570" s="1" t="s">
        <v>5524</v>
      </c>
      <c r="D570" s="1" t="s">
        <v>619</v>
      </c>
      <c r="E570" s="1" t="s">
        <v>58</v>
      </c>
      <c r="F570" s="2">
        <v>21486.0</v>
      </c>
      <c r="G570" s="1">
        <v>0.0</v>
      </c>
      <c r="H570" s="1">
        <v>7.0</v>
      </c>
      <c r="I570" s="1" t="s">
        <v>2269</v>
      </c>
      <c r="J570" s="1">
        <v>2.0</v>
      </c>
      <c r="K570" s="2">
        <v>43094.0</v>
      </c>
      <c r="M570" s="1">
        <v>0.0</v>
      </c>
      <c r="N570" s="1" t="s">
        <v>115</v>
      </c>
      <c r="S570" s="1" t="s">
        <v>5525</v>
      </c>
      <c r="T570" s="1">
        <v>512.0</v>
      </c>
      <c r="U570" s="3" t="s">
        <v>5526</v>
      </c>
      <c r="V570" s="1">
        <v>340357.0</v>
      </c>
      <c r="W570" s="1" t="s">
        <v>5527</v>
      </c>
      <c r="X570" s="3" t="s">
        <v>5528</v>
      </c>
      <c r="Y570" s="3" t="s">
        <v>5529</v>
      </c>
      <c r="Z570" s="1">
        <v>1.0</v>
      </c>
      <c r="AB570" s="1">
        <v>3.0</v>
      </c>
      <c r="AC570" s="1">
        <v>3.0</v>
      </c>
      <c r="AD570" s="1">
        <v>2.0</v>
      </c>
      <c r="AE570" s="1">
        <v>2.0</v>
      </c>
      <c r="AF570" s="1">
        <v>0.0</v>
      </c>
      <c r="AG570" s="1">
        <v>0.0</v>
      </c>
      <c r="AH570" s="1">
        <v>27.0</v>
      </c>
      <c r="AI570" s="1">
        <v>1.0</v>
      </c>
      <c r="AJ570" s="1">
        <v>0.0</v>
      </c>
      <c r="AK570" s="1">
        <v>0.0</v>
      </c>
      <c r="AL570" s="1">
        <v>1.0</v>
      </c>
      <c r="AM570" s="1">
        <v>0.0</v>
      </c>
      <c r="AN570" s="1">
        <v>2.0</v>
      </c>
    </row>
    <row r="571">
      <c r="A571" s="1">
        <v>109.0</v>
      </c>
      <c r="B571" s="1" t="s">
        <v>5530</v>
      </c>
      <c r="C571" s="1" t="s">
        <v>5531</v>
      </c>
      <c r="D571" s="1" t="s">
        <v>5532</v>
      </c>
      <c r="E571" s="1" t="s">
        <v>43</v>
      </c>
      <c r="F571" s="2">
        <v>32268.0</v>
      </c>
      <c r="G571" s="1" t="s">
        <v>3993</v>
      </c>
      <c r="H571" s="1">
        <v>90.0</v>
      </c>
      <c r="I571" s="1" t="s">
        <v>3994</v>
      </c>
      <c r="J571" s="1">
        <v>1.0</v>
      </c>
      <c r="K571" s="2">
        <v>43136.0</v>
      </c>
      <c r="M571" s="1">
        <v>0.0</v>
      </c>
      <c r="N571" s="1" t="s">
        <v>61</v>
      </c>
      <c r="O571" s="1" t="s">
        <v>62</v>
      </c>
      <c r="P571" s="1" t="s">
        <v>5533</v>
      </c>
      <c r="S571" s="1" t="s">
        <v>162</v>
      </c>
      <c r="T571" s="1">
        <v>39.0</v>
      </c>
      <c r="U571" s="3" t="s">
        <v>5534</v>
      </c>
      <c r="V571" s="1">
        <v>721816.0</v>
      </c>
      <c r="W571" s="1" t="s">
        <v>5535</v>
      </c>
      <c r="X571" s="3" t="s">
        <v>5536</v>
      </c>
      <c r="Y571" s="3" t="s">
        <v>5537</v>
      </c>
      <c r="Z571" s="1">
        <v>2.0</v>
      </c>
      <c r="AA571" s="1" t="s">
        <v>5538</v>
      </c>
      <c r="AB571" s="1">
        <v>0.0</v>
      </c>
      <c r="AC571" s="1">
        <v>0.0</v>
      </c>
      <c r="AD571" s="1">
        <v>0.0</v>
      </c>
      <c r="AE571" s="1">
        <v>0.0</v>
      </c>
      <c r="AF571" s="1">
        <v>0.0</v>
      </c>
      <c r="AG571" s="1">
        <v>0.0</v>
      </c>
      <c r="AH571" s="1">
        <v>0.0</v>
      </c>
      <c r="AI571" s="1">
        <v>0.0</v>
      </c>
      <c r="AJ571" s="1">
        <v>0.0</v>
      </c>
      <c r="AK571" s="1">
        <v>0.0</v>
      </c>
      <c r="AL571" s="1">
        <v>0.0</v>
      </c>
      <c r="AM571" s="1">
        <v>0.0</v>
      </c>
      <c r="AN571" s="1">
        <v>0.0</v>
      </c>
    </row>
    <row r="572">
      <c r="A572" s="1">
        <v>588.0</v>
      </c>
      <c r="B572" s="1" t="s">
        <v>5539</v>
      </c>
      <c r="C572" s="1" t="s">
        <v>5540</v>
      </c>
      <c r="D572" s="1" t="s">
        <v>1792</v>
      </c>
      <c r="E572" s="1" t="s">
        <v>43</v>
      </c>
      <c r="F572" s="2">
        <v>27597.0</v>
      </c>
      <c r="G572" s="1" t="s">
        <v>5541</v>
      </c>
      <c r="H572" s="1">
        <v>95.0</v>
      </c>
      <c r="I572" s="1" t="s">
        <v>302</v>
      </c>
      <c r="J572" s="1">
        <v>1.0</v>
      </c>
      <c r="K572" s="2">
        <v>43136.0</v>
      </c>
      <c r="M572" s="1">
        <v>0.0</v>
      </c>
      <c r="N572" s="1" t="s">
        <v>61</v>
      </c>
      <c r="S572" s="1" t="s">
        <v>304</v>
      </c>
      <c r="T572" s="1">
        <v>70.0</v>
      </c>
      <c r="U572" s="3" t="s">
        <v>5542</v>
      </c>
      <c r="V572" s="1">
        <v>748954.0</v>
      </c>
      <c r="W572" s="1" t="s">
        <v>5543</v>
      </c>
      <c r="X572" s="3" t="s">
        <v>5544</v>
      </c>
      <c r="Y572" s="3" t="s">
        <v>5545</v>
      </c>
      <c r="Z572" s="1">
        <v>1.0</v>
      </c>
      <c r="AB572" s="1">
        <v>0.0</v>
      </c>
      <c r="AC572" s="1">
        <v>0.0</v>
      </c>
      <c r="AD572" s="1">
        <v>0.0</v>
      </c>
      <c r="AE572" s="1">
        <v>0.0</v>
      </c>
      <c r="AF572" s="1">
        <v>0.0</v>
      </c>
      <c r="AG572" s="1">
        <v>0.0</v>
      </c>
      <c r="AH572" s="1">
        <v>0.0</v>
      </c>
      <c r="AI572" s="1">
        <v>0.0</v>
      </c>
      <c r="AJ572" s="1">
        <v>0.0</v>
      </c>
      <c r="AK572" s="1">
        <v>0.0</v>
      </c>
      <c r="AL572" s="1">
        <v>0.0</v>
      </c>
      <c r="AM572" s="1">
        <v>0.0</v>
      </c>
      <c r="AN572" s="1">
        <v>0.0</v>
      </c>
    </row>
  </sheetData>
  <hyperlinks>
    <hyperlink r:id="rId1" ref="U2"/>
    <hyperlink r:id="rId2" ref="X2"/>
    <hyperlink r:id="rId3" ref="Y2"/>
    <hyperlink r:id="rId4" ref="U3"/>
    <hyperlink r:id="rId5" ref="X3"/>
    <hyperlink r:id="rId6" ref="Y3"/>
    <hyperlink r:id="rId7" ref="U4"/>
    <hyperlink r:id="rId8" ref="X4"/>
    <hyperlink r:id="rId9" ref="Y4"/>
    <hyperlink r:id="rId10" ref="U5"/>
    <hyperlink r:id="rId11" ref="X5"/>
    <hyperlink r:id="rId12" ref="Y5"/>
    <hyperlink r:id="rId13" ref="U6"/>
    <hyperlink r:id="rId14" ref="X6"/>
    <hyperlink r:id="rId15" ref="Y6"/>
    <hyperlink r:id="rId16" ref="U7"/>
    <hyperlink r:id="rId17" ref="X7"/>
    <hyperlink r:id="rId18" ref="Y7"/>
    <hyperlink r:id="rId19" ref="U8"/>
    <hyperlink r:id="rId20" ref="X8"/>
    <hyperlink r:id="rId21" ref="Y8"/>
    <hyperlink r:id="rId22" ref="U9"/>
    <hyperlink r:id="rId23" ref="X9"/>
    <hyperlink r:id="rId24" ref="Y9"/>
    <hyperlink r:id="rId25" ref="U10"/>
    <hyperlink r:id="rId26" ref="X10"/>
    <hyperlink r:id="rId27" ref="Y10"/>
    <hyperlink r:id="rId28" ref="U11"/>
    <hyperlink r:id="rId29" ref="X11"/>
    <hyperlink r:id="rId30" ref="Y11"/>
    <hyperlink r:id="rId31" ref="U12"/>
    <hyperlink r:id="rId32" ref="X12"/>
    <hyperlink r:id="rId33" ref="Y12"/>
    <hyperlink r:id="rId34" ref="U13"/>
    <hyperlink r:id="rId35" ref="X13"/>
    <hyperlink r:id="rId36" ref="Y13"/>
    <hyperlink r:id="rId37" ref="U14"/>
    <hyperlink r:id="rId38" ref="X14"/>
    <hyperlink r:id="rId39" ref="Y14"/>
    <hyperlink r:id="rId40" ref="P15"/>
    <hyperlink r:id="rId41" ref="U15"/>
    <hyperlink r:id="rId42" ref="X15"/>
    <hyperlink r:id="rId43" ref="Y15"/>
    <hyperlink r:id="rId44" ref="U16"/>
    <hyperlink r:id="rId45" ref="X16"/>
    <hyperlink r:id="rId46" ref="Y16"/>
    <hyperlink r:id="rId47" ref="U17"/>
    <hyperlink r:id="rId48" ref="X17"/>
    <hyperlink r:id="rId49" ref="Y17"/>
    <hyperlink r:id="rId50" ref="U18"/>
    <hyperlink r:id="rId51" ref="X18"/>
    <hyperlink r:id="rId52" ref="Y18"/>
    <hyperlink r:id="rId53" ref="U19"/>
    <hyperlink r:id="rId54" ref="X19"/>
    <hyperlink r:id="rId55" ref="Y19"/>
    <hyperlink r:id="rId56" ref="U20"/>
    <hyperlink r:id="rId57" ref="X20"/>
    <hyperlink r:id="rId58" ref="Y20"/>
    <hyperlink r:id="rId59" ref="U21"/>
    <hyperlink r:id="rId60" ref="X21"/>
    <hyperlink r:id="rId61" ref="Y21"/>
    <hyperlink r:id="rId62" ref="U22"/>
    <hyperlink r:id="rId63" ref="X22"/>
    <hyperlink r:id="rId64" ref="Y22"/>
    <hyperlink r:id="rId65" ref="U23"/>
    <hyperlink r:id="rId66" ref="X23"/>
    <hyperlink r:id="rId67" ref="Y23"/>
    <hyperlink r:id="rId68" ref="P24"/>
    <hyperlink r:id="rId69" ref="U24"/>
    <hyperlink r:id="rId70" ref="X24"/>
    <hyperlink r:id="rId71" ref="Y24"/>
    <hyperlink r:id="rId72" ref="U25"/>
    <hyperlink r:id="rId73" ref="X25"/>
    <hyperlink r:id="rId74" ref="Y25"/>
    <hyperlink r:id="rId75" ref="U26"/>
    <hyperlink r:id="rId76" ref="X26"/>
    <hyperlink r:id="rId77" ref="Y26"/>
    <hyperlink r:id="rId78" ref="U27"/>
    <hyperlink r:id="rId79" ref="X27"/>
    <hyperlink r:id="rId80" ref="Y27"/>
    <hyperlink r:id="rId81" ref="U28"/>
    <hyperlink r:id="rId82" ref="X28"/>
    <hyperlink r:id="rId83" ref="Y28"/>
    <hyperlink r:id="rId84" ref="P29"/>
    <hyperlink r:id="rId85" ref="U29"/>
    <hyperlink r:id="rId86" ref="X29"/>
    <hyperlink r:id="rId87" ref="Y29"/>
    <hyperlink r:id="rId88" ref="U30"/>
    <hyperlink r:id="rId89" ref="X30"/>
    <hyperlink r:id="rId90" ref="Y30"/>
    <hyperlink r:id="rId91" ref="U31"/>
    <hyperlink r:id="rId92" ref="X31"/>
    <hyperlink r:id="rId93" ref="Y31"/>
    <hyperlink r:id="rId94" ref="U32"/>
    <hyperlink r:id="rId95" ref="X32"/>
    <hyperlink r:id="rId96" ref="Y32"/>
    <hyperlink r:id="rId97" ref="U33"/>
    <hyperlink r:id="rId98" ref="X33"/>
    <hyperlink r:id="rId99" ref="Y33"/>
    <hyperlink r:id="rId100" ref="U34"/>
    <hyperlink r:id="rId101" ref="X34"/>
    <hyperlink r:id="rId102" ref="Y34"/>
    <hyperlink r:id="rId103" ref="U35"/>
    <hyperlink r:id="rId104" ref="X35"/>
    <hyperlink r:id="rId105" ref="Y35"/>
    <hyperlink r:id="rId106" ref="P36"/>
    <hyperlink r:id="rId107" ref="U36"/>
    <hyperlink r:id="rId108" ref="X36"/>
    <hyperlink r:id="rId109" ref="Y36"/>
    <hyperlink r:id="rId110" ref="U37"/>
    <hyperlink r:id="rId111" ref="X37"/>
    <hyperlink r:id="rId112" ref="Y37"/>
    <hyperlink r:id="rId113" ref="U38"/>
    <hyperlink r:id="rId114" ref="X38"/>
    <hyperlink r:id="rId115" ref="Y38"/>
    <hyperlink r:id="rId116" ref="U39"/>
    <hyperlink r:id="rId117" ref="X39"/>
    <hyperlink r:id="rId118" ref="Y39"/>
    <hyperlink r:id="rId119" ref="U40"/>
    <hyperlink r:id="rId120" ref="X40"/>
    <hyperlink r:id="rId121" ref="Y40"/>
    <hyperlink r:id="rId122" ref="U41"/>
    <hyperlink r:id="rId123" ref="X41"/>
    <hyperlink r:id="rId124" ref="Y41"/>
    <hyperlink r:id="rId125" ref="U42"/>
    <hyperlink r:id="rId126" ref="X42"/>
    <hyperlink r:id="rId127" ref="Y42"/>
    <hyperlink r:id="rId128" ref="U43"/>
    <hyperlink r:id="rId129" ref="X43"/>
    <hyperlink r:id="rId130" ref="Y43"/>
    <hyperlink r:id="rId131" ref="U44"/>
    <hyperlink r:id="rId132" ref="X44"/>
    <hyperlink r:id="rId133" ref="Y44"/>
    <hyperlink r:id="rId134" ref="U45"/>
    <hyperlink r:id="rId135" ref="X45"/>
    <hyperlink r:id="rId136" ref="Y45"/>
    <hyperlink r:id="rId137" ref="U46"/>
    <hyperlink r:id="rId138" ref="X46"/>
    <hyperlink r:id="rId139" ref="Y46"/>
    <hyperlink r:id="rId140" ref="U47"/>
    <hyperlink r:id="rId141" ref="X47"/>
    <hyperlink r:id="rId142" ref="Y47"/>
    <hyperlink r:id="rId143" ref="U48"/>
    <hyperlink r:id="rId144" ref="X48"/>
    <hyperlink r:id="rId145" ref="Y48"/>
    <hyperlink r:id="rId146" ref="P49"/>
    <hyperlink r:id="rId147" ref="U49"/>
    <hyperlink r:id="rId148" ref="X49"/>
    <hyperlink r:id="rId149" ref="Y49"/>
    <hyperlink r:id="rId150" ref="U50"/>
    <hyperlink r:id="rId151" ref="X50"/>
    <hyperlink r:id="rId152" ref="Y50"/>
    <hyperlink r:id="rId153" ref="U51"/>
    <hyperlink r:id="rId154" ref="X51"/>
    <hyperlink r:id="rId155" ref="Y51"/>
    <hyperlink r:id="rId156" ref="U52"/>
    <hyperlink r:id="rId157" ref="X52"/>
    <hyperlink r:id="rId158" ref="Y52"/>
    <hyperlink r:id="rId159" ref="U53"/>
    <hyperlink r:id="rId160" ref="X53"/>
    <hyperlink r:id="rId161" ref="Y53"/>
    <hyperlink r:id="rId162" ref="U54"/>
    <hyperlink r:id="rId163" ref="X54"/>
    <hyperlink r:id="rId164" ref="Y54"/>
    <hyperlink r:id="rId165" ref="U55"/>
    <hyperlink r:id="rId166" ref="X55"/>
    <hyperlink r:id="rId167" ref="Y55"/>
    <hyperlink r:id="rId168" ref="U56"/>
    <hyperlink r:id="rId169" ref="X56"/>
    <hyperlink r:id="rId170" ref="Y56"/>
    <hyperlink r:id="rId171" ref="U57"/>
    <hyperlink r:id="rId172" ref="X57"/>
    <hyperlink r:id="rId173" ref="Y57"/>
    <hyperlink r:id="rId174" ref="U58"/>
    <hyperlink r:id="rId175" ref="X58"/>
    <hyperlink r:id="rId176" ref="Y58"/>
    <hyperlink r:id="rId177" ref="U59"/>
    <hyperlink r:id="rId178" ref="X59"/>
    <hyperlink r:id="rId179" ref="Y59"/>
    <hyperlink r:id="rId180" ref="U60"/>
    <hyperlink r:id="rId181" ref="X60"/>
    <hyperlink r:id="rId182" ref="Y60"/>
    <hyperlink r:id="rId183" ref="U61"/>
    <hyperlink r:id="rId184" ref="X61"/>
    <hyperlink r:id="rId185" ref="Y61"/>
    <hyperlink r:id="rId186" ref="U62"/>
    <hyperlink r:id="rId187" ref="X62"/>
    <hyperlink r:id="rId188" ref="Y62"/>
    <hyperlink r:id="rId189" ref="U63"/>
    <hyperlink r:id="rId190" ref="X63"/>
    <hyperlink r:id="rId191" ref="Y63"/>
    <hyperlink r:id="rId192" ref="U64"/>
    <hyperlink r:id="rId193" ref="X64"/>
    <hyperlink r:id="rId194" ref="Y64"/>
    <hyperlink r:id="rId195" ref="U65"/>
    <hyperlink r:id="rId196" ref="X65"/>
    <hyperlink r:id="rId197" ref="Y65"/>
    <hyperlink r:id="rId198" ref="U66"/>
    <hyperlink r:id="rId199" ref="X66"/>
    <hyperlink r:id="rId200" ref="Y66"/>
    <hyperlink r:id="rId201" ref="U67"/>
    <hyperlink r:id="rId202" ref="X67"/>
    <hyperlink r:id="rId203" ref="Y67"/>
    <hyperlink r:id="rId204" ref="U68"/>
    <hyperlink r:id="rId205" ref="X68"/>
    <hyperlink r:id="rId206" ref="Y68"/>
    <hyperlink r:id="rId207" ref="U69"/>
    <hyperlink r:id="rId208" ref="X69"/>
    <hyperlink r:id="rId209" ref="Y69"/>
    <hyperlink r:id="rId210" ref="P70"/>
    <hyperlink r:id="rId211" ref="U70"/>
    <hyperlink r:id="rId212" ref="X70"/>
    <hyperlink r:id="rId213" ref="Y70"/>
    <hyperlink r:id="rId214" ref="U71"/>
    <hyperlink r:id="rId215" ref="X71"/>
    <hyperlink r:id="rId216" ref="Y71"/>
    <hyperlink r:id="rId217" ref="U72"/>
    <hyperlink r:id="rId218" ref="X72"/>
    <hyperlink r:id="rId219" ref="Y72"/>
    <hyperlink r:id="rId220" ref="U73"/>
    <hyperlink r:id="rId221" ref="X73"/>
    <hyperlink r:id="rId222" ref="Y73"/>
    <hyperlink r:id="rId223" ref="U74"/>
    <hyperlink r:id="rId224" ref="X74"/>
    <hyperlink r:id="rId225" ref="Y74"/>
    <hyperlink r:id="rId226" ref="P75"/>
    <hyperlink r:id="rId227" ref="U75"/>
    <hyperlink r:id="rId228" ref="X75"/>
    <hyperlink r:id="rId229" ref="Y75"/>
    <hyperlink r:id="rId230" ref="U76"/>
    <hyperlink r:id="rId231" ref="X76"/>
    <hyperlink r:id="rId232" ref="Y76"/>
    <hyperlink r:id="rId233" ref="P77"/>
    <hyperlink r:id="rId234" ref="U77"/>
    <hyperlink r:id="rId235" ref="X77"/>
    <hyperlink r:id="rId236" ref="Y77"/>
    <hyperlink r:id="rId237" ref="U78"/>
    <hyperlink r:id="rId238" ref="X78"/>
    <hyperlink r:id="rId239" ref="Y78"/>
    <hyperlink r:id="rId240" ref="U79"/>
    <hyperlink r:id="rId241" ref="X79"/>
    <hyperlink r:id="rId242" ref="Y79"/>
    <hyperlink r:id="rId243" ref="U80"/>
    <hyperlink r:id="rId244" ref="X80"/>
    <hyperlink r:id="rId245" ref="Y80"/>
    <hyperlink r:id="rId246" ref="U81"/>
    <hyperlink r:id="rId247" ref="X81"/>
    <hyperlink r:id="rId248" ref="Y81"/>
    <hyperlink r:id="rId249" ref="U82"/>
    <hyperlink r:id="rId250" ref="X82"/>
    <hyperlink r:id="rId251" ref="Y82"/>
    <hyperlink r:id="rId252" ref="U83"/>
    <hyperlink r:id="rId253" ref="X83"/>
    <hyperlink r:id="rId254" ref="Y83"/>
    <hyperlink r:id="rId255" ref="U84"/>
    <hyperlink r:id="rId256" ref="X84"/>
    <hyperlink r:id="rId257" ref="Y84"/>
    <hyperlink r:id="rId258" ref="U85"/>
    <hyperlink r:id="rId259" ref="X85"/>
    <hyperlink r:id="rId260" ref="Y85"/>
    <hyperlink r:id="rId261" ref="U86"/>
    <hyperlink r:id="rId262" ref="X86"/>
    <hyperlink r:id="rId263" ref="Y86"/>
    <hyperlink r:id="rId264" ref="U87"/>
    <hyperlink r:id="rId265" ref="X87"/>
    <hyperlink r:id="rId266" ref="Y87"/>
    <hyperlink r:id="rId267" ref="U88"/>
    <hyperlink r:id="rId268" ref="X88"/>
    <hyperlink r:id="rId269" ref="Y88"/>
    <hyperlink r:id="rId270" ref="U89"/>
    <hyperlink r:id="rId271" ref="X89"/>
    <hyperlink r:id="rId272" ref="Y89"/>
    <hyperlink r:id="rId273" ref="U90"/>
    <hyperlink r:id="rId274" ref="X90"/>
    <hyperlink r:id="rId275" ref="Y90"/>
    <hyperlink r:id="rId276" ref="U91"/>
    <hyperlink r:id="rId277" ref="X91"/>
    <hyperlink r:id="rId278" ref="Y91"/>
    <hyperlink r:id="rId279" ref="U92"/>
    <hyperlink r:id="rId280" ref="X92"/>
    <hyperlink r:id="rId281" ref="Y92"/>
    <hyperlink r:id="rId282" ref="U93"/>
    <hyperlink r:id="rId283" ref="X93"/>
    <hyperlink r:id="rId284" ref="Y93"/>
    <hyperlink r:id="rId285" ref="U94"/>
    <hyperlink r:id="rId286" ref="X94"/>
    <hyperlink r:id="rId287" ref="Y94"/>
    <hyperlink r:id="rId288" ref="U95"/>
    <hyperlink r:id="rId289" ref="X95"/>
    <hyperlink r:id="rId290" ref="Y95"/>
    <hyperlink r:id="rId291" ref="U96"/>
    <hyperlink r:id="rId292" ref="X96"/>
    <hyperlink r:id="rId293" ref="Y96"/>
    <hyperlink r:id="rId294" ref="U97"/>
    <hyperlink r:id="rId295" ref="X97"/>
    <hyperlink r:id="rId296" ref="Y97"/>
    <hyperlink r:id="rId297" ref="U98"/>
    <hyperlink r:id="rId298" ref="X98"/>
    <hyperlink r:id="rId299" ref="Y98"/>
    <hyperlink r:id="rId300" ref="U99"/>
    <hyperlink r:id="rId301" ref="X99"/>
    <hyperlink r:id="rId302" ref="Y99"/>
    <hyperlink r:id="rId303" ref="U100"/>
    <hyperlink r:id="rId304" ref="X100"/>
    <hyperlink r:id="rId305" ref="Y100"/>
    <hyperlink r:id="rId306" ref="P101"/>
    <hyperlink r:id="rId307" ref="U101"/>
    <hyperlink r:id="rId308" ref="X101"/>
    <hyperlink r:id="rId309" ref="Y101"/>
    <hyperlink r:id="rId310" ref="U102"/>
    <hyperlink r:id="rId311" ref="X102"/>
    <hyperlink r:id="rId312" ref="Y102"/>
    <hyperlink r:id="rId313" ref="U103"/>
    <hyperlink r:id="rId314" ref="X103"/>
    <hyperlink r:id="rId315" ref="Y103"/>
    <hyperlink r:id="rId316" ref="U104"/>
    <hyperlink r:id="rId317" ref="X104"/>
    <hyperlink r:id="rId318" ref="Y104"/>
    <hyperlink r:id="rId319" ref="U105"/>
    <hyperlink r:id="rId320" ref="X105"/>
    <hyperlink r:id="rId321" ref="Y105"/>
    <hyperlink r:id="rId322" ref="U106"/>
    <hyperlink r:id="rId323" ref="X106"/>
    <hyperlink r:id="rId324" ref="Y106"/>
    <hyperlink r:id="rId325" ref="U107"/>
    <hyperlink r:id="rId326" ref="X107"/>
    <hyperlink r:id="rId327" ref="Y107"/>
    <hyperlink r:id="rId328" ref="U108"/>
    <hyperlink r:id="rId329" ref="X108"/>
    <hyperlink r:id="rId330" ref="Y108"/>
    <hyperlink r:id="rId331" ref="U109"/>
    <hyperlink r:id="rId332" ref="X109"/>
    <hyperlink r:id="rId333" ref="Y109"/>
    <hyperlink r:id="rId334" ref="U110"/>
    <hyperlink r:id="rId335" ref="X110"/>
    <hyperlink r:id="rId336" ref="Y110"/>
    <hyperlink r:id="rId337" ref="P111"/>
    <hyperlink r:id="rId338" ref="U111"/>
    <hyperlink r:id="rId339" ref="X111"/>
    <hyperlink r:id="rId340" ref="Y111"/>
    <hyperlink r:id="rId341" ref="U112"/>
    <hyperlink r:id="rId342" ref="X112"/>
    <hyperlink r:id="rId343" ref="Y112"/>
    <hyperlink r:id="rId344" ref="U113"/>
    <hyperlink r:id="rId345" ref="X113"/>
    <hyperlink r:id="rId346" ref="Y113"/>
    <hyperlink r:id="rId347" ref="U114"/>
    <hyperlink r:id="rId348" ref="X114"/>
    <hyperlink r:id="rId349" ref="Y114"/>
    <hyperlink r:id="rId350" ref="U115"/>
    <hyperlink r:id="rId351" ref="X115"/>
    <hyperlink r:id="rId352" ref="Y115"/>
    <hyperlink r:id="rId353" ref="U116"/>
    <hyperlink r:id="rId354" ref="X116"/>
    <hyperlink r:id="rId355" ref="Y116"/>
    <hyperlink r:id="rId356" ref="U117"/>
    <hyperlink r:id="rId357" ref="X117"/>
    <hyperlink r:id="rId358" ref="Y117"/>
    <hyperlink r:id="rId359" ref="U118"/>
    <hyperlink r:id="rId360" ref="X118"/>
    <hyperlink r:id="rId361" ref="Y118"/>
    <hyperlink r:id="rId362" ref="P119"/>
    <hyperlink r:id="rId363" ref="U119"/>
    <hyperlink r:id="rId364" ref="X119"/>
    <hyperlink r:id="rId365" ref="Y119"/>
    <hyperlink r:id="rId366" ref="U120"/>
    <hyperlink r:id="rId367" ref="X120"/>
    <hyperlink r:id="rId368" ref="Y120"/>
    <hyperlink r:id="rId369" ref="U121"/>
    <hyperlink r:id="rId370" ref="X121"/>
    <hyperlink r:id="rId371" ref="Y121"/>
    <hyperlink r:id="rId372" ref="U122"/>
    <hyperlink r:id="rId373" ref="X122"/>
    <hyperlink r:id="rId374" ref="Y122"/>
    <hyperlink r:id="rId375" ref="P123"/>
    <hyperlink r:id="rId376" ref="U123"/>
    <hyperlink r:id="rId377" ref="X123"/>
    <hyperlink r:id="rId378" ref="Y123"/>
    <hyperlink r:id="rId379" ref="U124"/>
    <hyperlink r:id="rId380" ref="X124"/>
    <hyperlink r:id="rId381" ref="Y124"/>
    <hyperlink r:id="rId382" ref="P125"/>
    <hyperlink r:id="rId383" ref="U125"/>
    <hyperlink r:id="rId384" ref="X125"/>
    <hyperlink r:id="rId385" ref="Y125"/>
    <hyperlink r:id="rId386" ref="U126"/>
    <hyperlink r:id="rId387" ref="X126"/>
    <hyperlink r:id="rId388" ref="Y126"/>
    <hyperlink r:id="rId389" ref="U127"/>
    <hyperlink r:id="rId390" ref="X127"/>
    <hyperlink r:id="rId391" ref="Y127"/>
    <hyperlink r:id="rId392" ref="U128"/>
    <hyperlink r:id="rId393" ref="X128"/>
    <hyperlink r:id="rId394" ref="Y128"/>
    <hyperlink r:id="rId395" ref="U129"/>
    <hyperlink r:id="rId396" ref="X129"/>
    <hyperlink r:id="rId397" ref="Y129"/>
    <hyperlink r:id="rId398" ref="U130"/>
    <hyperlink r:id="rId399" ref="X130"/>
    <hyperlink r:id="rId400" ref="Y130"/>
    <hyperlink r:id="rId401" ref="U131"/>
    <hyperlink r:id="rId402" ref="X131"/>
    <hyperlink r:id="rId403" ref="Y131"/>
    <hyperlink r:id="rId404" ref="U132"/>
    <hyperlink r:id="rId405" ref="X132"/>
    <hyperlink r:id="rId406" ref="Y132"/>
    <hyperlink r:id="rId407" ref="U133"/>
    <hyperlink r:id="rId408" ref="X133"/>
    <hyperlink r:id="rId409" ref="Y133"/>
    <hyperlink r:id="rId410" ref="U134"/>
    <hyperlink r:id="rId411" ref="X134"/>
    <hyperlink r:id="rId412" ref="Y134"/>
    <hyperlink r:id="rId413" ref="U135"/>
    <hyperlink r:id="rId414" ref="X135"/>
    <hyperlink r:id="rId415" ref="Y135"/>
    <hyperlink r:id="rId416" ref="U136"/>
    <hyperlink r:id="rId417" ref="X136"/>
    <hyperlink r:id="rId418" ref="Y136"/>
    <hyperlink r:id="rId419" ref="U137"/>
    <hyperlink r:id="rId420" ref="X137"/>
    <hyperlink r:id="rId421" ref="Y137"/>
    <hyperlink r:id="rId422" ref="U138"/>
    <hyperlink r:id="rId423" ref="X138"/>
    <hyperlink r:id="rId424" ref="Y138"/>
    <hyperlink r:id="rId425" ref="U139"/>
    <hyperlink r:id="rId426" ref="X139"/>
    <hyperlink r:id="rId427" ref="Y139"/>
    <hyperlink r:id="rId428" ref="P140"/>
    <hyperlink r:id="rId429" ref="U140"/>
    <hyperlink r:id="rId430" ref="X140"/>
    <hyperlink r:id="rId431" ref="Y140"/>
    <hyperlink r:id="rId432" ref="U141"/>
    <hyperlink r:id="rId433" ref="X141"/>
    <hyperlink r:id="rId434" ref="Y141"/>
    <hyperlink r:id="rId435" ref="U142"/>
    <hyperlink r:id="rId436" ref="X142"/>
    <hyperlink r:id="rId437" ref="Y142"/>
    <hyperlink r:id="rId438" ref="U143"/>
    <hyperlink r:id="rId439" ref="X143"/>
    <hyperlink r:id="rId440" ref="Y143"/>
    <hyperlink r:id="rId441" ref="U144"/>
    <hyperlink r:id="rId442" ref="X144"/>
    <hyperlink r:id="rId443" ref="Y144"/>
    <hyperlink r:id="rId444" ref="U145"/>
    <hyperlink r:id="rId445" ref="X145"/>
    <hyperlink r:id="rId446" ref="Y145"/>
    <hyperlink r:id="rId447" ref="U146"/>
    <hyperlink r:id="rId448" ref="X146"/>
    <hyperlink r:id="rId449" ref="Y146"/>
    <hyperlink r:id="rId450" ref="U147"/>
    <hyperlink r:id="rId451" ref="X147"/>
    <hyperlink r:id="rId452" ref="Y147"/>
    <hyperlink r:id="rId453" ref="U148"/>
    <hyperlink r:id="rId454" ref="X148"/>
    <hyperlink r:id="rId455" ref="Y148"/>
    <hyperlink r:id="rId456" ref="U149"/>
    <hyperlink r:id="rId457" ref="X149"/>
    <hyperlink r:id="rId458" ref="Y149"/>
    <hyperlink r:id="rId459" ref="U150"/>
    <hyperlink r:id="rId460" ref="X150"/>
    <hyperlink r:id="rId461" ref="Y150"/>
    <hyperlink r:id="rId462" ref="P151"/>
    <hyperlink r:id="rId463" ref="U151"/>
    <hyperlink r:id="rId464" ref="X151"/>
    <hyperlink r:id="rId465" ref="Y151"/>
    <hyperlink r:id="rId466" ref="U152"/>
    <hyperlink r:id="rId467" ref="X152"/>
    <hyperlink r:id="rId468" ref="Y152"/>
    <hyperlink r:id="rId469" ref="U153"/>
    <hyperlink r:id="rId470" ref="X153"/>
    <hyperlink r:id="rId471" ref="Y153"/>
    <hyperlink r:id="rId472" ref="U154"/>
    <hyperlink r:id="rId473" ref="X154"/>
    <hyperlink r:id="rId474" ref="Y154"/>
    <hyperlink r:id="rId475" ref="U155"/>
    <hyperlink r:id="rId476" ref="X155"/>
    <hyperlink r:id="rId477" ref="Y155"/>
    <hyperlink r:id="rId478" ref="U156"/>
    <hyperlink r:id="rId479" ref="X156"/>
    <hyperlink r:id="rId480" ref="Y156"/>
    <hyperlink r:id="rId481" ref="U157"/>
    <hyperlink r:id="rId482" ref="X157"/>
    <hyperlink r:id="rId483" ref="Y157"/>
    <hyperlink r:id="rId484" ref="U158"/>
    <hyperlink r:id="rId485" ref="X158"/>
    <hyperlink r:id="rId486" ref="Y158"/>
    <hyperlink r:id="rId487" ref="U159"/>
    <hyperlink r:id="rId488" ref="X159"/>
    <hyperlink r:id="rId489" ref="Y159"/>
    <hyperlink r:id="rId490" ref="U160"/>
    <hyperlink r:id="rId491" ref="X160"/>
    <hyperlink r:id="rId492" ref="Y160"/>
    <hyperlink r:id="rId493" ref="U161"/>
    <hyperlink r:id="rId494" ref="X161"/>
    <hyperlink r:id="rId495" ref="Y161"/>
    <hyperlink r:id="rId496" ref="U162"/>
    <hyperlink r:id="rId497" ref="X162"/>
    <hyperlink r:id="rId498" ref="Y162"/>
    <hyperlink r:id="rId499" ref="U163"/>
    <hyperlink r:id="rId500" ref="X163"/>
    <hyperlink r:id="rId501" ref="Y163"/>
    <hyperlink r:id="rId502" ref="P164"/>
    <hyperlink r:id="rId503" ref="U164"/>
    <hyperlink r:id="rId504" ref="X164"/>
    <hyperlink r:id="rId505" ref="Y164"/>
    <hyperlink r:id="rId506" ref="U165"/>
    <hyperlink r:id="rId507" ref="X165"/>
    <hyperlink r:id="rId508" ref="Y165"/>
    <hyperlink r:id="rId509" ref="U166"/>
    <hyperlink r:id="rId510" ref="X166"/>
    <hyperlink r:id="rId511" ref="Y166"/>
    <hyperlink r:id="rId512" ref="U167"/>
    <hyperlink r:id="rId513" ref="X167"/>
    <hyperlink r:id="rId514" ref="Y167"/>
    <hyperlink r:id="rId515" ref="U168"/>
    <hyperlink r:id="rId516" ref="X168"/>
    <hyperlink r:id="rId517" ref="Y168"/>
    <hyperlink r:id="rId518" ref="P169"/>
    <hyperlink r:id="rId519" ref="U169"/>
    <hyperlink r:id="rId520" ref="X169"/>
    <hyperlink r:id="rId521" ref="Y169"/>
    <hyperlink r:id="rId522" ref="U170"/>
    <hyperlink r:id="rId523" ref="X170"/>
    <hyperlink r:id="rId524" ref="Y170"/>
    <hyperlink r:id="rId525" ref="U171"/>
    <hyperlink r:id="rId526" ref="X171"/>
    <hyperlink r:id="rId527" ref="Y171"/>
    <hyperlink r:id="rId528" ref="U172"/>
    <hyperlink r:id="rId529" ref="X172"/>
    <hyperlink r:id="rId530" ref="Y172"/>
    <hyperlink r:id="rId531" ref="U173"/>
    <hyperlink r:id="rId532" ref="X173"/>
    <hyperlink r:id="rId533" ref="Y173"/>
    <hyperlink r:id="rId534" ref="P174"/>
    <hyperlink r:id="rId535" ref="U174"/>
    <hyperlink r:id="rId536" ref="X174"/>
    <hyperlink r:id="rId537" ref="Y174"/>
    <hyperlink r:id="rId538" ref="P175"/>
    <hyperlink r:id="rId539" ref="U175"/>
    <hyperlink r:id="rId540" ref="X175"/>
    <hyperlink r:id="rId541" ref="Y175"/>
    <hyperlink r:id="rId542" ref="U176"/>
    <hyperlink r:id="rId543" ref="X176"/>
    <hyperlink r:id="rId544" ref="Y176"/>
    <hyperlink r:id="rId545" ref="U177"/>
    <hyperlink r:id="rId546" ref="X177"/>
    <hyperlink r:id="rId547" ref="Y177"/>
    <hyperlink r:id="rId548" ref="U178"/>
    <hyperlink r:id="rId549" ref="X178"/>
    <hyperlink r:id="rId550" ref="Y178"/>
    <hyperlink r:id="rId551" ref="U179"/>
    <hyperlink r:id="rId552" ref="X179"/>
    <hyperlink r:id="rId553" ref="Y179"/>
    <hyperlink r:id="rId554" ref="U180"/>
    <hyperlink r:id="rId555" ref="X180"/>
    <hyperlink r:id="rId556" ref="Y180"/>
    <hyperlink r:id="rId557" ref="U181"/>
    <hyperlink r:id="rId558" ref="X181"/>
    <hyperlink r:id="rId559" ref="Y181"/>
    <hyperlink r:id="rId560" ref="U182"/>
    <hyperlink r:id="rId561" ref="X182"/>
    <hyperlink r:id="rId562" ref="Y182"/>
    <hyperlink r:id="rId563" ref="U183"/>
    <hyperlink r:id="rId564" ref="X183"/>
    <hyperlink r:id="rId565" ref="Y183"/>
    <hyperlink r:id="rId566" ref="U184"/>
    <hyperlink r:id="rId567" ref="X184"/>
    <hyperlink r:id="rId568" ref="Y184"/>
    <hyperlink r:id="rId569" ref="U185"/>
    <hyperlink r:id="rId570" ref="X185"/>
    <hyperlink r:id="rId571" ref="Y185"/>
    <hyperlink r:id="rId572" ref="U186"/>
    <hyperlink r:id="rId573" ref="X186"/>
    <hyperlink r:id="rId574" ref="Y186"/>
    <hyperlink r:id="rId575" ref="U187"/>
    <hyperlink r:id="rId576" ref="X187"/>
    <hyperlink r:id="rId577" ref="Y187"/>
    <hyperlink r:id="rId578" ref="U188"/>
    <hyperlink r:id="rId579" ref="X188"/>
    <hyperlink r:id="rId580" ref="Y188"/>
    <hyperlink r:id="rId581" ref="U189"/>
    <hyperlink r:id="rId582" ref="X189"/>
    <hyperlink r:id="rId583" ref="Y189"/>
    <hyperlink r:id="rId584" ref="U190"/>
    <hyperlink r:id="rId585" ref="X190"/>
    <hyperlink r:id="rId586" ref="Y190"/>
    <hyperlink r:id="rId587" ref="P191"/>
    <hyperlink r:id="rId588" ref="U191"/>
    <hyperlink r:id="rId589" ref="X191"/>
    <hyperlink r:id="rId590" ref="Y191"/>
    <hyperlink r:id="rId591" ref="U192"/>
    <hyperlink r:id="rId592" ref="X192"/>
    <hyperlink r:id="rId593" ref="Y192"/>
    <hyperlink r:id="rId594" ref="U193"/>
    <hyperlink r:id="rId595" ref="X193"/>
    <hyperlink r:id="rId596" ref="Y193"/>
    <hyperlink r:id="rId597" ref="U194"/>
    <hyperlink r:id="rId598" ref="X194"/>
    <hyperlink r:id="rId599" ref="Y194"/>
    <hyperlink r:id="rId600" ref="U195"/>
    <hyperlink r:id="rId601" ref="X195"/>
    <hyperlink r:id="rId602" ref="Y195"/>
    <hyperlink r:id="rId603" ref="U196"/>
    <hyperlink r:id="rId604" ref="X196"/>
    <hyperlink r:id="rId605" ref="Y196"/>
    <hyperlink r:id="rId606" ref="U197"/>
    <hyperlink r:id="rId607" ref="X197"/>
    <hyperlink r:id="rId608" ref="Y197"/>
    <hyperlink r:id="rId609" ref="P198"/>
    <hyperlink r:id="rId610" ref="U198"/>
    <hyperlink r:id="rId611" ref="X198"/>
    <hyperlink r:id="rId612" ref="Y198"/>
    <hyperlink r:id="rId613" ref="U199"/>
    <hyperlink r:id="rId614" ref="X199"/>
    <hyperlink r:id="rId615" ref="Y199"/>
    <hyperlink r:id="rId616" ref="P200"/>
    <hyperlink r:id="rId617" ref="U200"/>
    <hyperlink r:id="rId618" ref="X200"/>
    <hyperlink r:id="rId619" ref="Y200"/>
    <hyperlink r:id="rId620" ref="U201"/>
    <hyperlink r:id="rId621" ref="X201"/>
    <hyperlink r:id="rId622" ref="Y201"/>
    <hyperlink r:id="rId623" ref="U202"/>
    <hyperlink r:id="rId624" ref="X202"/>
    <hyperlink r:id="rId625" ref="Y202"/>
    <hyperlink r:id="rId626" ref="P203"/>
    <hyperlink r:id="rId627" ref="U203"/>
    <hyperlink r:id="rId628" ref="X203"/>
    <hyperlink r:id="rId629" ref="Y203"/>
    <hyperlink r:id="rId630" ref="U204"/>
    <hyperlink r:id="rId631" ref="X204"/>
    <hyperlink r:id="rId632" ref="Y204"/>
    <hyperlink r:id="rId633" ref="U205"/>
    <hyperlink r:id="rId634" ref="X205"/>
    <hyperlink r:id="rId635" ref="Y205"/>
    <hyperlink r:id="rId636" ref="U206"/>
    <hyperlink r:id="rId637" ref="X206"/>
    <hyperlink r:id="rId638" ref="Y206"/>
    <hyperlink r:id="rId639" ref="U207"/>
    <hyperlink r:id="rId640" ref="X207"/>
    <hyperlink r:id="rId641" ref="Y207"/>
    <hyperlink r:id="rId642" ref="U208"/>
    <hyperlink r:id="rId643" ref="X208"/>
    <hyperlink r:id="rId644" ref="Y208"/>
    <hyperlink r:id="rId645" ref="U209"/>
    <hyperlink r:id="rId646" ref="X209"/>
    <hyperlink r:id="rId647" ref="Y209"/>
    <hyperlink r:id="rId648" ref="U210"/>
    <hyperlink r:id="rId649" ref="X210"/>
    <hyperlink r:id="rId650" ref="Y210"/>
    <hyperlink r:id="rId651" ref="U211"/>
    <hyperlink r:id="rId652" ref="X211"/>
    <hyperlink r:id="rId653" ref="Y211"/>
    <hyperlink r:id="rId654" ref="U212"/>
    <hyperlink r:id="rId655" ref="X212"/>
    <hyperlink r:id="rId656" ref="Y212"/>
    <hyperlink r:id="rId657" ref="U213"/>
    <hyperlink r:id="rId658" ref="X213"/>
    <hyperlink r:id="rId659" ref="Y213"/>
    <hyperlink r:id="rId660" ref="U214"/>
    <hyperlink r:id="rId661" ref="X214"/>
    <hyperlink r:id="rId662" ref="Y214"/>
    <hyperlink r:id="rId663" ref="U215"/>
    <hyperlink r:id="rId664" ref="X215"/>
    <hyperlink r:id="rId665" ref="Y215"/>
    <hyperlink r:id="rId666" ref="U216"/>
    <hyperlink r:id="rId667" ref="X216"/>
    <hyperlink r:id="rId668" ref="Y216"/>
    <hyperlink r:id="rId669" ref="U217"/>
    <hyperlink r:id="rId670" ref="X217"/>
    <hyperlink r:id="rId671" ref="Y217"/>
    <hyperlink r:id="rId672" ref="P218"/>
    <hyperlink r:id="rId673" ref="U218"/>
    <hyperlink r:id="rId674" ref="X218"/>
    <hyperlink r:id="rId675" ref="Y218"/>
    <hyperlink r:id="rId676" ref="U219"/>
    <hyperlink r:id="rId677" ref="X219"/>
    <hyperlink r:id="rId678" ref="Y219"/>
    <hyperlink r:id="rId679" ref="U220"/>
    <hyperlink r:id="rId680" ref="X220"/>
    <hyperlink r:id="rId681" ref="Y220"/>
    <hyperlink r:id="rId682" ref="U221"/>
    <hyperlink r:id="rId683" ref="X221"/>
    <hyperlink r:id="rId684" ref="Y221"/>
    <hyperlink r:id="rId685" ref="U222"/>
    <hyperlink r:id="rId686" ref="X222"/>
    <hyperlink r:id="rId687" ref="Y222"/>
    <hyperlink r:id="rId688" ref="U223"/>
    <hyperlink r:id="rId689" ref="X223"/>
    <hyperlink r:id="rId690" ref="Y223"/>
    <hyperlink r:id="rId691" ref="P224"/>
    <hyperlink r:id="rId692" ref="U224"/>
    <hyperlink r:id="rId693" ref="X224"/>
    <hyperlink r:id="rId694" ref="Y224"/>
    <hyperlink r:id="rId695" ref="P225"/>
    <hyperlink r:id="rId696" ref="U225"/>
    <hyperlink r:id="rId697" ref="X225"/>
    <hyperlink r:id="rId698" ref="Y225"/>
    <hyperlink r:id="rId699" ref="U226"/>
    <hyperlink r:id="rId700" ref="X226"/>
    <hyperlink r:id="rId701" ref="Y226"/>
    <hyperlink r:id="rId702" ref="U227"/>
    <hyperlink r:id="rId703" ref="X227"/>
    <hyperlink r:id="rId704" ref="Y227"/>
    <hyperlink r:id="rId705" ref="U228"/>
    <hyperlink r:id="rId706" ref="X228"/>
    <hyperlink r:id="rId707" ref="Y228"/>
    <hyperlink r:id="rId708" ref="P229"/>
    <hyperlink r:id="rId709" ref="U229"/>
    <hyperlink r:id="rId710" ref="X229"/>
    <hyperlink r:id="rId711" ref="Y229"/>
    <hyperlink r:id="rId712" ref="U230"/>
    <hyperlink r:id="rId713" ref="X230"/>
    <hyperlink r:id="rId714" ref="Y230"/>
    <hyperlink r:id="rId715" ref="U231"/>
    <hyperlink r:id="rId716" ref="X231"/>
    <hyperlink r:id="rId717" ref="Y231"/>
    <hyperlink r:id="rId718" ref="U232"/>
    <hyperlink r:id="rId719" ref="X232"/>
    <hyperlink r:id="rId720" ref="Y232"/>
    <hyperlink r:id="rId721" ref="U233"/>
    <hyperlink r:id="rId722" ref="X233"/>
    <hyperlink r:id="rId723" ref="Y233"/>
    <hyperlink r:id="rId724" ref="U234"/>
    <hyperlink r:id="rId725" ref="X234"/>
    <hyperlink r:id="rId726" ref="Y234"/>
    <hyperlink r:id="rId727" ref="P235"/>
    <hyperlink r:id="rId728" ref="U235"/>
    <hyperlink r:id="rId729" ref="X235"/>
    <hyperlink r:id="rId730" ref="Y235"/>
    <hyperlink r:id="rId731" ref="U236"/>
    <hyperlink r:id="rId732" ref="X236"/>
    <hyperlink r:id="rId733" ref="Y236"/>
    <hyperlink r:id="rId734" ref="U237"/>
    <hyperlink r:id="rId735" ref="X237"/>
    <hyperlink r:id="rId736" ref="Y237"/>
    <hyperlink r:id="rId737" ref="U238"/>
    <hyperlink r:id="rId738" ref="X238"/>
    <hyperlink r:id="rId739" ref="Y238"/>
    <hyperlink r:id="rId740" ref="U239"/>
    <hyperlink r:id="rId741" ref="X239"/>
    <hyperlink r:id="rId742" ref="Y239"/>
    <hyperlink r:id="rId743" ref="U240"/>
    <hyperlink r:id="rId744" ref="X240"/>
    <hyperlink r:id="rId745" ref="Y240"/>
    <hyperlink r:id="rId746" ref="U241"/>
    <hyperlink r:id="rId747" ref="X241"/>
    <hyperlink r:id="rId748" ref="Y241"/>
    <hyperlink r:id="rId749" ref="U242"/>
    <hyperlink r:id="rId750" ref="X242"/>
    <hyperlink r:id="rId751" ref="Y242"/>
    <hyperlink r:id="rId752" ref="U243"/>
    <hyperlink r:id="rId753" ref="X243"/>
    <hyperlink r:id="rId754" ref="Y243"/>
    <hyperlink r:id="rId755" ref="U244"/>
    <hyperlink r:id="rId756" ref="X244"/>
    <hyperlink r:id="rId757" ref="Y244"/>
    <hyperlink r:id="rId758" ref="U245"/>
    <hyperlink r:id="rId759" ref="X245"/>
    <hyperlink r:id="rId760" ref="Y245"/>
    <hyperlink r:id="rId761" ref="U246"/>
    <hyperlink r:id="rId762" ref="X246"/>
    <hyperlink r:id="rId763" ref="Y246"/>
    <hyperlink r:id="rId764" ref="U247"/>
    <hyperlink r:id="rId765" ref="X247"/>
    <hyperlink r:id="rId766" ref="Y247"/>
    <hyperlink r:id="rId767" ref="U248"/>
    <hyperlink r:id="rId768" ref="X248"/>
    <hyperlink r:id="rId769" ref="Y248"/>
    <hyperlink r:id="rId770" ref="U249"/>
    <hyperlink r:id="rId771" ref="X249"/>
    <hyperlink r:id="rId772" ref="Y249"/>
    <hyperlink r:id="rId773" ref="U250"/>
    <hyperlink r:id="rId774" ref="X250"/>
    <hyperlink r:id="rId775" ref="Y250"/>
    <hyperlink r:id="rId776" ref="U251"/>
    <hyperlink r:id="rId777" ref="X251"/>
    <hyperlink r:id="rId778" ref="Y251"/>
    <hyperlink r:id="rId779" ref="U252"/>
    <hyperlink r:id="rId780" ref="X252"/>
    <hyperlink r:id="rId781" ref="Y252"/>
    <hyperlink r:id="rId782" ref="U253"/>
    <hyperlink r:id="rId783" ref="X253"/>
    <hyperlink r:id="rId784" ref="Y253"/>
    <hyperlink r:id="rId785" ref="U254"/>
    <hyperlink r:id="rId786" ref="X254"/>
    <hyperlink r:id="rId787" ref="Y254"/>
    <hyperlink r:id="rId788" ref="U255"/>
    <hyperlink r:id="rId789" ref="X255"/>
    <hyperlink r:id="rId790" ref="Y255"/>
    <hyperlink r:id="rId791" ref="U256"/>
    <hyperlink r:id="rId792" ref="X256"/>
    <hyperlink r:id="rId793" ref="Y256"/>
    <hyperlink r:id="rId794" ref="U257"/>
    <hyperlink r:id="rId795" ref="X257"/>
    <hyperlink r:id="rId796" ref="Y257"/>
    <hyperlink r:id="rId797" ref="U258"/>
    <hyperlink r:id="rId798" ref="X258"/>
    <hyperlink r:id="rId799" ref="Y258"/>
    <hyperlink r:id="rId800" ref="U259"/>
    <hyperlink r:id="rId801" ref="X259"/>
    <hyperlink r:id="rId802" ref="Y259"/>
    <hyperlink r:id="rId803" ref="U260"/>
    <hyperlink r:id="rId804" ref="X260"/>
    <hyperlink r:id="rId805" ref="Y260"/>
    <hyperlink r:id="rId806" ref="U261"/>
    <hyperlink r:id="rId807" ref="X261"/>
    <hyperlink r:id="rId808" ref="Y261"/>
    <hyperlink r:id="rId809" ref="U262"/>
    <hyperlink r:id="rId810" ref="X262"/>
    <hyperlink r:id="rId811" ref="Y262"/>
    <hyperlink r:id="rId812" ref="P263"/>
    <hyperlink r:id="rId813" ref="U263"/>
    <hyperlink r:id="rId814" ref="X263"/>
    <hyperlink r:id="rId815" ref="Y263"/>
    <hyperlink r:id="rId816" ref="U264"/>
    <hyperlink r:id="rId817" ref="X264"/>
    <hyperlink r:id="rId818" ref="Y264"/>
    <hyperlink r:id="rId819" ref="U265"/>
    <hyperlink r:id="rId820" ref="X265"/>
    <hyperlink r:id="rId821" ref="Y265"/>
    <hyperlink r:id="rId822" ref="P266"/>
    <hyperlink r:id="rId823" ref="U266"/>
    <hyperlink r:id="rId824" ref="X266"/>
    <hyperlink r:id="rId825" ref="Y266"/>
    <hyperlink r:id="rId826" ref="P267"/>
    <hyperlink r:id="rId827" ref="U267"/>
    <hyperlink r:id="rId828" ref="X267"/>
    <hyperlink r:id="rId829" ref="Y267"/>
    <hyperlink r:id="rId830" ref="U268"/>
    <hyperlink r:id="rId831" ref="X268"/>
    <hyperlink r:id="rId832" ref="Y268"/>
    <hyperlink r:id="rId833" ref="U269"/>
    <hyperlink r:id="rId834" ref="X269"/>
    <hyperlink r:id="rId835" ref="Y269"/>
    <hyperlink r:id="rId836" ref="U270"/>
    <hyperlink r:id="rId837" ref="X270"/>
    <hyperlink r:id="rId838" ref="Y270"/>
    <hyperlink r:id="rId839" ref="U271"/>
    <hyperlink r:id="rId840" ref="X271"/>
    <hyperlink r:id="rId841" ref="Y271"/>
    <hyperlink r:id="rId842" ref="U272"/>
    <hyperlink r:id="rId843" ref="X272"/>
    <hyperlink r:id="rId844" ref="Y272"/>
    <hyperlink r:id="rId845" ref="U273"/>
    <hyperlink r:id="rId846" ref="X273"/>
    <hyperlink r:id="rId847" ref="Y273"/>
    <hyperlink r:id="rId848" ref="P274"/>
    <hyperlink r:id="rId849" ref="U274"/>
    <hyperlink r:id="rId850" ref="X274"/>
    <hyperlink r:id="rId851" ref="Y274"/>
    <hyperlink r:id="rId852" ref="U275"/>
    <hyperlink r:id="rId853" ref="X275"/>
    <hyperlink r:id="rId854" ref="Y275"/>
    <hyperlink r:id="rId855" ref="U276"/>
    <hyperlink r:id="rId856" ref="X276"/>
    <hyperlink r:id="rId857" ref="Y276"/>
    <hyperlink r:id="rId858" ref="U277"/>
    <hyperlink r:id="rId859" ref="X277"/>
    <hyperlink r:id="rId860" ref="Y277"/>
    <hyperlink r:id="rId861" ref="U278"/>
    <hyperlink r:id="rId862" ref="X278"/>
    <hyperlink r:id="rId863" ref="Y278"/>
    <hyperlink r:id="rId864" ref="U279"/>
    <hyperlink r:id="rId865" ref="X279"/>
    <hyperlink r:id="rId866" ref="Y279"/>
    <hyperlink r:id="rId867" ref="U280"/>
    <hyperlink r:id="rId868" ref="X280"/>
    <hyperlink r:id="rId869" ref="Y280"/>
    <hyperlink r:id="rId870" ref="U281"/>
    <hyperlink r:id="rId871" ref="X281"/>
    <hyperlink r:id="rId872" ref="Y281"/>
    <hyperlink r:id="rId873" ref="U282"/>
    <hyperlink r:id="rId874" ref="X282"/>
    <hyperlink r:id="rId875" ref="Y282"/>
    <hyperlink r:id="rId876" ref="U283"/>
    <hyperlink r:id="rId877" ref="X283"/>
    <hyperlink r:id="rId878" ref="Y283"/>
    <hyperlink r:id="rId879" ref="U284"/>
    <hyperlink r:id="rId880" ref="X284"/>
    <hyperlink r:id="rId881" ref="Y284"/>
    <hyperlink r:id="rId882" ref="U285"/>
    <hyperlink r:id="rId883" ref="X285"/>
    <hyperlink r:id="rId884" ref="Y285"/>
    <hyperlink r:id="rId885" ref="U286"/>
    <hyperlink r:id="rId886" ref="X286"/>
    <hyperlink r:id="rId887" ref="Y286"/>
    <hyperlink r:id="rId888" ref="U287"/>
    <hyperlink r:id="rId889" ref="X287"/>
    <hyperlink r:id="rId890" ref="Y287"/>
    <hyperlink r:id="rId891" ref="U288"/>
    <hyperlink r:id="rId892" ref="X288"/>
    <hyperlink r:id="rId893" ref="Y288"/>
    <hyperlink r:id="rId894" ref="U289"/>
    <hyperlink r:id="rId895" ref="X289"/>
    <hyperlink r:id="rId896" ref="Y289"/>
    <hyperlink r:id="rId897" ref="U290"/>
    <hyperlink r:id="rId898" ref="X290"/>
    <hyperlink r:id="rId899" ref="Y290"/>
    <hyperlink r:id="rId900" ref="U291"/>
    <hyperlink r:id="rId901" ref="X291"/>
    <hyperlink r:id="rId902" ref="Y291"/>
    <hyperlink r:id="rId903" ref="U292"/>
    <hyperlink r:id="rId904" ref="X292"/>
    <hyperlink r:id="rId905" ref="Y292"/>
    <hyperlink r:id="rId906" ref="U293"/>
    <hyperlink r:id="rId907" ref="X293"/>
    <hyperlink r:id="rId908" ref="Y293"/>
    <hyperlink r:id="rId909" ref="U294"/>
    <hyperlink r:id="rId910" ref="X294"/>
    <hyperlink r:id="rId911" ref="Y294"/>
    <hyperlink r:id="rId912" ref="U295"/>
    <hyperlink r:id="rId913" ref="X295"/>
    <hyperlink r:id="rId914" ref="Y295"/>
    <hyperlink r:id="rId915" ref="U296"/>
    <hyperlink r:id="rId916" ref="X296"/>
    <hyperlink r:id="rId917" ref="Y296"/>
    <hyperlink r:id="rId918" ref="P297"/>
    <hyperlink r:id="rId919" ref="U297"/>
    <hyperlink r:id="rId920" ref="X297"/>
    <hyperlink r:id="rId921" ref="Y297"/>
    <hyperlink r:id="rId922" ref="U298"/>
    <hyperlink r:id="rId923" ref="X298"/>
    <hyperlink r:id="rId924" ref="Y298"/>
    <hyperlink r:id="rId925" ref="U299"/>
    <hyperlink r:id="rId926" ref="X299"/>
    <hyperlink r:id="rId927" ref="Y299"/>
    <hyperlink r:id="rId928" ref="U300"/>
    <hyperlink r:id="rId929" ref="X300"/>
    <hyperlink r:id="rId930" ref="Y300"/>
    <hyperlink r:id="rId931" ref="U301"/>
    <hyperlink r:id="rId932" ref="X301"/>
    <hyperlink r:id="rId933" ref="Y301"/>
    <hyperlink r:id="rId934" ref="U302"/>
    <hyperlink r:id="rId935" ref="X302"/>
    <hyperlink r:id="rId936" ref="Y302"/>
    <hyperlink r:id="rId937" ref="U303"/>
    <hyperlink r:id="rId938" ref="X303"/>
    <hyperlink r:id="rId939" ref="Y303"/>
    <hyperlink r:id="rId940" ref="U304"/>
    <hyperlink r:id="rId941" ref="X304"/>
    <hyperlink r:id="rId942" ref="Y304"/>
    <hyperlink r:id="rId943" ref="U305"/>
    <hyperlink r:id="rId944" ref="X305"/>
    <hyperlink r:id="rId945" ref="Y305"/>
    <hyperlink r:id="rId946" ref="U306"/>
    <hyperlink r:id="rId947" ref="X306"/>
    <hyperlink r:id="rId948" ref="Y306"/>
    <hyperlink r:id="rId949" ref="U307"/>
    <hyperlink r:id="rId950" ref="X307"/>
    <hyperlink r:id="rId951" ref="Y307"/>
    <hyperlink r:id="rId952" ref="U308"/>
    <hyperlink r:id="rId953" ref="X308"/>
    <hyperlink r:id="rId954" ref="Y308"/>
    <hyperlink r:id="rId955" ref="U309"/>
    <hyperlink r:id="rId956" ref="X309"/>
    <hyperlink r:id="rId957" ref="Y309"/>
    <hyperlink r:id="rId958" ref="U310"/>
    <hyperlink r:id="rId959" ref="X310"/>
    <hyperlink r:id="rId960" ref="Y310"/>
    <hyperlink r:id="rId961" ref="P311"/>
    <hyperlink r:id="rId962" ref="U311"/>
    <hyperlink r:id="rId963" ref="X311"/>
    <hyperlink r:id="rId964" ref="Y311"/>
    <hyperlink r:id="rId965" ref="U312"/>
    <hyperlink r:id="rId966" ref="X312"/>
    <hyperlink r:id="rId967" ref="Y312"/>
    <hyperlink r:id="rId968" ref="U313"/>
    <hyperlink r:id="rId969" ref="X313"/>
    <hyperlink r:id="rId970" ref="Y313"/>
    <hyperlink r:id="rId971" ref="U314"/>
    <hyperlink r:id="rId972" ref="X314"/>
    <hyperlink r:id="rId973" ref="Y314"/>
    <hyperlink r:id="rId974" ref="U315"/>
    <hyperlink r:id="rId975" ref="X315"/>
    <hyperlink r:id="rId976" ref="Y315"/>
    <hyperlink r:id="rId977" ref="U316"/>
    <hyperlink r:id="rId978" ref="X316"/>
    <hyperlink r:id="rId979" ref="Y316"/>
    <hyperlink r:id="rId980" ref="U317"/>
    <hyperlink r:id="rId981" ref="X317"/>
    <hyperlink r:id="rId982" ref="Y317"/>
    <hyperlink r:id="rId983" ref="U318"/>
    <hyperlink r:id="rId984" ref="X318"/>
    <hyperlink r:id="rId985" ref="Y318"/>
    <hyperlink r:id="rId986" ref="U319"/>
    <hyperlink r:id="rId987" ref="X319"/>
    <hyperlink r:id="rId988" ref="Y319"/>
    <hyperlink r:id="rId989" ref="U320"/>
    <hyperlink r:id="rId990" ref="X320"/>
    <hyperlink r:id="rId991" ref="Y320"/>
    <hyperlink r:id="rId992" ref="U321"/>
    <hyperlink r:id="rId993" ref="X321"/>
    <hyperlink r:id="rId994" ref="Y321"/>
    <hyperlink r:id="rId995" ref="U322"/>
    <hyperlink r:id="rId996" ref="X322"/>
    <hyperlink r:id="rId997" ref="Y322"/>
    <hyperlink r:id="rId998" ref="U323"/>
    <hyperlink r:id="rId999" ref="X323"/>
    <hyperlink r:id="rId1000" ref="Y323"/>
    <hyperlink r:id="rId1001" ref="U324"/>
    <hyperlink r:id="rId1002" ref="X324"/>
    <hyperlink r:id="rId1003" ref="Y324"/>
    <hyperlink r:id="rId1004" ref="U325"/>
    <hyperlink r:id="rId1005" ref="X325"/>
    <hyperlink r:id="rId1006" ref="Y325"/>
    <hyperlink r:id="rId1007" ref="U326"/>
    <hyperlink r:id="rId1008" ref="X326"/>
    <hyperlink r:id="rId1009" ref="Y326"/>
    <hyperlink r:id="rId1010" ref="U327"/>
    <hyperlink r:id="rId1011" ref="X327"/>
    <hyperlink r:id="rId1012" ref="Y327"/>
    <hyperlink r:id="rId1013" ref="U328"/>
    <hyperlink r:id="rId1014" ref="X328"/>
    <hyperlink r:id="rId1015" ref="Y328"/>
    <hyperlink r:id="rId1016" ref="U329"/>
    <hyperlink r:id="rId1017" ref="X329"/>
    <hyperlink r:id="rId1018" ref="Y329"/>
    <hyperlink r:id="rId1019" ref="U330"/>
    <hyperlink r:id="rId1020" ref="X330"/>
    <hyperlink r:id="rId1021" ref="Y330"/>
    <hyperlink r:id="rId1022" ref="U331"/>
    <hyperlink r:id="rId1023" ref="X331"/>
    <hyperlink r:id="rId1024" ref="Y331"/>
    <hyperlink r:id="rId1025" ref="U332"/>
    <hyperlink r:id="rId1026" ref="X332"/>
    <hyperlink r:id="rId1027" ref="Y332"/>
    <hyperlink r:id="rId1028" ref="U333"/>
    <hyperlink r:id="rId1029" ref="X333"/>
    <hyperlink r:id="rId1030" ref="Y333"/>
    <hyperlink r:id="rId1031" ref="U334"/>
    <hyperlink r:id="rId1032" ref="X334"/>
    <hyperlink r:id="rId1033" ref="Y334"/>
    <hyperlink r:id="rId1034" ref="U335"/>
    <hyperlink r:id="rId1035" ref="X335"/>
    <hyperlink r:id="rId1036" ref="Y335"/>
    <hyperlink r:id="rId1037" ref="U336"/>
    <hyperlink r:id="rId1038" ref="X336"/>
    <hyperlink r:id="rId1039" ref="Y336"/>
    <hyperlink r:id="rId1040" ref="P337"/>
    <hyperlink r:id="rId1041" ref="U337"/>
    <hyperlink r:id="rId1042" ref="X337"/>
    <hyperlink r:id="rId1043" ref="Y337"/>
    <hyperlink r:id="rId1044" ref="P338"/>
    <hyperlink r:id="rId1045" ref="U338"/>
    <hyperlink r:id="rId1046" ref="X338"/>
    <hyperlink r:id="rId1047" ref="Y338"/>
    <hyperlink r:id="rId1048" ref="P339"/>
    <hyperlink r:id="rId1049" ref="U339"/>
    <hyperlink r:id="rId1050" ref="X339"/>
    <hyperlink r:id="rId1051" ref="Y339"/>
    <hyperlink r:id="rId1052" ref="U340"/>
    <hyperlink r:id="rId1053" ref="X340"/>
    <hyperlink r:id="rId1054" ref="Y340"/>
    <hyperlink r:id="rId1055" ref="U341"/>
    <hyperlink r:id="rId1056" ref="X341"/>
    <hyperlink r:id="rId1057" ref="Y341"/>
    <hyperlink r:id="rId1058" ref="U342"/>
    <hyperlink r:id="rId1059" ref="X342"/>
    <hyperlink r:id="rId1060" ref="Y342"/>
    <hyperlink r:id="rId1061" ref="U343"/>
    <hyperlink r:id="rId1062" ref="X343"/>
    <hyperlink r:id="rId1063" ref="Y343"/>
    <hyperlink r:id="rId1064" ref="P344"/>
    <hyperlink r:id="rId1065" ref="U344"/>
    <hyperlink r:id="rId1066" ref="X344"/>
    <hyperlink r:id="rId1067" ref="Y344"/>
    <hyperlink r:id="rId1068" ref="U345"/>
    <hyperlink r:id="rId1069" ref="X345"/>
    <hyperlink r:id="rId1070" ref="Y345"/>
    <hyperlink r:id="rId1071" ref="U346"/>
    <hyperlink r:id="rId1072" ref="X346"/>
    <hyperlink r:id="rId1073" ref="Y346"/>
    <hyperlink r:id="rId1074" ref="U347"/>
    <hyperlink r:id="rId1075" ref="X347"/>
    <hyperlink r:id="rId1076" ref="Y347"/>
    <hyperlink r:id="rId1077" ref="U348"/>
    <hyperlink r:id="rId1078" ref="X348"/>
    <hyperlink r:id="rId1079" ref="Y348"/>
    <hyperlink r:id="rId1080" ref="U349"/>
    <hyperlink r:id="rId1081" ref="X349"/>
    <hyperlink r:id="rId1082" ref="Y349"/>
    <hyperlink r:id="rId1083" ref="U350"/>
    <hyperlink r:id="rId1084" ref="X350"/>
    <hyperlink r:id="rId1085" ref="Y350"/>
    <hyperlink r:id="rId1086" ref="U351"/>
    <hyperlink r:id="rId1087" ref="X351"/>
    <hyperlink r:id="rId1088" ref="Y351"/>
    <hyperlink r:id="rId1089" ref="U352"/>
    <hyperlink r:id="rId1090" ref="X352"/>
    <hyperlink r:id="rId1091" ref="Y352"/>
    <hyperlink r:id="rId1092" ref="U353"/>
    <hyperlink r:id="rId1093" ref="X353"/>
    <hyperlink r:id="rId1094" ref="Y353"/>
    <hyperlink r:id="rId1095" ref="U354"/>
    <hyperlink r:id="rId1096" ref="X354"/>
    <hyperlink r:id="rId1097" ref="Y354"/>
    <hyperlink r:id="rId1098" ref="U355"/>
    <hyperlink r:id="rId1099" ref="X355"/>
    <hyperlink r:id="rId1100" ref="Y355"/>
    <hyperlink r:id="rId1101" ref="U356"/>
    <hyperlink r:id="rId1102" ref="X356"/>
    <hyperlink r:id="rId1103" ref="Y356"/>
    <hyperlink r:id="rId1104" ref="U357"/>
    <hyperlink r:id="rId1105" ref="X357"/>
    <hyperlink r:id="rId1106" ref="Y357"/>
    <hyperlink r:id="rId1107" ref="U358"/>
    <hyperlink r:id="rId1108" ref="X358"/>
    <hyperlink r:id="rId1109" ref="Y358"/>
    <hyperlink r:id="rId1110" ref="U359"/>
    <hyperlink r:id="rId1111" ref="X359"/>
    <hyperlink r:id="rId1112" ref="Y359"/>
    <hyperlink r:id="rId1113" ref="U360"/>
    <hyperlink r:id="rId1114" ref="X360"/>
    <hyperlink r:id="rId1115" ref="Y360"/>
    <hyperlink r:id="rId1116" ref="U361"/>
    <hyperlink r:id="rId1117" ref="X361"/>
    <hyperlink r:id="rId1118" ref="Y361"/>
    <hyperlink r:id="rId1119" ref="U362"/>
    <hyperlink r:id="rId1120" ref="X362"/>
    <hyperlink r:id="rId1121" ref="Y362"/>
    <hyperlink r:id="rId1122" ref="U363"/>
    <hyperlink r:id="rId1123" ref="X363"/>
    <hyperlink r:id="rId1124" ref="Y363"/>
    <hyperlink r:id="rId1125" ref="U364"/>
    <hyperlink r:id="rId1126" ref="X364"/>
    <hyperlink r:id="rId1127" ref="Y364"/>
    <hyperlink r:id="rId1128" ref="U365"/>
    <hyperlink r:id="rId1129" ref="X365"/>
    <hyperlink r:id="rId1130" ref="Y365"/>
    <hyperlink r:id="rId1131" ref="U366"/>
    <hyperlink r:id="rId1132" ref="X366"/>
    <hyperlink r:id="rId1133" ref="Y366"/>
    <hyperlink r:id="rId1134" ref="U367"/>
    <hyperlink r:id="rId1135" ref="X367"/>
    <hyperlink r:id="rId1136" ref="Y367"/>
    <hyperlink r:id="rId1137" ref="U368"/>
    <hyperlink r:id="rId1138" ref="X368"/>
    <hyperlink r:id="rId1139" ref="Y368"/>
    <hyperlink r:id="rId1140" ref="U369"/>
    <hyperlink r:id="rId1141" ref="X369"/>
    <hyperlink r:id="rId1142" ref="Y369"/>
    <hyperlink r:id="rId1143" ref="P370"/>
    <hyperlink r:id="rId1144" ref="U370"/>
    <hyperlink r:id="rId1145" ref="X370"/>
    <hyperlink r:id="rId1146" ref="Y370"/>
    <hyperlink r:id="rId1147" ref="P371"/>
    <hyperlink r:id="rId1148" ref="U371"/>
    <hyperlink r:id="rId1149" ref="X371"/>
    <hyperlink r:id="rId1150" ref="Y371"/>
    <hyperlink r:id="rId1151" ref="P372"/>
    <hyperlink r:id="rId1152" ref="U372"/>
    <hyperlink r:id="rId1153" ref="X372"/>
    <hyperlink r:id="rId1154" ref="Y372"/>
    <hyperlink r:id="rId1155" ref="U373"/>
    <hyperlink r:id="rId1156" ref="X373"/>
    <hyperlink r:id="rId1157" ref="Y373"/>
    <hyperlink r:id="rId1158" ref="P374"/>
    <hyperlink r:id="rId1159" ref="U374"/>
    <hyperlink r:id="rId1160" ref="X374"/>
    <hyperlink r:id="rId1161" ref="Y374"/>
    <hyperlink r:id="rId1162" ref="U375"/>
    <hyperlink r:id="rId1163" ref="X375"/>
    <hyperlink r:id="rId1164" ref="Y375"/>
    <hyperlink r:id="rId1165" ref="U376"/>
    <hyperlink r:id="rId1166" ref="X376"/>
    <hyperlink r:id="rId1167" ref="Y376"/>
    <hyperlink r:id="rId1168" ref="U377"/>
    <hyperlink r:id="rId1169" ref="X377"/>
    <hyperlink r:id="rId1170" ref="Y377"/>
    <hyperlink r:id="rId1171" ref="P378"/>
    <hyperlink r:id="rId1172" ref="U378"/>
    <hyperlink r:id="rId1173" ref="X378"/>
    <hyperlink r:id="rId1174" ref="Y378"/>
    <hyperlink r:id="rId1175" ref="U379"/>
    <hyperlink r:id="rId1176" ref="X379"/>
    <hyperlink r:id="rId1177" ref="Y379"/>
    <hyperlink r:id="rId1178" ref="U380"/>
    <hyperlink r:id="rId1179" ref="X380"/>
    <hyperlink r:id="rId1180" ref="Y380"/>
    <hyperlink r:id="rId1181" ref="U381"/>
    <hyperlink r:id="rId1182" ref="X381"/>
    <hyperlink r:id="rId1183" ref="Y381"/>
    <hyperlink r:id="rId1184" ref="U382"/>
    <hyperlink r:id="rId1185" ref="X382"/>
    <hyperlink r:id="rId1186" ref="Y382"/>
    <hyperlink r:id="rId1187" ref="U383"/>
    <hyperlink r:id="rId1188" ref="X383"/>
    <hyperlink r:id="rId1189" ref="Y383"/>
    <hyperlink r:id="rId1190" ref="P384"/>
    <hyperlink r:id="rId1191" ref="U384"/>
    <hyperlink r:id="rId1192" ref="X384"/>
    <hyperlink r:id="rId1193" ref="Y384"/>
    <hyperlink r:id="rId1194" ref="U385"/>
    <hyperlink r:id="rId1195" ref="X385"/>
    <hyperlink r:id="rId1196" ref="Y385"/>
    <hyperlink r:id="rId1197" ref="U386"/>
    <hyperlink r:id="rId1198" ref="X386"/>
    <hyperlink r:id="rId1199" ref="Y386"/>
    <hyperlink r:id="rId1200" ref="U387"/>
    <hyperlink r:id="rId1201" ref="X387"/>
    <hyperlink r:id="rId1202" ref="Y387"/>
    <hyperlink r:id="rId1203" ref="U388"/>
    <hyperlink r:id="rId1204" ref="X388"/>
    <hyperlink r:id="rId1205" ref="Y388"/>
    <hyperlink r:id="rId1206" ref="U389"/>
    <hyperlink r:id="rId1207" ref="X389"/>
    <hyperlink r:id="rId1208" ref="Y389"/>
    <hyperlink r:id="rId1209" ref="U390"/>
    <hyperlink r:id="rId1210" ref="X390"/>
    <hyperlink r:id="rId1211" ref="Y390"/>
    <hyperlink r:id="rId1212" ref="U391"/>
    <hyperlink r:id="rId1213" ref="X391"/>
    <hyperlink r:id="rId1214" ref="Y391"/>
    <hyperlink r:id="rId1215" ref="U392"/>
    <hyperlink r:id="rId1216" ref="X392"/>
    <hyperlink r:id="rId1217" ref="Y392"/>
    <hyperlink r:id="rId1218" ref="U393"/>
    <hyperlink r:id="rId1219" ref="X393"/>
    <hyperlink r:id="rId1220" ref="Y393"/>
    <hyperlink r:id="rId1221" ref="U394"/>
    <hyperlink r:id="rId1222" ref="X394"/>
    <hyperlink r:id="rId1223" ref="Y394"/>
    <hyperlink r:id="rId1224" ref="P395"/>
    <hyperlink r:id="rId1225" ref="U395"/>
    <hyperlink r:id="rId1226" ref="X395"/>
    <hyperlink r:id="rId1227" ref="Y395"/>
    <hyperlink r:id="rId1228" ref="P396"/>
    <hyperlink r:id="rId1229" ref="U396"/>
    <hyperlink r:id="rId1230" ref="X396"/>
    <hyperlink r:id="rId1231" ref="Y396"/>
    <hyperlink r:id="rId1232" ref="U397"/>
    <hyperlink r:id="rId1233" ref="X397"/>
    <hyperlink r:id="rId1234" ref="Y397"/>
    <hyperlink r:id="rId1235" ref="U398"/>
    <hyperlink r:id="rId1236" ref="X398"/>
    <hyperlink r:id="rId1237" ref="Y398"/>
    <hyperlink r:id="rId1238" ref="U399"/>
    <hyperlink r:id="rId1239" ref="X399"/>
    <hyperlink r:id="rId1240" ref="Y399"/>
    <hyperlink r:id="rId1241" ref="U400"/>
    <hyperlink r:id="rId1242" ref="X400"/>
    <hyperlink r:id="rId1243" ref="Y400"/>
    <hyperlink r:id="rId1244" ref="U401"/>
    <hyperlink r:id="rId1245" ref="X401"/>
    <hyperlink r:id="rId1246" ref="Y401"/>
    <hyperlink r:id="rId1247" ref="U402"/>
    <hyperlink r:id="rId1248" ref="X402"/>
    <hyperlink r:id="rId1249" ref="Y402"/>
    <hyperlink r:id="rId1250" ref="U403"/>
    <hyperlink r:id="rId1251" ref="X403"/>
    <hyperlink r:id="rId1252" ref="Y403"/>
    <hyperlink r:id="rId1253" ref="U404"/>
    <hyperlink r:id="rId1254" ref="X404"/>
    <hyperlink r:id="rId1255" ref="Y404"/>
    <hyperlink r:id="rId1256" ref="U405"/>
    <hyperlink r:id="rId1257" ref="X405"/>
    <hyperlink r:id="rId1258" ref="Y405"/>
    <hyperlink r:id="rId1259" ref="P406"/>
    <hyperlink r:id="rId1260" ref="U406"/>
    <hyperlink r:id="rId1261" ref="X406"/>
    <hyperlink r:id="rId1262" ref="Y406"/>
    <hyperlink r:id="rId1263" ref="U407"/>
    <hyperlink r:id="rId1264" ref="X407"/>
    <hyperlink r:id="rId1265" ref="Y407"/>
    <hyperlink r:id="rId1266" ref="U408"/>
    <hyperlink r:id="rId1267" ref="X408"/>
    <hyperlink r:id="rId1268" ref="Y408"/>
    <hyperlink r:id="rId1269" ref="U409"/>
    <hyperlink r:id="rId1270" ref="X409"/>
    <hyperlink r:id="rId1271" ref="Y409"/>
    <hyperlink r:id="rId1272" ref="U410"/>
    <hyperlink r:id="rId1273" ref="X410"/>
    <hyperlink r:id="rId1274" ref="Y410"/>
    <hyperlink r:id="rId1275" ref="U411"/>
    <hyperlink r:id="rId1276" ref="X411"/>
    <hyperlink r:id="rId1277" ref="Y411"/>
    <hyperlink r:id="rId1278" ref="U412"/>
    <hyperlink r:id="rId1279" ref="X412"/>
    <hyperlink r:id="rId1280" ref="Y412"/>
    <hyperlink r:id="rId1281" ref="U413"/>
    <hyperlink r:id="rId1282" ref="X413"/>
    <hyperlink r:id="rId1283" ref="Y413"/>
    <hyperlink r:id="rId1284" ref="P414"/>
    <hyperlink r:id="rId1285" ref="U414"/>
    <hyperlink r:id="rId1286" ref="X414"/>
    <hyperlink r:id="rId1287" ref="Y414"/>
    <hyperlink r:id="rId1288" ref="U415"/>
    <hyperlink r:id="rId1289" ref="X415"/>
    <hyperlink r:id="rId1290" ref="Y415"/>
    <hyperlink r:id="rId1291" ref="P416"/>
    <hyperlink r:id="rId1292" ref="U416"/>
    <hyperlink r:id="rId1293" ref="X416"/>
    <hyperlink r:id="rId1294" ref="Y416"/>
    <hyperlink r:id="rId1295" ref="U417"/>
    <hyperlink r:id="rId1296" ref="X417"/>
    <hyperlink r:id="rId1297" ref="Y417"/>
    <hyperlink r:id="rId1298" ref="U418"/>
    <hyperlink r:id="rId1299" ref="X418"/>
    <hyperlink r:id="rId1300" ref="Y418"/>
    <hyperlink r:id="rId1301" ref="U419"/>
    <hyperlink r:id="rId1302" ref="X419"/>
    <hyperlink r:id="rId1303" ref="Y419"/>
    <hyperlink r:id="rId1304" ref="U420"/>
    <hyperlink r:id="rId1305" ref="X420"/>
    <hyperlink r:id="rId1306" ref="Y420"/>
    <hyperlink r:id="rId1307" ref="U421"/>
    <hyperlink r:id="rId1308" ref="X421"/>
    <hyperlink r:id="rId1309" ref="Y421"/>
    <hyperlink r:id="rId1310" ref="U422"/>
    <hyperlink r:id="rId1311" ref="X422"/>
    <hyperlink r:id="rId1312" ref="Y422"/>
    <hyperlink r:id="rId1313" ref="P423"/>
    <hyperlink r:id="rId1314" ref="U423"/>
    <hyperlink r:id="rId1315" ref="X423"/>
    <hyperlink r:id="rId1316" ref="Y423"/>
    <hyperlink r:id="rId1317" ref="U424"/>
    <hyperlink r:id="rId1318" ref="X424"/>
    <hyperlink r:id="rId1319" ref="Y424"/>
    <hyperlink r:id="rId1320" ref="U425"/>
    <hyperlink r:id="rId1321" ref="X425"/>
    <hyperlink r:id="rId1322" ref="Y425"/>
    <hyperlink r:id="rId1323" ref="U426"/>
    <hyperlink r:id="rId1324" ref="X426"/>
    <hyperlink r:id="rId1325" ref="Y426"/>
    <hyperlink r:id="rId1326" ref="P427"/>
    <hyperlink r:id="rId1327" ref="U427"/>
    <hyperlink r:id="rId1328" ref="X427"/>
    <hyperlink r:id="rId1329" ref="Y427"/>
    <hyperlink r:id="rId1330" ref="P428"/>
    <hyperlink r:id="rId1331" ref="U428"/>
    <hyperlink r:id="rId1332" ref="X428"/>
    <hyperlink r:id="rId1333" ref="Y428"/>
    <hyperlink r:id="rId1334" ref="U429"/>
    <hyperlink r:id="rId1335" ref="X429"/>
    <hyperlink r:id="rId1336" ref="Y429"/>
    <hyperlink r:id="rId1337" ref="U430"/>
    <hyperlink r:id="rId1338" ref="X430"/>
    <hyperlink r:id="rId1339" ref="Y430"/>
    <hyperlink r:id="rId1340" ref="U431"/>
    <hyperlink r:id="rId1341" ref="X431"/>
    <hyperlink r:id="rId1342" ref="Y431"/>
    <hyperlink r:id="rId1343" ref="U432"/>
    <hyperlink r:id="rId1344" ref="X432"/>
    <hyperlink r:id="rId1345" ref="Y432"/>
    <hyperlink r:id="rId1346" ref="U433"/>
    <hyperlink r:id="rId1347" ref="X433"/>
    <hyperlink r:id="rId1348" ref="Y433"/>
    <hyperlink r:id="rId1349" ref="U434"/>
    <hyperlink r:id="rId1350" ref="X434"/>
    <hyperlink r:id="rId1351" ref="Y434"/>
    <hyperlink r:id="rId1352" ref="U435"/>
    <hyperlink r:id="rId1353" ref="X435"/>
    <hyperlink r:id="rId1354" ref="Y435"/>
    <hyperlink r:id="rId1355" ref="P436"/>
    <hyperlink r:id="rId1356" ref="U436"/>
    <hyperlink r:id="rId1357" ref="X436"/>
    <hyperlink r:id="rId1358" ref="Y436"/>
    <hyperlink r:id="rId1359" ref="U437"/>
    <hyperlink r:id="rId1360" ref="X437"/>
    <hyperlink r:id="rId1361" ref="Y437"/>
    <hyperlink r:id="rId1362" ref="U438"/>
    <hyperlink r:id="rId1363" ref="X438"/>
    <hyperlink r:id="rId1364" ref="Y438"/>
    <hyperlink r:id="rId1365" ref="U439"/>
    <hyperlink r:id="rId1366" ref="X439"/>
    <hyperlink r:id="rId1367" ref="Y439"/>
    <hyperlink r:id="rId1368" ref="U440"/>
    <hyperlink r:id="rId1369" ref="X440"/>
    <hyperlink r:id="rId1370" ref="Y440"/>
    <hyperlink r:id="rId1371" ref="U441"/>
    <hyperlink r:id="rId1372" ref="X441"/>
    <hyperlink r:id="rId1373" ref="Y441"/>
    <hyperlink r:id="rId1374" ref="U442"/>
    <hyperlink r:id="rId1375" ref="X442"/>
    <hyperlink r:id="rId1376" ref="Y442"/>
    <hyperlink r:id="rId1377" ref="U443"/>
    <hyperlink r:id="rId1378" ref="X443"/>
    <hyperlink r:id="rId1379" ref="Y443"/>
    <hyperlink r:id="rId1380" ref="U444"/>
    <hyperlink r:id="rId1381" ref="X444"/>
    <hyperlink r:id="rId1382" ref="Y444"/>
    <hyperlink r:id="rId1383" ref="U445"/>
    <hyperlink r:id="rId1384" ref="X445"/>
    <hyperlink r:id="rId1385" ref="Y445"/>
    <hyperlink r:id="rId1386" ref="U446"/>
    <hyperlink r:id="rId1387" ref="X446"/>
    <hyperlink r:id="rId1388" ref="Y446"/>
    <hyperlink r:id="rId1389" ref="U447"/>
    <hyperlink r:id="rId1390" ref="X447"/>
    <hyperlink r:id="rId1391" ref="Y447"/>
    <hyperlink r:id="rId1392" ref="U448"/>
    <hyperlink r:id="rId1393" ref="X448"/>
    <hyperlink r:id="rId1394" ref="Y448"/>
    <hyperlink r:id="rId1395" ref="U449"/>
    <hyperlink r:id="rId1396" ref="X449"/>
    <hyperlink r:id="rId1397" ref="Y449"/>
    <hyperlink r:id="rId1398" ref="U450"/>
    <hyperlink r:id="rId1399" ref="X450"/>
    <hyperlink r:id="rId1400" ref="Y450"/>
    <hyperlink r:id="rId1401" ref="U451"/>
    <hyperlink r:id="rId1402" ref="X451"/>
    <hyperlink r:id="rId1403" ref="Y451"/>
    <hyperlink r:id="rId1404" ref="U452"/>
    <hyperlink r:id="rId1405" ref="X452"/>
    <hyperlink r:id="rId1406" ref="Y452"/>
    <hyperlink r:id="rId1407" ref="U453"/>
    <hyperlink r:id="rId1408" ref="X453"/>
    <hyperlink r:id="rId1409" ref="Y453"/>
    <hyperlink r:id="rId1410" ref="P454"/>
    <hyperlink r:id="rId1411" ref="U454"/>
    <hyperlink r:id="rId1412" ref="X454"/>
    <hyperlink r:id="rId1413" ref="Y454"/>
    <hyperlink r:id="rId1414" ref="U455"/>
    <hyperlink r:id="rId1415" ref="X455"/>
    <hyperlink r:id="rId1416" ref="Y455"/>
    <hyperlink r:id="rId1417" ref="U456"/>
    <hyperlink r:id="rId1418" ref="X456"/>
    <hyperlink r:id="rId1419" ref="Y456"/>
    <hyperlink r:id="rId1420" ref="U457"/>
    <hyperlink r:id="rId1421" ref="X457"/>
    <hyperlink r:id="rId1422" ref="Y457"/>
    <hyperlink r:id="rId1423" ref="U458"/>
    <hyperlink r:id="rId1424" ref="X458"/>
    <hyperlink r:id="rId1425" ref="Y458"/>
    <hyperlink r:id="rId1426" ref="P459"/>
    <hyperlink r:id="rId1427" ref="U459"/>
    <hyperlink r:id="rId1428" ref="X459"/>
    <hyperlink r:id="rId1429" ref="Y459"/>
    <hyperlink r:id="rId1430" ref="U460"/>
    <hyperlink r:id="rId1431" ref="X460"/>
    <hyperlink r:id="rId1432" ref="Y460"/>
    <hyperlink r:id="rId1433" ref="U461"/>
    <hyperlink r:id="rId1434" ref="X461"/>
    <hyperlink r:id="rId1435" ref="Y461"/>
    <hyperlink r:id="rId1436" ref="U462"/>
    <hyperlink r:id="rId1437" ref="X462"/>
    <hyperlink r:id="rId1438" ref="Y462"/>
    <hyperlink r:id="rId1439" ref="P463"/>
    <hyperlink r:id="rId1440" ref="U463"/>
    <hyperlink r:id="rId1441" ref="X463"/>
    <hyperlink r:id="rId1442" ref="Y463"/>
    <hyperlink r:id="rId1443" ref="U464"/>
    <hyperlink r:id="rId1444" ref="X464"/>
    <hyperlink r:id="rId1445" ref="Y464"/>
    <hyperlink r:id="rId1446" ref="U465"/>
    <hyperlink r:id="rId1447" ref="X465"/>
    <hyperlink r:id="rId1448" ref="Y465"/>
    <hyperlink r:id="rId1449" ref="U466"/>
    <hyperlink r:id="rId1450" ref="X466"/>
    <hyperlink r:id="rId1451" ref="Y466"/>
    <hyperlink r:id="rId1452" ref="U467"/>
    <hyperlink r:id="rId1453" ref="X467"/>
    <hyperlink r:id="rId1454" ref="Y467"/>
    <hyperlink r:id="rId1455" ref="U468"/>
    <hyperlink r:id="rId1456" ref="X468"/>
    <hyperlink r:id="rId1457" ref="Y468"/>
    <hyperlink r:id="rId1458" ref="U469"/>
    <hyperlink r:id="rId1459" ref="X469"/>
    <hyperlink r:id="rId1460" ref="Y469"/>
    <hyperlink r:id="rId1461" ref="U470"/>
    <hyperlink r:id="rId1462" ref="X470"/>
    <hyperlink r:id="rId1463" ref="Y470"/>
    <hyperlink r:id="rId1464" ref="U471"/>
    <hyperlink r:id="rId1465" ref="X471"/>
    <hyperlink r:id="rId1466" ref="Y471"/>
    <hyperlink r:id="rId1467" ref="P472"/>
    <hyperlink r:id="rId1468" ref="U472"/>
    <hyperlink r:id="rId1469" ref="X472"/>
    <hyperlink r:id="rId1470" ref="Y472"/>
    <hyperlink r:id="rId1471" ref="U473"/>
    <hyperlink r:id="rId1472" ref="X473"/>
    <hyperlink r:id="rId1473" ref="Y473"/>
    <hyperlink r:id="rId1474" ref="P474"/>
    <hyperlink r:id="rId1475" ref="U474"/>
    <hyperlink r:id="rId1476" ref="X474"/>
    <hyperlink r:id="rId1477" ref="Y474"/>
    <hyperlink r:id="rId1478" ref="U475"/>
    <hyperlink r:id="rId1479" ref="X475"/>
    <hyperlink r:id="rId1480" ref="Y475"/>
    <hyperlink r:id="rId1481" ref="U476"/>
    <hyperlink r:id="rId1482" ref="X476"/>
    <hyperlink r:id="rId1483" ref="Y476"/>
    <hyperlink r:id="rId1484" ref="U477"/>
    <hyperlink r:id="rId1485" ref="X477"/>
    <hyperlink r:id="rId1486" ref="Y477"/>
    <hyperlink r:id="rId1487" ref="U478"/>
    <hyperlink r:id="rId1488" ref="X478"/>
    <hyperlink r:id="rId1489" ref="Y478"/>
    <hyperlink r:id="rId1490" ref="U479"/>
    <hyperlink r:id="rId1491" ref="X479"/>
    <hyperlink r:id="rId1492" ref="Y479"/>
    <hyperlink r:id="rId1493" ref="U480"/>
    <hyperlink r:id="rId1494" ref="X480"/>
    <hyperlink r:id="rId1495" ref="Y480"/>
    <hyperlink r:id="rId1496" ref="P481"/>
    <hyperlink r:id="rId1497" ref="U481"/>
    <hyperlink r:id="rId1498" ref="X481"/>
    <hyperlink r:id="rId1499" ref="Y481"/>
    <hyperlink r:id="rId1500" ref="U482"/>
    <hyperlink r:id="rId1501" ref="X482"/>
    <hyperlink r:id="rId1502" ref="Y482"/>
    <hyperlink r:id="rId1503" ref="U483"/>
    <hyperlink r:id="rId1504" ref="X483"/>
    <hyperlink r:id="rId1505" ref="Y483"/>
    <hyperlink r:id="rId1506" ref="U484"/>
    <hyperlink r:id="rId1507" ref="X484"/>
    <hyperlink r:id="rId1508" ref="Y484"/>
    <hyperlink r:id="rId1509" ref="U485"/>
    <hyperlink r:id="rId1510" ref="X485"/>
    <hyperlink r:id="rId1511" ref="Y485"/>
    <hyperlink r:id="rId1512" ref="U486"/>
    <hyperlink r:id="rId1513" ref="X486"/>
    <hyperlink r:id="rId1514" ref="Y486"/>
    <hyperlink r:id="rId1515" ref="U487"/>
    <hyperlink r:id="rId1516" ref="X487"/>
    <hyperlink r:id="rId1517" ref="Y487"/>
    <hyperlink r:id="rId1518" ref="U488"/>
    <hyperlink r:id="rId1519" ref="X488"/>
    <hyperlink r:id="rId1520" ref="Y488"/>
    <hyperlink r:id="rId1521" ref="U489"/>
    <hyperlink r:id="rId1522" ref="X489"/>
    <hyperlink r:id="rId1523" ref="Y489"/>
    <hyperlink r:id="rId1524" ref="U490"/>
    <hyperlink r:id="rId1525" ref="X490"/>
    <hyperlink r:id="rId1526" ref="Y490"/>
    <hyperlink r:id="rId1527" ref="P491"/>
    <hyperlink r:id="rId1528" ref="U491"/>
    <hyperlink r:id="rId1529" ref="X491"/>
    <hyperlink r:id="rId1530" ref="Y491"/>
    <hyperlink r:id="rId1531" ref="U492"/>
    <hyperlink r:id="rId1532" ref="X492"/>
    <hyperlink r:id="rId1533" ref="Y492"/>
    <hyperlink r:id="rId1534" ref="U493"/>
    <hyperlink r:id="rId1535" ref="X493"/>
    <hyperlink r:id="rId1536" ref="Y493"/>
    <hyperlink r:id="rId1537" ref="U494"/>
    <hyperlink r:id="rId1538" ref="X494"/>
    <hyperlink r:id="rId1539" ref="Y494"/>
    <hyperlink r:id="rId1540" ref="U495"/>
    <hyperlink r:id="rId1541" ref="X495"/>
    <hyperlink r:id="rId1542" ref="Y495"/>
    <hyperlink r:id="rId1543" ref="U496"/>
    <hyperlink r:id="rId1544" ref="X496"/>
    <hyperlink r:id="rId1545" ref="Y496"/>
    <hyperlink r:id="rId1546" ref="U497"/>
    <hyperlink r:id="rId1547" ref="X497"/>
    <hyperlink r:id="rId1548" ref="Y497"/>
    <hyperlink r:id="rId1549" ref="U498"/>
    <hyperlink r:id="rId1550" ref="X498"/>
    <hyperlink r:id="rId1551" ref="Y498"/>
    <hyperlink r:id="rId1552" ref="U499"/>
    <hyperlink r:id="rId1553" ref="X499"/>
    <hyperlink r:id="rId1554" ref="Y499"/>
    <hyperlink r:id="rId1555" ref="U500"/>
    <hyperlink r:id="rId1556" ref="X500"/>
    <hyperlink r:id="rId1557" ref="Y500"/>
    <hyperlink r:id="rId1558" ref="U501"/>
    <hyperlink r:id="rId1559" ref="X501"/>
    <hyperlink r:id="rId1560" ref="Y501"/>
    <hyperlink r:id="rId1561" ref="U502"/>
    <hyperlink r:id="rId1562" ref="X502"/>
    <hyperlink r:id="rId1563" ref="Y502"/>
    <hyperlink r:id="rId1564" ref="U503"/>
    <hyperlink r:id="rId1565" ref="X503"/>
    <hyperlink r:id="rId1566" ref="Y503"/>
    <hyperlink r:id="rId1567" ref="U504"/>
    <hyperlink r:id="rId1568" ref="X504"/>
    <hyperlink r:id="rId1569" ref="Y504"/>
    <hyperlink r:id="rId1570" ref="U505"/>
    <hyperlink r:id="rId1571" ref="X505"/>
    <hyperlink r:id="rId1572" ref="Y505"/>
    <hyperlink r:id="rId1573" ref="U506"/>
    <hyperlink r:id="rId1574" ref="X506"/>
    <hyperlink r:id="rId1575" ref="Y506"/>
    <hyperlink r:id="rId1576" ref="U507"/>
    <hyperlink r:id="rId1577" ref="X507"/>
    <hyperlink r:id="rId1578" ref="Y507"/>
    <hyperlink r:id="rId1579" ref="U508"/>
    <hyperlink r:id="rId1580" ref="X508"/>
    <hyperlink r:id="rId1581" ref="Y508"/>
    <hyperlink r:id="rId1582" ref="U509"/>
    <hyperlink r:id="rId1583" ref="X509"/>
    <hyperlink r:id="rId1584" ref="Y509"/>
    <hyperlink r:id="rId1585" ref="U510"/>
    <hyperlink r:id="rId1586" ref="X510"/>
    <hyperlink r:id="rId1587" ref="Y510"/>
    <hyperlink r:id="rId1588" ref="P511"/>
    <hyperlink r:id="rId1589" ref="U511"/>
    <hyperlink r:id="rId1590" ref="X511"/>
    <hyperlink r:id="rId1591" ref="Y511"/>
    <hyperlink r:id="rId1592" ref="U512"/>
    <hyperlink r:id="rId1593" ref="X512"/>
    <hyperlink r:id="rId1594" ref="Y512"/>
    <hyperlink r:id="rId1595" ref="U513"/>
    <hyperlink r:id="rId1596" ref="X513"/>
    <hyperlink r:id="rId1597" ref="Y513"/>
    <hyperlink r:id="rId1598" ref="U514"/>
    <hyperlink r:id="rId1599" ref="X514"/>
    <hyperlink r:id="rId1600" ref="Y514"/>
    <hyperlink r:id="rId1601" ref="U515"/>
    <hyperlink r:id="rId1602" ref="X515"/>
    <hyperlink r:id="rId1603" ref="Y515"/>
    <hyperlink r:id="rId1604" ref="U516"/>
    <hyperlink r:id="rId1605" ref="X516"/>
    <hyperlink r:id="rId1606" ref="Y516"/>
    <hyperlink r:id="rId1607" ref="U517"/>
    <hyperlink r:id="rId1608" ref="X517"/>
    <hyperlink r:id="rId1609" ref="Y517"/>
    <hyperlink r:id="rId1610" ref="U518"/>
    <hyperlink r:id="rId1611" ref="X518"/>
    <hyperlink r:id="rId1612" ref="Y518"/>
    <hyperlink r:id="rId1613" ref="U519"/>
    <hyperlink r:id="rId1614" ref="X519"/>
    <hyperlink r:id="rId1615" ref="Y519"/>
    <hyperlink r:id="rId1616" ref="U520"/>
    <hyperlink r:id="rId1617" ref="X520"/>
    <hyperlink r:id="rId1618" ref="Y520"/>
    <hyperlink r:id="rId1619" ref="U521"/>
    <hyperlink r:id="rId1620" ref="X521"/>
    <hyperlink r:id="rId1621" ref="Y521"/>
    <hyperlink r:id="rId1622" ref="U522"/>
    <hyperlink r:id="rId1623" ref="X522"/>
    <hyperlink r:id="rId1624" ref="Y522"/>
    <hyperlink r:id="rId1625" ref="U523"/>
    <hyperlink r:id="rId1626" ref="X523"/>
    <hyperlink r:id="rId1627" ref="Y523"/>
    <hyperlink r:id="rId1628" ref="U524"/>
    <hyperlink r:id="rId1629" ref="X524"/>
    <hyperlink r:id="rId1630" ref="Y524"/>
    <hyperlink r:id="rId1631" ref="U525"/>
    <hyperlink r:id="rId1632" ref="X525"/>
    <hyperlink r:id="rId1633" ref="Y525"/>
    <hyperlink r:id="rId1634" ref="U526"/>
    <hyperlink r:id="rId1635" ref="X526"/>
    <hyperlink r:id="rId1636" ref="Y526"/>
    <hyperlink r:id="rId1637" ref="U527"/>
    <hyperlink r:id="rId1638" ref="X527"/>
    <hyperlink r:id="rId1639" ref="Y527"/>
    <hyperlink r:id="rId1640" ref="U528"/>
    <hyperlink r:id="rId1641" ref="X528"/>
    <hyperlink r:id="rId1642" ref="Y528"/>
    <hyperlink r:id="rId1643" ref="P529"/>
    <hyperlink r:id="rId1644" ref="U529"/>
    <hyperlink r:id="rId1645" ref="X529"/>
    <hyperlink r:id="rId1646" ref="Y529"/>
    <hyperlink r:id="rId1647" ref="U530"/>
    <hyperlink r:id="rId1648" ref="X530"/>
    <hyperlink r:id="rId1649" ref="Y530"/>
    <hyperlink r:id="rId1650" ref="U531"/>
    <hyperlink r:id="rId1651" ref="X531"/>
    <hyperlink r:id="rId1652" ref="Y531"/>
    <hyperlink r:id="rId1653" ref="U532"/>
    <hyperlink r:id="rId1654" ref="X532"/>
    <hyperlink r:id="rId1655" ref="Y532"/>
    <hyperlink r:id="rId1656" ref="U533"/>
    <hyperlink r:id="rId1657" ref="X533"/>
    <hyperlink r:id="rId1658" ref="Y533"/>
    <hyperlink r:id="rId1659" ref="U534"/>
    <hyperlink r:id="rId1660" ref="X534"/>
    <hyperlink r:id="rId1661" ref="Y534"/>
    <hyperlink r:id="rId1662" ref="U535"/>
    <hyperlink r:id="rId1663" ref="X535"/>
    <hyperlink r:id="rId1664" ref="Y535"/>
    <hyperlink r:id="rId1665" ref="P536"/>
    <hyperlink r:id="rId1666" ref="U536"/>
    <hyperlink r:id="rId1667" ref="X536"/>
    <hyperlink r:id="rId1668" ref="Y536"/>
    <hyperlink r:id="rId1669" ref="U537"/>
    <hyperlink r:id="rId1670" ref="X537"/>
    <hyperlink r:id="rId1671" ref="Y537"/>
    <hyperlink r:id="rId1672" ref="U538"/>
    <hyperlink r:id="rId1673" ref="X538"/>
    <hyperlink r:id="rId1674" ref="Y538"/>
    <hyperlink r:id="rId1675" ref="U539"/>
    <hyperlink r:id="rId1676" ref="X539"/>
    <hyperlink r:id="rId1677" ref="Y539"/>
    <hyperlink r:id="rId1678" ref="U540"/>
    <hyperlink r:id="rId1679" ref="X540"/>
    <hyperlink r:id="rId1680" ref="Y540"/>
    <hyperlink r:id="rId1681" ref="U541"/>
    <hyperlink r:id="rId1682" ref="X541"/>
    <hyperlink r:id="rId1683" ref="Y541"/>
    <hyperlink r:id="rId1684" ref="U542"/>
    <hyperlink r:id="rId1685" ref="X542"/>
    <hyperlink r:id="rId1686" ref="Y542"/>
    <hyperlink r:id="rId1687" ref="U543"/>
    <hyperlink r:id="rId1688" ref="X543"/>
    <hyperlink r:id="rId1689" ref="Y543"/>
    <hyperlink r:id="rId1690" ref="U544"/>
    <hyperlink r:id="rId1691" ref="X544"/>
    <hyperlink r:id="rId1692" ref="Y544"/>
    <hyperlink r:id="rId1693" ref="U545"/>
    <hyperlink r:id="rId1694" ref="X545"/>
    <hyperlink r:id="rId1695" ref="Y545"/>
    <hyperlink r:id="rId1696" ref="U546"/>
    <hyperlink r:id="rId1697" ref="X546"/>
    <hyperlink r:id="rId1698" ref="Y546"/>
    <hyperlink r:id="rId1699" ref="P547"/>
    <hyperlink r:id="rId1700" ref="U547"/>
    <hyperlink r:id="rId1701" ref="X547"/>
    <hyperlink r:id="rId1702" ref="Y547"/>
    <hyperlink r:id="rId1703" ref="U548"/>
    <hyperlink r:id="rId1704" ref="X548"/>
    <hyperlink r:id="rId1705" ref="Y548"/>
    <hyperlink r:id="rId1706" ref="U549"/>
    <hyperlink r:id="rId1707" ref="X549"/>
    <hyperlink r:id="rId1708" ref="Y549"/>
    <hyperlink r:id="rId1709" ref="U550"/>
    <hyperlink r:id="rId1710" ref="X550"/>
    <hyperlink r:id="rId1711" ref="Y550"/>
    <hyperlink r:id="rId1712" ref="P551"/>
    <hyperlink r:id="rId1713" ref="U551"/>
    <hyperlink r:id="rId1714" ref="X551"/>
    <hyperlink r:id="rId1715" ref="Y551"/>
    <hyperlink r:id="rId1716" ref="U552"/>
    <hyperlink r:id="rId1717" ref="X552"/>
    <hyperlink r:id="rId1718" ref="Y552"/>
    <hyperlink r:id="rId1719" ref="P553"/>
    <hyperlink r:id="rId1720" ref="U553"/>
    <hyperlink r:id="rId1721" ref="X553"/>
    <hyperlink r:id="rId1722" ref="Y553"/>
    <hyperlink r:id="rId1723" ref="U554"/>
    <hyperlink r:id="rId1724" ref="X554"/>
    <hyperlink r:id="rId1725" ref="Y554"/>
    <hyperlink r:id="rId1726" ref="U555"/>
    <hyperlink r:id="rId1727" ref="X555"/>
    <hyperlink r:id="rId1728" ref="Y555"/>
    <hyperlink r:id="rId1729" ref="U556"/>
    <hyperlink r:id="rId1730" ref="X556"/>
    <hyperlink r:id="rId1731" ref="Y556"/>
    <hyperlink r:id="rId1732" ref="U557"/>
    <hyperlink r:id="rId1733" ref="X557"/>
    <hyperlink r:id="rId1734" ref="Y557"/>
    <hyperlink r:id="rId1735" ref="P558"/>
    <hyperlink r:id="rId1736" ref="U558"/>
    <hyperlink r:id="rId1737" ref="X558"/>
    <hyperlink r:id="rId1738" ref="Y558"/>
    <hyperlink r:id="rId1739" ref="U559"/>
    <hyperlink r:id="rId1740" ref="X559"/>
    <hyperlink r:id="rId1741" ref="Y559"/>
    <hyperlink r:id="rId1742" ref="P560"/>
    <hyperlink r:id="rId1743" ref="U560"/>
    <hyperlink r:id="rId1744" ref="X560"/>
    <hyperlink r:id="rId1745" ref="Y560"/>
    <hyperlink r:id="rId1746" ref="P561"/>
    <hyperlink r:id="rId1747" ref="U561"/>
    <hyperlink r:id="rId1748" ref="X561"/>
    <hyperlink r:id="rId1749" ref="Y561"/>
    <hyperlink r:id="rId1750" ref="U562"/>
    <hyperlink r:id="rId1751" ref="X562"/>
    <hyperlink r:id="rId1752" ref="Y562"/>
    <hyperlink r:id="rId1753" ref="U563"/>
    <hyperlink r:id="rId1754" ref="X563"/>
    <hyperlink r:id="rId1755" ref="Y563"/>
    <hyperlink r:id="rId1756" ref="U564"/>
    <hyperlink r:id="rId1757" ref="X564"/>
    <hyperlink r:id="rId1758" ref="Y564"/>
    <hyperlink r:id="rId1759" ref="U565"/>
    <hyperlink r:id="rId1760" ref="X565"/>
    <hyperlink r:id="rId1761" ref="Y565"/>
    <hyperlink r:id="rId1762" ref="U566"/>
    <hyperlink r:id="rId1763" ref="X566"/>
    <hyperlink r:id="rId1764" ref="Y566"/>
    <hyperlink r:id="rId1765" ref="U567"/>
    <hyperlink r:id="rId1766" ref="X567"/>
    <hyperlink r:id="rId1767" ref="Y567"/>
    <hyperlink r:id="rId1768" ref="U568"/>
    <hyperlink r:id="rId1769" ref="X568"/>
    <hyperlink r:id="rId1770" ref="Y568"/>
    <hyperlink r:id="rId1771" ref="U569"/>
    <hyperlink r:id="rId1772" ref="X569"/>
    <hyperlink r:id="rId1773" ref="Y569"/>
    <hyperlink r:id="rId1774" ref="U570"/>
    <hyperlink r:id="rId1775" ref="X570"/>
    <hyperlink r:id="rId1776" ref="Y570"/>
    <hyperlink r:id="rId1777" ref="U571"/>
    <hyperlink r:id="rId1778" ref="X571"/>
    <hyperlink r:id="rId1779" ref="Y571"/>
    <hyperlink r:id="rId1780" ref="U572"/>
    <hyperlink r:id="rId1781" ref="X572"/>
    <hyperlink r:id="rId1782" ref="Y572"/>
  </hyperlinks>
  <drawing r:id="rId17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8" max="8" width="24.38"/>
    <col customWidth="1" min="17" max="17" width="22.13"/>
    <col customWidth="1" min="21" max="21" width="28.5"/>
    <col customWidth="1" min="32" max="32" width="18.88"/>
    <col customWidth="1" min="33" max="33" width="24.63"/>
    <col customWidth="1" min="41" max="41" width="18.5"/>
    <col customWidth="1" min="42" max="42" width="15.0"/>
  </cols>
  <sheetData>
    <row r="1">
      <c r="A1" s="1" t="s">
        <v>5546</v>
      </c>
      <c r="B1" s="1"/>
      <c r="C1" s="1"/>
      <c r="D1" s="1"/>
      <c r="E1" s="1"/>
      <c r="F1" s="1"/>
      <c r="G1" s="1"/>
      <c r="H1" s="1"/>
      <c r="I1" s="1"/>
      <c r="J1" s="1"/>
      <c r="K1" s="1"/>
      <c r="L1" s="1"/>
      <c r="M1" s="1"/>
      <c r="N1" s="1"/>
      <c r="O1" s="1"/>
      <c r="P1" s="1"/>
      <c r="Q1" s="1"/>
      <c r="R1" s="1"/>
      <c r="S1" s="1"/>
      <c r="T1" s="1"/>
      <c r="U1" s="1"/>
      <c r="V1" s="1"/>
      <c r="W1" s="1"/>
      <c r="X1" s="1"/>
      <c r="Y1" s="1"/>
      <c r="Z1" s="1"/>
      <c r="AA1" s="1"/>
      <c r="AB1" s="1"/>
      <c r="AC1" s="1"/>
      <c r="AD1" s="1">
        <f t="shared" ref="AD1:AQ1" si="1">MAX(AD6:AD576)</f>
        <v>27</v>
      </c>
      <c r="AE1" s="1">
        <f t="shared" si="1"/>
        <v>449</v>
      </c>
      <c r="AF1" s="1">
        <f t="shared" si="1"/>
        <v>101</v>
      </c>
      <c r="AG1" s="1">
        <f t="shared" si="1"/>
        <v>993</v>
      </c>
      <c r="AH1" s="1">
        <f t="shared" si="1"/>
        <v>896</v>
      </c>
      <c r="AI1" s="1">
        <f t="shared" si="1"/>
        <v>4758</v>
      </c>
      <c r="AJ1" s="1">
        <f t="shared" si="1"/>
        <v>545</v>
      </c>
      <c r="AK1" s="1">
        <f t="shared" si="1"/>
        <v>2215</v>
      </c>
      <c r="AL1" s="1">
        <f t="shared" si="1"/>
        <v>631</v>
      </c>
      <c r="AM1" s="1">
        <f t="shared" si="1"/>
        <v>21</v>
      </c>
      <c r="AN1" s="1">
        <f t="shared" si="1"/>
        <v>24</v>
      </c>
      <c r="AO1" s="1">
        <f t="shared" si="1"/>
        <v>117</v>
      </c>
      <c r="AP1" s="1">
        <f t="shared" si="1"/>
        <v>53</v>
      </c>
      <c r="AQ1" s="1">
        <f t="shared" si="1"/>
        <v>8</v>
      </c>
    </row>
    <row r="2">
      <c r="A2" s="1" t="s">
        <v>5547</v>
      </c>
      <c r="B2" s="1"/>
      <c r="C2" s="1"/>
      <c r="D2" s="1"/>
      <c r="E2" s="1"/>
      <c r="F2" s="1"/>
      <c r="G2" s="1"/>
      <c r="H2" s="1"/>
      <c r="I2" s="1"/>
      <c r="J2" s="1"/>
      <c r="K2" s="1"/>
      <c r="L2" s="1"/>
      <c r="M2" s="1"/>
      <c r="N2" s="1"/>
      <c r="O2" s="1"/>
      <c r="P2" s="1"/>
      <c r="Q2" s="1"/>
      <c r="R2" s="1"/>
      <c r="S2" s="1"/>
      <c r="T2" s="1"/>
      <c r="U2" s="1"/>
      <c r="V2" s="1"/>
      <c r="W2" s="1"/>
      <c r="X2" s="1"/>
      <c r="Y2" s="1"/>
      <c r="Z2" s="1"/>
      <c r="AA2" s="1"/>
      <c r="AB2" s="1"/>
      <c r="AC2" s="1"/>
      <c r="AD2" s="1">
        <f t="shared" ref="AD2:AQ2" si="2">MIN(AD6:AD576)</f>
        <v>0</v>
      </c>
      <c r="AE2" s="1">
        <f t="shared" si="2"/>
        <v>419</v>
      </c>
      <c r="AF2" s="1">
        <f t="shared" si="2"/>
        <v>0</v>
      </c>
      <c r="AG2" s="1">
        <f t="shared" si="2"/>
        <v>0</v>
      </c>
      <c r="AH2" s="1">
        <f t="shared" si="2"/>
        <v>0</v>
      </c>
      <c r="AI2" s="1">
        <f t="shared" si="2"/>
        <v>0</v>
      </c>
      <c r="AJ2" s="1">
        <f t="shared" si="2"/>
        <v>0</v>
      </c>
      <c r="AK2" s="1">
        <f t="shared" si="2"/>
        <v>0</v>
      </c>
      <c r="AL2" s="1">
        <f t="shared" si="2"/>
        <v>0</v>
      </c>
      <c r="AM2" s="1">
        <f t="shared" si="2"/>
        <v>0</v>
      </c>
      <c r="AN2" s="1">
        <f t="shared" si="2"/>
        <v>0</v>
      </c>
      <c r="AO2" s="1">
        <f t="shared" si="2"/>
        <v>0</v>
      </c>
      <c r="AP2" s="1">
        <f t="shared" si="2"/>
        <v>0</v>
      </c>
      <c r="AQ2" s="1">
        <f t="shared" si="2"/>
        <v>0</v>
      </c>
    </row>
    <row r="3">
      <c r="A3" s="1" t="s">
        <v>5548</v>
      </c>
      <c r="B3" s="1"/>
      <c r="C3" s="1"/>
      <c r="D3" s="1"/>
      <c r="E3" s="1"/>
      <c r="F3" s="1"/>
      <c r="G3" s="1"/>
      <c r="H3" s="1"/>
      <c r="I3" s="1"/>
      <c r="J3" s="1"/>
      <c r="K3" s="1"/>
      <c r="L3" s="1"/>
      <c r="M3" s="1"/>
      <c r="N3" s="1"/>
      <c r="O3" s="1"/>
      <c r="P3" s="1"/>
      <c r="Q3" s="1"/>
      <c r="R3" s="1"/>
      <c r="S3" s="1"/>
      <c r="T3" s="1"/>
      <c r="U3" s="1"/>
      <c r="V3" s="1"/>
      <c r="W3" s="1"/>
      <c r="X3" s="1"/>
      <c r="Y3" s="1"/>
      <c r="Z3" s="1"/>
      <c r="AA3" s="1"/>
      <c r="AB3" s="1"/>
      <c r="AC3" s="1"/>
      <c r="AD3" s="1">
        <f t="shared" ref="AD3:AQ3" si="3">AVERAGEA(AD6:AD576)</f>
        <v>19.6357268</v>
      </c>
      <c r="AE3" s="1">
        <f t="shared" si="3"/>
        <v>432.1155867</v>
      </c>
      <c r="AF3" s="1">
        <f t="shared" si="3"/>
        <v>36.43432574</v>
      </c>
      <c r="AG3" s="1">
        <f t="shared" si="3"/>
        <v>32.83012259</v>
      </c>
      <c r="AH3" s="1">
        <f t="shared" si="3"/>
        <v>55.07180385</v>
      </c>
      <c r="AI3" s="1">
        <f t="shared" si="3"/>
        <v>84.19789842</v>
      </c>
      <c r="AJ3" s="1">
        <f t="shared" si="3"/>
        <v>29.04378284</v>
      </c>
      <c r="AK3" s="1">
        <f t="shared" si="3"/>
        <v>374.8038529</v>
      </c>
      <c r="AL3" s="1">
        <f t="shared" si="3"/>
        <v>37.61120841</v>
      </c>
      <c r="AM3" s="1">
        <f t="shared" si="3"/>
        <v>0.465849387</v>
      </c>
      <c r="AN3" s="1">
        <f t="shared" si="3"/>
        <v>0.5866900175</v>
      </c>
      <c r="AO3" s="1">
        <f t="shared" si="3"/>
        <v>13.88616462</v>
      </c>
      <c r="AP3" s="1">
        <f t="shared" si="3"/>
        <v>9.103327496</v>
      </c>
      <c r="AQ3" s="1">
        <f t="shared" si="3"/>
        <v>1.436077058</v>
      </c>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c r="A5" s="1"/>
      <c r="B5" s="1" t="s">
        <v>0</v>
      </c>
      <c r="C5" s="1" t="s">
        <v>1</v>
      </c>
      <c r="D5" s="1" t="s">
        <v>2</v>
      </c>
      <c r="E5" s="1" t="s">
        <v>3</v>
      </c>
      <c r="F5" s="1" t="s">
        <v>4</v>
      </c>
      <c r="G5" s="1" t="s">
        <v>5</v>
      </c>
      <c r="H5" s="1" t="s">
        <v>6</v>
      </c>
      <c r="I5" s="1" t="s">
        <v>7</v>
      </c>
      <c r="J5" s="1" t="s">
        <v>8</v>
      </c>
      <c r="K5" s="1" t="s">
        <v>9</v>
      </c>
      <c r="L5" s="1" t="s">
        <v>10</v>
      </c>
      <c r="M5" s="1"/>
      <c r="N5" s="1" t="s">
        <v>11</v>
      </c>
      <c r="O5" s="1" t="s">
        <v>12</v>
      </c>
      <c r="P5" s="1" t="s">
        <v>13</v>
      </c>
      <c r="Q5" s="1" t="s">
        <v>14</v>
      </c>
      <c r="R5" s="1" t="s">
        <v>15</v>
      </c>
      <c r="S5" s="1" t="s">
        <v>16</v>
      </c>
      <c r="T5" s="1" t="s">
        <v>17</v>
      </c>
      <c r="U5" s="1" t="s">
        <v>18</v>
      </c>
      <c r="V5" s="1" t="s">
        <v>19</v>
      </c>
      <c r="W5" s="1" t="s">
        <v>20</v>
      </c>
      <c r="X5" s="1" t="s">
        <v>21</v>
      </c>
      <c r="Y5" s="1" t="s">
        <v>22</v>
      </c>
      <c r="Z5" s="1" t="s">
        <v>23</v>
      </c>
      <c r="AA5" s="1" t="s">
        <v>24</v>
      </c>
      <c r="AB5" s="1" t="s">
        <v>25</v>
      </c>
      <c r="AC5" s="1" t="s">
        <v>26</v>
      </c>
      <c r="AD5" s="1" t="s">
        <v>27</v>
      </c>
      <c r="AE5" s="1" t="s">
        <v>5549</v>
      </c>
      <c r="AF5" s="1" t="s">
        <v>28</v>
      </c>
      <c r="AG5" s="1" t="s">
        <v>29</v>
      </c>
      <c r="AH5" s="1" t="s">
        <v>30</v>
      </c>
      <c r="AI5" s="1" t="s">
        <v>31</v>
      </c>
      <c r="AJ5" s="1" t="s">
        <v>32</v>
      </c>
      <c r="AK5" s="1" t="s">
        <v>33</v>
      </c>
      <c r="AL5" s="1" t="s">
        <v>34</v>
      </c>
      <c r="AM5" s="1" t="s">
        <v>35</v>
      </c>
      <c r="AN5" s="1" t="s">
        <v>36</v>
      </c>
      <c r="AO5" s="1" t="s">
        <v>37</v>
      </c>
      <c r="AP5" s="1" t="s">
        <v>38</v>
      </c>
      <c r="AQ5" s="1" t="s">
        <v>39</v>
      </c>
    </row>
    <row r="6">
      <c r="A6" s="1"/>
      <c r="B6" s="1">
        <v>116.0</v>
      </c>
      <c r="C6" s="1" t="s">
        <v>40</v>
      </c>
      <c r="D6" s="1" t="s">
        <v>41</v>
      </c>
      <c r="E6" s="1" t="s">
        <v>42</v>
      </c>
      <c r="F6" s="1" t="s">
        <v>43</v>
      </c>
      <c r="G6" s="2">
        <v>21219.0</v>
      </c>
      <c r="H6" s="1" t="s">
        <v>44</v>
      </c>
      <c r="I6" s="1">
        <v>28.0</v>
      </c>
      <c r="J6" s="1" t="s">
        <v>45</v>
      </c>
      <c r="K6" s="1">
        <v>4.0</v>
      </c>
      <c r="L6" s="2">
        <v>42907.0</v>
      </c>
      <c r="M6">
        <f t="shared" ref="M6:M31" si="4">(today()-L6)/7-AD6</f>
        <v>424.7142857</v>
      </c>
      <c r="O6" s="1">
        <v>0.0</v>
      </c>
      <c r="P6" s="1" t="s">
        <v>46</v>
      </c>
      <c r="Q6" s="1" t="s">
        <v>47</v>
      </c>
      <c r="R6" s="1" t="s">
        <v>48</v>
      </c>
      <c r="U6" s="1" t="s">
        <v>49</v>
      </c>
      <c r="V6" s="1">
        <v>114.0</v>
      </c>
      <c r="W6" s="3" t="s">
        <v>50</v>
      </c>
      <c r="X6" s="1">
        <v>331582.0</v>
      </c>
      <c r="Y6" s="1" t="s">
        <v>51</v>
      </c>
      <c r="Z6" s="3" t="s">
        <v>52</v>
      </c>
      <c r="AA6" s="3" t="s">
        <v>53</v>
      </c>
      <c r="AB6" s="1">
        <v>2.0</v>
      </c>
      <c r="AC6" s="1" t="s">
        <v>54</v>
      </c>
      <c r="AD6" s="1">
        <v>27.0</v>
      </c>
      <c r="AE6" s="1">
        <f t="shared" ref="AE6:AE576" si="5">round((today()-L6)/7-AD6,0)</f>
        <v>425</v>
      </c>
      <c r="AF6" s="1">
        <v>54.0</v>
      </c>
      <c r="AG6" s="1">
        <v>58.0</v>
      </c>
      <c r="AH6" s="1">
        <v>257.0</v>
      </c>
      <c r="AI6" s="1">
        <v>283.0</v>
      </c>
      <c r="AJ6" s="1">
        <v>88.0</v>
      </c>
      <c r="AK6" s="1">
        <v>442.0</v>
      </c>
      <c r="AL6" s="1">
        <v>19.0</v>
      </c>
      <c r="AM6" s="1">
        <v>2.0</v>
      </c>
      <c r="AN6" s="1">
        <v>1.0</v>
      </c>
      <c r="AO6" s="1">
        <v>10.0</v>
      </c>
      <c r="AP6" s="1">
        <v>9.0</v>
      </c>
      <c r="AQ6" s="1">
        <v>3.0</v>
      </c>
    </row>
    <row r="7">
      <c r="A7" s="1"/>
      <c r="B7" s="1">
        <v>541.0</v>
      </c>
      <c r="C7" s="1" t="s">
        <v>55</v>
      </c>
      <c r="D7" s="1" t="s">
        <v>56</v>
      </c>
      <c r="E7" s="1" t="s">
        <v>57</v>
      </c>
      <c r="F7" s="1" t="s">
        <v>58</v>
      </c>
      <c r="G7" s="2">
        <v>29435.0</v>
      </c>
      <c r="H7" s="1" t="s">
        <v>59</v>
      </c>
      <c r="I7" s="1">
        <v>73.0</v>
      </c>
      <c r="J7" s="1" t="s">
        <v>60</v>
      </c>
      <c r="K7" s="1">
        <v>3.0</v>
      </c>
      <c r="L7" s="2">
        <v>42907.0</v>
      </c>
      <c r="M7">
        <f t="shared" si="4"/>
        <v>425.7142857</v>
      </c>
      <c r="O7" s="1">
        <v>0.0</v>
      </c>
      <c r="P7" s="1" t="s">
        <v>61</v>
      </c>
      <c r="Q7" s="1" t="s">
        <v>62</v>
      </c>
      <c r="R7" s="1" t="s">
        <v>63</v>
      </c>
      <c r="U7" s="1" t="s">
        <v>64</v>
      </c>
      <c r="V7" s="1">
        <v>9.0</v>
      </c>
      <c r="W7" s="3" t="s">
        <v>65</v>
      </c>
      <c r="X7" s="1">
        <v>721410.0</v>
      </c>
      <c r="Y7" s="1" t="s">
        <v>66</v>
      </c>
      <c r="Z7" s="3" t="s">
        <v>67</v>
      </c>
      <c r="AA7" s="3" t="s">
        <v>68</v>
      </c>
      <c r="AB7" s="1">
        <v>2.0</v>
      </c>
      <c r="AC7" s="1" t="s">
        <v>69</v>
      </c>
      <c r="AD7" s="1">
        <v>26.0</v>
      </c>
      <c r="AE7" s="1">
        <f t="shared" si="5"/>
        <v>426</v>
      </c>
      <c r="AF7" s="1">
        <v>50.0</v>
      </c>
      <c r="AG7" s="1">
        <v>33.0</v>
      </c>
      <c r="AH7" s="1">
        <v>74.0</v>
      </c>
      <c r="AI7" s="1">
        <v>195.0</v>
      </c>
      <c r="AJ7" s="1">
        <v>77.0</v>
      </c>
      <c r="AK7" s="1">
        <v>738.0</v>
      </c>
      <c r="AL7" s="1">
        <v>36.0</v>
      </c>
      <c r="AM7" s="1">
        <v>1.0</v>
      </c>
      <c r="AN7" s="1">
        <v>0.0</v>
      </c>
      <c r="AO7" s="1">
        <v>17.0</v>
      </c>
      <c r="AP7" s="1">
        <v>14.0</v>
      </c>
      <c r="AQ7" s="1">
        <v>1.0</v>
      </c>
    </row>
    <row r="8">
      <c r="A8" s="1"/>
      <c r="B8" s="1">
        <v>296.0</v>
      </c>
      <c r="C8" s="1" t="s">
        <v>70</v>
      </c>
      <c r="D8" s="1" t="s">
        <v>71</v>
      </c>
      <c r="E8" s="1" t="s">
        <v>72</v>
      </c>
      <c r="F8" s="1" t="s">
        <v>58</v>
      </c>
      <c r="G8" s="2">
        <v>25909.0</v>
      </c>
      <c r="H8" s="1" t="s">
        <v>73</v>
      </c>
      <c r="I8" s="1">
        <v>78.0</v>
      </c>
      <c r="J8" s="1" t="s">
        <v>74</v>
      </c>
      <c r="K8" s="1">
        <v>5.0</v>
      </c>
      <c r="L8" s="2">
        <v>42907.0</v>
      </c>
      <c r="M8">
        <f t="shared" si="4"/>
        <v>425.7142857</v>
      </c>
      <c r="O8" s="1">
        <v>0.0</v>
      </c>
      <c r="P8" s="1" t="s">
        <v>75</v>
      </c>
      <c r="Q8" s="1" t="s">
        <v>76</v>
      </c>
      <c r="R8" s="1" t="s">
        <v>77</v>
      </c>
      <c r="U8" s="1" t="s">
        <v>78</v>
      </c>
      <c r="V8" s="1">
        <v>481.0</v>
      </c>
      <c r="W8" s="3" t="s">
        <v>79</v>
      </c>
      <c r="X8" s="1">
        <v>721908.0</v>
      </c>
      <c r="Y8" s="1" t="s">
        <v>80</v>
      </c>
      <c r="Z8" s="3" t="s">
        <v>81</v>
      </c>
      <c r="AA8" s="3" t="s">
        <v>82</v>
      </c>
      <c r="AB8" s="1">
        <v>1.0</v>
      </c>
      <c r="AC8" s="1" t="s">
        <v>83</v>
      </c>
      <c r="AD8" s="1">
        <v>26.0</v>
      </c>
      <c r="AE8" s="1">
        <f t="shared" si="5"/>
        <v>426</v>
      </c>
      <c r="AF8" s="1">
        <v>75.0</v>
      </c>
      <c r="AG8" s="1">
        <v>392.0</v>
      </c>
      <c r="AH8" s="1">
        <v>363.0</v>
      </c>
      <c r="AI8" s="1">
        <v>251.0</v>
      </c>
      <c r="AJ8" s="1">
        <v>178.0</v>
      </c>
      <c r="AK8" s="1">
        <v>242.0</v>
      </c>
      <c r="AL8" s="1">
        <v>189.0</v>
      </c>
      <c r="AM8" s="1">
        <v>7.0</v>
      </c>
      <c r="AN8" s="1">
        <v>0.0</v>
      </c>
      <c r="AO8" s="1">
        <v>5.0</v>
      </c>
      <c r="AP8" s="1">
        <v>6.0</v>
      </c>
      <c r="AQ8" s="1">
        <v>1.0</v>
      </c>
    </row>
    <row r="9">
      <c r="A9" s="1"/>
      <c r="B9" s="1">
        <v>42.0</v>
      </c>
      <c r="C9" s="1" t="s">
        <v>84</v>
      </c>
      <c r="D9" s="1" t="s">
        <v>85</v>
      </c>
      <c r="E9" s="1" t="s">
        <v>86</v>
      </c>
      <c r="F9" s="1" t="s">
        <v>43</v>
      </c>
      <c r="G9" s="2">
        <v>22975.0</v>
      </c>
      <c r="H9" s="1" t="s">
        <v>87</v>
      </c>
      <c r="I9" s="1">
        <v>1.0</v>
      </c>
      <c r="J9" s="1" t="s">
        <v>88</v>
      </c>
      <c r="K9" s="1">
        <v>1.0</v>
      </c>
      <c r="L9" s="2">
        <v>42907.0</v>
      </c>
      <c r="M9">
        <f t="shared" si="4"/>
        <v>425.7142857</v>
      </c>
      <c r="O9" s="1">
        <v>0.0</v>
      </c>
      <c r="P9" s="1" t="s">
        <v>61</v>
      </c>
      <c r="Q9" s="1" t="s">
        <v>62</v>
      </c>
      <c r="R9" s="1" t="s">
        <v>89</v>
      </c>
      <c r="U9" s="1" t="s">
        <v>90</v>
      </c>
      <c r="V9" s="1">
        <v>41.0</v>
      </c>
      <c r="W9" s="3" t="s">
        <v>91</v>
      </c>
      <c r="X9" s="1">
        <v>330008.0</v>
      </c>
      <c r="Y9" s="1" t="s">
        <v>92</v>
      </c>
      <c r="Z9" s="3" t="s">
        <v>93</v>
      </c>
      <c r="AA9" s="3" t="s">
        <v>94</v>
      </c>
      <c r="AB9" s="1">
        <v>1.0</v>
      </c>
      <c r="AC9" s="1" t="s">
        <v>95</v>
      </c>
      <c r="AD9" s="1">
        <v>26.0</v>
      </c>
      <c r="AE9" s="1">
        <f t="shared" si="5"/>
        <v>426</v>
      </c>
      <c r="AF9" s="1">
        <v>44.0</v>
      </c>
      <c r="AG9" s="1">
        <v>49.0</v>
      </c>
      <c r="AH9" s="1">
        <v>62.0</v>
      </c>
      <c r="AI9" s="1">
        <v>144.0</v>
      </c>
      <c r="AJ9" s="1">
        <v>112.0</v>
      </c>
      <c r="AK9" s="1">
        <v>693.0</v>
      </c>
      <c r="AL9" s="1">
        <v>19.0</v>
      </c>
      <c r="AM9" s="1">
        <v>0.0</v>
      </c>
      <c r="AN9" s="1">
        <v>1.0</v>
      </c>
      <c r="AO9" s="1">
        <v>30.0</v>
      </c>
      <c r="AP9" s="1">
        <v>19.0</v>
      </c>
      <c r="AQ9" s="1">
        <v>1.0</v>
      </c>
    </row>
    <row r="10">
      <c r="A10" s="1"/>
      <c r="B10" s="1">
        <v>523.0</v>
      </c>
      <c r="C10" s="1" t="s">
        <v>96</v>
      </c>
      <c r="D10" s="1" t="s">
        <v>97</v>
      </c>
      <c r="E10" s="1" t="s">
        <v>98</v>
      </c>
      <c r="F10" s="1" t="s">
        <v>43</v>
      </c>
      <c r="G10" s="2">
        <v>21272.0</v>
      </c>
      <c r="H10" s="1" t="s">
        <v>99</v>
      </c>
      <c r="I10" s="1">
        <v>3.0</v>
      </c>
      <c r="J10" s="1" t="s">
        <v>100</v>
      </c>
      <c r="K10" s="1">
        <v>1.0</v>
      </c>
      <c r="L10" s="2">
        <v>42907.0</v>
      </c>
      <c r="M10">
        <f t="shared" si="4"/>
        <v>425.7142857</v>
      </c>
      <c r="O10" s="1">
        <v>0.0</v>
      </c>
      <c r="P10" s="1" t="s">
        <v>101</v>
      </c>
      <c r="Q10" s="1" t="s">
        <v>102</v>
      </c>
      <c r="R10" s="1" t="s">
        <v>103</v>
      </c>
      <c r="U10" s="1" t="s">
        <v>104</v>
      </c>
      <c r="V10" s="1">
        <v>591.0</v>
      </c>
      <c r="W10" s="3" t="s">
        <v>105</v>
      </c>
      <c r="X10" s="1">
        <v>718720.0</v>
      </c>
      <c r="Y10" s="1" t="s">
        <v>106</v>
      </c>
      <c r="Z10" s="3" t="s">
        <v>107</v>
      </c>
      <c r="AA10" s="3" t="s">
        <v>108</v>
      </c>
      <c r="AB10" s="1">
        <v>1.0</v>
      </c>
      <c r="AC10" s="1" t="s">
        <v>109</v>
      </c>
      <c r="AD10" s="1">
        <v>26.0</v>
      </c>
      <c r="AE10" s="1">
        <f t="shared" si="5"/>
        <v>426</v>
      </c>
      <c r="AF10" s="1">
        <v>55.0</v>
      </c>
      <c r="AG10" s="1">
        <v>59.0</v>
      </c>
      <c r="AH10" s="1">
        <v>170.0</v>
      </c>
      <c r="AI10" s="1">
        <v>204.0</v>
      </c>
      <c r="AJ10" s="1">
        <v>84.0</v>
      </c>
      <c r="AK10" s="1">
        <v>718.0</v>
      </c>
      <c r="AL10" s="1">
        <v>28.0</v>
      </c>
      <c r="AM10" s="1">
        <v>0.0</v>
      </c>
      <c r="AN10" s="1">
        <v>1.0</v>
      </c>
      <c r="AO10" s="1">
        <v>19.0</v>
      </c>
      <c r="AP10" s="1">
        <v>10.0</v>
      </c>
      <c r="AQ10" s="1">
        <v>3.0</v>
      </c>
    </row>
    <row r="11">
      <c r="A11" s="1"/>
      <c r="B11" s="1">
        <v>350.0</v>
      </c>
      <c r="C11" s="1" t="s">
        <v>110</v>
      </c>
      <c r="D11" s="1" t="s">
        <v>111</v>
      </c>
      <c r="E11" s="1" t="s">
        <v>112</v>
      </c>
      <c r="F11" s="1" t="s">
        <v>58</v>
      </c>
      <c r="G11" s="2">
        <v>23656.0</v>
      </c>
      <c r="H11" s="1" t="s">
        <v>113</v>
      </c>
      <c r="I11" s="1">
        <v>63.0</v>
      </c>
      <c r="J11" s="1" t="s">
        <v>114</v>
      </c>
      <c r="K11" s="1">
        <v>2.0</v>
      </c>
      <c r="L11" s="2">
        <v>42907.0</v>
      </c>
      <c r="M11">
        <f t="shared" si="4"/>
        <v>425.7142857</v>
      </c>
      <c r="O11" s="1">
        <v>0.0</v>
      </c>
      <c r="P11" s="1" t="s">
        <v>115</v>
      </c>
      <c r="Q11" s="1" t="s">
        <v>116</v>
      </c>
      <c r="R11" s="1" t="s">
        <v>117</v>
      </c>
      <c r="U11" s="1" t="s">
        <v>118</v>
      </c>
      <c r="V11" s="1">
        <v>507.0</v>
      </c>
      <c r="W11" s="3" t="s">
        <v>119</v>
      </c>
      <c r="X11" s="1">
        <v>608172.0</v>
      </c>
      <c r="Y11" s="1" t="s">
        <v>120</v>
      </c>
      <c r="Z11" s="3" t="s">
        <v>121</v>
      </c>
      <c r="AA11" s="3" t="s">
        <v>122</v>
      </c>
      <c r="AB11" s="1">
        <v>1.0</v>
      </c>
      <c r="AC11" s="1" t="s">
        <v>123</v>
      </c>
      <c r="AD11" s="1">
        <v>26.0</v>
      </c>
      <c r="AE11" s="1">
        <f t="shared" si="5"/>
        <v>426</v>
      </c>
      <c r="AF11" s="1">
        <v>54.0</v>
      </c>
      <c r="AG11" s="1">
        <v>94.0</v>
      </c>
      <c r="AH11" s="1">
        <v>212.0</v>
      </c>
      <c r="AI11" s="1">
        <v>88.0</v>
      </c>
      <c r="AJ11" s="1">
        <v>74.0</v>
      </c>
      <c r="AK11" s="1">
        <v>1230.0</v>
      </c>
      <c r="AL11" s="1">
        <v>94.0</v>
      </c>
      <c r="AM11" s="1">
        <v>1.0</v>
      </c>
      <c r="AN11" s="1">
        <v>0.0</v>
      </c>
      <c r="AO11" s="1">
        <v>6.0</v>
      </c>
      <c r="AP11" s="1">
        <v>25.0</v>
      </c>
      <c r="AQ11" s="1">
        <v>6.0</v>
      </c>
    </row>
    <row r="12">
      <c r="A12" s="1"/>
      <c r="B12" s="1">
        <v>266.0</v>
      </c>
      <c r="C12" s="1" t="s">
        <v>124</v>
      </c>
      <c r="D12" s="1" t="s">
        <v>125</v>
      </c>
      <c r="E12" s="1" t="s">
        <v>126</v>
      </c>
      <c r="F12" s="1" t="s">
        <v>43</v>
      </c>
      <c r="G12" s="2">
        <v>22345.0</v>
      </c>
      <c r="H12" s="1" t="s">
        <v>127</v>
      </c>
      <c r="I12" s="1">
        <v>39.0</v>
      </c>
      <c r="J12" s="1" t="s">
        <v>128</v>
      </c>
      <c r="K12" s="1">
        <v>3.0</v>
      </c>
      <c r="L12" s="2">
        <v>42907.0</v>
      </c>
      <c r="M12">
        <f t="shared" si="4"/>
        <v>425.7142857</v>
      </c>
      <c r="O12" s="1">
        <v>0.0</v>
      </c>
      <c r="P12" s="1" t="s">
        <v>61</v>
      </c>
      <c r="Q12" s="1" t="s">
        <v>62</v>
      </c>
      <c r="R12" s="1" t="s">
        <v>129</v>
      </c>
      <c r="U12" s="1" t="s">
        <v>130</v>
      </c>
      <c r="V12" s="1">
        <v>86.0</v>
      </c>
      <c r="W12" s="3" t="s">
        <v>131</v>
      </c>
      <c r="X12" s="1">
        <v>267204.0</v>
      </c>
      <c r="Y12" s="1" t="s">
        <v>132</v>
      </c>
      <c r="Z12" s="3" t="s">
        <v>133</v>
      </c>
      <c r="AA12" s="3" t="s">
        <v>134</v>
      </c>
      <c r="AB12" s="1">
        <v>1.0</v>
      </c>
      <c r="AC12" s="1" t="s">
        <v>135</v>
      </c>
      <c r="AD12" s="1">
        <v>26.0</v>
      </c>
      <c r="AE12" s="1">
        <f t="shared" si="5"/>
        <v>426</v>
      </c>
      <c r="AF12" s="1">
        <v>41.0</v>
      </c>
      <c r="AG12" s="1">
        <v>50.0</v>
      </c>
      <c r="AH12" s="1">
        <v>35.0</v>
      </c>
      <c r="AI12" s="1">
        <v>41.0</v>
      </c>
      <c r="AJ12" s="1">
        <v>23.0</v>
      </c>
      <c r="AK12" s="1">
        <v>1127.0</v>
      </c>
      <c r="AL12" s="1">
        <v>30.0</v>
      </c>
      <c r="AM12" s="1">
        <v>0.0</v>
      </c>
      <c r="AN12" s="1">
        <v>1.0</v>
      </c>
      <c r="AO12" s="1">
        <v>76.0</v>
      </c>
      <c r="AP12" s="1">
        <v>16.0</v>
      </c>
      <c r="AQ12" s="1">
        <v>2.0</v>
      </c>
    </row>
    <row r="13">
      <c r="A13" s="1"/>
      <c r="B13" s="1">
        <v>202.0</v>
      </c>
      <c r="C13" s="1" t="s">
        <v>136</v>
      </c>
      <c r="D13" s="1" t="s">
        <v>41</v>
      </c>
      <c r="E13" s="1" t="s">
        <v>137</v>
      </c>
      <c r="F13" s="1" t="s">
        <v>43</v>
      </c>
      <c r="G13" s="2">
        <v>25498.0</v>
      </c>
      <c r="H13" s="1" t="s">
        <v>138</v>
      </c>
      <c r="I13" s="1">
        <v>43.0</v>
      </c>
      <c r="J13" s="1" t="s">
        <v>139</v>
      </c>
      <c r="K13" s="1">
        <v>2.0</v>
      </c>
      <c r="L13" s="2">
        <v>42907.0</v>
      </c>
      <c r="M13">
        <f t="shared" si="4"/>
        <v>425.7142857</v>
      </c>
      <c r="O13" s="1">
        <v>0.0</v>
      </c>
      <c r="P13" s="1" t="s">
        <v>61</v>
      </c>
      <c r="Q13" s="1" t="s">
        <v>62</v>
      </c>
      <c r="R13" s="1" t="s">
        <v>140</v>
      </c>
      <c r="U13" s="1" t="s">
        <v>118</v>
      </c>
      <c r="V13" s="1">
        <v>54.0</v>
      </c>
      <c r="W13" s="3" t="s">
        <v>141</v>
      </c>
      <c r="X13" s="1">
        <v>607090.0</v>
      </c>
      <c r="Y13" s="1" t="s">
        <v>142</v>
      </c>
      <c r="Z13" s="3" t="s">
        <v>143</v>
      </c>
      <c r="AA13" s="3" t="s">
        <v>144</v>
      </c>
      <c r="AB13" s="1">
        <v>2.0</v>
      </c>
      <c r="AC13" s="1" t="s">
        <v>145</v>
      </c>
      <c r="AD13" s="1">
        <v>26.0</v>
      </c>
      <c r="AE13" s="1">
        <f t="shared" si="5"/>
        <v>426</v>
      </c>
      <c r="AF13" s="1">
        <v>46.0</v>
      </c>
      <c r="AG13" s="1">
        <v>43.0</v>
      </c>
      <c r="AH13" s="1">
        <v>54.0</v>
      </c>
      <c r="AI13" s="1">
        <v>112.0</v>
      </c>
      <c r="AJ13" s="1">
        <v>21.0</v>
      </c>
      <c r="AK13" s="1">
        <v>1062.0</v>
      </c>
      <c r="AL13" s="1">
        <v>39.0</v>
      </c>
      <c r="AM13" s="1">
        <v>0.0</v>
      </c>
      <c r="AN13" s="1">
        <v>0.0</v>
      </c>
      <c r="AO13" s="1">
        <v>34.0</v>
      </c>
      <c r="AP13" s="1">
        <v>13.0</v>
      </c>
      <c r="AQ13" s="1">
        <v>2.0</v>
      </c>
    </row>
    <row r="14">
      <c r="A14" s="1"/>
      <c r="B14" s="1">
        <v>508.0</v>
      </c>
      <c r="C14" s="1" t="s">
        <v>146</v>
      </c>
      <c r="D14" s="1" t="s">
        <v>147</v>
      </c>
      <c r="E14" s="1" t="s">
        <v>148</v>
      </c>
      <c r="F14" s="1" t="s">
        <v>43</v>
      </c>
      <c r="G14" s="2">
        <v>21343.0</v>
      </c>
      <c r="H14" s="1" t="s">
        <v>73</v>
      </c>
      <c r="I14" s="1">
        <v>25.0</v>
      </c>
      <c r="J14" s="1" t="s">
        <v>149</v>
      </c>
      <c r="K14" s="1">
        <v>2.0</v>
      </c>
      <c r="L14" s="2">
        <v>42907.0</v>
      </c>
      <c r="M14">
        <f t="shared" si="4"/>
        <v>426.7142857</v>
      </c>
      <c r="O14" s="1">
        <v>0.0</v>
      </c>
      <c r="P14" s="1" t="s">
        <v>75</v>
      </c>
      <c r="Q14" s="1" t="s">
        <v>76</v>
      </c>
      <c r="R14" s="1" t="s">
        <v>150</v>
      </c>
      <c r="U14" s="1" t="s">
        <v>151</v>
      </c>
      <c r="V14" s="1">
        <v>464.0</v>
      </c>
      <c r="W14" s="3" t="s">
        <v>152</v>
      </c>
      <c r="X14" s="1">
        <v>605963.0</v>
      </c>
      <c r="Y14" s="1" t="s">
        <v>153</v>
      </c>
      <c r="Z14" s="3" t="s">
        <v>154</v>
      </c>
      <c r="AA14" s="3" t="s">
        <v>155</v>
      </c>
      <c r="AB14" s="1">
        <v>1.0</v>
      </c>
      <c r="AC14" s="1" t="s">
        <v>156</v>
      </c>
      <c r="AD14" s="1">
        <v>25.0</v>
      </c>
      <c r="AE14" s="1">
        <f t="shared" si="5"/>
        <v>427</v>
      </c>
      <c r="AF14" s="1">
        <v>65.0</v>
      </c>
      <c r="AG14" s="1">
        <v>124.0</v>
      </c>
      <c r="AH14" s="1">
        <v>91.0</v>
      </c>
      <c r="AI14" s="1">
        <v>61.0</v>
      </c>
      <c r="AJ14" s="1">
        <v>165.0</v>
      </c>
      <c r="AK14" s="1">
        <v>338.0</v>
      </c>
      <c r="AL14" s="1">
        <v>109.0</v>
      </c>
      <c r="AM14" s="1">
        <v>1.0</v>
      </c>
      <c r="AN14" s="1">
        <v>0.0</v>
      </c>
      <c r="AO14" s="1">
        <v>5.0</v>
      </c>
      <c r="AP14" s="1">
        <v>28.0</v>
      </c>
      <c r="AQ14" s="1">
        <v>1.0</v>
      </c>
    </row>
    <row r="15">
      <c r="A15" s="1"/>
      <c r="B15" s="1">
        <v>58.0</v>
      </c>
      <c r="C15" s="1" t="s">
        <v>157</v>
      </c>
      <c r="D15" s="1" t="s">
        <v>158</v>
      </c>
      <c r="E15" s="1" t="s">
        <v>159</v>
      </c>
      <c r="F15" s="1" t="s">
        <v>43</v>
      </c>
      <c r="G15" s="2">
        <v>30982.0</v>
      </c>
      <c r="H15" s="1" t="s">
        <v>73</v>
      </c>
      <c r="I15" s="1">
        <v>54.0</v>
      </c>
      <c r="J15" s="1" t="s">
        <v>160</v>
      </c>
      <c r="K15" s="1">
        <v>4.0</v>
      </c>
      <c r="L15" s="2">
        <v>42907.0</v>
      </c>
      <c r="M15">
        <f t="shared" si="4"/>
        <v>426.7142857</v>
      </c>
      <c r="O15" s="1">
        <v>0.0</v>
      </c>
      <c r="P15" s="1" t="s">
        <v>61</v>
      </c>
      <c r="Q15" s="1" t="s">
        <v>62</v>
      </c>
      <c r="R15" s="1" t="s">
        <v>161</v>
      </c>
      <c r="U15" s="1" t="s">
        <v>162</v>
      </c>
      <c r="V15" s="1">
        <v>12.0</v>
      </c>
      <c r="W15" s="3" t="s">
        <v>163</v>
      </c>
      <c r="X15" s="1">
        <v>642847.0</v>
      </c>
      <c r="Y15" s="1" t="s">
        <v>164</v>
      </c>
      <c r="Z15" s="3" t="s">
        <v>165</v>
      </c>
      <c r="AA15" s="3" t="s">
        <v>166</v>
      </c>
      <c r="AB15" s="1">
        <v>1.0</v>
      </c>
      <c r="AC15" s="1" t="s">
        <v>167</v>
      </c>
      <c r="AD15" s="1">
        <v>25.0</v>
      </c>
      <c r="AE15" s="1">
        <f t="shared" si="5"/>
        <v>427</v>
      </c>
      <c r="AF15" s="1">
        <v>67.0</v>
      </c>
      <c r="AG15" s="1">
        <v>132.0</v>
      </c>
      <c r="AH15" s="1">
        <v>275.0</v>
      </c>
      <c r="AI15" s="1">
        <v>760.0</v>
      </c>
      <c r="AJ15" s="1">
        <v>144.0</v>
      </c>
      <c r="AK15" s="1">
        <v>2215.0</v>
      </c>
      <c r="AL15" s="1">
        <v>66.0</v>
      </c>
      <c r="AM15" s="1">
        <v>0.0</v>
      </c>
      <c r="AN15" s="1">
        <v>5.0</v>
      </c>
      <c r="AO15" s="1">
        <v>115.0</v>
      </c>
      <c r="AP15" s="1">
        <v>30.0</v>
      </c>
      <c r="AQ15" s="1">
        <v>2.0</v>
      </c>
    </row>
    <row r="16">
      <c r="A16" s="1"/>
      <c r="B16" s="1">
        <v>260.0</v>
      </c>
      <c r="C16" s="1" t="s">
        <v>168</v>
      </c>
      <c r="D16" s="1" t="s">
        <v>169</v>
      </c>
      <c r="E16" s="1" t="s">
        <v>170</v>
      </c>
      <c r="F16" s="1" t="s">
        <v>43</v>
      </c>
      <c r="G16" s="2">
        <v>32776.0</v>
      </c>
      <c r="H16" s="1" t="s">
        <v>171</v>
      </c>
      <c r="I16" s="1">
        <v>59.0</v>
      </c>
      <c r="J16" s="1" t="s">
        <v>172</v>
      </c>
      <c r="K16" s="1">
        <v>2.0</v>
      </c>
      <c r="L16" s="2">
        <v>42907.0</v>
      </c>
      <c r="M16">
        <f t="shared" si="4"/>
        <v>426.7142857</v>
      </c>
      <c r="O16" s="1">
        <v>0.0</v>
      </c>
      <c r="P16" s="1" t="s">
        <v>173</v>
      </c>
      <c r="Q16" s="1" t="s">
        <v>174</v>
      </c>
      <c r="R16" s="1" t="s">
        <v>175</v>
      </c>
      <c r="U16" s="1" t="s">
        <v>118</v>
      </c>
      <c r="V16" s="1">
        <v>629.0</v>
      </c>
      <c r="W16" s="3" t="s">
        <v>176</v>
      </c>
      <c r="X16" s="1">
        <v>720430.0</v>
      </c>
      <c r="Y16" s="1" t="s">
        <v>177</v>
      </c>
      <c r="Z16" s="3" t="s">
        <v>178</v>
      </c>
      <c r="AA16" s="3" t="s">
        <v>179</v>
      </c>
      <c r="AB16" s="1">
        <v>1.0</v>
      </c>
      <c r="AC16" s="1" t="s">
        <v>180</v>
      </c>
      <c r="AD16" s="1">
        <v>25.0</v>
      </c>
      <c r="AE16" s="1">
        <f t="shared" si="5"/>
        <v>427</v>
      </c>
      <c r="AF16" s="1">
        <v>45.0</v>
      </c>
      <c r="AG16" s="1">
        <v>228.0</v>
      </c>
      <c r="AH16" s="1">
        <v>466.0</v>
      </c>
      <c r="AI16" s="1">
        <v>538.0</v>
      </c>
      <c r="AJ16" s="1">
        <v>334.0</v>
      </c>
      <c r="AK16" s="1">
        <v>2062.0</v>
      </c>
      <c r="AL16" s="1">
        <v>32.0</v>
      </c>
      <c r="AM16" s="1">
        <v>0.0</v>
      </c>
      <c r="AN16" s="1">
        <v>0.0</v>
      </c>
      <c r="AO16" s="1">
        <v>13.0</v>
      </c>
      <c r="AP16" s="1">
        <v>10.0</v>
      </c>
      <c r="AQ16" s="1">
        <v>3.0</v>
      </c>
    </row>
    <row r="17">
      <c r="A17" s="1"/>
      <c r="B17" s="1">
        <v>262.0</v>
      </c>
      <c r="C17" s="1" t="s">
        <v>181</v>
      </c>
      <c r="D17" s="1" t="s">
        <v>182</v>
      </c>
      <c r="E17" s="1" t="s">
        <v>183</v>
      </c>
      <c r="F17" s="1" t="s">
        <v>43</v>
      </c>
      <c r="G17" s="2">
        <v>21181.0</v>
      </c>
      <c r="H17" s="1" t="s">
        <v>184</v>
      </c>
      <c r="I17" s="1">
        <v>2.0</v>
      </c>
      <c r="J17" s="1" t="s">
        <v>185</v>
      </c>
      <c r="K17" s="1">
        <v>3.0</v>
      </c>
      <c r="L17" s="2">
        <v>42907.0</v>
      </c>
      <c r="M17">
        <f t="shared" si="4"/>
        <v>426.7142857</v>
      </c>
      <c r="O17" s="1">
        <v>0.0</v>
      </c>
      <c r="P17" s="1" t="s">
        <v>115</v>
      </c>
      <c r="Q17" s="1" t="s">
        <v>116</v>
      </c>
      <c r="R17" s="1" t="s">
        <v>186</v>
      </c>
      <c r="U17" s="1" t="s">
        <v>187</v>
      </c>
      <c r="V17" s="1">
        <v>498.0</v>
      </c>
      <c r="W17" s="3" t="s">
        <v>188</v>
      </c>
      <c r="X17" s="1">
        <v>605069.0</v>
      </c>
      <c r="Y17" s="1" t="s">
        <v>189</v>
      </c>
      <c r="Z17" s="3" t="s">
        <v>190</v>
      </c>
      <c r="AA17" s="3" t="s">
        <v>191</v>
      </c>
      <c r="AB17" s="1">
        <v>1.0</v>
      </c>
      <c r="AC17" s="1" t="s">
        <v>192</v>
      </c>
      <c r="AD17" s="1">
        <v>25.0</v>
      </c>
      <c r="AE17" s="1">
        <f t="shared" si="5"/>
        <v>427</v>
      </c>
      <c r="AF17" s="1">
        <v>61.0</v>
      </c>
      <c r="AG17" s="1">
        <v>82.0</v>
      </c>
      <c r="AH17" s="1">
        <v>161.0</v>
      </c>
      <c r="AI17" s="1">
        <v>187.0</v>
      </c>
      <c r="AJ17" s="1">
        <v>13.0</v>
      </c>
      <c r="AK17" s="1">
        <v>1170.0</v>
      </c>
      <c r="AL17" s="1">
        <v>88.0</v>
      </c>
      <c r="AM17" s="1">
        <v>0.0</v>
      </c>
      <c r="AN17" s="1">
        <v>0.0</v>
      </c>
      <c r="AO17" s="1">
        <v>5.0</v>
      </c>
      <c r="AP17" s="1">
        <v>25.0</v>
      </c>
      <c r="AQ17" s="1">
        <v>3.0</v>
      </c>
    </row>
    <row r="18">
      <c r="A18" s="1"/>
      <c r="B18" s="1">
        <v>316.0</v>
      </c>
      <c r="C18" s="1" t="s">
        <v>193</v>
      </c>
      <c r="D18" s="1" t="s">
        <v>194</v>
      </c>
      <c r="E18" s="1" t="s">
        <v>148</v>
      </c>
      <c r="F18" s="1" t="s">
        <v>43</v>
      </c>
      <c r="G18" s="2">
        <v>21549.0</v>
      </c>
      <c r="H18" s="1" t="s">
        <v>195</v>
      </c>
      <c r="I18" s="1">
        <v>93.0</v>
      </c>
      <c r="J18" s="1" t="s">
        <v>196</v>
      </c>
      <c r="K18" s="1">
        <v>1.0</v>
      </c>
      <c r="L18" s="2">
        <v>42907.0</v>
      </c>
      <c r="M18">
        <f t="shared" si="4"/>
        <v>426.7142857</v>
      </c>
      <c r="O18" s="1">
        <v>0.0</v>
      </c>
      <c r="P18" s="1" t="s">
        <v>173</v>
      </c>
      <c r="Q18" s="1" t="s">
        <v>174</v>
      </c>
      <c r="R18" s="1" t="s">
        <v>197</v>
      </c>
      <c r="U18" s="1" t="s">
        <v>198</v>
      </c>
      <c r="V18" s="1">
        <v>610.0</v>
      </c>
      <c r="W18" s="3" t="s">
        <v>199</v>
      </c>
      <c r="X18" s="1">
        <v>721202.0</v>
      </c>
      <c r="Y18" s="1" t="s">
        <v>200</v>
      </c>
      <c r="Z18" s="3" t="s">
        <v>201</v>
      </c>
      <c r="AA18" s="3" t="s">
        <v>202</v>
      </c>
      <c r="AB18" s="1">
        <v>1.0</v>
      </c>
      <c r="AC18" s="1" t="s">
        <v>203</v>
      </c>
      <c r="AD18" s="1">
        <v>25.0</v>
      </c>
      <c r="AE18" s="1">
        <f t="shared" si="5"/>
        <v>427</v>
      </c>
      <c r="AF18" s="1">
        <v>67.0</v>
      </c>
      <c r="AG18" s="1">
        <v>169.0</v>
      </c>
      <c r="AH18" s="1">
        <v>514.0</v>
      </c>
      <c r="AI18" s="1">
        <v>370.0</v>
      </c>
      <c r="AJ18" s="1">
        <v>220.0</v>
      </c>
      <c r="AK18" s="1">
        <v>2065.0</v>
      </c>
      <c r="AL18" s="1">
        <v>33.0</v>
      </c>
      <c r="AM18" s="1">
        <v>2.0</v>
      </c>
      <c r="AN18" s="1">
        <v>2.0</v>
      </c>
      <c r="AO18" s="1">
        <v>14.0</v>
      </c>
      <c r="AP18" s="1">
        <v>5.0</v>
      </c>
      <c r="AQ18" s="1">
        <v>3.0</v>
      </c>
    </row>
    <row r="19">
      <c r="A19" s="1"/>
      <c r="B19" s="1">
        <v>553.0</v>
      </c>
      <c r="C19" s="1" t="s">
        <v>204</v>
      </c>
      <c r="D19" s="1" t="s">
        <v>205</v>
      </c>
      <c r="E19" s="1" t="s">
        <v>206</v>
      </c>
      <c r="F19" s="1" t="s">
        <v>43</v>
      </c>
      <c r="G19" s="2">
        <v>19086.0</v>
      </c>
      <c r="H19" s="1" t="s">
        <v>207</v>
      </c>
      <c r="I19" s="1">
        <v>51.0</v>
      </c>
      <c r="J19" s="1" t="s">
        <v>208</v>
      </c>
      <c r="K19" s="1">
        <v>5.0</v>
      </c>
      <c r="L19" s="2">
        <v>42907.0</v>
      </c>
      <c r="M19">
        <f t="shared" si="4"/>
        <v>426.7142857</v>
      </c>
      <c r="O19" s="1">
        <v>0.0</v>
      </c>
      <c r="P19" s="1" t="s">
        <v>46</v>
      </c>
      <c r="Q19" s="1" t="s">
        <v>47</v>
      </c>
      <c r="R19" s="3" t="s">
        <v>209</v>
      </c>
      <c r="U19" s="1" t="s">
        <v>210</v>
      </c>
      <c r="V19" s="1">
        <v>147.0</v>
      </c>
      <c r="W19" s="3" t="s">
        <v>211</v>
      </c>
      <c r="X19" s="1">
        <v>942.0</v>
      </c>
      <c r="Y19" s="1" t="s">
        <v>212</v>
      </c>
      <c r="Z19" s="3" t="s">
        <v>213</v>
      </c>
      <c r="AA19" s="3" t="s">
        <v>214</v>
      </c>
      <c r="AB19" s="1">
        <v>3.0</v>
      </c>
      <c r="AC19" s="1" t="s">
        <v>215</v>
      </c>
      <c r="AD19" s="1">
        <v>25.0</v>
      </c>
      <c r="AE19" s="1">
        <f t="shared" si="5"/>
        <v>427</v>
      </c>
      <c r="AF19" s="1">
        <v>69.0</v>
      </c>
      <c r="AG19" s="1">
        <v>323.0</v>
      </c>
      <c r="AH19" s="1">
        <v>670.0</v>
      </c>
      <c r="AI19" s="1">
        <v>332.0</v>
      </c>
      <c r="AJ19" s="1">
        <v>336.0</v>
      </c>
      <c r="AK19" s="1">
        <v>770.0</v>
      </c>
      <c r="AL19" s="1">
        <v>40.0</v>
      </c>
      <c r="AM19" s="1">
        <v>0.0</v>
      </c>
      <c r="AN19" s="1">
        <v>1.0</v>
      </c>
      <c r="AO19" s="1">
        <v>7.0</v>
      </c>
      <c r="AP19" s="1">
        <v>2.0</v>
      </c>
      <c r="AQ19" s="1">
        <v>5.0</v>
      </c>
    </row>
    <row r="20">
      <c r="A20" s="1"/>
      <c r="B20" s="1">
        <v>519.0</v>
      </c>
      <c r="C20" s="1" t="s">
        <v>216</v>
      </c>
      <c r="D20" s="1" t="s">
        <v>217</v>
      </c>
      <c r="E20" s="1" t="s">
        <v>218</v>
      </c>
      <c r="F20" s="1" t="s">
        <v>58</v>
      </c>
      <c r="G20" s="2">
        <v>26971.0</v>
      </c>
      <c r="H20" s="1" t="s">
        <v>219</v>
      </c>
      <c r="I20" s="1">
        <v>49.0</v>
      </c>
      <c r="J20" s="1" t="s">
        <v>220</v>
      </c>
      <c r="K20" s="1">
        <v>2.0</v>
      </c>
      <c r="L20" s="2">
        <v>42907.0</v>
      </c>
      <c r="M20">
        <f t="shared" si="4"/>
        <v>426.7142857</v>
      </c>
      <c r="O20" s="1">
        <v>0.0</v>
      </c>
      <c r="P20" s="1" t="s">
        <v>75</v>
      </c>
      <c r="Q20" s="1" t="s">
        <v>76</v>
      </c>
      <c r="R20" s="1" t="s">
        <v>221</v>
      </c>
      <c r="U20" s="1" t="s">
        <v>222</v>
      </c>
      <c r="V20" s="1">
        <v>527.0</v>
      </c>
      <c r="W20" s="3" t="s">
        <v>223</v>
      </c>
      <c r="X20" s="1">
        <v>643175.0</v>
      </c>
      <c r="Y20" s="1" t="s">
        <v>224</v>
      </c>
      <c r="Z20" s="3" t="s">
        <v>225</v>
      </c>
      <c r="AA20" s="3" t="s">
        <v>226</v>
      </c>
      <c r="AB20" s="1">
        <v>2.0</v>
      </c>
      <c r="AC20" s="1" t="s">
        <v>227</v>
      </c>
      <c r="AD20" s="1">
        <v>25.0</v>
      </c>
      <c r="AE20" s="1">
        <f t="shared" si="5"/>
        <v>427</v>
      </c>
      <c r="AF20" s="1">
        <v>60.0</v>
      </c>
      <c r="AG20" s="1">
        <v>12.0</v>
      </c>
      <c r="AH20" s="1">
        <v>41.0</v>
      </c>
      <c r="AI20" s="1">
        <v>23.0</v>
      </c>
      <c r="AJ20" s="1">
        <v>3.0</v>
      </c>
      <c r="AK20" s="1">
        <v>162.0</v>
      </c>
      <c r="AL20" s="1">
        <v>109.0</v>
      </c>
      <c r="AM20" s="1">
        <v>1.0</v>
      </c>
      <c r="AN20" s="1">
        <v>0.0</v>
      </c>
      <c r="AO20" s="1">
        <v>5.0</v>
      </c>
      <c r="AP20" s="1">
        <v>0.0</v>
      </c>
      <c r="AQ20" s="1">
        <v>0.0</v>
      </c>
    </row>
    <row r="21">
      <c r="A21" s="1"/>
      <c r="B21" s="1">
        <v>143.0</v>
      </c>
      <c r="C21" s="1" t="s">
        <v>228</v>
      </c>
      <c r="D21" s="1" t="s">
        <v>229</v>
      </c>
      <c r="E21" s="1" t="s">
        <v>230</v>
      </c>
      <c r="F21" s="1" t="s">
        <v>43</v>
      </c>
      <c r="G21" s="2">
        <v>30085.0</v>
      </c>
      <c r="H21" s="1" t="s">
        <v>231</v>
      </c>
      <c r="I21" s="1">
        <v>75.0</v>
      </c>
      <c r="J21" s="1" t="s">
        <v>232</v>
      </c>
      <c r="K21" s="1">
        <v>3.0</v>
      </c>
      <c r="L21" s="2">
        <v>42907.0</v>
      </c>
      <c r="M21">
        <f t="shared" si="4"/>
        <v>426.7142857</v>
      </c>
      <c r="O21" s="1">
        <v>0.0</v>
      </c>
      <c r="P21" s="1" t="s">
        <v>75</v>
      </c>
      <c r="Q21" s="1" t="s">
        <v>76</v>
      </c>
      <c r="R21" s="1" t="s">
        <v>233</v>
      </c>
      <c r="U21" s="1" t="s">
        <v>234</v>
      </c>
      <c r="V21" s="1">
        <v>293.0</v>
      </c>
      <c r="W21" s="3" t="s">
        <v>235</v>
      </c>
      <c r="X21" s="1">
        <v>721498.0</v>
      </c>
      <c r="Y21" s="1" t="s">
        <v>236</v>
      </c>
      <c r="Z21" s="3" t="s">
        <v>237</v>
      </c>
      <c r="AA21" s="3" t="s">
        <v>238</v>
      </c>
      <c r="AB21" s="1">
        <v>1.0</v>
      </c>
      <c r="AC21" s="1" t="s">
        <v>239</v>
      </c>
      <c r="AD21" s="1">
        <v>25.0</v>
      </c>
      <c r="AE21" s="1">
        <f t="shared" si="5"/>
        <v>427</v>
      </c>
      <c r="AF21" s="1">
        <v>69.0</v>
      </c>
      <c r="AG21" s="1">
        <v>393.0</v>
      </c>
      <c r="AH21" s="1">
        <v>326.0</v>
      </c>
      <c r="AI21" s="1">
        <v>137.0</v>
      </c>
      <c r="AJ21" s="1">
        <v>167.0</v>
      </c>
      <c r="AK21" s="1">
        <v>321.0</v>
      </c>
      <c r="AL21" s="1">
        <v>256.0</v>
      </c>
      <c r="AM21" s="1">
        <v>2.0</v>
      </c>
      <c r="AN21" s="1">
        <v>0.0</v>
      </c>
      <c r="AO21" s="1">
        <v>5.0</v>
      </c>
      <c r="AP21" s="1">
        <v>1.0</v>
      </c>
      <c r="AQ21" s="1">
        <v>1.0</v>
      </c>
    </row>
    <row r="22">
      <c r="A22" s="1"/>
      <c r="B22" s="1">
        <v>570.0</v>
      </c>
      <c r="C22" s="1" t="s">
        <v>240</v>
      </c>
      <c r="D22" s="1" t="s">
        <v>241</v>
      </c>
      <c r="E22" s="1" t="s">
        <v>242</v>
      </c>
      <c r="F22" s="1" t="s">
        <v>43</v>
      </c>
      <c r="G22" s="2">
        <v>23560.0</v>
      </c>
      <c r="H22" s="1" t="s">
        <v>243</v>
      </c>
      <c r="I22" s="1">
        <v>67.0</v>
      </c>
      <c r="J22" s="1" t="s">
        <v>244</v>
      </c>
      <c r="K22" s="1">
        <v>7.0</v>
      </c>
      <c r="L22" s="2">
        <v>42907.0</v>
      </c>
      <c r="M22">
        <f t="shared" si="4"/>
        <v>426.7142857</v>
      </c>
      <c r="O22" s="1">
        <v>0.0</v>
      </c>
      <c r="P22" s="1" t="s">
        <v>61</v>
      </c>
      <c r="Q22" s="1" t="s">
        <v>62</v>
      </c>
      <c r="R22" s="1" t="s">
        <v>245</v>
      </c>
      <c r="U22" s="1" t="s">
        <v>246</v>
      </c>
      <c r="V22" s="1">
        <v>79.0</v>
      </c>
      <c r="W22" s="3" t="s">
        <v>247</v>
      </c>
      <c r="X22" s="1">
        <v>608416.0</v>
      </c>
      <c r="Y22" s="1" t="s">
        <v>248</v>
      </c>
      <c r="Z22" s="3" t="s">
        <v>249</v>
      </c>
      <c r="AA22" s="3" t="s">
        <v>250</v>
      </c>
      <c r="AB22" s="1">
        <v>1.0</v>
      </c>
      <c r="AC22" s="1" t="s">
        <v>251</v>
      </c>
      <c r="AD22" s="1">
        <v>25.0</v>
      </c>
      <c r="AE22" s="1">
        <f t="shared" si="5"/>
        <v>427</v>
      </c>
      <c r="AF22" s="1">
        <v>47.0</v>
      </c>
      <c r="AG22" s="1">
        <v>121.0</v>
      </c>
      <c r="AH22" s="1">
        <v>162.0</v>
      </c>
      <c r="AI22" s="1">
        <v>223.0</v>
      </c>
      <c r="AJ22" s="1">
        <v>309.0</v>
      </c>
      <c r="AK22" s="1">
        <v>2140.0</v>
      </c>
      <c r="AL22" s="1">
        <v>71.0</v>
      </c>
      <c r="AM22" s="1">
        <v>1.0</v>
      </c>
      <c r="AN22" s="1">
        <v>3.0</v>
      </c>
      <c r="AO22" s="1">
        <v>94.0</v>
      </c>
      <c r="AP22" s="1">
        <v>28.0</v>
      </c>
      <c r="AQ22" s="1">
        <v>2.0</v>
      </c>
    </row>
    <row r="23">
      <c r="A23" s="1"/>
      <c r="B23" s="1">
        <v>352.0</v>
      </c>
      <c r="C23" s="1" t="s">
        <v>252</v>
      </c>
      <c r="D23" s="1" t="s">
        <v>253</v>
      </c>
      <c r="E23" s="1" t="s">
        <v>254</v>
      </c>
      <c r="F23" s="1" t="s">
        <v>43</v>
      </c>
      <c r="G23" s="2">
        <v>31914.0</v>
      </c>
      <c r="H23" s="1" t="s">
        <v>255</v>
      </c>
      <c r="I23" s="1">
        <v>999.0</v>
      </c>
      <c r="J23" s="1" t="s">
        <v>256</v>
      </c>
      <c r="K23" s="1">
        <v>3.0</v>
      </c>
      <c r="L23" s="2">
        <v>42907.0</v>
      </c>
      <c r="M23">
        <f t="shared" si="4"/>
        <v>426.7142857</v>
      </c>
      <c r="O23" s="1">
        <v>0.0</v>
      </c>
      <c r="P23" s="1" t="s">
        <v>75</v>
      </c>
      <c r="Q23" s="1" t="s">
        <v>76</v>
      </c>
      <c r="R23" s="1" t="s">
        <v>257</v>
      </c>
      <c r="U23" s="1">
        <v>0.0</v>
      </c>
      <c r="V23" s="1">
        <v>298.0</v>
      </c>
      <c r="W23" s="3" t="s">
        <v>258</v>
      </c>
      <c r="X23" s="1">
        <v>721150.0</v>
      </c>
      <c r="Y23" s="1" t="s">
        <v>259</v>
      </c>
      <c r="Z23" s="3" t="s">
        <v>260</v>
      </c>
      <c r="AA23" s="3" t="s">
        <v>261</v>
      </c>
      <c r="AB23" s="1">
        <v>1.0</v>
      </c>
      <c r="AC23" s="1" t="s">
        <v>262</v>
      </c>
      <c r="AD23" s="1">
        <v>25.0</v>
      </c>
      <c r="AE23" s="1">
        <f t="shared" si="5"/>
        <v>427</v>
      </c>
      <c r="AF23" s="1">
        <v>62.0</v>
      </c>
      <c r="AG23" s="1">
        <v>21.0</v>
      </c>
      <c r="AH23" s="1">
        <v>13.0</v>
      </c>
      <c r="AI23" s="1">
        <v>2.0</v>
      </c>
      <c r="AJ23" s="1">
        <v>10.0</v>
      </c>
      <c r="AK23" s="1">
        <v>169.0</v>
      </c>
      <c r="AL23" s="1">
        <v>107.0</v>
      </c>
      <c r="AM23" s="1">
        <v>1.0</v>
      </c>
      <c r="AN23" s="1">
        <v>0.0</v>
      </c>
      <c r="AO23" s="1">
        <v>5.0</v>
      </c>
      <c r="AP23" s="1">
        <v>5.0</v>
      </c>
      <c r="AQ23" s="1">
        <v>1.0</v>
      </c>
    </row>
    <row r="24">
      <c r="A24" s="1"/>
      <c r="B24" s="1">
        <v>245.0</v>
      </c>
      <c r="C24" s="1" t="s">
        <v>263</v>
      </c>
      <c r="D24" s="1" t="s">
        <v>264</v>
      </c>
      <c r="E24" s="1" t="s">
        <v>265</v>
      </c>
      <c r="F24" s="1" t="s">
        <v>58</v>
      </c>
      <c r="G24" s="2">
        <v>21283.0</v>
      </c>
      <c r="H24" s="1" t="s">
        <v>266</v>
      </c>
      <c r="I24" s="1">
        <v>38.0</v>
      </c>
      <c r="J24" s="1" t="s">
        <v>267</v>
      </c>
      <c r="K24" s="1">
        <v>5.0</v>
      </c>
      <c r="L24" s="2">
        <v>42907.0</v>
      </c>
      <c r="M24">
        <f t="shared" si="4"/>
        <v>426.7142857</v>
      </c>
      <c r="O24" s="1">
        <v>0.0</v>
      </c>
      <c r="P24" s="1" t="s">
        <v>75</v>
      </c>
      <c r="Q24" s="1" t="s">
        <v>76</v>
      </c>
      <c r="R24" s="1" t="s">
        <v>268</v>
      </c>
      <c r="U24" s="1" t="s">
        <v>269</v>
      </c>
      <c r="V24" s="1">
        <v>335.0</v>
      </c>
      <c r="W24" s="3" t="s">
        <v>270</v>
      </c>
      <c r="X24" s="1">
        <v>719994.0</v>
      </c>
      <c r="Y24" s="1" t="s">
        <v>271</v>
      </c>
      <c r="Z24" s="3" t="s">
        <v>272</v>
      </c>
      <c r="AA24" s="3" t="s">
        <v>273</v>
      </c>
      <c r="AB24" s="1">
        <v>2.0</v>
      </c>
      <c r="AC24" s="1" t="s">
        <v>274</v>
      </c>
      <c r="AD24" s="1">
        <v>25.0</v>
      </c>
      <c r="AE24" s="1">
        <f t="shared" si="5"/>
        <v>427</v>
      </c>
      <c r="AF24" s="1">
        <v>55.0</v>
      </c>
      <c r="AG24" s="1">
        <v>29.0</v>
      </c>
      <c r="AH24" s="1">
        <v>62.0</v>
      </c>
      <c r="AI24" s="1">
        <v>30.0</v>
      </c>
      <c r="AJ24" s="1">
        <v>5.0</v>
      </c>
      <c r="AK24" s="1">
        <v>64.0</v>
      </c>
      <c r="AL24" s="1">
        <v>26.0</v>
      </c>
      <c r="AM24" s="1">
        <v>0.0</v>
      </c>
      <c r="AN24" s="1">
        <v>0.0</v>
      </c>
      <c r="AO24" s="1">
        <v>5.0</v>
      </c>
      <c r="AP24" s="1">
        <v>0.0</v>
      </c>
      <c r="AQ24" s="1">
        <v>0.0</v>
      </c>
    </row>
    <row r="25">
      <c r="A25" s="1"/>
      <c r="B25" s="1">
        <v>36.0</v>
      </c>
      <c r="C25" s="1" t="s">
        <v>275</v>
      </c>
      <c r="D25" s="1" t="s">
        <v>276</v>
      </c>
      <c r="E25" s="1" t="s">
        <v>277</v>
      </c>
      <c r="F25" s="1" t="s">
        <v>43</v>
      </c>
      <c r="G25" s="2">
        <v>21765.0</v>
      </c>
      <c r="H25" s="1" t="s">
        <v>278</v>
      </c>
      <c r="I25" s="1">
        <v>13.0</v>
      </c>
      <c r="J25" s="1" t="s">
        <v>279</v>
      </c>
      <c r="K25" s="1">
        <v>11.0</v>
      </c>
      <c r="L25" s="2">
        <v>42907.0</v>
      </c>
      <c r="M25">
        <f t="shared" si="4"/>
        <v>426.7142857</v>
      </c>
      <c r="O25" s="1">
        <v>0.0</v>
      </c>
      <c r="P25" s="1" t="s">
        <v>280</v>
      </c>
      <c r="Q25" s="1" t="s">
        <v>281</v>
      </c>
      <c r="R25" s="1" t="s">
        <v>282</v>
      </c>
      <c r="U25" s="1" t="s">
        <v>283</v>
      </c>
      <c r="V25" s="1">
        <v>250.0</v>
      </c>
      <c r="W25" s="3" t="s">
        <v>284</v>
      </c>
      <c r="X25" s="1">
        <v>718978.0</v>
      </c>
      <c r="Y25" s="1" t="s">
        <v>285</v>
      </c>
      <c r="Z25" s="3" t="s">
        <v>286</v>
      </c>
      <c r="AA25" s="3" t="s">
        <v>287</v>
      </c>
      <c r="AB25" s="1">
        <v>1.0</v>
      </c>
      <c r="AC25" s="1" t="s">
        <v>288</v>
      </c>
      <c r="AD25" s="1">
        <v>25.0</v>
      </c>
      <c r="AE25" s="1">
        <f t="shared" si="5"/>
        <v>427</v>
      </c>
      <c r="AF25" s="1">
        <v>73.0</v>
      </c>
      <c r="AG25" s="1">
        <v>101.0</v>
      </c>
      <c r="AH25" s="1">
        <v>69.0</v>
      </c>
      <c r="AI25" s="1">
        <v>54.0</v>
      </c>
      <c r="AJ25" s="1">
        <v>110.0</v>
      </c>
      <c r="AK25" s="1">
        <v>424.0</v>
      </c>
      <c r="AL25" s="1">
        <v>60.0</v>
      </c>
      <c r="AM25" s="1">
        <v>1.0</v>
      </c>
      <c r="AN25" s="1">
        <v>0.0</v>
      </c>
      <c r="AO25" s="1">
        <v>5.0</v>
      </c>
      <c r="AP25" s="1">
        <v>4.0</v>
      </c>
      <c r="AQ25" s="1">
        <v>2.0</v>
      </c>
    </row>
    <row r="26">
      <c r="A26" s="1"/>
      <c r="B26" s="1">
        <v>562.0</v>
      </c>
      <c r="C26" s="1" t="s">
        <v>289</v>
      </c>
      <c r="D26" s="1" t="s">
        <v>290</v>
      </c>
      <c r="E26" s="1" t="s">
        <v>291</v>
      </c>
      <c r="F26" s="1" t="s">
        <v>58</v>
      </c>
      <c r="G26" s="2">
        <v>27423.0</v>
      </c>
      <c r="H26" s="1" t="s">
        <v>292</v>
      </c>
      <c r="I26" s="1">
        <v>38.0</v>
      </c>
      <c r="J26" s="1" t="s">
        <v>267</v>
      </c>
      <c r="K26" s="1">
        <v>6.0</v>
      </c>
      <c r="L26" s="2">
        <v>42907.0</v>
      </c>
      <c r="M26">
        <f t="shared" si="4"/>
        <v>426.7142857</v>
      </c>
      <c r="O26" s="1">
        <v>0.0</v>
      </c>
      <c r="P26" s="1" t="s">
        <v>75</v>
      </c>
      <c r="Q26" s="1" t="s">
        <v>76</v>
      </c>
      <c r="U26" s="1" t="s">
        <v>293</v>
      </c>
      <c r="V26" s="1">
        <v>385.0</v>
      </c>
      <c r="W26" s="3" t="s">
        <v>294</v>
      </c>
      <c r="X26" s="1">
        <v>719850.0</v>
      </c>
      <c r="Y26" s="1" t="s">
        <v>295</v>
      </c>
      <c r="Z26" s="3" t="s">
        <v>296</v>
      </c>
      <c r="AA26" s="3" t="s">
        <v>297</v>
      </c>
      <c r="AB26" s="1">
        <v>1.0</v>
      </c>
      <c r="AD26" s="1">
        <v>25.0</v>
      </c>
      <c r="AE26" s="1">
        <f t="shared" si="5"/>
        <v>427</v>
      </c>
      <c r="AF26" s="1">
        <v>84.0</v>
      </c>
      <c r="AG26" s="1">
        <v>51.0</v>
      </c>
      <c r="AH26" s="1">
        <v>414.0</v>
      </c>
      <c r="AI26" s="1">
        <v>1822.0</v>
      </c>
      <c r="AJ26" s="1">
        <v>13.0</v>
      </c>
      <c r="AK26" s="1">
        <v>231.0</v>
      </c>
      <c r="AL26" s="1">
        <v>138.0</v>
      </c>
      <c r="AM26" s="1">
        <v>1.0</v>
      </c>
      <c r="AN26" s="1">
        <v>0.0</v>
      </c>
      <c r="AO26" s="1">
        <v>5.0</v>
      </c>
      <c r="AP26" s="1">
        <v>0.0</v>
      </c>
      <c r="AQ26" s="1">
        <v>1.0</v>
      </c>
    </row>
    <row r="27">
      <c r="A27" s="1"/>
      <c r="B27" s="1">
        <v>390.0</v>
      </c>
      <c r="C27" s="1" t="s">
        <v>298</v>
      </c>
      <c r="D27" s="1" t="s">
        <v>299</v>
      </c>
      <c r="E27" s="1" t="s">
        <v>300</v>
      </c>
      <c r="F27" s="1" t="s">
        <v>58</v>
      </c>
      <c r="G27" s="2">
        <v>29529.0</v>
      </c>
      <c r="H27" s="1" t="s">
        <v>301</v>
      </c>
      <c r="I27" s="1">
        <v>95.0</v>
      </c>
      <c r="J27" s="1" t="s">
        <v>302</v>
      </c>
      <c r="K27" s="1">
        <v>4.0</v>
      </c>
      <c r="L27" s="2">
        <v>42907.0</v>
      </c>
      <c r="M27">
        <f t="shared" si="4"/>
        <v>426.7142857</v>
      </c>
      <c r="O27" s="1">
        <v>0.0</v>
      </c>
      <c r="P27" s="1" t="s">
        <v>75</v>
      </c>
      <c r="Q27" s="1" t="s">
        <v>76</v>
      </c>
      <c r="R27" s="1" t="s">
        <v>303</v>
      </c>
      <c r="U27" s="1" t="s">
        <v>304</v>
      </c>
      <c r="V27" s="1">
        <v>329.0</v>
      </c>
      <c r="W27" s="3" t="s">
        <v>305</v>
      </c>
      <c r="X27" s="1">
        <v>720908.0</v>
      </c>
      <c r="Y27" s="1" t="s">
        <v>306</v>
      </c>
      <c r="Z27" s="3" t="s">
        <v>307</v>
      </c>
      <c r="AA27" s="3" t="s">
        <v>308</v>
      </c>
      <c r="AB27" s="1">
        <v>1.0</v>
      </c>
      <c r="AC27" s="1" t="s">
        <v>309</v>
      </c>
      <c r="AD27" s="1">
        <v>25.0</v>
      </c>
      <c r="AE27" s="1">
        <f t="shared" si="5"/>
        <v>427</v>
      </c>
      <c r="AF27" s="1">
        <v>66.0</v>
      </c>
      <c r="AG27" s="1">
        <v>17.0</v>
      </c>
      <c r="AH27" s="1">
        <v>42.0</v>
      </c>
      <c r="AI27" s="1">
        <v>9.0</v>
      </c>
      <c r="AJ27" s="1">
        <v>0.0</v>
      </c>
      <c r="AK27" s="1">
        <v>94.0</v>
      </c>
      <c r="AL27" s="1">
        <v>45.0</v>
      </c>
      <c r="AM27" s="1">
        <v>0.0</v>
      </c>
      <c r="AN27" s="1">
        <v>0.0</v>
      </c>
      <c r="AO27" s="1">
        <v>5.0</v>
      </c>
      <c r="AP27" s="1">
        <v>3.0</v>
      </c>
      <c r="AQ27" s="1">
        <v>0.0</v>
      </c>
    </row>
    <row r="28">
      <c r="A28" s="1"/>
      <c r="B28" s="1">
        <v>431.0</v>
      </c>
      <c r="C28" s="1" t="s">
        <v>310</v>
      </c>
      <c r="D28" s="1" t="s">
        <v>311</v>
      </c>
      <c r="E28" s="1" t="s">
        <v>312</v>
      </c>
      <c r="F28" s="1" t="s">
        <v>58</v>
      </c>
      <c r="G28" s="2">
        <v>29414.0</v>
      </c>
      <c r="H28" s="1" t="s">
        <v>313</v>
      </c>
      <c r="I28" s="1">
        <v>75.0</v>
      </c>
      <c r="J28" s="1" t="s">
        <v>232</v>
      </c>
      <c r="K28" s="1">
        <v>17.0</v>
      </c>
      <c r="L28" s="2">
        <v>42907.0</v>
      </c>
      <c r="M28">
        <f t="shared" si="4"/>
        <v>426.7142857</v>
      </c>
      <c r="O28" s="1">
        <v>0.0</v>
      </c>
      <c r="P28" s="1" t="s">
        <v>173</v>
      </c>
      <c r="Q28" s="1" t="s">
        <v>174</v>
      </c>
      <c r="R28" s="3" t="s">
        <v>314</v>
      </c>
      <c r="U28" s="1" t="s">
        <v>315</v>
      </c>
      <c r="V28" s="1">
        <v>611.0</v>
      </c>
      <c r="W28" s="3" t="s">
        <v>316</v>
      </c>
      <c r="X28" s="1">
        <v>721960.0</v>
      </c>
      <c r="Y28" s="1" t="s">
        <v>317</v>
      </c>
      <c r="Z28" s="3" t="s">
        <v>318</v>
      </c>
      <c r="AA28" s="3" t="s">
        <v>319</v>
      </c>
      <c r="AB28" s="1">
        <v>1.0</v>
      </c>
      <c r="AC28" s="1" t="s">
        <v>320</v>
      </c>
      <c r="AD28" s="1">
        <v>25.0</v>
      </c>
      <c r="AE28" s="1">
        <f t="shared" si="5"/>
        <v>427</v>
      </c>
      <c r="AF28" s="1">
        <v>59.0</v>
      </c>
      <c r="AG28" s="1">
        <v>161.0</v>
      </c>
      <c r="AH28" s="1">
        <v>363.0</v>
      </c>
      <c r="AI28" s="1">
        <v>374.0</v>
      </c>
      <c r="AJ28" s="1">
        <v>345.0</v>
      </c>
      <c r="AK28" s="1">
        <v>2064.0</v>
      </c>
      <c r="AL28" s="1">
        <v>32.0</v>
      </c>
      <c r="AM28" s="1">
        <v>0.0</v>
      </c>
      <c r="AN28" s="1">
        <v>0.0</v>
      </c>
      <c r="AO28" s="1">
        <v>14.0</v>
      </c>
      <c r="AP28" s="1">
        <v>6.0</v>
      </c>
      <c r="AQ28" s="1">
        <v>3.0</v>
      </c>
    </row>
    <row r="29">
      <c r="A29" s="1"/>
      <c r="B29" s="1">
        <v>375.0</v>
      </c>
      <c r="C29" s="1" t="s">
        <v>321</v>
      </c>
      <c r="D29" s="1" t="s">
        <v>322</v>
      </c>
      <c r="E29" s="1" t="s">
        <v>323</v>
      </c>
      <c r="F29" s="1" t="s">
        <v>43</v>
      </c>
      <c r="G29" s="2">
        <v>31485.0</v>
      </c>
      <c r="H29" s="1" t="s">
        <v>324</v>
      </c>
      <c r="I29" s="1">
        <v>46.0</v>
      </c>
      <c r="J29" s="1" t="s">
        <v>325</v>
      </c>
      <c r="K29" s="1">
        <v>1.0</v>
      </c>
      <c r="L29" s="2">
        <v>42907.0</v>
      </c>
      <c r="M29">
        <f t="shared" si="4"/>
        <v>426.7142857</v>
      </c>
      <c r="O29" s="1">
        <v>0.0</v>
      </c>
      <c r="P29" s="1" t="s">
        <v>61</v>
      </c>
      <c r="Q29" s="1" t="s">
        <v>62</v>
      </c>
      <c r="R29" s="1" t="s">
        <v>326</v>
      </c>
      <c r="U29" s="1" t="s">
        <v>234</v>
      </c>
      <c r="V29" s="1">
        <v>38.0</v>
      </c>
      <c r="W29" s="3" t="s">
        <v>327</v>
      </c>
      <c r="X29" s="1">
        <v>720100.0</v>
      </c>
      <c r="Y29" s="1" t="s">
        <v>328</v>
      </c>
      <c r="Z29" s="3" t="s">
        <v>329</v>
      </c>
      <c r="AA29" s="3" t="s">
        <v>330</v>
      </c>
      <c r="AB29" s="1">
        <v>1.0</v>
      </c>
      <c r="AC29" s="1" t="s">
        <v>331</v>
      </c>
      <c r="AD29" s="1">
        <v>25.0</v>
      </c>
      <c r="AE29" s="1">
        <f t="shared" si="5"/>
        <v>427</v>
      </c>
      <c r="AF29" s="1">
        <v>26.0</v>
      </c>
      <c r="AG29" s="1">
        <v>30.0</v>
      </c>
      <c r="AH29" s="1">
        <v>65.0</v>
      </c>
      <c r="AI29" s="1">
        <v>328.0</v>
      </c>
      <c r="AJ29" s="1">
        <v>40.0</v>
      </c>
      <c r="AK29" s="1">
        <v>477.0</v>
      </c>
      <c r="AL29" s="1">
        <v>23.0</v>
      </c>
      <c r="AM29" s="1">
        <v>0.0</v>
      </c>
      <c r="AN29" s="1">
        <v>0.0</v>
      </c>
      <c r="AO29" s="1">
        <v>38.0</v>
      </c>
      <c r="AP29" s="1">
        <v>16.0</v>
      </c>
      <c r="AQ29" s="1">
        <v>4.0</v>
      </c>
    </row>
    <row r="30">
      <c r="A30" s="1"/>
      <c r="B30" s="1">
        <v>573.0</v>
      </c>
      <c r="C30" s="1" t="s">
        <v>332</v>
      </c>
      <c r="D30" s="1" t="s">
        <v>333</v>
      </c>
      <c r="E30" s="1" t="s">
        <v>334</v>
      </c>
      <c r="F30" s="1" t="s">
        <v>43</v>
      </c>
      <c r="G30" s="2">
        <v>24193.0</v>
      </c>
      <c r="H30" s="1" t="s">
        <v>335</v>
      </c>
      <c r="I30" s="1">
        <v>71.0</v>
      </c>
      <c r="J30" s="1" t="s">
        <v>336</v>
      </c>
      <c r="K30" s="1">
        <v>3.0</v>
      </c>
      <c r="L30" s="4">
        <v>42907.0</v>
      </c>
      <c r="M30">
        <f t="shared" si="4"/>
        <v>426.7142857</v>
      </c>
      <c r="O30" s="1">
        <v>0.0</v>
      </c>
      <c r="P30" s="1" t="s">
        <v>75</v>
      </c>
      <c r="Q30" s="1" t="s">
        <v>76</v>
      </c>
      <c r="R30" s="1" t="s">
        <v>337</v>
      </c>
      <c r="U30" s="1" t="s">
        <v>338</v>
      </c>
      <c r="V30" s="1">
        <v>332.0</v>
      </c>
      <c r="W30" s="3" t="s">
        <v>339</v>
      </c>
      <c r="X30" s="1">
        <v>722398.0</v>
      </c>
      <c r="Y30" s="1" t="s">
        <v>340</v>
      </c>
      <c r="Z30" s="3" t="s">
        <v>341</v>
      </c>
      <c r="AA30" s="3" t="s">
        <v>342</v>
      </c>
      <c r="AB30" s="1">
        <v>2.0</v>
      </c>
      <c r="AC30" s="1" t="s">
        <v>343</v>
      </c>
      <c r="AD30" s="1">
        <v>25.0</v>
      </c>
      <c r="AE30" s="1">
        <f t="shared" si="5"/>
        <v>427</v>
      </c>
      <c r="AF30" s="1">
        <v>45.0</v>
      </c>
      <c r="AG30" s="1">
        <v>36.0</v>
      </c>
      <c r="AH30" s="1">
        <v>63.0</v>
      </c>
      <c r="AI30" s="1">
        <v>20.0</v>
      </c>
      <c r="AJ30" s="1">
        <v>17.0</v>
      </c>
      <c r="AK30" s="1">
        <v>111.0</v>
      </c>
      <c r="AL30" s="1">
        <v>45.0</v>
      </c>
      <c r="AM30" s="1">
        <v>0.0</v>
      </c>
      <c r="AN30" s="1">
        <v>0.0</v>
      </c>
      <c r="AO30" s="1">
        <v>6.0</v>
      </c>
      <c r="AP30" s="1">
        <v>21.0</v>
      </c>
      <c r="AQ30" s="1">
        <v>2.0</v>
      </c>
    </row>
    <row r="31">
      <c r="A31" s="1"/>
      <c r="B31" s="1">
        <v>343.0</v>
      </c>
      <c r="C31" s="1" t="s">
        <v>344</v>
      </c>
      <c r="D31" s="1" t="s">
        <v>345</v>
      </c>
      <c r="E31" s="1" t="s">
        <v>346</v>
      </c>
      <c r="F31" s="1" t="s">
        <v>43</v>
      </c>
      <c r="G31" s="2">
        <v>30463.0</v>
      </c>
      <c r="H31" s="1" t="s">
        <v>347</v>
      </c>
      <c r="I31" s="1">
        <v>33.0</v>
      </c>
      <c r="J31" s="1" t="s">
        <v>348</v>
      </c>
      <c r="K31" s="1">
        <v>5.0</v>
      </c>
      <c r="L31" s="4">
        <v>42907.0</v>
      </c>
      <c r="M31">
        <f t="shared" si="4"/>
        <v>426.7142857</v>
      </c>
      <c r="O31" s="1">
        <v>0.0</v>
      </c>
      <c r="P31" s="1" t="s">
        <v>75</v>
      </c>
      <c r="Q31" s="1" t="s">
        <v>76</v>
      </c>
      <c r="R31" s="1" t="s">
        <v>349</v>
      </c>
      <c r="U31" s="1" t="s">
        <v>350</v>
      </c>
      <c r="V31" s="1">
        <v>416.0</v>
      </c>
      <c r="W31" s="3" t="s">
        <v>351</v>
      </c>
      <c r="X31" s="1">
        <v>719592.0</v>
      </c>
      <c r="Y31" s="1" t="s">
        <v>352</v>
      </c>
      <c r="Z31" s="3" t="s">
        <v>353</v>
      </c>
      <c r="AA31" s="3" t="s">
        <v>354</v>
      </c>
      <c r="AB31" s="1">
        <v>2.0</v>
      </c>
      <c r="AC31" s="1" t="s">
        <v>355</v>
      </c>
      <c r="AD31" s="1">
        <v>25.0</v>
      </c>
      <c r="AE31" s="1">
        <f t="shared" si="5"/>
        <v>427</v>
      </c>
      <c r="AF31" s="1">
        <v>58.0</v>
      </c>
      <c r="AG31" s="1">
        <v>18.0</v>
      </c>
      <c r="AH31" s="1">
        <v>21.0</v>
      </c>
      <c r="AI31" s="1">
        <v>3.0</v>
      </c>
      <c r="AJ31" s="1">
        <v>17.0</v>
      </c>
      <c r="AK31" s="1">
        <v>184.0</v>
      </c>
      <c r="AL31" s="1">
        <v>105.0</v>
      </c>
      <c r="AM31" s="1">
        <v>1.0</v>
      </c>
      <c r="AN31" s="1">
        <v>0.0</v>
      </c>
      <c r="AO31" s="1">
        <v>5.0</v>
      </c>
      <c r="AP31" s="1">
        <v>15.0</v>
      </c>
      <c r="AQ31" s="1">
        <v>1.0</v>
      </c>
    </row>
    <row r="32">
      <c r="A32" s="1"/>
      <c r="B32" s="1">
        <v>484.0</v>
      </c>
      <c r="C32" s="1" t="s">
        <v>356</v>
      </c>
      <c r="D32" s="1" t="s">
        <v>357</v>
      </c>
      <c r="E32" s="1" t="s">
        <v>358</v>
      </c>
      <c r="F32" s="1" t="s">
        <v>58</v>
      </c>
      <c r="G32" s="2">
        <v>20075.0</v>
      </c>
      <c r="H32" s="1" t="s">
        <v>359</v>
      </c>
      <c r="I32" s="1">
        <v>31.0</v>
      </c>
      <c r="J32" s="1" t="s">
        <v>360</v>
      </c>
      <c r="K32" s="1">
        <v>7.0</v>
      </c>
      <c r="L32" s="4">
        <v>42907.0</v>
      </c>
      <c r="O32" s="1">
        <v>0.0</v>
      </c>
      <c r="P32" s="1" t="s">
        <v>75</v>
      </c>
      <c r="Q32" s="1" t="s">
        <v>76</v>
      </c>
      <c r="R32" s="1" t="s">
        <v>361</v>
      </c>
      <c r="U32" s="1" t="s">
        <v>118</v>
      </c>
      <c r="V32" s="1">
        <v>331.0</v>
      </c>
      <c r="W32" s="3" t="s">
        <v>362</v>
      </c>
      <c r="X32" s="1">
        <v>719540.0</v>
      </c>
      <c r="Y32" s="1" t="s">
        <v>363</v>
      </c>
      <c r="Z32" s="3" t="s">
        <v>364</v>
      </c>
      <c r="AA32" s="3" t="s">
        <v>365</v>
      </c>
      <c r="AB32" s="1">
        <v>2.0</v>
      </c>
      <c r="AC32" s="1" t="s">
        <v>366</v>
      </c>
      <c r="AD32" s="1">
        <v>25.0</v>
      </c>
      <c r="AE32" s="1">
        <f t="shared" si="5"/>
        <v>427</v>
      </c>
      <c r="AF32" s="1">
        <v>45.0</v>
      </c>
      <c r="AG32" s="1">
        <v>28.0</v>
      </c>
      <c r="AH32" s="1">
        <v>14.0</v>
      </c>
      <c r="AI32" s="1">
        <v>3.0</v>
      </c>
      <c r="AJ32" s="1">
        <v>17.0</v>
      </c>
      <c r="AK32" s="1">
        <v>79.0</v>
      </c>
      <c r="AL32" s="1">
        <v>26.0</v>
      </c>
      <c r="AM32" s="1">
        <v>3.0</v>
      </c>
      <c r="AN32" s="1">
        <v>0.0</v>
      </c>
      <c r="AO32" s="1">
        <v>5.0</v>
      </c>
      <c r="AP32" s="1">
        <v>21.0</v>
      </c>
      <c r="AQ32" s="1">
        <v>1.0</v>
      </c>
    </row>
    <row r="33">
      <c r="A33" s="1"/>
      <c r="B33" s="1">
        <v>215.0</v>
      </c>
      <c r="C33" s="1" t="s">
        <v>367</v>
      </c>
      <c r="D33" s="1" t="s">
        <v>368</v>
      </c>
      <c r="E33" s="1" t="s">
        <v>369</v>
      </c>
      <c r="F33" s="1" t="s">
        <v>43</v>
      </c>
      <c r="G33" s="2">
        <v>20806.0</v>
      </c>
      <c r="H33" s="1" t="s">
        <v>370</v>
      </c>
      <c r="I33" s="1">
        <v>76.0</v>
      </c>
      <c r="J33" s="1" t="s">
        <v>371</v>
      </c>
      <c r="K33" s="1">
        <v>3.0</v>
      </c>
      <c r="L33" s="4">
        <v>42907.0</v>
      </c>
      <c r="O33" s="1">
        <v>0.0</v>
      </c>
      <c r="P33" s="1" t="s">
        <v>101</v>
      </c>
      <c r="Q33" s="1" t="s">
        <v>102</v>
      </c>
      <c r="R33" s="3" t="s">
        <v>372</v>
      </c>
      <c r="U33" s="1" t="s">
        <v>373</v>
      </c>
      <c r="V33" s="1">
        <v>585.0</v>
      </c>
      <c r="W33" s="3" t="s">
        <v>374</v>
      </c>
      <c r="X33" s="1">
        <v>722110.0</v>
      </c>
      <c r="Y33" s="1" t="s">
        <v>375</v>
      </c>
      <c r="Z33" s="3" t="s">
        <v>376</v>
      </c>
      <c r="AA33" s="3" t="s">
        <v>377</v>
      </c>
      <c r="AB33" s="1">
        <v>1.0</v>
      </c>
      <c r="AD33" s="1">
        <v>25.0</v>
      </c>
      <c r="AE33" s="1">
        <f t="shared" si="5"/>
        <v>427</v>
      </c>
      <c r="AF33" s="1">
        <v>37.0</v>
      </c>
      <c r="AG33" s="1">
        <v>23.0</v>
      </c>
      <c r="AH33" s="1">
        <v>109.0</v>
      </c>
      <c r="AI33" s="1">
        <v>91.0</v>
      </c>
      <c r="AJ33" s="1">
        <v>8.0</v>
      </c>
      <c r="AK33" s="1">
        <v>657.0</v>
      </c>
      <c r="AL33" s="1">
        <v>22.0</v>
      </c>
      <c r="AM33" s="1">
        <v>0.0</v>
      </c>
      <c r="AN33" s="1">
        <v>0.0</v>
      </c>
      <c r="AO33" s="1">
        <v>20.0</v>
      </c>
      <c r="AP33" s="1">
        <v>8.0</v>
      </c>
      <c r="AQ33" s="1">
        <v>4.0</v>
      </c>
    </row>
    <row r="34">
      <c r="A34" s="1"/>
      <c r="B34" s="1">
        <v>43.0</v>
      </c>
      <c r="C34" s="1" t="s">
        <v>378</v>
      </c>
      <c r="D34" s="1" t="s">
        <v>379</v>
      </c>
      <c r="E34" s="1" t="s">
        <v>380</v>
      </c>
      <c r="F34" s="1" t="s">
        <v>58</v>
      </c>
      <c r="G34" s="2">
        <v>28010.0</v>
      </c>
      <c r="H34" s="1" t="s">
        <v>381</v>
      </c>
      <c r="I34" s="1">
        <v>38.0</v>
      </c>
      <c r="J34" s="1" t="s">
        <v>267</v>
      </c>
      <c r="K34" s="1">
        <v>8.0</v>
      </c>
      <c r="L34" s="4">
        <v>42907.0</v>
      </c>
      <c r="O34" s="1">
        <v>0.0</v>
      </c>
      <c r="P34" s="1" t="s">
        <v>75</v>
      </c>
      <c r="Q34" s="1" t="s">
        <v>76</v>
      </c>
      <c r="R34" s="1" t="s">
        <v>382</v>
      </c>
      <c r="U34" s="1" t="s">
        <v>383</v>
      </c>
      <c r="V34" s="1">
        <v>200.0</v>
      </c>
      <c r="W34" s="3" t="s">
        <v>384</v>
      </c>
      <c r="X34" s="1">
        <v>719866.0</v>
      </c>
      <c r="Y34" s="1" t="s">
        <v>385</v>
      </c>
      <c r="Z34" s="3" t="s">
        <v>386</v>
      </c>
      <c r="AA34" s="3" t="s">
        <v>387</v>
      </c>
      <c r="AB34" s="1">
        <v>1.0</v>
      </c>
      <c r="AC34" s="1" t="s">
        <v>388</v>
      </c>
      <c r="AD34" s="1">
        <v>24.0</v>
      </c>
      <c r="AE34" s="1">
        <f t="shared" si="5"/>
        <v>428</v>
      </c>
      <c r="AF34" s="1">
        <v>42.0</v>
      </c>
      <c r="AG34" s="1">
        <v>25.0</v>
      </c>
      <c r="AH34" s="1">
        <v>26.0</v>
      </c>
      <c r="AI34" s="1">
        <v>12.0</v>
      </c>
      <c r="AJ34" s="1">
        <v>7.0</v>
      </c>
      <c r="AK34" s="1">
        <v>67.0</v>
      </c>
      <c r="AL34" s="1">
        <v>26.0</v>
      </c>
      <c r="AM34" s="1">
        <v>0.0</v>
      </c>
      <c r="AN34" s="1">
        <v>0.0</v>
      </c>
      <c r="AO34" s="1">
        <v>5.0</v>
      </c>
      <c r="AP34" s="1">
        <v>1.0</v>
      </c>
      <c r="AQ34" s="1">
        <v>2.0</v>
      </c>
    </row>
    <row r="35">
      <c r="A35" s="1"/>
      <c r="B35" s="1">
        <v>323.0</v>
      </c>
      <c r="C35" s="1" t="s">
        <v>389</v>
      </c>
      <c r="D35" s="1" t="s">
        <v>390</v>
      </c>
      <c r="E35" s="1" t="s">
        <v>391</v>
      </c>
      <c r="F35" s="1" t="s">
        <v>43</v>
      </c>
      <c r="G35" s="2">
        <v>25985.0</v>
      </c>
      <c r="H35" s="1" t="s">
        <v>392</v>
      </c>
      <c r="I35" s="1">
        <v>29.0</v>
      </c>
      <c r="J35" s="1" t="s">
        <v>393</v>
      </c>
      <c r="K35" s="1">
        <v>8.0</v>
      </c>
      <c r="L35" s="4">
        <v>42907.0</v>
      </c>
      <c r="O35" s="1">
        <v>0.0</v>
      </c>
      <c r="P35" s="1" t="s">
        <v>280</v>
      </c>
      <c r="Q35" s="1" t="s">
        <v>281</v>
      </c>
      <c r="R35" s="1" t="s">
        <v>394</v>
      </c>
      <c r="U35" s="1" t="s">
        <v>395</v>
      </c>
      <c r="V35" s="1">
        <v>162.0</v>
      </c>
      <c r="W35" s="3" t="s">
        <v>396</v>
      </c>
      <c r="X35" s="1">
        <v>719558.0</v>
      </c>
      <c r="Y35" s="1" t="s">
        <v>397</v>
      </c>
      <c r="Z35" s="3" t="s">
        <v>398</v>
      </c>
      <c r="AA35" s="3" t="s">
        <v>399</v>
      </c>
      <c r="AB35" s="1">
        <v>2.0</v>
      </c>
      <c r="AC35" s="1" t="s">
        <v>400</v>
      </c>
      <c r="AD35" s="1">
        <v>24.0</v>
      </c>
      <c r="AE35" s="1">
        <f t="shared" si="5"/>
        <v>428</v>
      </c>
      <c r="AF35" s="1">
        <v>46.0</v>
      </c>
      <c r="AG35" s="1">
        <v>58.0</v>
      </c>
      <c r="AH35" s="1">
        <v>149.0</v>
      </c>
      <c r="AI35" s="1">
        <v>267.0</v>
      </c>
      <c r="AJ35" s="1">
        <v>26.0</v>
      </c>
      <c r="AK35" s="1">
        <v>262.0</v>
      </c>
      <c r="AL35" s="1">
        <v>26.0</v>
      </c>
      <c r="AM35" s="1">
        <v>0.0</v>
      </c>
      <c r="AN35" s="1">
        <v>0.0</v>
      </c>
      <c r="AO35" s="1">
        <v>7.0</v>
      </c>
      <c r="AP35" s="1">
        <v>3.0</v>
      </c>
      <c r="AQ35" s="1">
        <v>2.0</v>
      </c>
    </row>
    <row r="36">
      <c r="A36" s="1"/>
      <c r="B36" s="1">
        <v>482.0</v>
      </c>
      <c r="C36" s="1" t="s">
        <v>401</v>
      </c>
      <c r="D36" s="1" t="s">
        <v>402</v>
      </c>
      <c r="E36" s="1" t="s">
        <v>403</v>
      </c>
      <c r="F36" s="1" t="s">
        <v>58</v>
      </c>
      <c r="G36" s="2">
        <v>26623.0</v>
      </c>
      <c r="H36" s="1" t="s">
        <v>404</v>
      </c>
      <c r="I36" s="1">
        <v>87.0</v>
      </c>
      <c r="J36" s="1" t="s">
        <v>405</v>
      </c>
      <c r="K36" s="1">
        <v>1.0</v>
      </c>
      <c r="L36" s="4">
        <v>42907.0</v>
      </c>
      <c r="O36" s="1">
        <v>0.0</v>
      </c>
      <c r="P36" s="1" t="s">
        <v>75</v>
      </c>
      <c r="Q36" s="1" t="s">
        <v>76</v>
      </c>
      <c r="R36" s="1" t="s">
        <v>406</v>
      </c>
      <c r="U36" s="1">
        <v>0.0</v>
      </c>
      <c r="V36" s="1">
        <v>567.0</v>
      </c>
      <c r="W36" s="3" t="s">
        <v>407</v>
      </c>
      <c r="X36" s="1">
        <v>722170.0</v>
      </c>
      <c r="Y36" s="1" t="s">
        <v>408</v>
      </c>
      <c r="Z36" s="3" t="s">
        <v>409</v>
      </c>
      <c r="AA36" s="3" t="s">
        <v>410</v>
      </c>
      <c r="AB36" s="1">
        <v>1.0</v>
      </c>
      <c r="AC36" s="1" t="s">
        <v>411</v>
      </c>
      <c r="AD36" s="1">
        <v>24.0</v>
      </c>
      <c r="AE36" s="1">
        <f t="shared" si="5"/>
        <v>428</v>
      </c>
      <c r="AF36" s="1">
        <v>58.0</v>
      </c>
      <c r="AG36" s="1">
        <v>5.0</v>
      </c>
      <c r="AH36" s="1">
        <v>0.0</v>
      </c>
      <c r="AI36" s="1">
        <v>0.0</v>
      </c>
      <c r="AJ36" s="1">
        <v>0.0</v>
      </c>
      <c r="AK36" s="1">
        <v>66.0</v>
      </c>
      <c r="AL36" s="1">
        <v>28.0</v>
      </c>
      <c r="AM36" s="1">
        <v>0.0</v>
      </c>
      <c r="AN36" s="1">
        <v>0.0</v>
      </c>
      <c r="AO36" s="1">
        <v>5.0</v>
      </c>
      <c r="AP36" s="1">
        <v>1.0</v>
      </c>
      <c r="AQ36" s="1">
        <v>0.0</v>
      </c>
    </row>
    <row r="37">
      <c r="A37" s="1"/>
      <c r="B37" s="1">
        <v>173.0</v>
      </c>
      <c r="C37" s="1" t="s">
        <v>412</v>
      </c>
      <c r="D37" s="1" t="s">
        <v>346</v>
      </c>
      <c r="E37" s="1" t="s">
        <v>413</v>
      </c>
      <c r="F37" s="1" t="s">
        <v>43</v>
      </c>
      <c r="G37" s="2">
        <v>24363.0</v>
      </c>
      <c r="H37" s="1" t="s">
        <v>414</v>
      </c>
      <c r="I37" s="1">
        <v>35.0</v>
      </c>
      <c r="J37" s="1" t="s">
        <v>415</v>
      </c>
      <c r="K37" s="1">
        <v>6.0</v>
      </c>
      <c r="L37" s="4">
        <v>42907.0</v>
      </c>
      <c r="O37" s="1">
        <v>0.0</v>
      </c>
      <c r="P37" s="1" t="s">
        <v>46</v>
      </c>
      <c r="Q37" s="1" t="s">
        <v>47</v>
      </c>
      <c r="R37" s="1" t="s">
        <v>416</v>
      </c>
      <c r="U37" s="1" t="s">
        <v>417</v>
      </c>
      <c r="V37" s="1">
        <v>113.0</v>
      </c>
      <c r="W37" s="3" t="s">
        <v>418</v>
      </c>
      <c r="X37" s="1">
        <v>332228.0</v>
      </c>
      <c r="Y37" s="1" t="s">
        <v>419</v>
      </c>
      <c r="Z37" s="3" t="s">
        <v>420</v>
      </c>
      <c r="AA37" s="3" t="s">
        <v>421</v>
      </c>
      <c r="AB37" s="1">
        <v>1.0</v>
      </c>
      <c r="AC37" s="1" t="s">
        <v>422</v>
      </c>
      <c r="AD37" s="1">
        <v>24.0</v>
      </c>
      <c r="AE37" s="1">
        <f t="shared" si="5"/>
        <v>428</v>
      </c>
      <c r="AF37" s="1">
        <v>26.0</v>
      </c>
      <c r="AG37" s="1">
        <v>31.0</v>
      </c>
      <c r="AH37" s="1">
        <v>73.0</v>
      </c>
      <c r="AI37" s="1">
        <v>184.0</v>
      </c>
      <c r="AJ37" s="1">
        <v>17.0</v>
      </c>
      <c r="AK37" s="1">
        <v>482.0</v>
      </c>
      <c r="AL37" s="1">
        <v>28.0</v>
      </c>
      <c r="AM37" s="1">
        <v>0.0</v>
      </c>
      <c r="AN37" s="1">
        <v>0.0</v>
      </c>
      <c r="AO37" s="1">
        <v>10.0</v>
      </c>
      <c r="AP37" s="1">
        <v>2.0</v>
      </c>
      <c r="AQ37" s="1">
        <v>4.0</v>
      </c>
    </row>
    <row r="38">
      <c r="A38" s="1"/>
      <c r="B38" s="1">
        <v>66.0</v>
      </c>
      <c r="C38" s="1" t="s">
        <v>423</v>
      </c>
      <c r="D38" s="1" t="s">
        <v>424</v>
      </c>
      <c r="E38" s="1" t="s">
        <v>425</v>
      </c>
      <c r="F38" s="1" t="s">
        <v>58</v>
      </c>
      <c r="G38" s="2">
        <v>21630.0</v>
      </c>
      <c r="H38" s="1" t="s">
        <v>426</v>
      </c>
      <c r="I38" s="1">
        <v>62.0</v>
      </c>
      <c r="J38" s="1" t="s">
        <v>427</v>
      </c>
      <c r="K38" s="1">
        <v>6.0</v>
      </c>
      <c r="L38" s="4">
        <v>42907.0</v>
      </c>
      <c r="O38" s="1">
        <v>0.0</v>
      </c>
      <c r="P38" s="1" t="s">
        <v>75</v>
      </c>
      <c r="Q38" s="1" t="s">
        <v>76</v>
      </c>
      <c r="R38" s="1" t="s">
        <v>428</v>
      </c>
      <c r="U38" s="1" t="s">
        <v>429</v>
      </c>
      <c r="V38" s="1">
        <v>334.0</v>
      </c>
      <c r="W38" s="3" t="s">
        <v>430</v>
      </c>
      <c r="X38" s="1">
        <v>608083.0</v>
      </c>
      <c r="Y38" s="1" t="s">
        <v>431</v>
      </c>
      <c r="Z38" s="3" t="s">
        <v>432</v>
      </c>
      <c r="AA38" s="3" t="s">
        <v>433</v>
      </c>
      <c r="AB38" s="1">
        <v>1.0</v>
      </c>
      <c r="AC38" s="1" t="s">
        <v>434</v>
      </c>
      <c r="AD38" s="1">
        <v>24.0</v>
      </c>
      <c r="AE38" s="1">
        <f t="shared" si="5"/>
        <v>428</v>
      </c>
      <c r="AF38" s="1">
        <v>58.0</v>
      </c>
      <c r="AG38" s="1">
        <v>178.0</v>
      </c>
      <c r="AH38" s="1">
        <v>19.0</v>
      </c>
      <c r="AI38" s="1">
        <v>70.0</v>
      </c>
      <c r="AJ38" s="1">
        <v>0.0</v>
      </c>
      <c r="AK38" s="1">
        <v>20.0</v>
      </c>
      <c r="AL38" s="1">
        <v>5.0</v>
      </c>
      <c r="AM38" s="1">
        <v>0.0</v>
      </c>
      <c r="AN38" s="1">
        <v>0.0</v>
      </c>
      <c r="AO38" s="1">
        <v>6.0</v>
      </c>
      <c r="AP38" s="1">
        <v>0.0</v>
      </c>
      <c r="AQ38" s="1">
        <v>0.0</v>
      </c>
    </row>
    <row r="39">
      <c r="A39" s="1"/>
      <c r="B39" s="1">
        <v>101.0</v>
      </c>
      <c r="C39" s="1" t="s">
        <v>435</v>
      </c>
      <c r="D39" s="1" t="s">
        <v>436</v>
      </c>
      <c r="E39" s="1" t="s">
        <v>148</v>
      </c>
      <c r="F39" s="1" t="s">
        <v>43</v>
      </c>
      <c r="G39" s="2">
        <v>24013.0</v>
      </c>
      <c r="H39" s="1" t="s">
        <v>437</v>
      </c>
      <c r="I39" s="1">
        <v>6.0</v>
      </c>
      <c r="J39" s="1" t="s">
        <v>438</v>
      </c>
      <c r="K39" s="1">
        <v>1.0</v>
      </c>
      <c r="L39" s="2">
        <v>42907.0</v>
      </c>
      <c r="O39" s="1">
        <v>0.0</v>
      </c>
      <c r="P39" s="1" t="s">
        <v>61</v>
      </c>
      <c r="Q39" s="1" t="s">
        <v>62</v>
      </c>
      <c r="R39" s="1" t="s">
        <v>439</v>
      </c>
      <c r="U39" s="1" t="s">
        <v>440</v>
      </c>
      <c r="V39" s="1">
        <v>91.0</v>
      </c>
      <c r="W39" s="3" t="s">
        <v>441</v>
      </c>
      <c r="X39" s="1">
        <v>330240.0</v>
      </c>
      <c r="Y39" s="1" t="s">
        <v>442</v>
      </c>
      <c r="Z39" s="3" t="s">
        <v>443</v>
      </c>
      <c r="AA39" s="3" t="s">
        <v>444</v>
      </c>
      <c r="AB39" s="1">
        <v>1.0</v>
      </c>
      <c r="AC39" s="1" t="s">
        <v>445</v>
      </c>
      <c r="AD39" s="1">
        <v>24.0</v>
      </c>
      <c r="AE39" s="1">
        <f t="shared" si="5"/>
        <v>428</v>
      </c>
      <c r="AF39" s="1">
        <v>34.0</v>
      </c>
      <c r="AG39" s="1">
        <v>69.0</v>
      </c>
      <c r="AH39" s="1">
        <v>103.0</v>
      </c>
      <c r="AI39" s="1">
        <v>77.0</v>
      </c>
      <c r="AJ39" s="1">
        <v>134.0</v>
      </c>
      <c r="AK39" s="1">
        <v>495.0</v>
      </c>
      <c r="AL39" s="1">
        <v>21.0</v>
      </c>
      <c r="AM39" s="1">
        <v>1.0</v>
      </c>
      <c r="AN39" s="1">
        <v>5.0</v>
      </c>
      <c r="AO39" s="1">
        <v>31.0</v>
      </c>
      <c r="AP39" s="1">
        <v>41.0</v>
      </c>
      <c r="AQ39" s="1">
        <v>2.0</v>
      </c>
    </row>
    <row r="40">
      <c r="A40" s="1"/>
      <c r="B40" s="1">
        <v>345.0</v>
      </c>
      <c r="C40" s="1" t="s">
        <v>446</v>
      </c>
      <c r="D40" s="1" t="s">
        <v>447</v>
      </c>
      <c r="E40" s="1" t="s">
        <v>112</v>
      </c>
      <c r="F40" s="1" t="s">
        <v>58</v>
      </c>
      <c r="G40" s="2">
        <v>23678.0</v>
      </c>
      <c r="H40" s="1" t="s">
        <v>448</v>
      </c>
      <c r="I40" s="1">
        <v>35.0</v>
      </c>
      <c r="J40" s="1" t="s">
        <v>415</v>
      </c>
      <c r="K40" s="1">
        <v>5.0</v>
      </c>
      <c r="L40" s="2">
        <v>42907.0</v>
      </c>
      <c r="O40" s="1">
        <v>0.0</v>
      </c>
      <c r="P40" s="1" t="s">
        <v>75</v>
      </c>
      <c r="Q40" s="1" t="s">
        <v>76</v>
      </c>
      <c r="R40" s="3" t="s">
        <v>449</v>
      </c>
      <c r="U40" s="1" t="s">
        <v>450</v>
      </c>
      <c r="V40" s="1">
        <v>301.0</v>
      </c>
      <c r="W40" s="3" t="s">
        <v>451</v>
      </c>
      <c r="X40" s="1">
        <v>719756.0</v>
      </c>
      <c r="Y40" s="1" t="s">
        <v>452</v>
      </c>
      <c r="Z40" s="3" t="s">
        <v>453</v>
      </c>
      <c r="AA40" s="3" t="s">
        <v>454</v>
      </c>
      <c r="AB40" s="1">
        <v>2.0</v>
      </c>
      <c r="AC40" s="1" t="s">
        <v>455</v>
      </c>
      <c r="AD40" s="1">
        <v>24.0</v>
      </c>
      <c r="AE40" s="1">
        <f t="shared" si="5"/>
        <v>428</v>
      </c>
      <c r="AF40" s="1">
        <v>39.0</v>
      </c>
      <c r="AG40" s="1">
        <v>14.0</v>
      </c>
      <c r="AH40" s="1">
        <v>3.0</v>
      </c>
      <c r="AI40" s="1">
        <v>0.0</v>
      </c>
      <c r="AJ40" s="1">
        <v>4.0</v>
      </c>
      <c r="AK40" s="1">
        <v>63.0</v>
      </c>
      <c r="AL40" s="1">
        <v>30.0</v>
      </c>
      <c r="AM40" s="1">
        <v>1.0</v>
      </c>
      <c r="AN40" s="1">
        <v>0.0</v>
      </c>
      <c r="AO40" s="1">
        <v>5.0</v>
      </c>
      <c r="AP40" s="1">
        <v>3.0</v>
      </c>
      <c r="AQ40" s="1">
        <v>0.0</v>
      </c>
    </row>
    <row r="41">
      <c r="A41" s="1"/>
      <c r="B41" s="1">
        <v>397.0</v>
      </c>
      <c r="C41" s="1" t="s">
        <v>456</v>
      </c>
      <c r="D41" s="1" t="s">
        <v>457</v>
      </c>
      <c r="E41" s="1" t="s">
        <v>458</v>
      </c>
      <c r="F41" s="1" t="s">
        <v>43</v>
      </c>
      <c r="G41" s="2">
        <v>25067.0</v>
      </c>
      <c r="H41" s="1" t="s">
        <v>459</v>
      </c>
      <c r="I41" s="1">
        <v>93.0</v>
      </c>
      <c r="J41" s="1" t="s">
        <v>196</v>
      </c>
      <c r="K41" s="1">
        <v>7.0</v>
      </c>
      <c r="L41" s="2">
        <v>42907.0</v>
      </c>
      <c r="O41" s="1">
        <v>0.0</v>
      </c>
      <c r="P41" s="1" t="s">
        <v>173</v>
      </c>
      <c r="Q41" s="1" t="s">
        <v>174</v>
      </c>
      <c r="R41" s="1" t="s">
        <v>460</v>
      </c>
      <c r="U41" s="1" t="s">
        <v>461</v>
      </c>
      <c r="V41" s="1">
        <v>603.0</v>
      </c>
      <c r="W41" s="3" t="s">
        <v>462</v>
      </c>
      <c r="X41" s="1">
        <v>721210.0</v>
      </c>
      <c r="Y41" s="1" t="s">
        <v>463</v>
      </c>
      <c r="Z41" s="3" t="s">
        <v>464</v>
      </c>
      <c r="AA41" s="3" t="s">
        <v>465</v>
      </c>
      <c r="AB41" s="1">
        <v>1.0</v>
      </c>
      <c r="AC41" s="1" t="s">
        <v>466</v>
      </c>
      <c r="AD41" s="1">
        <v>24.0</v>
      </c>
      <c r="AE41" s="1">
        <f t="shared" si="5"/>
        <v>428</v>
      </c>
      <c r="AF41" s="1">
        <v>34.0</v>
      </c>
      <c r="AG41" s="1">
        <v>34.0</v>
      </c>
      <c r="AH41" s="1">
        <v>277.0</v>
      </c>
      <c r="AI41" s="1">
        <v>407.0</v>
      </c>
      <c r="AJ41" s="1">
        <v>14.0</v>
      </c>
      <c r="AK41" s="1">
        <v>2061.0</v>
      </c>
      <c r="AL41" s="1">
        <v>32.0</v>
      </c>
      <c r="AM41" s="1">
        <v>0.0</v>
      </c>
      <c r="AN41" s="1">
        <v>0.0</v>
      </c>
      <c r="AO41" s="1">
        <v>13.0</v>
      </c>
      <c r="AP41" s="1">
        <v>12.0</v>
      </c>
      <c r="AQ41" s="1">
        <v>4.0</v>
      </c>
    </row>
    <row r="42">
      <c r="A42" s="1"/>
      <c r="B42" s="1">
        <v>331.0</v>
      </c>
      <c r="C42" s="1" t="s">
        <v>467</v>
      </c>
      <c r="D42" s="1" t="s">
        <v>468</v>
      </c>
      <c r="E42" s="1" t="s">
        <v>469</v>
      </c>
      <c r="F42" s="1" t="s">
        <v>43</v>
      </c>
      <c r="G42" s="2">
        <v>31647.0</v>
      </c>
      <c r="H42" s="1" t="s">
        <v>470</v>
      </c>
      <c r="I42" s="1">
        <v>57.0</v>
      </c>
      <c r="J42" s="1" t="s">
        <v>471</v>
      </c>
      <c r="K42" s="1">
        <v>4.0</v>
      </c>
      <c r="L42" s="2">
        <v>42907.0</v>
      </c>
      <c r="O42" s="1">
        <v>0.0</v>
      </c>
      <c r="P42" s="1" t="s">
        <v>61</v>
      </c>
      <c r="Q42" s="1" t="s">
        <v>62</v>
      </c>
      <c r="U42" s="1" t="s">
        <v>472</v>
      </c>
      <c r="V42" s="1">
        <v>13.0</v>
      </c>
      <c r="W42" s="3" t="s">
        <v>473</v>
      </c>
      <c r="X42" s="1">
        <v>720386.0</v>
      </c>
      <c r="Y42" s="1" t="s">
        <v>474</v>
      </c>
      <c r="Z42" s="3" t="s">
        <v>475</v>
      </c>
      <c r="AA42" s="3" t="s">
        <v>476</v>
      </c>
      <c r="AB42" s="1">
        <v>2.0</v>
      </c>
      <c r="AD42" s="1">
        <v>24.0</v>
      </c>
      <c r="AE42" s="1">
        <f t="shared" si="5"/>
        <v>428</v>
      </c>
      <c r="AF42" s="1">
        <v>39.0</v>
      </c>
      <c r="AG42" s="1">
        <v>55.0</v>
      </c>
      <c r="AH42" s="1">
        <v>214.0</v>
      </c>
      <c r="AI42" s="1">
        <v>1402.0</v>
      </c>
      <c r="AJ42" s="1">
        <v>7.0</v>
      </c>
      <c r="AK42" s="1">
        <v>720.0</v>
      </c>
      <c r="AL42" s="1">
        <v>16.0</v>
      </c>
      <c r="AM42" s="1">
        <v>0.0</v>
      </c>
      <c r="AN42" s="1">
        <v>0.0</v>
      </c>
      <c r="AO42" s="1">
        <v>53.0</v>
      </c>
      <c r="AP42" s="1">
        <v>16.0</v>
      </c>
      <c r="AQ42" s="1">
        <v>1.0</v>
      </c>
    </row>
    <row r="43">
      <c r="A43" s="1"/>
      <c r="B43" s="1">
        <v>118.0</v>
      </c>
      <c r="C43" s="1" t="s">
        <v>477</v>
      </c>
      <c r="D43" s="1" t="s">
        <v>478</v>
      </c>
      <c r="E43" s="1" t="s">
        <v>479</v>
      </c>
      <c r="F43" s="1" t="s">
        <v>43</v>
      </c>
      <c r="G43" s="2">
        <v>32057.0</v>
      </c>
      <c r="H43" s="1" t="s">
        <v>480</v>
      </c>
      <c r="I43" s="1">
        <v>62.0</v>
      </c>
      <c r="J43" s="1" t="s">
        <v>427</v>
      </c>
      <c r="K43" s="1">
        <v>7.0</v>
      </c>
      <c r="L43" s="2">
        <v>42907.0</v>
      </c>
      <c r="O43" s="1">
        <v>0.0</v>
      </c>
      <c r="P43" s="1" t="s">
        <v>61</v>
      </c>
      <c r="Q43" s="1" t="s">
        <v>62</v>
      </c>
      <c r="R43" s="1" t="s">
        <v>481</v>
      </c>
      <c r="U43" s="1" t="s">
        <v>482</v>
      </c>
      <c r="V43" s="1">
        <v>50.0</v>
      </c>
      <c r="W43" s="3" t="s">
        <v>483</v>
      </c>
      <c r="X43" s="1">
        <v>720684.0</v>
      </c>
      <c r="Y43" s="1" t="s">
        <v>484</v>
      </c>
      <c r="Z43" s="3" t="s">
        <v>485</v>
      </c>
      <c r="AA43" s="3" t="s">
        <v>486</v>
      </c>
      <c r="AB43" s="1">
        <v>2.0</v>
      </c>
      <c r="AC43" s="1" t="s">
        <v>487</v>
      </c>
      <c r="AD43" s="1">
        <v>24.0</v>
      </c>
      <c r="AE43" s="1">
        <f t="shared" si="5"/>
        <v>428</v>
      </c>
      <c r="AF43" s="1">
        <v>31.0</v>
      </c>
      <c r="AG43" s="1">
        <v>13.0</v>
      </c>
      <c r="AH43" s="1">
        <v>152.0</v>
      </c>
      <c r="AI43" s="1">
        <v>114.0</v>
      </c>
      <c r="AJ43" s="1">
        <v>61.0</v>
      </c>
      <c r="AK43" s="1">
        <v>1185.0</v>
      </c>
      <c r="AL43" s="1">
        <v>34.0</v>
      </c>
      <c r="AM43" s="1">
        <v>1.0</v>
      </c>
      <c r="AN43" s="1">
        <v>0.0</v>
      </c>
      <c r="AO43" s="1">
        <v>40.0</v>
      </c>
      <c r="AP43" s="1">
        <v>8.0</v>
      </c>
      <c r="AQ43" s="1">
        <v>3.0</v>
      </c>
    </row>
    <row r="44">
      <c r="A44" s="1"/>
      <c r="B44" s="1">
        <v>137.0</v>
      </c>
      <c r="C44" s="1" t="s">
        <v>488</v>
      </c>
      <c r="D44" s="1" t="s">
        <v>489</v>
      </c>
      <c r="E44" s="1" t="s">
        <v>490</v>
      </c>
      <c r="F44" s="1" t="s">
        <v>58</v>
      </c>
      <c r="G44" s="2">
        <v>32583.0</v>
      </c>
      <c r="H44" s="1" t="s">
        <v>491</v>
      </c>
      <c r="I44" s="1">
        <v>44.0</v>
      </c>
      <c r="J44" s="1" t="s">
        <v>492</v>
      </c>
      <c r="K44" s="1">
        <v>5.0</v>
      </c>
      <c r="L44" s="2">
        <v>42907.0</v>
      </c>
      <c r="O44" s="1">
        <v>0.0</v>
      </c>
      <c r="P44" s="1" t="s">
        <v>280</v>
      </c>
      <c r="Q44" s="1" t="s">
        <v>281</v>
      </c>
      <c r="R44" s="1" t="s">
        <v>493</v>
      </c>
      <c r="U44" s="1" t="s">
        <v>162</v>
      </c>
      <c r="V44" s="1">
        <v>172.0</v>
      </c>
      <c r="W44" s="3" t="s">
        <v>494</v>
      </c>
      <c r="X44" s="1">
        <v>720002.0</v>
      </c>
      <c r="Y44" s="1" t="s">
        <v>495</v>
      </c>
      <c r="Z44" s="3" t="s">
        <v>496</v>
      </c>
      <c r="AA44" s="3" t="s">
        <v>497</v>
      </c>
      <c r="AB44" s="1">
        <v>1.0</v>
      </c>
      <c r="AC44" s="1" t="s">
        <v>498</v>
      </c>
      <c r="AD44" s="1">
        <v>24.0</v>
      </c>
      <c r="AE44" s="1">
        <f t="shared" si="5"/>
        <v>428</v>
      </c>
      <c r="AF44" s="1">
        <v>76.0</v>
      </c>
      <c r="AG44" s="1">
        <v>55.0</v>
      </c>
      <c r="AH44" s="1">
        <v>70.0</v>
      </c>
      <c r="AI44" s="1">
        <v>20.0</v>
      </c>
      <c r="AJ44" s="1">
        <v>21.0</v>
      </c>
      <c r="AK44" s="1">
        <v>284.0</v>
      </c>
      <c r="AL44" s="1">
        <v>40.0</v>
      </c>
      <c r="AM44" s="1">
        <v>1.0</v>
      </c>
      <c r="AN44" s="1">
        <v>0.0</v>
      </c>
      <c r="AO44" s="1">
        <v>8.0</v>
      </c>
      <c r="AP44" s="1">
        <v>9.0</v>
      </c>
      <c r="AQ44" s="1">
        <v>5.0</v>
      </c>
    </row>
    <row r="45">
      <c r="A45" s="1"/>
      <c r="B45" s="1">
        <v>69.0</v>
      </c>
      <c r="C45" s="1" t="s">
        <v>499</v>
      </c>
      <c r="D45" s="1" t="s">
        <v>500</v>
      </c>
      <c r="E45" s="1" t="s">
        <v>501</v>
      </c>
      <c r="F45" s="1" t="s">
        <v>43</v>
      </c>
      <c r="G45" s="2">
        <v>20851.0</v>
      </c>
      <c r="H45" s="1" t="s">
        <v>502</v>
      </c>
      <c r="I45" s="1">
        <v>77.0</v>
      </c>
      <c r="J45" s="1" t="s">
        <v>503</v>
      </c>
      <c r="K45" s="1">
        <v>8.0</v>
      </c>
      <c r="L45" s="2">
        <v>42907.0</v>
      </c>
      <c r="O45" s="1">
        <v>0.0</v>
      </c>
      <c r="P45" s="1" t="s">
        <v>75</v>
      </c>
      <c r="Q45" s="1" t="s">
        <v>76</v>
      </c>
      <c r="U45" s="1" t="s">
        <v>504</v>
      </c>
      <c r="V45" s="1">
        <v>213.0</v>
      </c>
      <c r="W45" s="3" t="s">
        <v>505</v>
      </c>
      <c r="X45" s="1">
        <v>721702.0</v>
      </c>
      <c r="Y45" s="1" t="s">
        <v>506</v>
      </c>
      <c r="Z45" s="3" t="s">
        <v>507</v>
      </c>
      <c r="AA45" s="3" t="s">
        <v>508</v>
      </c>
      <c r="AB45" s="1">
        <v>1.0</v>
      </c>
      <c r="AD45" s="1">
        <v>24.0</v>
      </c>
      <c r="AE45" s="1">
        <f t="shared" si="5"/>
        <v>428</v>
      </c>
      <c r="AF45" s="1">
        <v>37.0</v>
      </c>
      <c r="AG45" s="1">
        <v>13.0</v>
      </c>
      <c r="AH45" s="1">
        <v>12.0</v>
      </c>
      <c r="AI45" s="1">
        <v>4.0</v>
      </c>
      <c r="AJ45" s="1">
        <v>0.0</v>
      </c>
      <c r="AK45" s="1">
        <v>66.0</v>
      </c>
      <c r="AL45" s="1">
        <v>27.0</v>
      </c>
      <c r="AM45" s="1">
        <v>1.0</v>
      </c>
      <c r="AN45" s="1">
        <v>0.0</v>
      </c>
      <c r="AO45" s="1">
        <v>5.0</v>
      </c>
      <c r="AP45" s="1">
        <v>0.0</v>
      </c>
      <c r="AQ45" s="1">
        <v>0.0</v>
      </c>
    </row>
    <row r="46">
      <c r="A46" s="1"/>
      <c r="B46" s="1">
        <v>74.0</v>
      </c>
      <c r="C46" s="1" t="s">
        <v>509</v>
      </c>
      <c r="D46" s="1" t="s">
        <v>510</v>
      </c>
      <c r="E46" s="1" t="s">
        <v>511</v>
      </c>
      <c r="F46" s="1" t="s">
        <v>43</v>
      </c>
      <c r="G46" s="2">
        <v>32424.0</v>
      </c>
      <c r="H46" s="1" t="s">
        <v>512</v>
      </c>
      <c r="I46" s="1">
        <v>86.0</v>
      </c>
      <c r="J46" s="1" t="s">
        <v>513</v>
      </c>
      <c r="K46" s="1">
        <v>2.0</v>
      </c>
      <c r="L46" s="2">
        <v>42907.0</v>
      </c>
      <c r="O46" s="1">
        <v>0.0</v>
      </c>
      <c r="P46" s="1" t="s">
        <v>75</v>
      </c>
      <c r="Q46" s="1" t="s">
        <v>76</v>
      </c>
      <c r="R46" s="1" t="s">
        <v>514</v>
      </c>
      <c r="U46" s="1" t="s">
        <v>304</v>
      </c>
      <c r="V46" s="1">
        <v>537.0</v>
      </c>
      <c r="W46" s="3" t="s">
        <v>515</v>
      </c>
      <c r="X46" s="1">
        <v>722150.0</v>
      </c>
      <c r="Y46" s="1" t="s">
        <v>516</v>
      </c>
      <c r="Z46" s="3" t="s">
        <v>517</v>
      </c>
      <c r="AA46" s="3" t="s">
        <v>518</v>
      </c>
      <c r="AB46" s="1">
        <v>1.0</v>
      </c>
      <c r="AC46" s="1" t="s">
        <v>519</v>
      </c>
      <c r="AD46" s="1">
        <v>24.0</v>
      </c>
      <c r="AE46" s="1">
        <f t="shared" si="5"/>
        <v>428</v>
      </c>
      <c r="AF46" s="1">
        <v>34.0</v>
      </c>
      <c r="AG46" s="1">
        <v>11.0</v>
      </c>
      <c r="AH46" s="1">
        <v>495.0</v>
      </c>
      <c r="AI46" s="1">
        <v>2999.0</v>
      </c>
      <c r="AJ46" s="1">
        <v>29.0</v>
      </c>
      <c r="AK46" s="1">
        <v>88.0</v>
      </c>
      <c r="AL46" s="1">
        <v>46.0</v>
      </c>
      <c r="AM46" s="1">
        <v>2.0</v>
      </c>
      <c r="AN46" s="1">
        <v>0.0</v>
      </c>
      <c r="AO46" s="1">
        <v>7.0</v>
      </c>
      <c r="AP46" s="1">
        <v>4.0</v>
      </c>
      <c r="AQ46" s="1">
        <v>1.0</v>
      </c>
    </row>
    <row r="47">
      <c r="A47" s="1"/>
      <c r="B47" s="1">
        <v>279.0</v>
      </c>
      <c r="C47" s="1" t="s">
        <v>520</v>
      </c>
      <c r="D47" s="1" t="s">
        <v>521</v>
      </c>
      <c r="E47" s="1" t="s">
        <v>522</v>
      </c>
      <c r="F47" s="1" t="s">
        <v>43</v>
      </c>
      <c r="G47" s="2">
        <v>29098.0</v>
      </c>
      <c r="H47" s="1" t="s">
        <v>523</v>
      </c>
      <c r="I47" s="1">
        <v>19.0</v>
      </c>
      <c r="J47" s="1" t="s">
        <v>524</v>
      </c>
      <c r="K47" s="1">
        <v>1.0</v>
      </c>
      <c r="L47" s="2">
        <v>42907.0</v>
      </c>
      <c r="O47" s="1">
        <v>0.0</v>
      </c>
      <c r="P47" s="1" t="s">
        <v>75</v>
      </c>
      <c r="Q47" s="1" t="s">
        <v>76</v>
      </c>
      <c r="R47" s="1" t="s">
        <v>525</v>
      </c>
      <c r="U47" s="1" t="s">
        <v>526</v>
      </c>
      <c r="V47" s="1">
        <v>320.0</v>
      </c>
      <c r="W47" s="3" t="s">
        <v>527</v>
      </c>
      <c r="X47" s="1">
        <v>719060.0</v>
      </c>
      <c r="Y47" s="1" t="s">
        <v>528</v>
      </c>
      <c r="Z47" s="3" t="s">
        <v>529</v>
      </c>
      <c r="AA47" s="3" t="s">
        <v>530</v>
      </c>
      <c r="AB47" s="1">
        <v>2.0</v>
      </c>
      <c r="AC47" s="1" t="s">
        <v>531</v>
      </c>
      <c r="AD47" s="1">
        <v>24.0</v>
      </c>
      <c r="AE47" s="1">
        <f t="shared" si="5"/>
        <v>428</v>
      </c>
      <c r="AF47" s="1">
        <v>66.0</v>
      </c>
      <c r="AG47" s="1">
        <v>33.0</v>
      </c>
      <c r="AH47" s="1">
        <v>64.0</v>
      </c>
      <c r="AI47" s="1">
        <v>22.0</v>
      </c>
      <c r="AJ47" s="1">
        <v>1.0</v>
      </c>
      <c r="AK47" s="1">
        <v>199.0</v>
      </c>
      <c r="AL47" s="1">
        <v>144.0</v>
      </c>
      <c r="AM47" s="1">
        <v>1.0</v>
      </c>
      <c r="AN47" s="1">
        <v>0.0</v>
      </c>
      <c r="AO47" s="1">
        <v>6.0</v>
      </c>
      <c r="AP47" s="1">
        <v>17.0</v>
      </c>
      <c r="AQ47" s="1">
        <v>1.0</v>
      </c>
    </row>
    <row r="48">
      <c r="A48" s="1"/>
      <c r="B48" s="1">
        <v>95.0</v>
      </c>
      <c r="C48" s="1" t="s">
        <v>532</v>
      </c>
      <c r="D48" s="1" t="s">
        <v>533</v>
      </c>
      <c r="E48" s="1" t="s">
        <v>534</v>
      </c>
      <c r="F48" s="1" t="s">
        <v>43</v>
      </c>
      <c r="G48" s="2">
        <v>26334.0</v>
      </c>
      <c r="H48" s="1" t="s">
        <v>535</v>
      </c>
      <c r="I48" s="1">
        <v>42.0</v>
      </c>
      <c r="J48" s="1" t="s">
        <v>536</v>
      </c>
      <c r="K48" s="1">
        <v>1.0</v>
      </c>
      <c r="L48" s="2">
        <v>42907.0</v>
      </c>
      <c r="O48" s="1">
        <v>0.0</v>
      </c>
      <c r="P48" s="1" t="s">
        <v>115</v>
      </c>
      <c r="Q48" s="1" t="s">
        <v>116</v>
      </c>
      <c r="R48" s="1" t="s">
        <v>537</v>
      </c>
      <c r="U48" s="1" t="s">
        <v>538</v>
      </c>
      <c r="V48" s="1">
        <v>508.0</v>
      </c>
      <c r="W48" s="3" t="s">
        <v>539</v>
      </c>
      <c r="X48" s="1">
        <v>332614.0</v>
      </c>
      <c r="Y48" s="1" t="s">
        <v>540</v>
      </c>
      <c r="Z48" s="3" t="s">
        <v>541</v>
      </c>
      <c r="AA48" s="3" t="s">
        <v>542</v>
      </c>
      <c r="AB48" s="1">
        <v>1.0</v>
      </c>
      <c r="AC48" s="1" t="s">
        <v>543</v>
      </c>
      <c r="AD48" s="1">
        <v>24.0</v>
      </c>
      <c r="AE48" s="1">
        <f t="shared" si="5"/>
        <v>428</v>
      </c>
      <c r="AF48" s="1">
        <v>53.0</v>
      </c>
      <c r="AG48" s="1">
        <v>66.0</v>
      </c>
      <c r="AH48" s="1">
        <v>90.0</v>
      </c>
      <c r="AI48" s="1">
        <v>68.0</v>
      </c>
      <c r="AJ48" s="1">
        <v>42.0</v>
      </c>
      <c r="AK48" s="1">
        <v>1268.0</v>
      </c>
      <c r="AL48" s="1">
        <v>81.0</v>
      </c>
      <c r="AM48" s="1">
        <v>1.0</v>
      </c>
      <c r="AN48" s="1">
        <v>0.0</v>
      </c>
      <c r="AO48" s="1">
        <v>7.0</v>
      </c>
      <c r="AP48" s="1">
        <v>33.0</v>
      </c>
      <c r="AQ48" s="1">
        <v>3.0</v>
      </c>
    </row>
    <row r="49">
      <c r="A49" s="1"/>
      <c r="B49" s="1">
        <v>371.0</v>
      </c>
      <c r="C49" s="1" t="s">
        <v>544</v>
      </c>
      <c r="D49" s="1" t="s">
        <v>545</v>
      </c>
      <c r="E49" s="1" t="s">
        <v>546</v>
      </c>
      <c r="F49" s="1" t="s">
        <v>43</v>
      </c>
      <c r="G49" s="2">
        <v>20286.0</v>
      </c>
      <c r="H49" s="1" t="s">
        <v>207</v>
      </c>
      <c r="I49" s="1">
        <v>37.0</v>
      </c>
      <c r="J49" s="1" t="s">
        <v>547</v>
      </c>
      <c r="K49" s="1">
        <v>2.0</v>
      </c>
      <c r="L49" s="2">
        <v>42907.0</v>
      </c>
      <c r="O49" s="1">
        <v>0.0</v>
      </c>
      <c r="P49" s="1" t="s">
        <v>75</v>
      </c>
      <c r="Q49" s="1" t="s">
        <v>76</v>
      </c>
      <c r="R49" s="1" t="s">
        <v>548</v>
      </c>
      <c r="U49" s="1" t="s">
        <v>549</v>
      </c>
      <c r="V49" s="1">
        <v>342.0</v>
      </c>
      <c r="W49" s="3" t="s">
        <v>550</v>
      </c>
      <c r="X49" s="1">
        <v>719798.0</v>
      </c>
      <c r="Y49" s="1" t="s">
        <v>551</v>
      </c>
      <c r="Z49" s="3" t="s">
        <v>552</v>
      </c>
      <c r="AA49" s="3" t="s">
        <v>553</v>
      </c>
      <c r="AB49" s="1">
        <v>2.0</v>
      </c>
      <c r="AC49" s="1" t="s">
        <v>554</v>
      </c>
      <c r="AD49" s="1">
        <v>24.0</v>
      </c>
      <c r="AE49" s="1">
        <f t="shared" si="5"/>
        <v>428</v>
      </c>
      <c r="AF49" s="1">
        <v>72.0</v>
      </c>
      <c r="AG49" s="1">
        <v>30.0</v>
      </c>
      <c r="AH49" s="1">
        <v>37.0</v>
      </c>
      <c r="AI49" s="1">
        <v>29.0</v>
      </c>
      <c r="AJ49" s="1">
        <v>7.0</v>
      </c>
      <c r="AK49" s="1">
        <v>210.0</v>
      </c>
      <c r="AL49" s="1">
        <v>116.0</v>
      </c>
      <c r="AM49" s="1">
        <v>1.0</v>
      </c>
      <c r="AN49" s="1">
        <v>0.0</v>
      </c>
      <c r="AO49" s="1">
        <v>5.0</v>
      </c>
      <c r="AP49" s="1">
        <v>3.0</v>
      </c>
      <c r="AQ49" s="1">
        <v>1.0</v>
      </c>
    </row>
    <row r="50">
      <c r="A50" s="1"/>
      <c r="B50" s="1">
        <v>212.0</v>
      </c>
      <c r="C50" s="1" t="s">
        <v>555</v>
      </c>
      <c r="D50" s="1" t="s">
        <v>556</v>
      </c>
      <c r="E50" s="1" t="s">
        <v>557</v>
      </c>
      <c r="F50" s="1" t="s">
        <v>43</v>
      </c>
      <c r="G50" s="2">
        <v>29438.0</v>
      </c>
      <c r="H50" s="1" t="s">
        <v>558</v>
      </c>
      <c r="I50" s="1">
        <v>93.0</v>
      </c>
      <c r="J50" s="1" t="s">
        <v>196</v>
      </c>
      <c r="K50" s="1">
        <v>6.0</v>
      </c>
      <c r="L50" s="2">
        <v>42907.0</v>
      </c>
      <c r="O50" s="1">
        <v>0.0</v>
      </c>
      <c r="P50" s="1" t="s">
        <v>173</v>
      </c>
      <c r="Q50" s="1" t="s">
        <v>174</v>
      </c>
      <c r="R50" s="1" t="s">
        <v>559</v>
      </c>
      <c r="U50" s="1" t="s">
        <v>269</v>
      </c>
      <c r="V50" s="1">
        <v>626.0</v>
      </c>
      <c r="W50" s="3" t="s">
        <v>560</v>
      </c>
      <c r="X50" s="1">
        <v>720846.0</v>
      </c>
      <c r="Y50" s="1" t="s">
        <v>561</v>
      </c>
      <c r="Z50" s="3" t="s">
        <v>562</v>
      </c>
      <c r="AA50" s="3" t="s">
        <v>563</v>
      </c>
      <c r="AB50" s="1">
        <v>1.0</v>
      </c>
      <c r="AC50" s="1" t="s">
        <v>564</v>
      </c>
      <c r="AD50" s="1">
        <v>24.0</v>
      </c>
      <c r="AE50" s="1">
        <f t="shared" si="5"/>
        <v>428</v>
      </c>
      <c r="AF50" s="1">
        <v>47.0</v>
      </c>
      <c r="AG50" s="1">
        <v>78.0</v>
      </c>
      <c r="AH50" s="1">
        <v>200.0</v>
      </c>
      <c r="AI50" s="1">
        <v>85.0</v>
      </c>
      <c r="AJ50" s="1">
        <v>33.0</v>
      </c>
      <c r="AK50" s="1">
        <v>2061.0</v>
      </c>
      <c r="AL50" s="1">
        <v>32.0</v>
      </c>
      <c r="AM50" s="1">
        <v>1.0</v>
      </c>
      <c r="AN50" s="1">
        <v>3.0</v>
      </c>
      <c r="AO50" s="1">
        <v>15.0</v>
      </c>
      <c r="AP50" s="1">
        <v>18.0</v>
      </c>
      <c r="AQ50" s="1">
        <v>4.0</v>
      </c>
    </row>
    <row r="51">
      <c r="A51" s="1"/>
      <c r="B51" s="1">
        <v>369.0</v>
      </c>
      <c r="C51" s="1" t="s">
        <v>565</v>
      </c>
      <c r="D51" s="1" t="s">
        <v>566</v>
      </c>
      <c r="E51" s="1" t="s">
        <v>567</v>
      </c>
      <c r="F51" s="1" t="s">
        <v>43</v>
      </c>
      <c r="G51" s="2">
        <v>23198.0</v>
      </c>
      <c r="H51" s="1" t="s">
        <v>568</v>
      </c>
      <c r="I51" s="1">
        <v>35.0</v>
      </c>
      <c r="J51" s="1" t="s">
        <v>415</v>
      </c>
      <c r="K51" s="1">
        <v>7.0</v>
      </c>
      <c r="L51" s="2">
        <v>42907.0</v>
      </c>
      <c r="O51" s="1">
        <v>0.0</v>
      </c>
      <c r="P51" s="1" t="s">
        <v>61</v>
      </c>
      <c r="Q51" s="1" t="s">
        <v>62</v>
      </c>
      <c r="R51" s="1" t="s">
        <v>569</v>
      </c>
      <c r="U51" s="1" t="s">
        <v>570</v>
      </c>
      <c r="V51" s="1">
        <v>10.0</v>
      </c>
      <c r="W51" s="3" t="s">
        <v>571</v>
      </c>
      <c r="X51" s="1">
        <v>606712.0</v>
      </c>
      <c r="Y51" s="1" t="s">
        <v>572</v>
      </c>
      <c r="Z51" s="3" t="s">
        <v>573</v>
      </c>
      <c r="AA51" s="3" t="s">
        <v>574</v>
      </c>
      <c r="AB51" s="1">
        <v>2.0</v>
      </c>
      <c r="AC51" s="1" t="s">
        <v>575</v>
      </c>
      <c r="AD51" s="1">
        <v>24.0</v>
      </c>
      <c r="AE51" s="1">
        <f t="shared" si="5"/>
        <v>428</v>
      </c>
      <c r="AF51" s="1">
        <v>63.0</v>
      </c>
      <c r="AG51" s="1">
        <v>92.0</v>
      </c>
      <c r="AH51" s="1">
        <v>225.0</v>
      </c>
      <c r="AI51" s="1">
        <v>170.0</v>
      </c>
      <c r="AJ51" s="1">
        <v>148.0</v>
      </c>
      <c r="AK51" s="1">
        <v>1113.0</v>
      </c>
      <c r="AL51" s="1">
        <v>42.0</v>
      </c>
      <c r="AM51" s="1">
        <v>1.0</v>
      </c>
      <c r="AN51" s="1">
        <v>2.0</v>
      </c>
      <c r="AO51" s="1">
        <v>40.0</v>
      </c>
      <c r="AP51" s="1">
        <v>17.0</v>
      </c>
      <c r="AQ51" s="1">
        <v>1.0</v>
      </c>
    </row>
    <row r="52">
      <c r="A52" s="1"/>
      <c r="B52" s="1">
        <v>113.0</v>
      </c>
      <c r="C52" s="1" t="s">
        <v>576</v>
      </c>
      <c r="D52" s="1" t="s">
        <v>577</v>
      </c>
      <c r="E52" s="1" t="s">
        <v>98</v>
      </c>
      <c r="F52" s="1" t="s">
        <v>43</v>
      </c>
      <c r="G52" s="2">
        <v>19804.0</v>
      </c>
      <c r="H52" s="1" t="s">
        <v>578</v>
      </c>
      <c r="I52" s="1">
        <v>64.0</v>
      </c>
      <c r="J52" s="1" t="s">
        <v>579</v>
      </c>
      <c r="K52" s="1">
        <v>2.0</v>
      </c>
      <c r="L52" s="2">
        <v>42907.0</v>
      </c>
      <c r="O52" s="1">
        <v>0.0</v>
      </c>
      <c r="P52" s="1" t="s">
        <v>280</v>
      </c>
      <c r="Q52" s="1" t="s">
        <v>281</v>
      </c>
      <c r="R52" s="1" t="s">
        <v>580</v>
      </c>
      <c r="U52" s="1" t="s">
        <v>581</v>
      </c>
      <c r="V52" s="1">
        <v>255.0</v>
      </c>
      <c r="W52" s="3" t="s">
        <v>582</v>
      </c>
      <c r="X52" s="1">
        <v>720728.0</v>
      </c>
      <c r="Y52" s="1" t="s">
        <v>583</v>
      </c>
      <c r="Z52" s="3" t="s">
        <v>584</v>
      </c>
      <c r="AA52" s="3" t="s">
        <v>585</v>
      </c>
      <c r="AB52" s="1">
        <v>1.0</v>
      </c>
      <c r="AC52" s="1" t="s">
        <v>586</v>
      </c>
      <c r="AD52" s="1">
        <v>24.0</v>
      </c>
      <c r="AE52" s="1">
        <f t="shared" si="5"/>
        <v>428</v>
      </c>
      <c r="AF52" s="1">
        <v>64.0</v>
      </c>
      <c r="AG52" s="1">
        <v>80.0</v>
      </c>
      <c r="AH52" s="1">
        <v>113.0</v>
      </c>
      <c r="AI52" s="1">
        <v>24.0</v>
      </c>
      <c r="AJ52" s="1">
        <v>89.0</v>
      </c>
      <c r="AK52" s="1">
        <v>310.0</v>
      </c>
      <c r="AL52" s="1">
        <v>41.0</v>
      </c>
      <c r="AM52" s="1">
        <v>1.0</v>
      </c>
      <c r="AN52" s="1">
        <v>0.0</v>
      </c>
      <c r="AO52" s="1">
        <v>5.0</v>
      </c>
      <c r="AP52" s="1">
        <v>1.0</v>
      </c>
      <c r="AQ52" s="1">
        <v>2.0</v>
      </c>
    </row>
    <row r="53">
      <c r="A53" s="1"/>
      <c r="B53" s="1">
        <v>123.0</v>
      </c>
      <c r="C53" s="1" t="s">
        <v>587</v>
      </c>
      <c r="D53" s="1" t="s">
        <v>588</v>
      </c>
      <c r="E53" s="1" t="s">
        <v>589</v>
      </c>
      <c r="F53" s="1" t="s">
        <v>43</v>
      </c>
      <c r="G53" s="2">
        <v>21882.0</v>
      </c>
      <c r="H53" s="1" t="s">
        <v>590</v>
      </c>
      <c r="I53" s="1">
        <v>78.0</v>
      </c>
      <c r="J53" s="1" t="s">
        <v>74</v>
      </c>
      <c r="K53" s="1">
        <v>9.0</v>
      </c>
      <c r="L53" s="2">
        <v>42907.0</v>
      </c>
      <c r="O53" s="1">
        <v>0.0</v>
      </c>
      <c r="P53" s="1" t="s">
        <v>280</v>
      </c>
      <c r="Q53" s="1" t="s">
        <v>281</v>
      </c>
      <c r="R53" s="3" t="s">
        <v>591</v>
      </c>
      <c r="U53" s="1" t="s">
        <v>234</v>
      </c>
      <c r="V53" s="1">
        <v>178.0</v>
      </c>
      <c r="W53" s="3" t="s">
        <v>592</v>
      </c>
      <c r="X53" s="1">
        <v>721976.0</v>
      </c>
      <c r="Y53" s="1" t="s">
        <v>593</v>
      </c>
      <c r="Z53" s="3" t="s">
        <v>594</v>
      </c>
      <c r="AA53" s="3" t="s">
        <v>595</v>
      </c>
      <c r="AB53" s="1">
        <v>1.0</v>
      </c>
      <c r="AC53" s="1" t="s">
        <v>596</v>
      </c>
      <c r="AD53" s="1">
        <v>24.0</v>
      </c>
      <c r="AE53" s="1">
        <f t="shared" si="5"/>
        <v>428</v>
      </c>
      <c r="AF53" s="1">
        <v>41.0</v>
      </c>
      <c r="AG53" s="1">
        <v>37.0</v>
      </c>
      <c r="AH53" s="1">
        <v>37.0</v>
      </c>
      <c r="AI53" s="1">
        <v>61.0</v>
      </c>
      <c r="AJ53" s="1">
        <v>20.0</v>
      </c>
      <c r="AK53" s="1">
        <v>269.0</v>
      </c>
      <c r="AL53" s="1">
        <v>30.0</v>
      </c>
      <c r="AM53" s="1">
        <v>0.0</v>
      </c>
      <c r="AN53" s="1">
        <v>0.0</v>
      </c>
      <c r="AO53" s="1">
        <v>5.0</v>
      </c>
      <c r="AP53" s="1">
        <v>5.0</v>
      </c>
      <c r="AQ53" s="1">
        <v>4.0</v>
      </c>
    </row>
    <row r="54">
      <c r="A54" s="1"/>
      <c r="B54" s="1">
        <v>514.0</v>
      </c>
      <c r="C54" s="1" t="s">
        <v>597</v>
      </c>
      <c r="D54" s="1" t="s">
        <v>598</v>
      </c>
      <c r="E54" s="1" t="s">
        <v>501</v>
      </c>
      <c r="F54" s="1" t="s">
        <v>43</v>
      </c>
      <c r="G54" s="2">
        <v>24681.0</v>
      </c>
      <c r="H54" s="1" t="s">
        <v>599</v>
      </c>
      <c r="I54" s="1">
        <v>42.0</v>
      </c>
      <c r="J54" s="1" t="s">
        <v>536</v>
      </c>
      <c r="K54" s="1">
        <v>2.0</v>
      </c>
      <c r="L54" s="2">
        <v>42907.0</v>
      </c>
      <c r="O54" s="1">
        <v>0.0</v>
      </c>
      <c r="P54" s="1" t="s">
        <v>75</v>
      </c>
      <c r="Q54" s="1" t="s">
        <v>76</v>
      </c>
      <c r="R54" s="1" t="s">
        <v>600</v>
      </c>
      <c r="U54" s="1" t="s">
        <v>162</v>
      </c>
      <c r="V54" s="1">
        <v>430.0</v>
      </c>
      <c r="W54" s="3" t="s">
        <v>601</v>
      </c>
      <c r="X54" s="1">
        <v>719952.0</v>
      </c>
      <c r="Y54" s="1" t="s">
        <v>602</v>
      </c>
      <c r="Z54" s="3" t="s">
        <v>603</v>
      </c>
      <c r="AA54" s="3" t="s">
        <v>604</v>
      </c>
      <c r="AB54" s="1">
        <v>1.0</v>
      </c>
      <c r="AC54" s="1" t="s">
        <v>605</v>
      </c>
      <c r="AD54" s="1">
        <v>24.0</v>
      </c>
      <c r="AE54" s="1">
        <f t="shared" si="5"/>
        <v>428</v>
      </c>
      <c r="AF54" s="1">
        <v>47.0</v>
      </c>
      <c r="AG54" s="1">
        <v>6.0</v>
      </c>
      <c r="AH54" s="1">
        <v>11.0</v>
      </c>
      <c r="AI54" s="1">
        <v>3.0</v>
      </c>
      <c r="AJ54" s="1">
        <v>0.0</v>
      </c>
      <c r="AK54" s="1">
        <v>77.0</v>
      </c>
      <c r="AL54" s="1">
        <v>25.0</v>
      </c>
      <c r="AM54" s="1">
        <v>0.0</v>
      </c>
      <c r="AN54" s="1">
        <v>0.0</v>
      </c>
      <c r="AO54" s="1">
        <v>7.0</v>
      </c>
      <c r="AP54" s="1">
        <v>13.0</v>
      </c>
      <c r="AQ54" s="1">
        <v>0.0</v>
      </c>
    </row>
    <row r="55">
      <c r="A55" s="1"/>
      <c r="B55" s="1">
        <v>271.0</v>
      </c>
      <c r="C55" s="1" t="s">
        <v>606</v>
      </c>
      <c r="D55" s="1" t="s">
        <v>607</v>
      </c>
      <c r="E55" s="1" t="s">
        <v>608</v>
      </c>
      <c r="F55" s="1" t="s">
        <v>58</v>
      </c>
      <c r="G55" s="2">
        <v>31217.0</v>
      </c>
      <c r="H55" s="1" t="s">
        <v>609</v>
      </c>
      <c r="I55" s="1">
        <v>91.0</v>
      </c>
      <c r="J55" s="1" t="s">
        <v>610</v>
      </c>
      <c r="K55" s="1">
        <v>6.0</v>
      </c>
      <c r="L55" s="2">
        <v>42907.0</v>
      </c>
      <c r="O55" s="1">
        <v>0.0</v>
      </c>
      <c r="P55" s="1" t="s">
        <v>75</v>
      </c>
      <c r="Q55" s="1" t="s">
        <v>76</v>
      </c>
      <c r="R55" s="1" t="s">
        <v>611</v>
      </c>
      <c r="U55" s="1" t="s">
        <v>234</v>
      </c>
      <c r="V55" s="1">
        <v>427.0</v>
      </c>
      <c r="W55" s="3" t="s">
        <v>612</v>
      </c>
      <c r="X55" s="1">
        <v>721670.0</v>
      </c>
      <c r="Y55" s="1" t="s">
        <v>613</v>
      </c>
      <c r="Z55" s="3" t="s">
        <v>614</v>
      </c>
      <c r="AA55" s="3" t="s">
        <v>615</v>
      </c>
      <c r="AB55" s="1">
        <v>1.0</v>
      </c>
      <c r="AC55" s="1" t="s">
        <v>616</v>
      </c>
      <c r="AD55" s="1">
        <v>24.0</v>
      </c>
      <c r="AE55" s="1">
        <f t="shared" si="5"/>
        <v>428</v>
      </c>
      <c r="AF55" s="1">
        <v>73.0</v>
      </c>
      <c r="AG55" s="1">
        <v>175.0</v>
      </c>
      <c r="AH55" s="1">
        <v>241.0</v>
      </c>
      <c r="AI55" s="1">
        <v>125.0</v>
      </c>
      <c r="AJ55" s="1">
        <v>104.0</v>
      </c>
      <c r="AK55" s="1">
        <v>170.0</v>
      </c>
      <c r="AL55" s="1">
        <v>112.0</v>
      </c>
      <c r="AM55" s="1">
        <v>1.0</v>
      </c>
      <c r="AN55" s="1">
        <v>0.0</v>
      </c>
      <c r="AO55" s="1">
        <v>5.0</v>
      </c>
      <c r="AP55" s="1">
        <v>0.0</v>
      </c>
      <c r="AQ55" s="1">
        <v>2.0</v>
      </c>
    </row>
    <row r="56">
      <c r="A56" s="1"/>
      <c r="B56" s="1">
        <v>263.0</v>
      </c>
      <c r="C56" s="1" t="s">
        <v>617</v>
      </c>
      <c r="D56" s="1" t="s">
        <v>618</v>
      </c>
      <c r="E56" s="1" t="s">
        <v>619</v>
      </c>
      <c r="F56" s="1" t="s">
        <v>58</v>
      </c>
      <c r="G56" s="2">
        <v>22484.0</v>
      </c>
      <c r="H56" s="1" t="s">
        <v>620</v>
      </c>
      <c r="I56" s="1">
        <v>77.0</v>
      </c>
      <c r="J56" s="1" t="s">
        <v>503</v>
      </c>
      <c r="K56" s="1">
        <v>9.0</v>
      </c>
      <c r="L56" s="2">
        <v>42907.0</v>
      </c>
      <c r="O56" s="1">
        <v>0.0</v>
      </c>
      <c r="P56" s="1" t="s">
        <v>75</v>
      </c>
      <c r="Q56" s="1" t="s">
        <v>76</v>
      </c>
      <c r="R56" s="1" t="s">
        <v>621</v>
      </c>
      <c r="U56" s="1" t="s">
        <v>162</v>
      </c>
      <c r="V56" s="1">
        <v>401.0</v>
      </c>
      <c r="W56" s="3" t="s">
        <v>622</v>
      </c>
      <c r="X56" s="1">
        <v>721710.0</v>
      </c>
      <c r="Y56" s="1" t="s">
        <v>623</v>
      </c>
      <c r="Z56" s="3" t="s">
        <v>624</v>
      </c>
      <c r="AA56" s="3" t="s">
        <v>625</v>
      </c>
      <c r="AB56" s="1">
        <v>1.0</v>
      </c>
      <c r="AC56" s="1" t="s">
        <v>626</v>
      </c>
      <c r="AD56" s="1">
        <v>24.0</v>
      </c>
      <c r="AE56" s="1">
        <f t="shared" si="5"/>
        <v>428</v>
      </c>
      <c r="AF56" s="1">
        <v>45.0</v>
      </c>
      <c r="AG56" s="1">
        <v>2.0</v>
      </c>
      <c r="AH56" s="1">
        <v>11.0</v>
      </c>
      <c r="AI56" s="1">
        <v>6.0</v>
      </c>
      <c r="AJ56" s="1">
        <v>0.0</v>
      </c>
      <c r="AK56" s="1">
        <v>59.0</v>
      </c>
      <c r="AL56" s="1">
        <v>27.0</v>
      </c>
      <c r="AM56" s="1">
        <v>0.0</v>
      </c>
      <c r="AN56" s="1">
        <v>0.0</v>
      </c>
      <c r="AO56" s="1">
        <v>5.0</v>
      </c>
      <c r="AP56" s="1">
        <v>7.0</v>
      </c>
      <c r="AQ56" s="1">
        <v>1.0</v>
      </c>
    </row>
    <row r="57">
      <c r="A57" s="1"/>
      <c r="B57" s="1">
        <v>336.0</v>
      </c>
      <c r="C57" s="1" t="s">
        <v>627</v>
      </c>
      <c r="D57" s="1" t="s">
        <v>628</v>
      </c>
      <c r="E57" s="1" t="s">
        <v>629</v>
      </c>
      <c r="F57" s="1" t="s">
        <v>58</v>
      </c>
      <c r="G57" s="2">
        <v>26779.0</v>
      </c>
      <c r="H57" s="1" t="s">
        <v>630</v>
      </c>
      <c r="I57" s="1">
        <v>82.0</v>
      </c>
      <c r="J57" s="1" t="s">
        <v>631</v>
      </c>
      <c r="K57" s="1">
        <v>1.0</v>
      </c>
      <c r="L57" s="2">
        <v>42907.0</v>
      </c>
      <c r="O57" s="1">
        <v>0.0</v>
      </c>
      <c r="P57" s="1" t="s">
        <v>115</v>
      </c>
      <c r="Q57" s="1" t="s">
        <v>116</v>
      </c>
      <c r="R57" s="1" t="s">
        <v>632</v>
      </c>
      <c r="U57" s="1" t="s">
        <v>633</v>
      </c>
      <c r="V57" s="1">
        <v>505.0</v>
      </c>
      <c r="W57" s="3" t="s">
        <v>634</v>
      </c>
      <c r="X57" s="1">
        <v>609590.0</v>
      </c>
      <c r="Y57" s="1" t="s">
        <v>635</v>
      </c>
      <c r="Z57" s="3" t="s">
        <v>636</v>
      </c>
      <c r="AA57" s="3" t="s">
        <v>637</v>
      </c>
      <c r="AB57" s="1">
        <v>2.0</v>
      </c>
      <c r="AC57" s="1" t="s">
        <v>638</v>
      </c>
      <c r="AD57" s="1">
        <v>24.0</v>
      </c>
      <c r="AE57" s="1">
        <f t="shared" si="5"/>
        <v>428</v>
      </c>
      <c r="AF57" s="1">
        <v>50.0</v>
      </c>
      <c r="AG57" s="1">
        <v>148.0</v>
      </c>
      <c r="AH57" s="1">
        <v>445.0</v>
      </c>
      <c r="AI57" s="1">
        <v>396.0</v>
      </c>
      <c r="AJ57" s="1">
        <v>345.0</v>
      </c>
      <c r="AK57" s="1">
        <v>1207.0</v>
      </c>
      <c r="AL57" s="1">
        <v>95.0</v>
      </c>
      <c r="AM57" s="1">
        <v>1.0</v>
      </c>
      <c r="AN57" s="1">
        <v>0.0</v>
      </c>
      <c r="AO57" s="1">
        <v>5.0</v>
      </c>
      <c r="AP57" s="1">
        <v>19.0</v>
      </c>
      <c r="AQ57" s="1">
        <v>4.0</v>
      </c>
    </row>
    <row r="58">
      <c r="A58" s="1"/>
      <c r="B58" s="1">
        <v>17.0</v>
      </c>
      <c r="C58" s="1" t="s">
        <v>639</v>
      </c>
      <c r="D58" s="1" t="s">
        <v>640</v>
      </c>
      <c r="E58" s="1" t="s">
        <v>641</v>
      </c>
      <c r="F58" s="1" t="s">
        <v>43</v>
      </c>
      <c r="G58" s="2">
        <v>31220.0</v>
      </c>
      <c r="H58" s="1" t="s">
        <v>404</v>
      </c>
      <c r="I58" s="1">
        <v>94.0</v>
      </c>
      <c r="J58" s="1" t="s">
        <v>642</v>
      </c>
      <c r="K58" s="1">
        <v>3.0</v>
      </c>
      <c r="L58" s="2">
        <v>42907.0</v>
      </c>
      <c r="O58" s="1">
        <v>0.0</v>
      </c>
      <c r="P58" s="1" t="s">
        <v>75</v>
      </c>
      <c r="Q58" s="1" t="s">
        <v>76</v>
      </c>
      <c r="R58" s="1" t="s">
        <v>643</v>
      </c>
      <c r="U58" s="1" t="s">
        <v>234</v>
      </c>
      <c r="V58" s="1">
        <v>345.0</v>
      </c>
      <c r="W58" s="3" t="s">
        <v>644</v>
      </c>
      <c r="X58" s="1">
        <v>720878.0</v>
      </c>
      <c r="Y58" s="1" t="s">
        <v>645</v>
      </c>
      <c r="Z58" s="3" t="s">
        <v>646</v>
      </c>
      <c r="AA58" s="3" t="s">
        <v>647</v>
      </c>
      <c r="AB58" s="1">
        <v>1.0</v>
      </c>
      <c r="AC58" s="1" t="s">
        <v>648</v>
      </c>
      <c r="AD58" s="1">
        <v>24.0</v>
      </c>
      <c r="AE58" s="1">
        <f t="shared" si="5"/>
        <v>428</v>
      </c>
      <c r="AF58" s="1">
        <v>92.0</v>
      </c>
      <c r="AG58" s="1">
        <v>90.0</v>
      </c>
      <c r="AH58" s="1">
        <v>117.0</v>
      </c>
      <c r="AI58" s="1">
        <v>58.0</v>
      </c>
      <c r="AJ58" s="1">
        <v>62.0</v>
      </c>
      <c r="AK58" s="1">
        <v>219.0</v>
      </c>
      <c r="AL58" s="1">
        <v>140.0</v>
      </c>
      <c r="AM58" s="1">
        <v>1.0</v>
      </c>
      <c r="AN58" s="1">
        <v>0.0</v>
      </c>
      <c r="AO58" s="1">
        <v>5.0</v>
      </c>
      <c r="AP58" s="1">
        <v>2.0</v>
      </c>
      <c r="AQ58" s="1">
        <v>2.0</v>
      </c>
    </row>
    <row r="59">
      <c r="A59" s="1"/>
      <c r="B59" s="1">
        <v>429.0</v>
      </c>
      <c r="C59" s="1" t="s">
        <v>649</v>
      </c>
      <c r="D59" s="1" t="s">
        <v>650</v>
      </c>
      <c r="E59" s="1" t="s">
        <v>651</v>
      </c>
      <c r="F59" s="1" t="s">
        <v>58</v>
      </c>
      <c r="G59" s="2">
        <v>18990.0</v>
      </c>
      <c r="H59" s="1" t="s">
        <v>652</v>
      </c>
      <c r="I59" s="1">
        <v>71.0</v>
      </c>
      <c r="J59" s="1" t="s">
        <v>336</v>
      </c>
      <c r="K59" s="1">
        <v>4.0</v>
      </c>
      <c r="L59" s="2">
        <v>42907.0</v>
      </c>
      <c r="O59" s="1">
        <v>0.0</v>
      </c>
      <c r="P59" s="1" t="s">
        <v>115</v>
      </c>
      <c r="Q59" s="1" t="s">
        <v>116</v>
      </c>
      <c r="R59" s="1" t="s">
        <v>653</v>
      </c>
      <c r="U59" s="1" t="s">
        <v>654</v>
      </c>
      <c r="V59" s="1">
        <v>577.0</v>
      </c>
      <c r="W59" s="3" t="s">
        <v>655</v>
      </c>
      <c r="X59" s="1">
        <v>608695.0</v>
      </c>
      <c r="Y59" s="1" t="s">
        <v>656</v>
      </c>
      <c r="Z59" s="3" t="s">
        <v>657</v>
      </c>
      <c r="AA59" s="3" t="s">
        <v>658</v>
      </c>
      <c r="AB59" s="1">
        <v>1.0</v>
      </c>
      <c r="AC59" s="1" t="s">
        <v>659</v>
      </c>
      <c r="AD59" s="1">
        <v>24.0</v>
      </c>
      <c r="AE59" s="1">
        <f t="shared" si="5"/>
        <v>428</v>
      </c>
      <c r="AF59" s="1">
        <v>42.0</v>
      </c>
      <c r="AG59" s="1">
        <v>63.0</v>
      </c>
      <c r="AH59" s="1">
        <v>104.0</v>
      </c>
      <c r="AI59" s="1">
        <v>90.0</v>
      </c>
      <c r="AJ59" s="1">
        <v>82.0</v>
      </c>
      <c r="AK59" s="1">
        <v>1233.0</v>
      </c>
      <c r="AL59" s="1">
        <v>84.0</v>
      </c>
      <c r="AM59" s="1">
        <v>1.0</v>
      </c>
      <c r="AN59" s="1">
        <v>0.0</v>
      </c>
      <c r="AO59" s="1">
        <v>5.0</v>
      </c>
      <c r="AP59" s="1">
        <v>22.0</v>
      </c>
      <c r="AQ59" s="1">
        <v>2.0</v>
      </c>
    </row>
    <row r="60">
      <c r="A60" s="1"/>
      <c r="B60" s="1">
        <v>76.0</v>
      </c>
      <c r="C60" s="1" t="s">
        <v>660</v>
      </c>
      <c r="D60" s="1" t="s">
        <v>661</v>
      </c>
      <c r="E60" s="1" t="s">
        <v>662</v>
      </c>
      <c r="F60" s="1" t="s">
        <v>43</v>
      </c>
      <c r="G60" s="2">
        <v>27600.0</v>
      </c>
      <c r="H60" s="1" t="s">
        <v>663</v>
      </c>
      <c r="I60" s="1">
        <v>40.0</v>
      </c>
      <c r="J60" s="1" t="s">
        <v>664</v>
      </c>
      <c r="K60" s="1">
        <v>3.0</v>
      </c>
      <c r="L60" s="2">
        <v>42907.0</v>
      </c>
      <c r="O60" s="1">
        <v>0.0</v>
      </c>
      <c r="P60" s="1" t="s">
        <v>115</v>
      </c>
      <c r="Q60" s="1" t="s">
        <v>116</v>
      </c>
      <c r="U60" s="1" t="s">
        <v>118</v>
      </c>
      <c r="V60" s="1">
        <v>504.0</v>
      </c>
      <c r="W60" s="3" t="s">
        <v>665</v>
      </c>
      <c r="X60" s="1">
        <v>719930.0</v>
      </c>
      <c r="Y60" s="1" t="s">
        <v>666</v>
      </c>
      <c r="Z60" s="3" t="s">
        <v>667</v>
      </c>
      <c r="AA60" s="3" t="s">
        <v>668</v>
      </c>
      <c r="AB60" s="1">
        <v>1.0</v>
      </c>
      <c r="AD60" s="1">
        <v>24.0</v>
      </c>
      <c r="AE60" s="1">
        <f t="shared" si="5"/>
        <v>428</v>
      </c>
      <c r="AF60" s="1">
        <v>54.0</v>
      </c>
      <c r="AG60" s="1">
        <v>151.0</v>
      </c>
      <c r="AH60" s="1">
        <v>229.0</v>
      </c>
      <c r="AI60" s="1">
        <v>142.0</v>
      </c>
      <c r="AJ60" s="1">
        <v>301.0</v>
      </c>
      <c r="AK60" s="1">
        <v>1220.0</v>
      </c>
      <c r="AL60" s="1">
        <v>78.0</v>
      </c>
      <c r="AM60" s="1">
        <v>0.0</v>
      </c>
      <c r="AN60" s="1">
        <v>0.0</v>
      </c>
      <c r="AO60" s="1">
        <v>5.0</v>
      </c>
      <c r="AP60" s="1">
        <v>16.0</v>
      </c>
      <c r="AQ60" s="1">
        <v>2.0</v>
      </c>
    </row>
    <row r="61">
      <c r="A61" s="1"/>
      <c r="B61" s="1">
        <v>244.0</v>
      </c>
      <c r="C61" s="1" t="s">
        <v>669</v>
      </c>
      <c r="D61" s="1" t="s">
        <v>670</v>
      </c>
      <c r="E61" s="1" t="s">
        <v>671</v>
      </c>
      <c r="F61" s="1" t="s">
        <v>58</v>
      </c>
      <c r="G61" s="2">
        <v>23820.0</v>
      </c>
      <c r="H61" s="1" t="s">
        <v>672</v>
      </c>
      <c r="I61" s="1">
        <v>81.0</v>
      </c>
      <c r="J61" s="1" t="s">
        <v>673</v>
      </c>
      <c r="K61" s="1">
        <v>2.0</v>
      </c>
      <c r="L61" s="2">
        <v>42907.0</v>
      </c>
      <c r="O61" s="1">
        <v>0.0</v>
      </c>
      <c r="P61" s="1" t="s">
        <v>75</v>
      </c>
      <c r="Q61" s="1" t="s">
        <v>76</v>
      </c>
      <c r="R61" s="1" t="s">
        <v>674</v>
      </c>
      <c r="U61" s="1" t="s">
        <v>675</v>
      </c>
      <c r="V61" s="1">
        <v>525.0</v>
      </c>
      <c r="W61" s="3" t="s">
        <v>676</v>
      </c>
      <c r="X61" s="1">
        <v>721542.0</v>
      </c>
      <c r="Y61" s="1" t="s">
        <v>677</v>
      </c>
      <c r="Z61" s="3" t="s">
        <v>678</v>
      </c>
      <c r="AA61" s="3" t="s">
        <v>679</v>
      </c>
      <c r="AB61" s="1">
        <v>1.0</v>
      </c>
      <c r="AC61" s="1" t="s">
        <v>680</v>
      </c>
      <c r="AD61" s="1">
        <v>24.0</v>
      </c>
      <c r="AE61" s="1">
        <f t="shared" si="5"/>
        <v>428</v>
      </c>
      <c r="AF61" s="1">
        <v>67.0</v>
      </c>
      <c r="AG61" s="1">
        <v>17.0</v>
      </c>
      <c r="AH61" s="1">
        <v>63.0</v>
      </c>
      <c r="AI61" s="1">
        <v>38.0</v>
      </c>
      <c r="AJ61" s="1">
        <v>0.0</v>
      </c>
      <c r="AK61" s="1">
        <v>165.0</v>
      </c>
      <c r="AL61" s="1">
        <v>108.0</v>
      </c>
      <c r="AM61" s="1">
        <v>1.0</v>
      </c>
      <c r="AN61" s="1">
        <v>0.0</v>
      </c>
      <c r="AO61" s="1">
        <v>5.0</v>
      </c>
      <c r="AP61" s="1">
        <v>2.0</v>
      </c>
      <c r="AQ61" s="1">
        <v>1.0</v>
      </c>
    </row>
    <row r="62">
      <c r="A62" s="1"/>
      <c r="B62" s="1">
        <v>226.0</v>
      </c>
      <c r="C62" s="1" t="s">
        <v>681</v>
      </c>
      <c r="D62" s="1" t="s">
        <v>682</v>
      </c>
      <c r="E62" s="1" t="s">
        <v>683</v>
      </c>
      <c r="F62" s="1" t="s">
        <v>43</v>
      </c>
      <c r="G62" s="2">
        <v>27367.0</v>
      </c>
      <c r="H62" s="1" t="s">
        <v>684</v>
      </c>
      <c r="I62" s="1">
        <v>12.0</v>
      </c>
      <c r="J62" s="1" t="s">
        <v>685</v>
      </c>
      <c r="K62" s="1">
        <v>3.0</v>
      </c>
      <c r="L62" s="2">
        <v>42907.0</v>
      </c>
      <c r="O62" s="1">
        <v>0.0</v>
      </c>
      <c r="P62" s="1" t="s">
        <v>61</v>
      </c>
      <c r="Q62" s="1" t="s">
        <v>62</v>
      </c>
      <c r="R62" s="1" t="s">
        <v>686</v>
      </c>
      <c r="U62" s="1" t="s">
        <v>373</v>
      </c>
      <c r="V62" s="1">
        <v>35.0</v>
      </c>
      <c r="W62" s="3" t="s">
        <v>687</v>
      </c>
      <c r="X62" s="1">
        <v>709315.0</v>
      </c>
      <c r="Y62" s="1" t="s">
        <v>688</v>
      </c>
      <c r="Z62" s="3" t="s">
        <v>689</v>
      </c>
      <c r="AA62" s="3" t="s">
        <v>690</v>
      </c>
      <c r="AB62" s="1">
        <v>2.0</v>
      </c>
      <c r="AC62" s="1" t="s">
        <v>691</v>
      </c>
      <c r="AD62" s="1">
        <v>24.0</v>
      </c>
      <c r="AE62" s="1">
        <f t="shared" si="5"/>
        <v>428</v>
      </c>
      <c r="AF62" s="1">
        <v>60.0</v>
      </c>
      <c r="AG62" s="1">
        <v>181.0</v>
      </c>
      <c r="AH62" s="1">
        <v>215.0</v>
      </c>
      <c r="AI62" s="1">
        <v>83.0</v>
      </c>
      <c r="AJ62" s="1">
        <v>241.0</v>
      </c>
      <c r="AK62" s="1">
        <v>1280.0</v>
      </c>
      <c r="AL62" s="1">
        <v>53.0</v>
      </c>
      <c r="AM62" s="1">
        <v>1.0</v>
      </c>
      <c r="AN62" s="1">
        <v>2.0</v>
      </c>
      <c r="AO62" s="1">
        <v>48.0</v>
      </c>
      <c r="AP62" s="1">
        <v>28.0</v>
      </c>
      <c r="AQ62" s="1">
        <v>2.0</v>
      </c>
    </row>
    <row r="63">
      <c r="A63" s="1"/>
      <c r="B63" s="1">
        <v>13.0</v>
      </c>
      <c r="C63" s="1" t="s">
        <v>692</v>
      </c>
      <c r="D63" s="1" t="s">
        <v>693</v>
      </c>
      <c r="E63" s="1" t="s">
        <v>694</v>
      </c>
      <c r="F63" s="1" t="s">
        <v>58</v>
      </c>
      <c r="G63" s="2">
        <v>20125.0</v>
      </c>
      <c r="H63" s="1" t="s">
        <v>695</v>
      </c>
      <c r="I63" s="1">
        <v>63.0</v>
      </c>
      <c r="J63" s="1" t="s">
        <v>114</v>
      </c>
      <c r="K63" s="1">
        <v>3.0</v>
      </c>
      <c r="L63" s="2">
        <v>42907.0</v>
      </c>
      <c r="O63" s="1">
        <v>0.0</v>
      </c>
      <c r="P63" s="1" t="s">
        <v>280</v>
      </c>
      <c r="Q63" s="1" t="s">
        <v>281</v>
      </c>
      <c r="R63" s="1" t="s">
        <v>696</v>
      </c>
      <c r="U63" s="1" t="s">
        <v>697</v>
      </c>
      <c r="V63" s="1">
        <v>261.0</v>
      </c>
      <c r="W63" s="3" t="s">
        <v>698</v>
      </c>
      <c r="X63" s="1">
        <v>720704.0</v>
      </c>
      <c r="Y63" s="1" t="s">
        <v>699</v>
      </c>
      <c r="Z63" s="3" t="s">
        <v>700</v>
      </c>
      <c r="AA63" s="3" t="s">
        <v>701</v>
      </c>
      <c r="AB63" s="1">
        <v>1.0</v>
      </c>
      <c r="AC63" s="1" t="s">
        <v>702</v>
      </c>
      <c r="AD63" s="1">
        <v>24.0</v>
      </c>
      <c r="AE63" s="1">
        <f t="shared" si="5"/>
        <v>428</v>
      </c>
      <c r="AF63" s="1">
        <v>39.0</v>
      </c>
      <c r="AG63" s="1">
        <v>32.0</v>
      </c>
      <c r="AH63" s="1">
        <v>66.0</v>
      </c>
      <c r="AI63" s="1">
        <v>13.0</v>
      </c>
      <c r="AJ63" s="1">
        <v>24.0</v>
      </c>
      <c r="AK63" s="1">
        <v>259.0</v>
      </c>
      <c r="AL63" s="1">
        <v>24.0</v>
      </c>
      <c r="AM63" s="1">
        <v>0.0</v>
      </c>
      <c r="AN63" s="1">
        <v>0.0</v>
      </c>
      <c r="AO63" s="1">
        <v>5.0</v>
      </c>
      <c r="AP63" s="1">
        <v>2.0</v>
      </c>
      <c r="AQ63" s="1">
        <v>2.0</v>
      </c>
    </row>
    <row r="64">
      <c r="A64" s="1"/>
      <c r="B64" s="1">
        <v>497.0</v>
      </c>
      <c r="C64" s="1" t="s">
        <v>703</v>
      </c>
      <c r="D64" s="1" t="s">
        <v>704</v>
      </c>
      <c r="E64" s="1" t="s">
        <v>705</v>
      </c>
      <c r="F64" s="1" t="s">
        <v>43</v>
      </c>
      <c r="G64" s="2">
        <v>24037.0</v>
      </c>
      <c r="H64" s="1" t="s">
        <v>706</v>
      </c>
      <c r="I64" s="1">
        <v>8.0</v>
      </c>
      <c r="J64" s="1" t="s">
        <v>707</v>
      </c>
      <c r="K64" s="1">
        <v>3.0</v>
      </c>
      <c r="L64" s="2">
        <v>42907.0</v>
      </c>
      <c r="O64" s="1">
        <v>0.0</v>
      </c>
      <c r="P64" s="1" t="s">
        <v>46</v>
      </c>
      <c r="Q64" s="1" t="s">
        <v>62</v>
      </c>
      <c r="R64" s="1" t="s">
        <v>708</v>
      </c>
      <c r="U64" s="1" t="s">
        <v>709</v>
      </c>
      <c r="V64" s="1">
        <v>106.0</v>
      </c>
      <c r="W64" s="3" t="s">
        <v>710</v>
      </c>
      <c r="X64" s="1">
        <v>2952.0</v>
      </c>
      <c r="Y64" s="1" t="s">
        <v>711</v>
      </c>
      <c r="Z64" s="3" t="s">
        <v>712</v>
      </c>
      <c r="AA64" s="3" t="s">
        <v>713</v>
      </c>
      <c r="AB64" s="1">
        <v>1.0</v>
      </c>
      <c r="AC64" s="1" t="s">
        <v>714</v>
      </c>
      <c r="AD64" s="1">
        <v>24.0</v>
      </c>
      <c r="AE64" s="1">
        <f t="shared" si="5"/>
        <v>428</v>
      </c>
      <c r="AF64" s="1">
        <v>46.0</v>
      </c>
      <c r="AG64" s="1">
        <v>18.0</v>
      </c>
      <c r="AH64" s="1">
        <v>35.0</v>
      </c>
      <c r="AI64" s="1">
        <v>78.0</v>
      </c>
      <c r="AJ64" s="1">
        <v>26.0</v>
      </c>
      <c r="AK64" s="1">
        <v>356.0</v>
      </c>
      <c r="AL64" s="1">
        <v>32.0</v>
      </c>
      <c r="AM64" s="1">
        <v>3.0</v>
      </c>
      <c r="AN64" s="1">
        <v>24.0</v>
      </c>
      <c r="AO64" s="1">
        <v>29.0</v>
      </c>
      <c r="AP64" s="1">
        <v>26.0</v>
      </c>
      <c r="AQ64" s="1">
        <v>0.0</v>
      </c>
    </row>
    <row r="65">
      <c r="A65" s="1"/>
      <c r="B65" s="1">
        <v>332.0</v>
      </c>
      <c r="C65" s="1" t="s">
        <v>715</v>
      </c>
      <c r="D65" s="1" t="s">
        <v>716</v>
      </c>
      <c r="E65" s="1" t="s">
        <v>717</v>
      </c>
      <c r="F65" s="1" t="s">
        <v>43</v>
      </c>
      <c r="G65" s="2">
        <v>28652.0</v>
      </c>
      <c r="H65" s="1" t="s">
        <v>718</v>
      </c>
      <c r="I65" s="1">
        <v>84.0</v>
      </c>
      <c r="J65" s="1" t="s">
        <v>719</v>
      </c>
      <c r="K65" s="1">
        <v>5.0</v>
      </c>
      <c r="L65" s="2">
        <v>42907.0</v>
      </c>
      <c r="O65" s="1">
        <v>0.0</v>
      </c>
      <c r="P65" s="1" t="s">
        <v>61</v>
      </c>
      <c r="Q65" s="1" t="s">
        <v>62</v>
      </c>
      <c r="R65" s="1" t="s">
        <v>720</v>
      </c>
      <c r="U65" s="1" t="s">
        <v>721</v>
      </c>
      <c r="V65" s="1">
        <v>136.0</v>
      </c>
      <c r="W65" s="3" t="s">
        <v>722</v>
      </c>
      <c r="X65" s="1">
        <v>609726.0</v>
      </c>
      <c r="Y65" s="1" t="s">
        <v>723</v>
      </c>
      <c r="Z65" s="3" t="s">
        <v>724</v>
      </c>
      <c r="AA65" s="3" t="s">
        <v>725</v>
      </c>
      <c r="AB65" s="1">
        <v>1.0</v>
      </c>
      <c r="AC65" s="1" t="s">
        <v>726</v>
      </c>
      <c r="AD65" s="1">
        <v>23.0</v>
      </c>
      <c r="AE65" s="1">
        <f t="shared" si="5"/>
        <v>429</v>
      </c>
      <c r="AF65" s="1">
        <v>42.0</v>
      </c>
      <c r="AG65" s="1">
        <v>94.0</v>
      </c>
      <c r="AH65" s="1">
        <v>238.0</v>
      </c>
      <c r="AI65" s="1">
        <v>164.0</v>
      </c>
      <c r="AJ65" s="1">
        <v>127.0</v>
      </c>
      <c r="AK65" s="1">
        <v>1250.0</v>
      </c>
      <c r="AL65" s="1">
        <v>35.0</v>
      </c>
      <c r="AM65" s="1">
        <v>1.0</v>
      </c>
      <c r="AN65" s="1">
        <v>2.0</v>
      </c>
      <c r="AO65" s="1">
        <v>59.0</v>
      </c>
      <c r="AP65" s="1">
        <v>18.0</v>
      </c>
      <c r="AQ65" s="1">
        <v>3.0</v>
      </c>
    </row>
    <row r="66">
      <c r="A66" s="1"/>
      <c r="B66" s="1">
        <v>406.0</v>
      </c>
      <c r="C66" s="1" t="s">
        <v>727</v>
      </c>
      <c r="D66" s="1" t="s">
        <v>728</v>
      </c>
      <c r="E66" s="1" t="s">
        <v>403</v>
      </c>
      <c r="F66" s="1" t="s">
        <v>58</v>
      </c>
      <c r="G66" s="2">
        <v>23242.0</v>
      </c>
      <c r="H66" s="1" t="s">
        <v>729</v>
      </c>
      <c r="I66" s="1">
        <v>37.0</v>
      </c>
      <c r="J66" s="1" t="s">
        <v>547</v>
      </c>
      <c r="K66" s="1">
        <v>3.0</v>
      </c>
      <c r="L66" s="2">
        <v>42907.0</v>
      </c>
      <c r="O66" s="1">
        <v>0.0</v>
      </c>
      <c r="P66" s="1" t="s">
        <v>46</v>
      </c>
      <c r="Q66" s="1" t="s">
        <v>47</v>
      </c>
      <c r="R66" s="1" t="s">
        <v>730</v>
      </c>
      <c r="U66" s="1" t="s">
        <v>198</v>
      </c>
      <c r="V66" s="1">
        <v>134.0</v>
      </c>
      <c r="W66" s="3" t="s">
        <v>731</v>
      </c>
      <c r="X66" s="1">
        <v>719806.0</v>
      </c>
      <c r="Y66" s="1" t="s">
        <v>732</v>
      </c>
      <c r="Z66" s="3" t="s">
        <v>733</v>
      </c>
      <c r="AA66" s="3" t="s">
        <v>734</v>
      </c>
      <c r="AB66" s="1">
        <v>2.0</v>
      </c>
      <c r="AC66" s="1" t="s">
        <v>735</v>
      </c>
      <c r="AD66" s="1">
        <v>23.0</v>
      </c>
      <c r="AE66" s="1">
        <f t="shared" si="5"/>
        <v>429</v>
      </c>
      <c r="AF66" s="1">
        <v>49.0</v>
      </c>
      <c r="AG66" s="1">
        <v>51.0</v>
      </c>
      <c r="AH66" s="1">
        <v>27.0</v>
      </c>
      <c r="AI66" s="1">
        <v>14.0</v>
      </c>
      <c r="AJ66" s="1">
        <v>12.0</v>
      </c>
      <c r="AK66" s="1">
        <v>674.0</v>
      </c>
      <c r="AL66" s="1">
        <v>42.0</v>
      </c>
      <c r="AM66" s="1">
        <v>1.0</v>
      </c>
      <c r="AN66" s="1">
        <v>0.0</v>
      </c>
      <c r="AO66" s="1">
        <v>27.0</v>
      </c>
      <c r="AP66" s="1">
        <v>17.0</v>
      </c>
      <c r="AQ66" s="1">
        <v>3.0</v>
      </c>
    </row>
    <row r="67">
      <c r="A67" s="1"/>
      <c r="B67" s="1">
        <v>59.0</v>
      </c>
      <c r="C67" s="1" t="s">
        <v>736</v>
      </c>
      <c r="D67" s="1" t="s">
        <v>737</v>
      </c>
      <c r="E67" s="1" t="s">
        <v>738</v>
      </c>
      <c r="F67" s="1" t="s">
        <v>58</v>
      </c>
      <c r="G67" s="2">
        <v>25577.0</v>
      </c>
      <c r="H67" s="1" t="s">
        <v>739</v>
      </c>
      <c r="I67" s="1">
        <v>4.0</v>
      </c>
      <c r="J67" s="1" t="s">
        <v>740</v>
      </c>
      <c r="K67" s="1">
        <v>1.0</v>
      </c>
      <c r="L67" s="2">
        <v>42907.0</v>
      </c>
      <c r="O67" s="1">
        <v>0.0</v>
      </c>
      <c r="P67" s="1" t="s">
        <v>75</v>
      </c>
      <c r="Q67" s="1" t="s">
        <v>76</v>
      </c>
      <c r="R67" s="1" t="s">
        <v>741</v>
      </c>
      <c r="U67" s="1" t="s">
        <v>151</v>
      </c>
      <c r="V67" s="1">
        <v>486.0</v>
      </c>
      <c r="W67" s="3" t="s">
        <v>742</v>
      </c>
      <c r="X67" s="1">
        <v>718744.0</v>
      </c>
      <c r="Y67" s="1" t="s">
        <v>743</v>
      </c>
      <c r="Z67" s="3" t="s">
        <v>744</v>
      </c>
      <c r="AA67" s="3" t="s">
        <v>745</v>
      </c>
      <c r="AB67" s="1">
        <v>1.0</v>
      </c>
      <c r="AC67" s="1" t="s">
        <v>746</v>
      </c>
      <c r="AD67" s="1">
        <v>23.0</v>
      </c>
      <c r="AE67" s="1">
        <f t="shared" si="5"/>
        <v>429</v>
      </c>
      <c r="AF67" s="1">
        <v>52.0</v>
      </c>
      <c r="AG67" s="1">
        <v>18.0</v>
      </c>
      <c r="AH67" s="1">
        <v>22.0</v>
      </c>
      <c r="AI67" s="1">
        <v>3.0</v>
      </c>
      <c r="AJ67" s="1">
        <v>2.0</v>
      </c>
      <c r="AK67" s="1">
        <v>64.0</v>
      </c>
      <c r="AL67" s="1">
        <v>25.0</v>
      </c>
      <c r="AM67" s="1">
        <v>1.0</v>
      </c>
      <c r="AN67" s="1">
        <v>0.0</v>
      </c>
      <c r="AO67" s="1">
        <v>5.0</v>
      </c>
      <c r="AP67" s="1">
        <v>5.0</v>
      </c>
      <c r="AQ67" s="1">
        <v>1.0</v>
      </c>
    </row>
    <row r="68">
      <c r="A68" s="1"/>
      <c r="B68" s="1">
        <v>151.0</v>
      </c>
      <c r="C68" s="1" t="s">
        <v>747</v>
      </c>
      <c r="D68" s="1" t="s">
        <v>748</v>
      </c>
      <c r="E68" s="1" t="s">
        <v>749</v>
      </c>
      <c r="F68" s="1" t="s">
        <v>43</v>
      </c>
      <c r="G68" s="2">
        <v>25393.0</v>
      </c>
      <c r="H68" s="1" t="s">
        <v>750</v>
      </c>
      <c r="I68" s="1">
        <v>57.0</v>
      </c>
      <c r="J68" s="1" t="s">
        <v>471</v>
      </c>
      <c r="K68" s="1">
        <v>1.0</v>
      </c>
      <c r="L68" s="2">
        <v>42907.0</v>
      </c>
      <c r="O68" s="1">
        <v>0.0</v>
      </c>
      <c r="P68" s="1" t="s">
        <v>75</v>
      </c>
      <c r="Q68" s="1" t="s">
        <v>76</v>
      </c>
      <c r="R68" s="1" t="s">
        <v>751</v>
      </c>
      <c r="U68" s="1" t="s">
        <v>198</v>
      </c>
      <c r="V68" s="1">
        <v>574.0</v>
      </c>
      <c r="W68" s="3" t="s">
        <v>752</v>
      </c>
      <c r="X68" s="1">
        <v>720362.0</v>
      </c>
      <c r="Y68" s="1" t="s">
        <v>753</v>
      </c>
      <c r="Z68" s="3" t="s">
        <v>754</v>
      </c>
      <c r="AA68" s="3" t="s">
        <v>755</v>
      </c>
      <c r="AB68" s="1">
        <v>2.0</v>
      </c>
      <c r="AC68" s="1" t="s">
        <v>756</v>
      </c>
      <c r="AD68" s="1">
        <v>23.0</v>
      </c>
      <c r="AE68" s="1">
        <f t="shared" si="5"/>
        <v>429</v>
      </c>
      <c r="AF68" s="1">
        <v>56.0</v>
      </c>
      <c r="AG68" s="1">
        <v>22.0</v>
      </c>
      <c r="AH68" s="1">
        <v>14.0</v>
      </c>
      <c r="AI68" s="1">
        <v>3.0</v>
      </c>
      <c r="AJ68" s="1">
        <v>3.0</v>
      </c>
      <c r="AK68" s="1">
        <v>66.0</v>
      </c>
      <c r="AL68" s="1">
        <v>25.0</v>
      </c>
      <c r="AM68" s="1">
        <v>0.0</v>
      </c>
      <c r="AN68" s="1">
        <v>0.0</v>
      </c>
      <c r="AO68" s="1">
        <v>5.0</v>
      </c>
      <c r="AP68" s="1">
        <v>14.0</v>
      </c>
      <c r="AQ68" s="1">
        <v>1.0</v>
      </c>
    </row>
    <row r="69">
      <c r="A69" s="1"/>
      <c r="B69" s="1">
        <v>122.0</v>
      </c>
      <c r="C69" s="1" t="s">
        <v>757</v>
      </c>
      <c r="D69" s="1" t="s">
        <v>758</v>
      </c>
      <c r="E69" s="1" t="s">
        <v>522</v>
      </c>
      <c r="F69" s="1" t="s">
        <v>43</v>
      </c>
      <c r="G69" s="2">
        <v>25266.0</v>
      </c>
      <c r="H69" s="1" t="s">
        <v>370</v>
      </c>
      <c r="I69" s="1">
        <v>76.0</v>
      </c>
      <c r="J69" s="1" t="s">
        <v>371</v>
      </c>
      <c r="K69" s="1">
        <v>5.0</v>
      </c>
      <c r="L69" s="2">
        <v>42907.0</v>
      </c>
      <c r="O69" s="1">
        <v>0.0</v>
      </c>
      <c r="P69" s="1" t="s">
        <v>115</v>
      </c>
      <c r="Q69" s="1" t="s">
        <v>116</v>
      </c>
      <c r="R69" s="1" t="s">
        <v>759</v>
      </c>
      <c r="U69" s="1" t="s">
        <v>118</v>
      </c>
      <c r="V69" s="1">
        <v>520.0</v>
      </c>
      <c r="W69" s="3" t="s">
        <v>760</v>
      </c>
      <c r="X69" s="1">
        <v>267233.0</v>
      </c>
      <c r="Y69" s="1" t="s">
        <v>761</v>
      </c>
      <c r="Z69" s="3" t="s">
        <v>762</v>
      </c>
      <c r="AA69" s="3" t="s">
        <v>763</v>
      </c>
      <c r="AB69" s="1">
        <v>1.0</v>
      </c>
      <c r="AC69" s="1" t="s">
        <v>764</v>
      </c>
      <c r="AD69" s="1">
        <v>23.0</v>
      </c>
      <c r="AE69" s="1">
        <f t="shared" si="5"/>
        <v>429</v>
      </c>
      <c r="AF69" s="1">
        <v>36.0</v>
      </c>
      <c r="AG69" s="1">
        <v>29.0</v>
      </c>
      <c r="AH69" s="1">
        <v>37.0</v>
      </c>
      <c r="AI69" s="1">
        <v>2.0</v>
      </c>
      <c r="AJ69" s="1">
        <v>47.0</v>
      </c>
      <c r="AK69" s="1">
        <v>1240.0</v>
      </c>
      <c r="AL69" s="1">
        <v>89.0</v>
      </c>
      <c r="AM69" s="1">
        <v>1.0</v>
      </c>
      <c r="AN69" s="1">
        <v>0.0</v>
      </c>
      <c r="AO69" s="1">
        <v>5.0</v>
      </c>
      <c r="AP69" s="1">
        <v>19.0</v>
      </c>
      <c r="AQ69" s="1">
        <v>1.0</v>
      </c>
    </row>
    <row r="70">
      <c r="A70" s="1"/>
      <c r="B70" s="1">
        <v>18.0</v>
      </c>
      <c r="C70" s="1" t="s">
        <v>765</v>
      </c>
      <c r="D70" s="1" t="s">
        <v>766</v>
      </c>
      <c r="E70" s="1" t="s">
        <v>767</v>
      </c>
      <c r="F70" s="1" t="s">
        <v>58</v>
      </c>
      <c r="G70" s="2">
        <v>23963.0</v>
      </c>
      <c r="H70" s="1" t="s">
        <v>768</v>
      </c>
      <c r="I70" s="1">
        <v>60.0</v>
      </c>
      <c r="J70" s="1" t="s">
        <v>769</v>
      </c>
      <c r="K70" s="1">
        <v>6.0</v>
      </c>
      <c r="L70" s="2">
        <v>42907.0</v>
      </c>
      <c r="O70" s="1">
        <v>0.0</v>
      </c>
      <c r="P70" s="1" t="s">
        <v>75</v>
      </c>
      <c r="Q70" s="1" t="s">
        <v>76</v>
      </c>
      <c r="R70" s="1" t="s">
        <v>770</v>
      </c>
      <c r="U70" s="1" t="s">
        <v>771</v>
      </c>
      <c r="V70" s="1">
        <v>288.0</v>
      </c>
      <c r="W70" s="3" t="s">
        <v>772</v>
      </c>
      <c r="X70" s="1">
        <v>720622.0</v>
      </c>
      <c r="Y70" s="1" t="s">
        <v>773</v>
      </c>
      <c r="Z70" s="3" t="s">
        <v>774</v>
      </c>
      <c r="AA70" s="3" t="s">
        <v>775</v>
      </c>
      <c r="AB70" s="1">
        <v>2.0</v>
      </c>
      <c r="AC70" s="1" t="s">
        <v>776</v>
      </c>
      <c r="AD70" s="1">
        <v>23.0</v>
      </c>
      <c r="AE70" s="1">
        <f t="shared" si="5"/>
        <v>429</v>
      </c>
      <c r="AF70" s="1">
        <v>28.0</v>
      </c>
      <c r="AG70" s="1">
        <v>0.0</v>
      </c>
      <c r="AH70" s="1">
        <v>576.0</v>
      </c>
      <c r="AI70" s="1">
        <v>3314.0</v>
      </c>
      <c r="AJ70" s="1">
        <v>0.0</v>
      </c>
      <c r="AK70" s="1">
        <v>7.0</v>
      </c>
      <c r="AL70" s="1">
        <v>1.0</v>
      </c>
      <c r="AM70" s="1">
        <v>0.0</v>
      </c>
      <c r="AN70" s="1">
        <v>0.0</v>
      </c>
      <c r="AO70" s="1">
        <v>7.0</v>
      </c>
      <c r="AP70" s="1">
        <v>0.0</v>
      </c>
      <c r="AQ70" s="1">
        <v>1.0</v>
      </c>
    </row>
    <row r="71">
      <c r="A71" s="1"/>
      <c r="B71" s="1">
        <v>539.0</v>
      </c>
      <c r="C71" s="1" t="s">
        <v>777</v>
      </c>
      <c r="D71" s="1" t="s">
        <v>778</v>
      </c>
      <c r="E71" s="1" t="s">
        <v>779</v>
      </c>
      <c r="F71" s="1" t="s">
        <v>58</v>
      </c>
      <c r="G71" s="2">
        <v>29060.0</v>
      </c>
      <c r="H71" s="1" t="s">
        <v>780</v>
      </c>
      <c r="I71" s="1">
        <v>92.0</v>
      </c>
      <c r="J71" s="1" t="s">
        <v>781</v>
      </c>
      <c r="K71" s="1">
        <v>5.0</v>
      </c>
      <c r="L71" s="2">
        <v>42907.0</v>
      </c>
      <c r="O71" s="1">
        <v>0.0</v>
      </c>
      <c r="P71" s="1" t="s">
        <v>75</v>
      </c>
      <c r="Q71" s="1" t="s">
        <v>76</v>
      </c>
      <c r="R71" s="1" t="s">
        <v>782</v>
      </c>
      <c r="U71" s="1" t="s">
        <v>783</v>
      </c>
      <c r="V71" s="1">
        <v>270.0</v>
      </c>
      <c r="W71" s="3" t="s">
        <v>784</v>
      </c>
      <c r="X71" s="1">
        <v>721750.0</v>
      </c>
      <c r="Y71" s="1" t="s">
        <v>785</v>
      </c>
      <c r="Z71" s="3" t="s">
        <v>786</v>
      </c>
      <c r="AA71" s="3" t="s">
        <v>787</v>
      </c>
      <c r="AB71" s="1">
        <v>1.0</v>
      </c>
      <c r="AC71" s="1" t="s">
        <v>788</v>
      </c>
      <c r="AD71" s="1">
        <v>23.0</v>
      </c>
      <c r="AE71" s="1">
        <f t="shared" si="5"/>
        <v>429</v>
      </c>
      <c r="AF71" s="1">
        <v>44.0</v>
      </c>
      <c r="AG71" s="1">
        <v>18.0</v>
      </c>
      <c r="AH71" s="1">
        <v>3.0</v>
      </c>
      <c r="AI71" s="1">
        <v>0.0</v>
      </c>
      <c r="AJ71" s="1">
        <v>1.0</v>
      </c>
      <c r="AK71" s="1">
        <v>46.0</v>
      </c>
      <c r="AL71" s="1">
        <v>15.0</v>
      </c>
      <c r="AM71" s="1">
        <v>0.0</v>
      </c>
      <c r="AN71" s="1">
        <v>0.0</v>
      </c>
      <c r="AO71" s="1">
        <v>5.0</v>
      </c>
      <c r="AP71" s="1">
        <v>2.0</v>
      </c>
      <c r="AQ71" s="1">
        <v>1.0</v>
      </c>
    </row>
    <row r="72">
      <c r="A72" s="1"/>
      <c r="B72" s="1">
        <v>567.0</v>
      </c>
      <c r="C72" s="1" t="s">
        <v>789</v>
      </c>
      <c r="D72" s="1" t="s">
        <v>790</v>
      </c>
      <c r="E72" s="1" t="s">
        <v>57</v>
      </c>
      <c r="F72" s="1" t="s">
        <v>58</v>
      </c>
      <c r="G72" s="2">
        <v>26220.0</v>
      </c>
      <c r="H72" s="1" t="s">
        <v>791</v>
      </c>
      <c r="I72" s="1">
        <v>55.0</v>
      </c>
      <c r="J72" s="1" t="s">
        <v>792</v>
      </c>
      <c r="K72" s="1">
        <v>2.0</v>
      </c>
      <c r="L72" s="2">
        <v>42907.0</v>
      </c>
      <c r="O72" s="1">
        <v>0.0</v>
      </c>
      <c r="P72" s="1" t="s">
        <v>75</v>
      </c>
      <c r="Q72" s="1" t="s">
        <v>76</v>
      </c>
      <c r="R72" s="1" t="s">
        <v>793</v>
      </c>
      <c r="U72" s="1" t="s">
        <v>118</v>
      </c>
      <c r="V72" s="1">
        <v>638.0</v>
      </c>
      <c r="W72" s="3" t="s">
        <v>794</v>
      </c>
      <c r="X72" s="1">
        <v>720298.0</v>
      </c>
      <c r="Y72" s="1" t="s">
        <v>795</v>
      </c>
      <c r="Z72" s="3" t="s">
        <v>796</v>
      </c>
      <c r="AA72" s="3" t="s">
        <v>797</v>
      </c>
      <c r="AB72" s="1">
        <v>1.0</v>
      </c>
      <c r="AC72" s="1" t="s">
        <v>798</v>
      </c>
      <c r="AD72" s="1">
        <v>23.0</v>
      </c>
      <c r="AE72" s="1">
        <f t="shared" si="5"/>
        <v>429</v>
      </c>
      <c r="AF72" s="1">
        <v>101.0</v>
      </c>
      <c r="AG72" s="1">
        <v>105.0</v>
      </c>
      <c r="AH72" s="1">
        <v>85.0</v>
      </c>
      <c r="AI72" s="1">
        <v>18.0</v>
      </c>
      <c r="AJ72" s="1">
        <v>26.0</v>
      </c>
      <c r="AK72" s="1">
        <v>200.0</v>
      </c>
      <c r="AL72" s="1">
        <v>117.0</v>
      </c>
      <c r="AM72" s="1">
        <v>1.0</v>
      </c>
      <c r="AN72" s="1">
        <v>0.0</v>
      </c>
      <c r="AO72" s="1">
        <v>5.0</v>
      </c>
      <c r="AP72" s="1">
        <v>6.0</v>
      </c>
      <c r="AQ72" s="1">
        <v>2.0</v>
      </c>
    </row>
    <row r="73">
      <c r="A73" s="1"/>
      <c r="B73" s="1">
        <v>430.0</v>
      </c>
      <c r="C73" s="1" t="s">
        <v>799</v>
      </c>
      <c r="D73" s="1" t="s">
        <v>800</v>
      </c>
      <c r="E73" s="1" t="s">
        <v>567</v>
      </c>
      <c r="F73" s="1" t="s">
        <v>43</v>
      </c>
      <c r="G73" s="2">
        <v>17774.0</v>
      </c>
      <c r="H73" s="1" t="s">
        <v>207</v>
      </c>
      <c r="I73" s="1">
        <v>94.0</v>
      </c>
      <c r="J73" s="1" t="s">
        <v>642</v>
      </c>
      <c r="K73" s="1">
        <v>5.0</v>
      </c>
      <c r="L73" s="2">
        <v>42907.0</v>
      </c>
      <c r="O73" s="1">
        <v>0.0</v>
      </c>
      <c r="P73" s="1" t="s">
        <v>61</v>
      </c>
      <c r="Q73" s="1" t="s">
        <v>62</v>
      </c>
      <c r="R73" s="1" t="s">
        <v>801</v>
      </c>
      <c r="U73" s="1" t="s">
        <v>802</v>
      </c>
      <c r="V73" s="1">
        <v>92.0</v>
      </c>
      <c r="W73" s="3" t="s">
        <v>803</v>
      </c>
      <c r="X73" s="1">
        <v>746.0</v>
      </c>
      <c r="Y73" s="1" t="s">
        <v>804</v>
      </c>
      <c r="Z73" s="3" t="s">
        <v>805</v>
      </c>
      <c r="AA73" s="3" t="s">
        <v>806</v>
      </c>
      <c r="AB73" s="1">
        <v>2.0</v>
      </c>
      <c r="AC73" s="1" t="s">
        <v>807</v>
      </c>
      <c r="AD73" s="1">
        <v>23.0</v>
      </c>
      <c r="AE73" s="1">
        <f t="shared" si="5"/>
        <v>429</v>
      </c>
      <c r="AF73" s="1">
        <v>42.0</v>
      </c>
      <c r="AG73" s="1">
        <v>87.0</v>
      </c>
      <c r="AH73" s="1">
        <v>196.0</v>
      </c>
      <c r="AI73" s="1">
        <v>174.0</v>
      </c>
      <c r="AJ73" s="1">
        <v>25.0</v>
      </c>
      <c r="AK73" s="1">
        <v>279.0</v>
      </c>
      <c r="AL73" s="1">
        <v>18.0</v>
      </c>
      <c r="AM73" s="1">
        <v>1.0</v>
      </c>
      <c r="AN73" s="1">
        <v>0.0</v>
      </c>
      <c r="AO73" s="1">
        <v>1.0</v>
      </c>
      <c r="AP73" s="1">
        <v>0.0</v>
      </c>
      <c r="AQ73" s="1">
        <v>0.0</v>
      </c>
    </row>
    <row r="74">
      <c r="A74" s="1"/>
      <c r="B74" s="1">
        <v>231.0</v>
      </c>
      <c r="C74" s="1" t="s">
        <v>808</v>
      </c>
      <c r="D74" s="1" t="s">
        <v>809</v>
      </c>
      <c r="E74" s="1" t="s">
        <v>810</v>
      </c>
      <c r="F74" s="1" t="s">
        <v>43</v>
      </c>
      <c r="G74" s="2">
        <v>16708.0</v>
      </c>
      <c r="H74" s="1" t="s">
        <v>811</v>
      </c>
      <c r="I74" s="1" t="s">
        <v>812</v>
      </c>
      <c r="J74" s="1" t="s">
        <v>813</v>
      </c>
      <c r="K74" s="1">
        <v>1.0</v>
      </c>
      <c r="L74" s="2">
        <v>42907.0</v>
      </c>
      <c r="O74" s="1">
        <v>0.0</v>
      </c>
      <c r="P74" s="1" t="s">
        <v>814</v>
      </c>
      <c r="Q74" s="1" t="s">
        <v>815</v>
      </c>
      <c r="R74" s="3" t="s">
        <v>816</v>
      </c>
      <c r="U74" s="1" t="s">
        <v>246</v>
      </c>
      <c r="V74" s="1">
        <v>649.0</v>
      </c>
      <c r="W74" s="3" t="s">
        <v>817</v>
      </c>
      <c r="X74" s="1">
        <v>719138.0</v>
      </c>
      <c r="Y74" s="1" t="s">
        <v>818</v>
      </c>
      <c r="Z74" s="3" t="s">
        <v>819</v>
      </c>
      <c r="AA74" s="3" t="s">
        <v>820</v>
      </c>
      <c r="AB74" s="1">
        <v>1.0</v>
      </c>
      <c r="AC74" s="1" t="s">
        <v>821</v>
      </c>
      <c r="AD74" s="1">
        <v>23.0</v>
      </c>
      <c r="AE74" s="1">
        <f t="shared" si="5"/>
        <v>429</v>
      </c>
      <c r="AF74" s="1">
        <v>55.0</v>
      </c>
      <c r="AG74" s="1">
        <v>44.0</v>
      </c>
      <c r="AH74" s="1">
        <v>126.0</v>
      </c>
      <c r="AI74" s="1">
        <v>23.0</v>
      </c>
      <c r="AJ74" s="1">
        <v>119.0</v>
      </c>
      <c r="AK74" s="1">
        <v>260.0</v>
      </c>
      <c r="AL74" s="1">
        <v>3.0</v>
      </c>
      <c r="AM74" s="1">
        <v>0.0</v>
      </c>
      <c r="AN74" s="1">
        <v>2.0</v>
      </c>
      <c r="AO74" s="1">
        <v>9.0</v>
      </c>
      <c r="AP74" s="1">
        <v>15.0</v>
      </c>
      <c r="AQ74" s="1">
        <v>0.0</v>
      </c>
    </row>
    <row r="75">
      <c r="A75" s="1"/>
      <c r="B75" s="1">
        <v>147.0</v>
      </c>
      <c r="C75" s="1" t="s">
        <v>822</v>
      </c>
      <c r="D75" s="1" t="s">
        <v>823</v>
      </c>
      <c r="E75" s="1" t="s">
        <v>824</v>
      </c>
      <c r="F75" s="1" t="s">
        <v>43</v>
      </c>
      <c r="G75" s="2">
        <v>21345.0</v>
      </c>
      <c r="H75" s="1" t="s">
        <v>207</v>
      </c>
      <c r="I75" s="1">
        <v>32.0</v>
      </c>
      <c r="J75" s="1" t="s">
        <v>825</v>
      </c>
      <c r="K75" s="1">
        <v>1.0</v>
      </c>
      <c r="L75" s="2">
        <v>42907.0</v>
      </c>
      <c r="O75" s="1">
        <v>0.0</v>
      </c>
      <c r="P75" s="1" t="s">
        <v>75</v>
      </c>
      <c r="Q75" s="1" t="s">
        <v>76</v>
      </c>
      <c r="R75" s="1" t="s">
        <v>826</v>
      </c>
      <c r="U75" s="1" t="s">
        <v>827</v>
      </c>
      <c r="V75" s="1">
        <v>274.0</v>
      </c>
      <c r="W75" s="3" t="s">
        <v>828</v>
      </c>
      <c r="X75" s="1">
        <v>719472.0</v>
      </c>
      <c r="Y75" s="1" t="s">
        <v>829</v>
      </c>
      <c r="Z75" s="3" t="s">
        <v>830</v>
      </c>
      <c r="AA75" s="3" t="s">
        <v>831</v>
      </c>
      <c r="AB75" s="1">
        <v>2.0</v>
      </c>
      <c r="AC75" s="1" t="s">
        <v>832</v>
      </c>
      <c r="AD75" s="1">
        <v>23.0</v>
      </c>
      <c r="AE75" s="1">
        <f t="shared" si="5"/>
        <v>429</v>
      </c>
      <c r="AF75" s="1">
        <v>58.0</v>
      </c>
      <c r="AG75" s="1">
        <v>44.0</v>
      </c>
      <c r="AH75" s="1">
        <v>116.0</v>
      </c>
      <c r="AI75" s="1">
        <v>28.0</v>
      </c>
      <c r="AJ75" s="1">
        <v>6.0</v>
      </c>
      <c r="AK75" s="1">
        <v>210.0</v>
      </c>
      <c r="AL75" s="1">
        <v>150.0</v>
      </c>
      <c r="AM75" s="1">
        <v>1.0</v>
      </c>
      <c r="AN75" s="1">
        <v>0.0</v>
      </c>
      <c r="AO75" s="1">
        <v>5.0</v>
      </c>
      <c r="AP75" s="1">
        <v>2.0</v>
      </c>
      <c r="AQ75" s="1">
        <v>2.0</v>
      </c>
    </row>
    <row r="76">
      <c r="A76" s="1"/>
      <c r="B76" s="1">
        <v>179.0</v>
      </c>
      <c r="C76" s="1" t="s">
        <v>833</v>
      </c>
      <c r="D76" s="1" t="s">
        <v>834</v>
      </c>
      <c r="E76" s="1" t="s">
        <v>835</v>
      </c>
      <c r="F76" s="1" t="s">
        <v>43</v>
      </c>
      <c r="G76" s="2">
        <v>26767.0</v>
      </c>
      <c r="H76" s="1" t="s">
        <v>836</v>
      </c>
      <c r="I76" s="1">
        <v>59.0</v>
      </c>
      <c r="J76" s="1" t="s">
        <v>172</v>
      </c>
      <c r="K76" s="1">
        <v>19.0</v>
      </c>
      <c r="L76" s="2">
        <v>42907.0</v>
      </c>
      <c r="O76" s="1">
        <v>0.0</v>
      </c>
      <c r="P76" s="1" t="s">
        <v>814</v>
      </c>
      <c r="Q76" s="1" t="s">
        <v>837</v>
      </c>
      <c r="R76" s="1" t="s">
        <v>838</v>
      </c>
      <c r="U76" s="1" t="s">
        <v>839</v>
      </c>
      <c r="V76" s="1">
        <v>57.0</v>
      </c>
      <c r="W76" s="3" t="s">
        <v>840</v>
      </c>
      <c r="X76" s="1">
        <v>720468.0</v>
      </c>
      <c r="Y76" s="1" t="s">
        <v>841</v>
      </c>
      <c r="Z76" s="3" t="s">
        <v>842</v>
      </c>
      <c r="AA76" s="3" t="s">
        <v>843</v>
      </c>
      <c r="AB76" s="1">
        <v>1.0</v>
      </c>
      <c r="AC76" s="1" t="s">
        <v>844</v>
      </c>
      <c r="AD76" s="1">
        <v>23.0</v>
      </c>
      <c r="AE76" s="1">
        <f t="shared" si="5"/>
        <v>429</v>
      </c>
      <c r="AF76" s="1">
        <v>29.0</v>
      </c>
      <c r="AG76" s="1">
        <v>13.0</v>
      </c>
      <c r="AH76" s="1">
        <v>169.0</v>
      </c>
      <c r="AI76" s="1">
        <v>148.0</v>
      </c>
      <c r="AJ76" s="1">
        <v>57.0</v>
      </c>
      <c r="AK76" s="1">
        <v>261.0</v>
      </c>
      <c r="AL76" s="1">
        <v>0.0</v>
      </c>
      <c r="AM76" s="1">
        <v>0.0</v>
      </c>
      <c r="AN76" s="1">
        <v>3.0</v>
      </c>
      <c r="AO76" s="1">
        <v>13.0</v>
      </c>
      <c r="AP76" s="1">
        <v>17.0</v>
      </c>
      <c r="AQ76" s="1">
        <v>1.0</v>
      </c>
    </row>
    <row r="77">
      <c r="A77" s="1"/>
      <c r="B77" s="1">
        <v>380.0</v>
      </c>
      <c r="C77" s="1" t="s">
        <v>845</v>
      </c>
      <c r="D77" s="1" t="s">
        <v>522</v>
      </c>
      <c r="E77" s="1" t="s">
        <v>846</v>
      </c>
      <c r="F77" s="1" t="s">
        <v>43</v>
      </c>
      <c r="G77" s="2">
        <v>25974.0</v>
      </c>
      <c r="H77" s="1" t="s">
        <v>847</v>
      </c>
      <c r="I77" s="1">
        <v>59.0</v>
      </c>
      <c r="J77" s="1" t="s">
        <v>172</v>
      </c>
      <c r="K77" s="1">
        <v>14.0</v>
      </c>
      <c r="L77" s="2">
        <v>42907.0</v>
      </c>
      <c r="O77" s="1">
        <v>0.0</v>
      </c>
      <c r="P77" s="1" t="s">
        <v>46</v>
      </c>
      <c r="Q77" s="1" t="s">
        <v>47</v>
      </c>
      <c r="R77" s="1" t="s">
        <v>848</v>
      </c>
      <c r="U77" s="1" t="s">
        <v>118</v>
      </c>
      <c r="V77" s="1">
        <v>141.0</v>
      </c>
      <c r="W77" s="3" t="s">
        <v>849</v>
      </c>
      <c r="X77" s="1">
        <v>642868.0</v>
      </c>
      <c r="Y77" s="1" t="s">
        <v>850</v>
      </c>
      <c r="Z77" s="3" t="s">
        <v>851</v>
      </c>
      <c r="AA77" s="3" t="s">
        <v>852</v>
      </c>
      <c r="AB77" s="1">
        <v>1.0</v>
      </c>
      <c r="AC77" s="1" t="s">
        <v>853</v>
      </c>
      <c r="AD77" s="1">
        <v>23.0</v>
      </c>
      <c r="AE77" s="1">
        <f t="shared" si="5"/>
        <v>429</v>
      </c>
      <c r="AF77" s="1">
        <v>44.0</v>
      </c>
      <c r="AG77" s="1">
        <v>28.0</v>
      </c>
      <c r="AH77" s="1">
        <v>66.0</v>
      </c>
      <c r="AI77" s="1">
        <v>10.0</v>
      </c>
      <c r="AJ77" s="1">
        <v>37.0</v>
      </c>
      <c r="AK77" s="1">
        <v>605.0</v>
      </c>
      <c r="AL77" s="1">
        <v>35.0</v>
      </c>
      <c r="AM77" s="1">
        <v>2.0</v>
      </c>
      <c r="AN77" s="1">
        <v>5.0</v>
      </c>
      <c r="AO77" s="1">
        <v>35.0</v>
      </c>
      <c r="AP77" s="1">
        <v>18.0</v>
      </c>
      <c r="AQ77" s="1">
        <v>3.0</v>
      </c>
    </row>
    <row r="78">
      <c r="A78" s="1"/>
      <c r="B78" s="1">
        <v>301.0</v>
      </c>
      <c r="C78" s="1" t="s">
        <v>854</v>
      </c>
      <c r="D78" s="1" t="s">
        <v>855</v>
      </c>
      <c r="E78" s="1" t="s">
        <v>856</v>
      </c>
      <c r="F78" s="1" t="s">
        <v>43</v>
      </c>
      <c r="G78" s="2">
        <v>28612.0</v>
      </c>
      <c r="H78" s="1" t="s">
        <v>857</v>
      </c>
      <c r="I78" s="1">
        <v>38.0</v>
      </c>
      <c r="J78" s="1" t="s">
        <v>267</v>
      </c>
      <c r="K78" s="1">
        <v>2.0</v>
      </c>
      <c r="L78" s="2">
        <v>42907.0</v>
      </c>
      <c r="O78" s="1">
        <v>0.0</v>
      </c>
      <c r="P78" s="1" t="s">
        <v>75</v>
      </c>
      <c r="Q78" s="1" t="s">
        <v>76</v>
      </c>
      <c r="R78" s="1" t="s">
        <v>858</v>
      </c>
      <c r="U78" s="1" t="s">
        <v>827</v>
      </c>
      <c r="V78" s="1">
        <v>199.0</v>
      </c>
      <c r="W78" s="3" t="s">
        <v>859</v>
      </c>
      <c r="X78" s="1">
        <v>719740.0</v>
      </c>
      <c r="Y78" s="1" t="s">
        <v>860</v>
      </c>
      <c r="Z78" s="3" t="s">
        <v>861</v>
      </c>
      <c r="AA78" s="3" t="s">
        <v>862</v>
      </c>
      <c r="AB78" s="1">
        <v>1.0</v>
      </c>
      <c r="AC78" s="1" t="s">
        <v>863</v>
      </c>
      <c r="AD78" s="1">
        <v>23.0</v>
      </c>
      <c r="AE78" s="1">
        <f t="shared" si="5"/>
        <v>429</v>
      </c>
      <c r="AF78" s="1">
        <v>58.0</v>
      </c>
      <c r="AG78" s="1">
        <v>139.0</v>
      </c>
      <c r="AH78" s="1">
        <v>102.0</v>
      </c>
      <c r="AI78" s="1">
        <v>38.0</v>
      </c>
      <c r="AJ78" s="1">
        <v>139.0</v>
      </c>
      <c r="AK78" s="1">
        <v>255.0</v>
      </c>
      <c r="AL78" s="1">
        <v>172.0</v>
      </c>
      <c r="AM78" s="1">
        <v>4.0</v>
      </c>
      <c r="AN78" s="1">
        <v>0.0</v>
      </c>
      <c r="AO78" s="1">
        <v>6.0</v>
      </c>
      <c r="AP78" s="1">
        <v>2.0</v>
      </c>
      <c r="AQ78" s="1">
        <v>1.0</v>
      </c>
    </row>
    <row r="79">
      <c r="A79" s="1"/>
      <c r="B79" s="1">
        <v>203.0</v>
      </c>
      <c r="C79" s="1" t="s">
        <v>864</v>
      </c>
      <c r="D79" s="1" t="s">
        <v>865</v>
      </c>
      <c r="E79" s="1" t="s">
        <v>866</v>
      </c>
      <c r="F79" s="1" t="s">
        <v>43</v>
      </c>
      <c r="G79" s="2">
        <v>26446.0</v>
      </c>
      <c r="H79" s="1" t="s">
        <v>867</v>
      </c>
      <c r="I79" s="1">
        <v>8.0</v>
      </c>
      <c r="J79" s="1" t="s">
        <v>707</v>
      </c>
      <c r="K79" s="1">
        <v>2.0</v>
      </c>
      <c r="L79" s="2">
        <v>42907.0</v>
      </c>
      <c r="O79" s="1">
        <v>0.0</v>
      </c>
      <c r="P79" s="1" t="s">
        <v>61</v>
      </c>
      <c r="Q79" s="1" t="s">
        <v>62</v>
      </c>
      <c r="R79" s="3" t="s">
        <v>868</v>
      </c>
      <c r="U79" s="1" t="s">
        <v>118</v>
      </c>
      <c r="V79" s="1">
        <v>8.0</v>
      </c>
      <c r="W79" s="3" t="s">
        <v>869</v>
      </c>
      <c r="X79" s="1">
        <v>718850.0</v>
      </c>
      <c r="Y79" s="1" t="s">
        <v>870</v>
      </c>
      <c r="Z79" s="3" t="s">
        <v>871</v>
      </c>
      <c r="AA79" s="3" t="s">
        <v>872</v>
      </c>
      <c r="AB79" s="1">
        <v>1.0</v>
      </c>
      <c r="AC79" s="1" t="s">
        <v>873</v>
      </c>
      <c r="AD79" s="1">
        <v>23.0</v>
      </c>
      <c r="AE79" s="1">
        <f t="shared" si="5"/>
        <v>429</v>
      </c>
      <c r="AF79" s="1">
        <v>48.0</v>
      </c>
      <c r="AG79" s="1">
        <v>19.0</v>
      </c>
      <c r="AH79" s="1">
        <v>37.0</v>
      </c>
      <c r="AI79" s="1">
        <v>683.0</v>
      </c>
      <c r="AJ79" s="1">
        <v>53.0</v>
      </c>
      <c r="AK79" s="1">
        <v>1731.0</v>
      </c>
      <c r="AL79" s="1">
        <v>50.0</v>
      </c>
      <c r="AM79" s="1">
        <v>0.0</v>
      </c>
      <c r="AN79" s="1">
        <v>5.0</v>
      </c>
      <c r="AO79" s="1">
        <v>54.0</v>
      </c>
      <c r="AP79" s="1">
        <v>19.0</v>
      </c>
      <c r="AQ79" s="1">
        <v>3.0</v>
      </c>
    </row>
    <row r="80">
      <c r="A80" s="1"/>
      <c r="B80" s="1">
        <v>115.0</v>
      </c>
      <c r="C80" s="1" t="s">
        <v>874</v>
      </c>
      <c r="D80" s="1" t="s">
        <v>875</v>
      </c>
      <c r="E80" s="1" t="s">
        <v>619</v>
      </c>
      <c r="F80" s="1" t="s">
        <v>58</v>
      </c>
      <c r="G80" s="2">
        <v>24715.0</v>
      </c>
      <c r="H80" s="1" t="s">
        <v>876</v>
      </c>
      <c r="I80" s="1">
        <v>89.0</v>
      </c>
      <c r="J80" s="1" t="s">
        <v>877</v>
      </c>
      <c r="K80" s="1">
        <v>3.0</v>
      </c>
      <c r="L80" s="2">
        <v>42907.0</v>
      </c>
      <c r="O80" s="1">
        <v>0.0</v>
      </c>
      <c r="P80" s="1" t="s">
        <v>75</v>
      </c>
      <c r="Q80" s="1" t="s">
        <v>76</v>
      </c>
      <c r="R80" s="1" t="s">
        <v>878</v>
      </c>
      <c r="U80" s="1" t="s">
        <v>879</v>
      </c>
      <c r="V80" s="1">
        <v>367.0</v>
      </c>
      <c r="W80" s="3" t="s">
        <v>880</v>
      </c>
      <c r="X80" s="1">
        <v>721808.0</v>
      </c>
      <c r="Y80" s="1" t="s">
        <v>881</v>
      </c>
      <c r="Z80" s="3" t="s">
        <v>882</v>
      </c>
      <c r="AA80" s="3" t="s">
        <v>883</v>
      </c>
      <c r="AB80" s="1">
        <v>1.0</v>
      </c>
      <c r="AC80" s="1" t="s">
        <v>884</v>
      </c>
      <c r="AD80" s="1">
        <v>23.0</v>
      </c>
      <c r="AE80" s="1">
        <f t="shared" si="5"/>
        <v>429</v>
      </c>
      <c r="AF80" s="1">
        <v>50.0</v>
      </c>
      <c r="AG80" s="1">
        <v>11.0</v>
      </c>
      <c r="AH80" s="1">
        <v>1.0</v>
      </c>
      <c r="AI80" s="1">
        <v>0.0</v>
      </c>
      <c r="AJ80" s="1">
        <v>0.0</v>
      </c>
      <c r="AK80" s="1">
        <v>55.0</v>
      </c>
      <c r="AL80" s="1">
        <v>26.0</v>
      </c>
      <c r="AM80" s="1">
        <v>0.0</v>
      </c>
      <c r="AN80" s="1">
        <v>0.0</v>
      </c>
      <c r="AO80" s="1">
        <v>5.0</v>
      </c>
      <c r="AP80" s="1">
        <v>8.0</v>
      </c>
      <c r="AQ80" s="1">
        <v>0.0</v>
      </c>
    </row>
    <row r="81">
      <c r="A81" s="1"/>
      <c r="B81" s="1">
        <v>552.0</v>
      </c>
      <c r="C81" s="1" t="s">
        <v>885</v>
      </c>
      <c r="D81" s="1" t="s">
        <v>886</v>
      </c>
      <c r="E81" s="1" t="s">
        <v>887</v>
      </c>
      <c r="F81" s="1" t="s">
        <v>43</v>
      </c>
      <c r="G81" s="2">
        <v>25019.0</v>
      </c>
      <c r="H81" s="1" t="s">
        <v>888</v>
      </c>
      <c r="I81" s="1">
        <v>95.0</v>
      </c>
      <c r="J81" s="1" t="s">
        <v>302</v>
      </c>
      <c r="K81" s="1">
        <v>7.0</v>
      </c>
      <c r="L81" s="2">
        <v>42907.0</v>
      </c>
      <c r="O81" s="1">
        <v>0.0</v>
      </c>
      <c r="P81" s="1" t="s">
        <v>75</v>
      </c>
      <c r="Q81" s="1" t="s">
        <v>76</v>
      </c>
      <c r="R81" s="3" t="s">
        <v>889</v>
      </c>
      <c r="U81" s="1" t="s">
        <v>198</v>
      </c>
      <c r="V81" s="1">
        <v>223.0</v>
      </c>
      <c r="W81" s="3" t="s">
        <v>890</v>
      </c>
      <c r="X81" s="1">
        <v>720932.0</v>
      </c>
      <c r="Y81" s="1" t="s">
        <v>891</v>
      </c>
      <c r="Z81" s="3" t="s">
        <v>892</v>
      </c>
      <c r="AA81" s="3" t="s">
        <v>893</v>
      </c>
      <c r="AB81" s="1">
        <v>1.0</v>
      </c>
      <c r="AC81" s="1" t="s">
        <v>894</v>
      </c>
      <c r="AD81" s="1">
        <v>23.0</v>
      </c>
      <c r="AE81" s="1">
        <f t="shared" si="5"/>
        <v>429</v>
      </c>
      <c r="AF81" s="1">
        <v>53.0</v>
      </c>
      <c r="AG81" s="1">
        <v>25.0</v>
      </c>
      <c r="AH81" s="1">
        <v>11.0</v>
      </c>
      <c r="AI81" s="1">
        <v>0.0</v>
      </c>
      <c r="AJ81" s="1">
        <v>7.0</v>
      </c>
      <c r="AK81" s="1">
        <v>121.0</v>
      </c>
      <c r="AL81" s="1">
        <v>58.0</v>
      </c>
      <c r="AM81" s="1">
        <v>0.0</v>
      </c>
      <c r="AN81" s="1">
        <v>0.0</v>
      </c>
      <c r="AO81" s="1">
        <v>5.0</v>
      </c>
      <c r="AP81" s="1">
        <v>0.0</v>
      </c>
      <c r="AQ81" s="1">
        <v>1.0</v>
      </c>
    </row>
    <row r="82">
      <c r="A82" s="1"/>
      <c r="B82" s="1">
        <v>57.0</v>
      </c>
      <c r="C82" s="1" t="s">
        <v>895</v>
      </c>
      <c r="D82" s="1" t="s">
        <v>896</v>
      </c>
      <c r="E82" s="1" t="s">
        <v>671</v>
      </c>
      <c r="F82" s="1" t="s">
        <v>58</v>
      </c>
      <c r="G82" s="2">
        <v>21195.0</v>
      </c>
      <c r="H82" s="1" t="s">
        <v>897</v>
      </c>
      <c r="I82" s="1">
        <v>39.0</v>
      </c>
      <c r="J82" s="1" t="s">
        <v>128</v>
      </c>
      <c r="K82" s="1">
        <v>2.0</v>
      </c>
      <c r="L82" s="2">
        <v>42907.0</v>
      </c>
      <c r="O82" s="1">
        <v>0.0</v>
      </c>
      <c r="P82" s="1" t="s">
        <v>61</v>
      </c>
      <c r="Q82" s="1" t="s">
        <v>62</v>
      </c>
      <c r="R82" s="1" t="s">
        <v>898</v>
      </c>
      <c r="U82" s="1" t="s">
        <v>440</v>
      </c>
      <c r="V82" s="1">
        <v>16.0</v>
      </c>
      <c r="W82" s="3" t="s">
        <v>899</v>
      </c>
      <c r="X82" s="1">
        <v>332523.0</v>
      </c>
      <c r="Y82" s="1" t="s">
        <v>900</v>
      </c>
      <c r="Z82" s="3" t="s">
        <v>901</v>
      </c>
      <c r="AA82" s="3" t="s">
        <v>902</v>
      </c>
      <c r="AB82" s="1">
        <v>1.0</v>
      </c>
      <c r="AD82" s="1">
        <v>23.0</v>
      </c>
      <c r="AE82" s="1">
        <f t="shared" si="5"/>
        <v>429</v>
      </c>
      <c r="AF82" s="1">
        <v>53.0</v>
      </c>
      <c r="AG82" s="1">
        <v>116.0</v>
      </c>
      <c r="AH82" s="1">
        <v>181.0</v>
      </c>
      <c r="AI82" s="1">
        <v>237.0</v>
      </c>
      <c r="AJ82" s="1">
        <v>162.0</v>
      </c>
      <c r="AK82" s="1">
        <v>1429.0</v>
      </c>
      <c r="AL82" s="1">
        <v>52.0</v>
      </c>
      <c r="AM82" s="1">
        <v>1.0</v>
      </c>
      <c r="AN82" s="1">
        <v>0.0</v>
      </c>
      <c r="AO82" s="1">
        <v>57.0</v>
      </c>
      <c r="AP82" s="1">
        <v>20.0</v>
      </c>
      <c r="AQ82" s="1">
        <v>1.0</v>
      </c>
    </row>
    <row r="83">
      <c r="A83" s="1"/>
      <c r="B83" s="1">
        <v>169.0</v>
      </c>
      <c r="C83" s="1" t="s">
        <v>903</v>
      </c>
      <c r="D83" s="1" t="s">
        <v>904</v>
      </c>
      <c r="E83" s="1" t="s">
        <v>905</v>
      </c>
      <c r="F83" s="1" t="s">
        <v>43</v>
      </c>
      <c r="G83" s="2">
        <v>24324.0</v>
      </c>
      <c r="H83" s="1" t="s">
        <v>906</v>
      </c>
      <c r="I83" s="1">
        <v>47.0</v>
      </c>
      <c r="J83" s="1" t="s">
        <v>907</v>
      </c>
      <c r="K83" s="1">
        <v>3.0</v>
      </c>
      <c r="L83" s="2">
        <v>42907.0</v>
      </c>
      <c r="O83" s="1">
        <v>0.0</v>
      </c>
      <c r="P83" s="1" t="s">
        <v>75</v>
      </c>
      <c r="Q83" s="1" t="s">
        <v>76</v>
      </c>
      <c r="R83" s="1" t="s">
        <v>908</v>
      </c>
      <c r="U83" s="1" t="s">
        <v>417</v>
      </c>
      <c r="V83" s="1">
        <v>523.0</v>
      </c>
      <c r="W83" s="3" t="s">
        <v>909</v>
      </c>
      <c r="X83" s="1">
        <v>720268.0</v>
      </c>
      <c r="Y83" s="1" t="s">
        <v>910</v>
      </c>
      <c r="Z83" s="3" t="s">
        <v>911</v>
      </c>
      <c r="AA83" s="3" t="s">
        <v>912</v>
      </c>
      <c r="AB83" s="1">
        <v>2.0</v>
      </c>
      <c r="AC83" s="1" t="s">
        <v>913</v>
      </c>
      <c r="AD83" s="1">
        <v>23.0</v>
      </c>
      <c r="AE83" s="1">
        <f t="shared" si="5"/>
        <v>429</v>
      </c>
      <c r="AF83" s="1">
        <v>58.0</v>
      </c>
      <c r="AG83" s="1">
        <v>8.0</v>
      </c>
      <c r="AH83" s="1">
        <v>14.0</v>
      </c>
      <c r="AI83" s="1">
        <v>34.0</v>
      </c>
      <c r="AJ83" s="1">
        <v>0.0</v>
      </c>
      <c r="AK83" s="1">
        <v>158.0</v>
      </c>
      <c r="AL83" s="1">
        <v>103.0</v>
      </c>
      <c r="AM83" s="1">
        <v>1.0</v>
      </c>
      <c r="AN83" s="1">
        <v>0.0</v>
      </c>
      <c r="AO83" s="1">
        <v>8.0</v>
      </c>
      <c r="AP83" s="1">
        <v>0.0</v>
      </c>
      <c r="AQ83" s="1">
        <v>1.0</v>
      </c>
    </row>
    <row r="84">
      <c r="A84" s="1"/>
      <c r="B84" s="1">
        <v>84.0</v>
      </c>
      <c r="C84" s="1" t="s">
        <v>914</v>
      </c>
      <c r="D84" s="1" t="s">
        <v>915</v>
      </c>
      <c r="E84" s="1" t="s">
        <v>916</v>
      </c>
      <c r="F84" s="1" t="s">
        <v>43</v>
      </c>
      <c r="G84" s="2">
        <v>18051.0</v>
      </c>
      <c r="H84" s="1" t="s">
        <v>917</v>
      </c>
      <c r="I84" s="1">
        <v>33.0</v>
      </c>
      <c r="J84" s="1" t="s">
        <v>348</v>
      </c>
      <c r="K84" s="1">
        <v>4.0</v>
      </c>
      <c r="L84" s="2">
        <v>42907.0</v>
      </c>
      <c r="O84" s="1">
        <v>0.0</v>
      </c>
      <c r="P84" s="1" t="s">
        <v>115</v>
      </c>
      <c r="Q84" s="1" t="s">
        <v>116</v>
      </c>
      <c r="R84" s="1" t="s">
        <v>918</v>
      </c>
      <c r="U84" s="1" t="s">
        <v>827</v>
      </c>
      <c r="V84" s="1">
        <v>518.0</v>
      </c>
      <c r="W84" s="3" t="s">
        <v>919</v>
      </c>
      <c r="X84" s="1">
        <v>1008.0</v>
      </c>
      <c r="Y84" s="1" t="s">
        <v>920</v>
      </c>
      <c r="Z84" s="3" t="s">
        <v>921</v>
      </c>
      <c r="AA84" s="3" t="s">
        <v>922</v>
      </c>
      <c r="AB84" s="1">
        <v>1.0</v>
      </c>
      <c r="AC84" s="1" t="s">
        <v>923</v>
      </c>
      <c r="AD84" s="1">
        <v>23.0</v>
      </c>
      <c r="AE84" s="1">
        <f t="shared" si="5"/>
        <v>429</v>
      </c>
      <c r="AF84" s="1">
        <v>39.0</v>
      </c>
      <c r="AG84" s="1">
        <v>18.0</v>
      </c>
      <c r="AH84" s="1">
        <v>8.0</v>
      </c>
      <c r="AI84" s="1">
        <v>3.0</v>
      </c>
      <c r="AJ84" s="1">
        <v>0.0</v>
      </c>
      <c r="AK84" s="1">
        <v>1134.0</v>
      </c>
      <c r="AL84" s="1">
        <v>71.0</v>
      </c>
      <c r="AM84" s="1">
        <v>1.0</v>
      </c>
      <c r="AN84" s="1">
        <v>0.0</v>
      </c>
      <c r="AO84" s="1">
        <v>5.0</v>
      </c>
      <c r="AP84" s="1">
        <v>9.0</v>
      </c>
      <c r="AQ84" s="1">
        <v>3.0</v>
      </c>
    </row>
    <row r="85">
      <c r="A85" s="1"/>
      <c r="B85" s="1">
        <v>494.0</v>
      </c>
      <c r="C85" s="1" t="s">
        <v>924</v>
      </c>
      <c r="D85" s="1" t="s">
        <v>915</v>
      </c>
      <c r="E85" s="1" t="s">
        <v>887</v>
      </c>
      <c r="F85" s="1" t="s">
        <v>58</v>
      </c>
      <c r="G85" s="2">
        <v>23069.0</v>
      </c>
      <c r="H85" s="1" t="s">
        <v>857</v>
      </c>
      <c r="I85" s="1">
        <v>33.0</v>
      </c>
      <c r="J85" s="1" t="s">
        <v>348</v>
      </c>
      <c r="K85" s="1">
        <v>1.0</v>
      </c>
      <c r="L85" s="2">
        <v>42907.0</v>
      </c>
      <c r="O85" s="1">
        <v>0.0</v>
      </c>
      <c r="P85" s="1" t="s">
        <v>75</v>
      </c>
      <c r="Q85" s="1" t="s">
        <v>76</v>
      </c>
      <c r="R85" s="1" t="s">
        <v>925</v>
      </c>
      <c r="U85" s="1" t="s">
        <v>234</v>
      </c>
      <c r="V85" s="1">
        <v>644.0</v>
      </c>
      <c r="W85" s="3" t="s">
        <v>926</v>
      </c>
      <c r="X85" s="1">
        <v>719710.0</v>
      </c>
      <c r="Y85" s="1" t="s">
        <v>927</v>
      </c>
      <c r="Z85" s="3" t="s">
        <v>928</v>
      </c>
      <c r="AA85" s="3" t="s">
        <v>929</v>
      </c>
      <c r="AB85" s="1">
        <v>1.0</v>
      </c>
      <c r="AC85" s="1" t="s">
        <v>930</v>
      </c>
      <c r="AD85" s="1">
        <v>23.0</v>
      </c>
      <c r="AE85" s="1">
        <f t="shared" si="5"/>
        <v>429</v>
      </c>
      <c r="AF85" s="1">
        <v>71.0</v>
      </c>
      <c r="AG85" s="1">
        <v>9.0</v>
      </c>
      <c r="AH85" s="1">
        <v>4.0</v>
      </c>
      <c r="AI85" s="1">
        <v>0.0</v>
      </c>
      <c r="AJ85" s="1">
        <v>1.0</v>
      </c>
      <c r="AK85" s="1">
        <v>150.0</v>
      </c>
      <c r="AL85" s="1">
        <v>103.0</v>
      </c>
      <c r="AM85" s="1">
        <v>1.0</v>
      </c>
      <c r="AN85" s="1">
        <v>0.0</v>
      </c>
      <c r="AO85" s="1">
        <v>5.0</v>
      </c>
      <c r="AP85" s="1">
        <v>0.0</v>
      </c>
      <c r="AQ85" s="1">
        <v>1.0</v>
      </c>
    </row>
    <row r="86">
      <c r="A86" s="1"/>
      <c r="B86" s="1">
        <v>556.0</v>
      </c>
      <c r="C86" s="1" t="s">
        <v>931</v>
      </c>
      <c r="D86" s="1" t="s">
        <v>932</v>
      </c>
      <c r="E86" s="1" t="s">
        <v>933</v>
      </c>
      <c r="F86" s="1" t="s">
        <v>58</v>
      </c>
      <c r="G86" s="2">
        <v>33975.0</v>
      </c>
      <c r="H86" s="1" t="s">
        <v>934</v>
      </c>
      <c r="I86" s="1">
        <v>73.0</v>
      </c>
      <c r="J86" s="1" t="s">
        <v>60</v>
      </c>
      <c r="K86" s="1">
        <v>1.0</v>
      </c>
      <c r="L86" s="2">
        <v>42907.0</v>
      </c>
      <c r="O86" s="1">
        <v>0.0</v>
      </c>
      <c r="P86" s="1" t="s">
        <v>75</v>
      </c>
      <c r="Q86" s="1" t="s">
        <v>76</v>
      </c>
      <c r="R86" s="1" t="s">
        <v>935</v>
      </c>
      <c r="U86" s="1" t="s">
        <v>936</v>
      </c>
      <c r="V86" s="1">
        <v>350.0</v>
      </c>
      <c r="W86" s="3" t="s">
        <v>937</v>
      </c>
      <c r="X86" s="1">
        <v>721398.0</v>
      </c>
      <c r="Y86" s="1" t="s">
        <v>938</v>
      </c>
      <c r="Z86" s="3" t="s">
        <v>939</v>
      </c>
      <c r="AA86" s="3" t="s">
        <v>940</v>
      </c>
      <c r="AB86" s="1">
        <v>1.0</v>
      </c>
      <c r="AC86" s="1" t="s">
        <v>941</v>
      </c>
      <c r="AD86" s="1">
        <v>23.0</v>
      </c>
      <c r="AE86" s="1">
        <f t="shared" si="5"/>
        <v>429</v>
      </c>
      <c r="AF86" s="1">
        <v>54.0</v>
      </c>
      <c r="AG86" s="1">
        <v>20.0</v>
      </c>
      <c r="AH86" s="1">
        <v>0.0</v>
      </c>
      <c r="AI86" s="1">
        <v>2.0</v>
      </c>
      <c r="AJ86" s="1">
        <v>1.0</v>
      </c>
      <c r="AK86" s="1">
        <v>129.0</v>
      </c>
      <c r="AL86" s="1">
        <v>59.0</v>
      </c>
      <c r="AM86" s="1">
        <v>1.0</v>
      </c>
      <c r="AN86" s="1">
        <v>1.0</v>
      </c>
      <c r="AO86" s="1">
        <v>6.0</v>
      </c>
      <c r="AP86" s="1">
        <v>15.0</v>
      </c>
      <c r="AQ86" s="1">
        <v>0.0</v>
      </c>
    </row>
    <row r="87">
      <c r="A87" s="1"/>
      <c r="B87" s="1">
        <v>167.0</v>
      </c>
      <c r="C87" s="1" t="s">
        <v>942</v>
      </c>
      <c r="D87" s="1" t="s">
        <v>943</v>
      </c>
      <c r="E87" s="1" t="s">
        <v>944</v>
      </c>
      <c r="F87" s="1" t="s">
        <v>43</v>
      </c>
      <c r="G87" s="2">
        <v>22425.0</v>
      </c>
      <c r="H87" s="1" t="s">
        <v>945</v>
      </c>
      <c r="I87" s="1">
        <v>2.0</v>
      </c>
      <c r="J87" s="1" t="s">
        <v>185</v>
      </c>
      <c r="K87" s="1">
        <v>4.0</v>
      </c>
      <c r="L87" s="2">
        <v>42907.0</v>
      </c>
      <c r="O87" s="1">
        <v>0.0</v>
      </c>
      <c r="P87" s="1" t="s">
        <v>75</v>
      </c>
      <c r="Q87" s="1" t="s">
        <v>76</v>
      </c>
      <c r="R87" s="1" t="s">
        <v>946</v>
      </c>
      <c r="U87" s="1" t="s">
        <v>151</v>
      </c>
      <c r="V87" s="1">
        <v>565.0</v>
      </c>
      <c r="W87" s="3" t="s">
        <v>947</v>
      </c>
      <c r="X87" s="1">
        <v>718694.0</v>
      </c>
      <c r="Y87" s="1" t="s">
        <v>948</v>
      </c>
      <c r="Z87" s="3" t="s">
        <v>949</v>
      </c>
      <c r="AA87" s="3" t="s">
        <v>950</v>
      </c>
      <c r="AB87" s="1">
        <v>1.0</v>
      </c>
      <c r="AC87" s="1" t="s">
        <v>951</v>
      </c>
      <c r="AD87" s="1">
        <v>23.0</v>
      </c>
      <c r="AE87" s="1">
        <f t="shared" si="5"/>
        <v>429</v>
      </c>
      <c r="AF87" s="1">
        <v>51.0</v>
      </c>
      <c r="AG87" s="1">
        <v>14.0</v>
      </c>
      <c r="AH87" s="1">
        <v>16.0</v>
      </c>
      <c r="AI87" s="1">
        <v>3.0</v>
      </c>
      <c r="AJ87" s="1">
        <v>0.0</v>
      </c>
      <c r="AK87" s="1">
        <v>54.0</v>
      </c>
      <c r="AL87" s="1">
        <v>25.0</v>
      </c>
      <c r="AM87" s="1">
        <v>0.0</v>
      </c>
      <c r="AN87" s="1">
        <v>0.0</v>
      </c>
      <c r="AO87" s="1">
        <v>6.0</v>
      </c>
      <c r="AP87" s="1">
        <v>3.0</v>
      </c>
      <c r="AQ87" s="1">
        <v>1.0</v>
      </c>
    </row>
    <row r="88">
      <c r="A88" s="1"/>
      <c r="B88" s="1">
        <v>555.0</v>
      </c>
      <c r="C88" s="1" t="s">
        <v>952</v>
      </c>
      <c r="D88" s="1" t="s">
        <v>953</v>
      </c>
      <c r="E88" s="1" t="s">
        <v>954</v>
      </c>
      <c r="F88" s="1" t="s">
        <v>58</v>
      </c>
      <c r="G88" s="2">
        <v>19131.0</v>
      </c>
      <c r="H88" s="1" t="s">
        <v>955</v>
      </c>
      <c r="I88" s="1">
        <v>62.0</v>
      </c>
      <c r="J88" s="1" t="s">
        <v>427</v>
      </c>
      <c r="K88" s="1">
        <v>9.0</v>
      </c>
      <c r="L88" s="2">
        <v>42907.0</v>
      </c>
      <c r="O88" s="1">
        <v>0.0</v>
      </c>
      <c r="P88" s="1" t="s">
        <v>280</v>
      </c>
      <c r="Q88" s="1" t="s">
        <v>281</v>
      </c>
      <c r="R88" s="1" t="s">
        <v>956</v>
      </c>
      <c r="U88" s="1" t="s">
        <v>957</v>
      </c>
      <c r="V88" s="1">
        <v>170.0</v>
      </c>
      <c r="W88" s="3" t="s">
        <v>958</v>
      </c>
      <c r="X88" s="1">
        <v>720598.0</v>
      </c>
      <c r="Y88" s="1" t="s">
        <v>959</v>
      </c>
      <c r="Z88" s="3" t="s">
        <v>960</v>
      </c>
      <c r="AA88" s="3" t="s">
        <v>961</v>
      </c>
      <c r="AB88" s="1">
        <v>1.0</v>
      </c>
      <c r="AC88" s="1" t="s">
        <v>962</v>
      </c>
      <c r="AD88" s="1">
        <v>23.0</v>
      </c>
      <c r="AE88" s="1">
        <f t="shared" si="5"/>
        <v>429</v>
      </c>
      <c r="AF88" s="1">
        <v>53.0</v>
      </c>
      <c r="AG88" s="1">
        <v>24.0</v>
      </c>
      <c r="AH88" s="1">
        <v>10.0</v>
      </c>
      <c r="AI88" s="1">
        <v>2.0</v>
      </c>
      <c r="AJ88" s="1">
        <v>5.0</v>
      </c>
      <c r="AK88" s="1">
        <v>191.0</v>
      </c>
      <c r="AL88" s="1">
        <v>18.0</v>
      </c>
      <c r="AM88" s="1">
        <v>0.0</v>
      </c>
      <c r="AN88" s="1">
        <v>0.0</v>
      </c>
      <c r="AO88" s="1">
        <v>5.0</v>
      </c>
      <c r="AP88" s="1">
        <v>9.0</v>
      </c>
      <c r="AQ88" s="1">
        <v>3.0</v>
      </c>
    </row>
    <row r="89">
      <c r="A89" s="1"/>
      <c r="B89" s="1">
        <v>367.0</v>
      </c>
      <c r="C89" s="1" t="s">
        <v>963</v>
      </c>
      <c r="D89" s="1" t="s">
        <v>964</v>
      </c>
      <c r="E89" s="1" t="s">
        <v>866</v>
      </c>
      <c r="F89" s="1" t="s">
        <v>43</v>
      </c>
      <c r="G89" s="2">
        <v>27560.0</v>
      </c>
      <c r="H89" s="1" t="s">
        <v>965</v>
      </c>
      <c r="I89" s="1">
        <v>13.0</v>
      </c>
      <c r="J89" s="1" t="s">
        <v>279</v>
      </c>
      <c r="K89" s="1">
        <v>13.0</v>
      </c>
      <c r="L89" s="2">
        <v>42907.0</v>
      </c>
      <c r="O89" s="1">
        <v>0.0</v>
      </c>
      <c r="P89" s="1" t="s">
        <v>101</v>
      </c>
      <c r="Q89" s="1" t="s">
        <v>102</v>
      </c>
      <c r="R89" s="1" t="s">
        <v>966</v>
      </c>
      <c r="U89" s="1" t="s">
        <v>967</v>
      </c>
      <c r="V89" s="1">
        <v>592.0</v>
      </c>
      <c r="W89" s="3" t="s">
        <v>968</v>
      </c>
      <c r="X89" s="1">
        <v>718926.0</v>
      </c>
      <c r="Y89" s="1" t="s">
        <v>969</v>
      </c>
      <c r="Z89" s="3" t="s">
        <v>970</v>
      </c>
      <c r="AA89" s="3" t="s">
        <v>971</v>
      </c>
      <c r="AB89" s="1">
        <v>1.0</v>
      </c>
      <c r="AC89" s="1" t="s">
        <v>972</v>
      </c>
      <c r="AD89" s="1">
        <v>23.0</v>
      </c>
      <c r="AE89" s="1">
        <f t="shared" si="5"/>
        <v>429</v>
      </c>
      <c r="AF89" s="1">
        <v>40.0</v>
      </c>
      <c r="AG89" s="1">
        <v>160.0</v>
      </c>
      <c r="AH89" s="1">
        <v>280.0</v>
      </c>
      <c r="AI89" s="1">
        <v>101.0</v>
      </c>
      <c r="AJ89" s="1">
        <v>317.0</v>
      </c>
      <c r="AK89" s="1">
        <v>668.0</v>
      </c>
      <c r="AL89" s="1">
        <v>22.0</v>
      </c>
      <c r="AM89" s="1">
        <v>1.0</v>
      </c>
      <c r="AN89" s="1">
        <v>2.0</v>
      </c>
      <c r="AO89" s="1">
        <v>19.0</v>
      </c>
      <c r="AP89" s="1">
        <v>11.0</v>
      </c>
      <c r="AQ89" s="1">
        <v>5.0</v>
      </c>
    </row>
    <row r="90">
      <c r="A90" s="1"/>
      <c r="B90" s="1">
        <v>125.0</v>
      </c>
      <c r="C90" s="1" t="s">
        <v>973</v>
      </c>
      <c r="D90" s="1" t="s">
        <v>974</v>
      </c>
      <c r="E90" s="1" t="s">
        <v>717</v>
      </c>
      <c r="F90" s="1" t="s">
        <v>43</v>
      </c>
      <c r="G90" s="2">
        <v>31188.0</v>
      </c>
      <c r="H90" s="1" t="s">
        <v>975</v>
      </c>
      <c r="I90" s="1">
        <v>2.0</v>
      </c>
      <c r="J90" s="1" t="s">
        <v>185</v>
      </c>
      <c r="K90" s="1">
        <v>2.0</v>
      </c>
      <c r="L90" s="2">
        <v>42907.0</v>
      </c>
      <c r="O90" s="1">
        <v>0.0</v>
      </c>
      <c r="P90" s="1" t="s">
        <v>61</v>
      </c>
      <c r="Q90" s="1" t="s">
        <v>62</v>
      </c>
      <c r="R90" s="1" t="s">
        <v>976</v>
      </c>
      <c r="U90" s="1" t="s">
        <v>977</v>
      </c>
      <c r="V90" s="1">
        <v>53.0</v>
      </c>
      <c r="W90" s="3" t="s">
        <v>978</v>
      </c>
      <c r="X90" s="1">
        <v>712015.0</v>
      </c>
      <c r="Y90" s="1" t="s">
        <v>979</v>
      </c>
      <c r="Z90" s="3" t="s">
        <v>980</v>
      </c>
      <c r="AA90" s="3" t="s">
        <v>981</v>
      </c>
      <c r="AB90" s="1">
        <v>2.0</v>
      </c>
      <c r="AC90" s="1" t="s">
        <v>982</v>
      </c>
      <c r="AD90" s="1">
        <v>23.0</v>
      </c>
      <c r="AE90" s="1">
        <f t="shared" si="5"/>
        <v>429</v>
      </c>
      <c r="AF90" s="1">
        <v>41.0</v>
      </c>
      <c r="AG90" s="1">
        <v>40.0</v>
      </c>
      <c r="AH90" s="1">
        <v>71.0</v>
      </c>
      <c r="AI90" s="1">
        <v>47.0</v>
      </c>
      <c r="AJ90" s="1">
        <v>132.0</v>
      </c>
      <c r="AK90" s="1">
        <v>1332.0</v>
      </c>
      <c r="AL90" s="1">
        <v>44.0</v>
      </c>
      <c r="AM90" s="1">
        <v>0.0</v>
      </c>
      <c r="AN90" s="1">
        <v>3.0</v>
      </c>
      <c r="AO90" s="1">
        <v>70.0</v>
      </c>
      <c r="AP90" s="1">
        <v>34.0</v>
      </c>
      <c r="AQ90" s="1">
        <v>2.0</v>
      </c>
    </row>
    <row r="91">
      <c r="A91" s="1"/>
      <c r="B91" s="1">
        <v>166.0</v>
      </c>
      <c r="C91" s="1" t="s">
        <v>983</v>
      </c>
      <c r="D91" s="1" t="s">
        <v>984</v>
      </c>
      <c r="E91" s="1" t="s">
        <v>380</v>
      </c>
      <c r="F91" s="1" t="s">
        <v>58</v>
      </c>
      <c r="G91" s="2">
        <v>28153.0</v>
      </c>
      <c r="H91" s="1" t="s">
        <v>791</v>
      </c>
      <c r="I91" s="1">
        <v>54.0</v>
      </c>
      <c r="J91" s="1" t="s">
        <v>160</v>
      </c>
      <c r="K91" s="1">
        <v>6.0</v>
      </c>
      <c r="L91" s="2">
        <v>42907.0</v>
      </c>
      <c r="O91" s="1">
        <v>0.0</v>
      </c>
      <c r="P91" s="1" t="s">
        <v>173</v>
      </c>
      <c r="Q91" s="1" t="s">
        <v>174</v>
      </c>
      <c r="R91" s="1" t="s">
        <v>985</v>
      </c>
      <c r="U91" s="1" t="s">
        <v>986</v>
      </c>
      <c r="V91" s="1">
        <v>602.0</v>
      </c>
      <c r="W91" s="3" t="s">
        <v>987</v>
      </c>
      <c r="X91" s="1">
        <v>720286.0</v>
      </c>
      <c r="Y91" s="1" t="s">
        <v>988</v>
      </c>
      <c r="Z91" s="3" t="s">
        <v>989</v>
      </c>
      <c r="AA91" s="3" t="s">
        <v>990</v>
      </c>
      <c r="AB91" s="1">
        <v>1.0</v>
      </c>
      <c r="AC91" s="1" t="s">
        <v>991</v>
      </c>
      <c r="AD91" s="1">
        <v>23.0</v>
      </c>
      <c r="AE91" s="1">
        <f t="shared" si="5"/>
        <v>429</v>
      </c>
      <c r="AF91" s="1">
        <v>29.0</v>
      </c>
      <c r="AG91" s="1">
        <v>99.0</v>
      </c>
      <c r="AH91" s="1">
        <v>189.0</v>
      </c>
      <c r="AI91" s="1">
        <v>256.0</v>
      </c>
      <c r="AJ91" s="1">
        <v>120.0</v>
      </c>
      <c r="AK91" s="1">
        <v>2065.0</v>
      </c>
      <c r="AL91" s="1">
        <v>32.0</v>
      </c>
      <c r="AM91" s="1">
        <v>1.0</v>
      </c>
      <c r="AN91" s="1">
        <v>1.0</v>
      </c>
      <c r="AO91" s="1">
        <v>15.0</v>
      </c>
      <c r="AP91" s="1">
        <v>12.0</v>
      </c>
      <c r="AQ91" s="1">
        <v>4.0</v>
      </c>
    </row>
    <row r="92">
      <c r="A92" s="1"/>
      <c r="B92" s="1">
        <v>108.0</v>
      </c>
      <c r="C92" s="1" t="s">
        <v>992</v>
      </c>
      <c r="D92" s="1" t="s">
        <v>993</v>
      </c>
      <c r="E92" s="1" t="s">
        <v>994</v>
      </c>
      <c r="F92" s="1" t="s">
        <v>58</v>
      </c>
      <c r="G92" s="2">
        <v>24686.0</v>
      </c>
      <c r="H92" s="1" t="s">
        <v>171</v>
      </c>
      <c r="I92" s="1">
        <v>92.0</v>
      </c>
      <c r="J92" s="1" t="s">
        <v>781</v>
      </c>
      <c r="K92" s="1">
        <v>4.0</v>
      </c>
      <c r="L92" s="2">
        <v>42907.0</v>
      </c>
      <c r="O92" s="1">
        <v>0.0</v>
      </c>
      <c r="P92" s="1" t="s">
        <v>280</v>
      </c>
      <c r="Q92" s="1" t="s">
        <v>281</v>
      </c>
      <c r="R92" s="1" t="s">
        <v>995</v>
      </c>
      <c r="U92" s="1" t="s">
        <v>118</v>
      </c>
      <c r="V92" s="1">
        <v>177.0</v>
      </c>
      <c r="W92" s="3" t="s">
        <v>996</v>
      </c>
      <c r="X92" s="1">
        <v>721742.0</v>
      </c>
      <c r="Y92" s="1" t="s">
        <v>997</v>
      </c>
      <c r="Z92" s="3" t="s">
        <v>998</v>
      </c>
      <c r="AA92" s="3" t="s">
        <v>999</v>
      </c>
      <c r="AB92" s="1">
        <v>2.0</v>
      </c>
      <c r="AC92" s="1" t="s">
        <v>1000</v>
      </c>
      <c r="AD92" s="1">
        <v>23.0</v>
      </c>
      <c r="AE92" s="1">
        <f t="shared" si="5"/>
        <v>429</v>
      </c>
      <c r="AF92" s="1">
        <v>39.0</v>
      </c>
      <c r="AG92" s="1">
        <v>24.0</v>
      </c>
      <c r="AH92" s="1">
        <v>40.0</v>
      </c>
      <c r="AI92" s="1">
        <v>8.0</v>
      </c>
      <c r="AJ92" s="1">
        <v>11.0</v>
      </c>
      <c r="AK92" s="1">
        <v>263.0</v>
      </c>
      <c r="AL92" s="1">
        <v>33.0</v>
      </c>
      <c r="AM92" s="1">
        <v>2.0</v>
      </c>
      <c r="AN92" s="1">
        <v>0.0</v>
      </c>
      <c r="AO92" s="1">
        <v>5.0</v>
      </c>
      <c r="AP92" s="1">
        <v>1.0</v>
      </c>
      <c r="AQ92" s="1">
        <v>2.0</v>
      </c>
    </row>
    <row r="93">
      <c r="A93" s="1"/>
      <c r="B93" s="1">
        <v>145.0</v>
      </c>
      <c r="C93" s="1" t="s">
        <v>1001</v>
      </c>
      <c r="D93" s="1" t="s">
        <v>1002</v>
      </c>
      <c r="E93" s="1" t="s">
        <v>1003</v>
      </c>
      <c r="F93" s="1" t="s">
        <v>43</v>
      </c>
      <c r="G93" s="2">
        <v>21837.0</v>
      </c>
      <c r="H93" s="1" t="s">
        <v>1004</v>
      </c>
      <c r="I93" s="1">
        <v>5.0</v>
      </c>
      <c r="J93" s="1" t="s">
        <v>1005</v>
      </c>
      <c r="K93" s="1">
        <v>2.0</v>
      </c>
      <c r="L93" s="2">
        <v>42907.0</v>
      </c>
      <c r="O93" s="1">
        <v>0.0</v>
      </c>
      <c r="P93" s="1" t="s">
        <v>75</v>
      </c>
      <c r="Q93" s="1" t="s">
        <v>76</v>
      </c>
      <c r="R93" s="1" t="s">
        <v>1006</v>
      </c>
      <c r="U93" s="1" t="s">
        <v>1007</v>
      </c>
      <c r="V93" s="1">
        <v>410.0</v>
      </c>
      <c r="W93" s="3" t="s">
        <v>1008</v>
      </c>
      <c r="X93" s="1">
        <v>267336.0</v>
      </c>
      <c r="Y93" s="1" t="s">
        <v>1009</v>
      </c>
      <c r="Z93" s="3" t="s">
        <v>1010</v>
      </c>
      <c r="AA93" s="3" t="s">
        <v>1011</v>
      </c>
      <c r="AB93" s="1">
        <v>1.0</v>
      </c>
      <c r="AC93" s="1" t="s">
        <v>1012</v>
      </c>
      <c r="AD93" s="1">
        <v>23.0</v>
      </c>
      <c r="AE93" s="1">
        <f t="shared" si="5"/>
        <v>429</v>
      </c>
      <c r="AF93" s="1">
        <v>62.0</v>
      </c>
      <c r="AG93" s="1">
        <v>993.0</v>
      </c>
      <c r="AH93" s="1">
        <v>896.0</v>
      </c>
      <c r="AI93" s="1">
        <v>584.0</v>
      </c>
      <c r="AJ93" s="1">
        <v>456.0</v>
      </c>
      <c r="AK93" s="1">
        <v>745.0</v>
      </c>
      <c r="AL93" s="1">
        <v>631.0</v>
      </c>
      <c r="AM93" s="1">
        <v>21.0</v>
      </c>
      <c r="AN93" s="1">
        <v>0.0</v>
      </c>
      <c r="AO93" s="1">
        <v>7.0</v>
      </c>
      <c r="AP93" s="1">
        <v>21.0</v>
      </c>
      <c r="AQ93" s="1">
        <v>0.0</v>
      </c>
    </row>
    <row r="94">
      <c r="A94" s="1"/>
      <c r="B94" s="1">
        <v>492.0</v>
      </c>
      <c r="C94" s="1" t="s">
        <v>1013</v>
      </c>
      <c r="D94" s="1" t="s">
        <v>1014</v>
      </c>
      <c r="E94" s="1" t="s">
        <v>1015</v>
      </c>
      <c r="F94" s="1" t="s">
        <v>58</v>
      </c>
      <c r="G94" s="2">
        <v>28568.0</v>
      </c>
      <c r="H94" s="1" t="s">
        <v>1016</v>
      </c>
      <c r="I94" s="1">
        <v>58.0</v>
      </c>
      <c r="J94" s="1" t="s">
        <v>1017</v>
      </c>
      <c r="K94" s="1">
        <v>1.0</v>
      </c>
      <c r="L94" s="2">
        <v>42907.0</v>
      </c>
      <c r="O94" s="1">
        <v>0.0</v>
      </c>
      <c r="P94" s="1" t="s">
        <v>75</v>
      </c>
      <c r="Q94" s="1" t="s">
        <v>76</v>
      </c>
      <c r="R94" s="1" t="s">
        <v>1018</v>
      </c>
      <c r="U94" s="1" t="s">
        <v>162</v>
      </c>
      <c r="V94" s="1">
        <v>460.0</v>
      </c>
      <c r="W94" s="3" t="s">
        <v>1019</v>
      </c>
      <c r="X94" s="1">
        <v>720560.0</v>
      </c>
      <c r="Y94" s="1" t="s">
        <v>1020</v>
      </c>
      <c r="Z94" s="3" t="s">
        <v>1021</v>
      </c>
      <c r="AA94" s="3" t="s">
        <v>1022</v>
      </c>
      <c r="AB94" s="1">
        <v>1.0</v>
      </c>
      <c r="AC94" s="1" t="s">
        <v>1023</v>
      </c>
      <c r="AD94" s="1">
        <v>23.0</v>
      </c>
      <c r="AE94" s="1">
        <f t="shared" si="5"/>
        <v>429</v>
      </c>
      <c r="AF94" s="1">
        <v>60.0</v>
      </c>
      <c r="AG94" s="1">
        <v>18.0</v>
      </c>
      <c r="AH94" s="1">
        <v>42.0</v>
      </c>
      <c r="AI94" s="1">
        <v>9.0</v>
      </c>
      <c r="AJ94" s="1">
        <v>6.0</v>
      </c>
      <c r="AK94" s="1">
        <v>179.0</v>
      </c>
      <c r="AL94" s="1">
        <v>110.0</v>
      </c>
      <c r="AM94" s="1">
        <v>1.0</v>
      </c>
      <c r="AN94" s="1">
        <v>0.0</v>
      </c>
      <c r="AO94" s="1">
        <v>5.0</v>
      </c>
      <c r="AP94" s="1">
        <v>18.0</v>
      </c>
      <c r="AQ94" s="1">
        <v>3.0</v>
      </c>
    </row>
    <row r="95">
      <c r="A95" s="1"/>
      <c r="B95" s="1">
        <v>75.0</v>
      </c>
      <c r="C95" s="1" t="s">
        <v>1024</v>
      </c>
      <c r="D95" s="1" t="s">
        <v>1025</v>
      </c>
      <c r="E95" s="1" t="s">
        <v>767</v>
      </c>
      <c r="F95" s="1" t="s">
        <v>58</v>
      </c>
      <c r="G95" s="2">
        <v>30454.0</v>
      </c>
      <c r="H95" s="1" t="s">
        <v>1026</v>
      </c>
      <c r="I95" s="1">
        <v>54.0</v>
      </c>
      <c r="J95" s="1" t="s">
        <v>160</v>
      </c>
      <c r="K95" s="1">
        <v>1.0</v>
      </c>
      <c r="L95" s="2">
        <v>42907.0</v>
      </c>
      <c r="O95" s="1">
        <v>0.0</v>
      </c>
      <c r="P95" s="1" t="s">
        <v>75</v>
      </c>
      <c r="Q95" s="1" t="s">
        <v>76</v>
      </c>
      <c r="R95" s="1" t="s">
        <v>1027</v>
      </c>
      <c r="U95" s="1" t="s">
        <v>234</v>
      </c>
      <c r="V95" s="1">
        <v>378.0</v>
      </c>
      <c r="W95" s="3" t="s">
        <v>1028</v>
      </c>
      <c r="X95" s="1">
        <v>720170.0</v>
      </c>
      <c r="Y95" s="1" t="s">
        <v>1029</v>
      </c>
      <c r="Z95" s="3" t="s">
        <v>1030</v>
      </c>
      <c r="AA95" s="3" t="s">
        <v>1031</v>
      </c>
      <c r="AB95" s="1">
        <v>1.0</v>
      </c>
      <c r="AC95" s="1" t="s">
        <v>1032</v>
      </c>
      <c r="AD95" s="1">
        <v>23.0</v>
      </c>
      <c r="AE95" s="1">
        <f t="shared" si="5"/>
        <v>429</v>
      </c>
      <c r="AF95" s="1">
        <v>55.0</v>
      </c>
      <c r="AG95" s="1">
        <v>19.0</v>
      </c>
      <c r="AH95" s="1">
        <v>27.0</v>
      </c>
      <c r="AI95" s="1">
        <v>6.0</v>
      </c>
      <c r="AJ95" s="1">
        <v>2.0</v>
      </c>
      <c r="AK95" s="1">
        <v>127.0</v>
      </c>
      <c r="AL95" s="1">
        <v>59.0</v>
      </c>
      <c r="AM95" s="1">
        <v>0.0</v>
      </c>
      <c r="AN95" s="1">
        <v>0.0</v>
      </c>
      <c r="AO95" s="1">
        <v>7.0</v>
      </c>
      <c r="AP95" s="1">
        <v>16.0</v>
      </c>
      <c r="AQ95" s="1">
        <v>1.0</v>
      </c>
    </row>
    <row r="96">
      <c r="A96" s="1"/>
      <c r="B96" s="1">
        <v>374.0</v>
      </c>
      <c r="C96" s="1" t="s">
        <v>1033</v>
      </c>
      <c r="D96" s="1" t="s">
        <v>1034</v>
      </c>
      <c r="E96" s="1" t="s">
        <v>1035</v>
      </c>
      <c r="F96" s="1" t="s">
        <v>58</v>
      </c>
      <c r="G96" s="2">
        <v>22783.0</v>
      </c>
      <c r="H96" s="1" t="s">
        <v>965</v>
      </c>
      <c r="I96" s="1">
        <v>78.0</v>
      </c>
      <c r="J96" s="1" t="s">
        <v>74</v>
      </c>
      <c r="K96" s="1">
        <v>12.0</v>
      </c>
      <c r="L96" s="2">
        <v>42907.0</v>
      </c>
      <c r="O96" s="1">
        <v>0.0</v>
      </c>
      <c r="P96" s="1" t="s">
        <v>75</v>
      </c>
      <c r="Q96" s="1" t="s">
        <v>76</v>
      </c>
      <c r="R96" s="1" t="s">
        <v>1036</v>
      </c>
      <c r="U96" s="1" t="s">
        <v>1037</v>
      </c>
      <c r="V96" s="1">
        <v>636.0</v>
      </c>
      <c r="W96" s="3" t="s">
        <v>1038</v>
      </c>
      <c r="X96" s="1">
        <v>722062.0</v>
      </c>
      <c r="Y96" s="1" t="s">
        <v>1039</v>
      </c>
      <c r="Z96" s="3" t="s">
        <v>1040</v>
      </c>
      <c r="AA96" s="3" t="s">
        <v>1041</v>
      </c>
      <c r="AB96" s="1">
        <v>1.0</v>
      </c>
      <c r="AC96" s="1" t="s">
        <v>1042</v>
      </c>
      <c r="AD96" s="1">
        <v>23.0</v>
      </c>
      <c r="AE96" s="1">
        <f t="shared" si="5"/>
        <v>429</v>
      </c>
      <c r="AF96" s="1">
        <v>42.0</v>
      </c>
      <c r="AG96" s="1">
        <v>7.0</v>
      </c>
      <c r="AH96" s="1">
        <v>5.0</v>
      </c>
      <c r="AI96" s="1">
        <v>2.0</v>
      </c>
      <c r="AJ96" s="1">
        <v>0.0</v>
      </c>
      <c r="AK96" s="1">
        <v>64.0</v>
      </c>
      <c r="AL96" s="1">
        <v>27.0</v>
      </c>
      <c r="AM96" s="1">
        <v>0.0</v>
      </c>
      <c r="AN96" s="1">
        <v>0.0</v>
      </c>
      <c r="AO96" s="1">
        <v>6.0</v>
      </c>
      <c r="AP96" s="1">
        <v>9.0</v>
      </c>
      <c r="AQ96" s="1">
        <v>0.0</v>
      </c>
    </row>
    <row r="97">
      <c r="A97" s="1"/>
      <c r="B97" s="1">
        <v>2.0</v>
      </c>
      <c r="C97" s="1" t="s">
        <v>1043</v>
      </c>
      <c r="D97" s="1" t="s">
        <v>1044</v>
      </c>
      <c r="E97" s="1" t="s">
        <v>1045</v>
      </c>
      <c r="F97" s="1" t="s">
        <v>58</v>
      </c>
      <c r="G97" s="2">
        <v>29288.0</v>
      </c>
      <c r="H97" s="1" t="s">
        <v>1046</v>
      </c>
      <c r="I97" s="1">
        <v>78.0</v>
      </c>
      <c r="J97" s="1" t="s">
        <v>74</v>
      </c>
      <c r="K97" s="1">
        <v>11.0</v>
      </c>
      <c r="L97" s="2">
        <v>42907.0</v>
      </c>
      <c r="O97" s="1">
        <v>0.0</v>
      </c>
      <c r="P97" s="1" t="s">
        <v>75</v>
      </c>
      <c r="Q97" s="1" t="s">
        <v>76</v>
      </c>
      <c r="R97" s="1" t="s">
        <v>1047</v>
      </c>
      <c r="U97" s="1" t="s">
        <v>162</v>
      </c>
      <c r="V97" s="1">
        <v>349.0</v>
      </c>
      <c r="W97" s="3" t="s">
        <v>1048</v>
      </c>
      <c r="X97" s="1">
        <v>722054.0</v>
      </c>
      <c r="Y97" s="1" t="s">
        <v>1049</v>
      </c>
      <c r="Z97" s="3" t="s">
        <v>1050</v>
      </c>
      <c r="AA97" s="3" t="s">
        <v>1051</v>
      </c>
      <c r="AB97" s="1">
        <v>1.0</v>
      </c>
      <c r="AC97" s="1" t="s">
        <v>1052</v>
      </c>
      <c r="AD97" s="1">
        <v>23.0</v>
      </c>
      <c r="AE97" s="1">
        <f t="shared" si="5"/>
        <v>429</v>
      </c>
      <c r="AF97" s="1">
        <v>60.0</v>
      </c>
      <c r="AG97" s="1">
        <v>22.0</v>
      </c>
      <c r="AH97" s="1">
        <v>38.0</v>
      </c>
      <c r="AI97" s="1">
        <v>47.0</v>
      </c>
      <c r="AJ97" s="1">
        <v>6.0</v>
      </c>
      <c r="AK97" s="1">
        <v>174.0</v>
      </c>
      <c r="AL97" s="1">
        <v>114.0</v>
      </c>
      <c r="AM97" s="1">
        <v>2.0</v>
      </c>
      <c r="AN97" s="1">
        <v>0.0</v>
      </c>
      <c r="AO97" s="1">
        <v>5.0</v>
      </c>
      <c r="AP97" s="1">
        <v>0.0</v>
      </c>
      <c r="AQ97" s="1">
        <v>1.0</v>
      </c>
    </row>
    <row r="98">
      <c r="A98" s="1"/>
      <c r="B98" s="1">
        <v>326.0</v>
      </c>
      <c r="C98" s="1" t="s">
        <v>1053</v>
      </c>
      <c r="D98" s="1" t="s">
        <v>1054</v>
      </c>
      <c r="E98" s="1" t="s">
        <v>1055</v>
      </c>
      <c r="F98" s="1" t="s">
        <v>43</v>
      </c>
      <c r="G98" s="2">
        <v>26070.0</v>
      </c>
      <c r="H98" s="1" t="s">
        <v>1056</v>
      </c>
      <c r="I98" s="1">
        <v>57.0</v>
      </c>
      <c r="J98" s="1" t="s">
        <v>471</v>
      </c>
      <c r="K98" s="1">
        <v>8.0</v>
      </c>
      <c r="L98" s="2">
        <v>42907.0</v>
      </c>
      <c r="O98" s="1">
        <v>0.0</v>
      </c>
      <c r="P98" s="1" t="s">
        <v>280</v>
      </c>
      <c r="Q98" s="1" t="s">
        <v>281</v>
      </c>
      <c r="R98" s="1" t="s">
        <v>1057</v>
      </c>
      <c r="U98" s="1" t="s">
        <v>151</v>
      </c>
      <c r="V98" s="1">
        <v>182.0</v>
      </c>
      <c r="W98" s="3" t="s">
        <v>1058</v>
      </c>
      <c r="X98" s="1">
        <v>720326.0</v>
      </c>
      <c r="Y98" s="1" t="s">
        <v>1059</v>
      </c>
      <c r="Z98" s="3" t="s">
        <v>1060</v>
      </c>
      <c r="AA98" s="3" t="s">
        <v>1061</v>
      </c>
      <c r="AB98" s="1">
        <v>1.0</v>
      </c>
      <c r="AC98" s="1" t="s">
        <v>1062</v>
      </c>
      <c r="AD98" s="1">
        <v>23.0</v>
      </c>
      <c r="AE98" s="1">
        <f t="shared" si="5"/>
        <v>429</v>
      </c>
      <c r="AF98" s="1">
        <v>47.0</v>
      </c>
      <c r="AG98" s="1">
        <v>45.0</v>
      </c>
      <c r="AH98" s="1">
        <v>44.0</v>
      </c>
      <c r="AI98" s="1">
        <v>17.0</v>
      </c>
      <c r="AJ98" s="1">
        <v>30.0</v>
      </c>
      <c r="AK98" s="1">
        <v>262.0</v>
      </c>
      <c r="AL98" s="1">
        <v>25.0</v>
      </c>
      <c r="AM98" s="1">
        <v>0.0</v>
      </c>
      <c r="AN98" s="1">
        <v>0.0</v>
      </c>
      <c r="AO98" s="1">
        <v>5.0</v>
      </c>
      <c r="AP98" s="1">
        <v>6.0</v>
      </c>
      <c r="AQ98" s="1">
        <v>3.0</v>
      </c>
    </row>
    <row r="99">
      <c r="A99" s="1"/>
      <c r="B99" s="1">
        <v>55.0</v>
      </c>
      <c r="C99" s="1" t="s">
        <v>1063</v>
      </c>
      <c r="D99" s="1" t="s">
        <v>1064</v>
      </c>
      <c r="E99" s="1" t="s">
        <v>1065</v>
      </c>
      <c r="F99" s="1" t="s">
        <v>43</v>
      </c>
      <c r="G99" s="2">
        <v>21888.0</v>
      </c>
      <c r="H99" s="1" t="s">
        <v>1066</v>
      </c>
      <c r="I99" s="1">
        <v>77.0</v>
      </c>
      <c r="J99" s="1" t="s">
        <v>503</v>
      </c>
      <c r="K99" s="1">
        <v>4.0</v>
      </c>
      <c r="L99" s="2">
        <v>42907.0</v>
      </c>
      <c r="O99" s="1">
        <v>0.0</v>
      </c>
      <c r="P99" s="1" t="s">
        <v>61</v>
      </c>
      <c r="Q99" s="1" t="s">
        <v>62</v>
      </c>
      <c r="U99" s="1" t="s">
        <v>1067</v>
      </c>
      <c r="V99" s="1">
        <v>94.0</v>
      </c>
      <c r="W99" s="3" t="s">
        <v>1068</v>
      </c>
      <c r="X99" s="1">
        <v>1695.0</v>
      </c>
      <c r="Y99" s="1" t="s">
        <v>1069</v>
      </c>
      <c r="Z99" s="3" t="s">
        <v>1070</v>
      </c>
      <c r="AA99" s="3" t="s">
        <v>1071</v>
      </c>
      <c r="AB99" s="1">
        <v>1.0</v>
      </c>
      <c r="AD99" s="1">
        <v>23.0</v>
      </c>
      <c r="AE99" s="1">
        <f t="shared" si="5"/>
        <v>429</v>
      </c>
      <c r="AF99" s="1">
        <v>21.0</v>
      </c>
      <c r="AG99" s="1">
        <v>2.0</v>
      </c>
      <c r="AH99" s="1">
        <v>136.0</v>
      </c>
      <c r="AI99" s="1">
        <v>296.0</v>
      </c>
      <c r="AJ99" s="1">
        <v>6.0</v>
      </c>
      <c r="AK99" s="1">
        <v>205.0</v>
      </c>
      <c r="AL99" s="1">
        <v>12.0</v>
      </c>
      <c r="AM99" s="1">
        <v>0.0</v>
      </c>
      <c r="AN99" s="1">
        <v>1.0</v>
      </c>
      <c r="AO99" s="1">
        <v>3.0</v>
      </c>
      <c r="AP99" s="1">
        <v>0.0</v>
      </c>
      <c r="AQ99" s="1">
        <v>2.0</v>
      </c>
    </row>
    <row r="100">
      <c r="A100" s="1"/>
      <c r="B100" s="1">
        <v>205.0</v>
      </c>
      <c r="C100" s="1" t="s">
        <v>1072</v>
      </c>
      <c r="D100" s="1" t="s">
        <v>1073</v>
      </c>
      <c r="E100" s="1" t="s">
        <v>1074</v>
      </c>
      <c r="F100" s="1" t="s">
        <v>58</v>
      </c>
      <c r="G100" s="2">
        <v>28595.0</v>
      </c>
      <c r="H100" s="1" t="s">
        <v>1075</v>
      </c>
      <c r="I100" s="1">
        <v>38.0</v>
      </c>
      <c r="J100" s="1" t="s">
        <v>267</v>
      </c>
      <c r="K100" s="1">
        <v>9.0</v>
      </c>
      <c r="L100" s="2">
        <v>42907.0</v>
      </c>
      <c r="O100" s="1">
        <v>0.0</v>
      </c>
      <c r="P100" s="1" t="s">
        <v>280</v>
      </c>
      <c r="Q100" s="1" t="s">
        <v>281</v>
      </c>
      <c r="R100" s="1" t="s">
        <v>1076</v>
      </c>
      <c r="U100" s="1" t="s">
        <v>234</v>
      </c>
      <c r="V100" s="1">
        <v>185.0</v>
      </c>
      <c r="W100" s="3" t="s">
        <v>1077</v>
      </c>
      <c r="X100" s="1">
        <v>719874.0</v>
      </c>
      <c r="Y100" s="1" t="s">
        <v>1078</v>
      </c>
      <c r="Z100" s="3" t="s">
        <v>1079</v>
      </c>
      <c r="AA100" s="3" t="s">
        <v>1080</v>
      </c>
      <c r="AB100" s="1">
        <v>1.0</v>
      </c>
      <c r="AC100" s="1" t="s">
        <v>1081</v>
      </c>
      <c r="AD100" s="1">
        <v>23.0</v>
      </c>
      <c r="AE100" s="1">
        <f t="shared" si="5"/>
        <v>429</v>
      </c>
      <c r="AF100" s="1">
        <v>37.0</v>
      </c>
      <c r="AG100" s="1">
        <v>56.0</v>
      </c>
      <c r="AH100" s="1">
        <v>69.0</v>
      </c>
      <c r="AI100" s="1">
        <v>18.0</v>
      </c>
      <c r="AJ100" s="1">
        <v>38.0</v>
      </c>
      <c r="AK100" s="1">
        <v>331.0</v>
      </c>
      <c r="AL100" s="1">
        <v>48.0</v>
      </c>
      <c r="AM100" s="1">
        <v>3.0</v>
      </c>
      <c r="AN100" s="1">
        <v>0.0</v>
      </c>
      <c r="AO100" s="1">
        <v>4.0</v>
      </c>
      <c r="AP100" s="1">
        <v>3.0</v>
      </c>
      <c r="AQ100" s="1">
        <v>3.0</v>
      </c>
    </row>
    <row r="101">
      <c r="A101" s="1"/>
      <c r="B101" s="1">
        <v>96.0</v>
      </c>
      <c r="C101" s="1" t="s">
        <v>1082</v>
      </c>
      <c r="D101" s="1" t="s">
        <v>1083</v>
      </c>
      <c r="E101" s="1" t="s">
        <v>835</v>
      </c>
      <c r="F101" s="1" t="s">
        <v>43</v>
      </c>
      <c r="G101" s="2">
        <v>26287.0</v>
      </c>
      <c r="H101" s="1" t="s">
        <v>1084</v>
      </c>
      <c r="I101" s="1">
        <v>76.0</v>
      </c>
      <c r="J101" s="1" t="s">
        <v>371</v>
      </c>
      <c r="K101" s="1">
        <v>6.0</v>
      </c>
      <c r="L101" s="2">
        <v>42907.0</v>
      </c>
      <c r="O101" s="1">
        <v>0.0</v>
      </c>
      <c r="P101" s="1" t="s">
        <v>101</v>
      </c>
      <c r="Q101" s="1" t="s">
        <v>102</v>
      </c>
      <c r="R101" s="1" t="s">
        <v>1085</v>
      </c>
      <c r="U101" s="1" t="s">
        <v>1086</v>
      </c>
      <c r="V101" s="1">
        <v>583.0</v>
      </c>
      <c r="W101" s="3" t="s">
        <v>1087</v>
      </c>
      <c r="X101" s="1">
        <v>722202.0</v>
      </c>
      <c r="Y101" s="1" t="s">
        <v>1088</v>
      </c>
      <c r="Z101" s="3" t="s">
        <v>1089</v>
      </c>
      <c r="AA101" s="3" t="s">
        <v>1090</v>
      </c>
      <c r="AB101" s="1">
        <v>2.0</v>
      </c>
      <c r="AC101" s="1" t="s">
        <v>1091</v>
      </c>
      <c r="AD101" s="1">
        <v>23.0</v>
      </c>
      <c r="AE101" s="1">
        <f t="shared" si="5"/>
        <v>429</v>
      </c>
      <c r="AF101" s="1">
        <v>26.0</v>
      </c>
      <c r="AG101" s="1">
        <v>43.0</v>
      </c>
      <c r="AH101" s="1">
        <v>371.0</v>
      </c>
      <c r="AI101" s="1">
        <v>454.0</v>
      </c>
      <c r="AJ101" s="1">
        <v>21.0</v>
      </c>
      <c r="AK101" s="1">
        <v>660.0</v>
      </c>
      <c r="AL101" s="1">
        <v>23.0</v>
      </c>
      <c r="AM101" s="1">
        <v>1.0</v>
      </c>
      <c r="AN101" s="1">
        <v>0.0</v>
      </c>
      <c r="AO101" s="1">
        <v>21.0</v>
      </c>
      <c r="AP101" s="1">
        <v>12.0</v>
      </c>
      <c r="AQ101" s="1">
        <v>6.0</v>
      </c>
    </row>
    <row r="102">
      <c r="A102" s="1"/>
      <c r="B102" s="1">
        <v>154.0</v>
      </c>
      <c r="C102" s="1" t="s">
        <v>1092</v>
      </c>
      <c r="D102" s="1" t="s">
        <v>1093</v>
      </c>
      <c r="E102" s="1" t="s">
        <v>1094</v>
      </c>
      <c r="F102" s="1" t="s">
        <v>58</v>
      </c>
      <c r="G102" s="2">
        <v>27606.0</v>
      </c>
      <c r="H102" s="1" t="s">
        <v>1095</v>
      </c>
      <c r="I102" s="1">
        <v>76.0</v>
      </c>
      <c r="J102" s="1" t="s">
        <v>371</v>
      </c>
      <c r="K102" s="1">
        <v>9.0</v>
      </c>
      <c r="L102" s="2">
        <v>42907.0</v>
      </c>
      <c r="O102" s="1">
        <v>0.0</v>
      </c>
      <c r="P102" s="1" t="s">
        <v>75</v>
      </c>
      <c r="Q102" s="1" t="s">
        <v>76</v>
      </c>
      <c r="R102" s="1" t="s">
        <v>1096</v>
      </c>
      <c r="U102" s="1" t="s">
        <v>198</v>
      </c>
      <c r="V102" s="1">
        <v>472.0</v>
      </c>
      <c r="W102" s="3" t="s">
        <v>1097</v>
      </c>
      <c r="X102" s="1">
        <v>721514.0</v>
      </c>
      <c r="Y102" s="1" t="s">
        <v>1098</v>
      </c>
      <c r="Z102" s="3" t="s">
        <v>1099</v>
      </c>
      <c r="AA102" s="3" t="s">
        <v>1100</v>
      </c>
      <c r="AB102" s="1">
        <v>1.0</v>
      </c>
      <c r="AC102" s="1" t="s">
        <v>1101</v>
      </c>
      <c r="AD102" s="1">
        <v>23.0</v>
      </c>
      <c r="AE102" s="1">
        <f t="shared" si="5"/>
        <v>429</v>
      </c>
      <c r="AF102" s="1">
        <v>54.0</v>
      </c>
      <c r="AG102" s="1">
        <v>15.0</v>
      </c>
      <c r="AH102" s="1">
        <v>9.0</v>
      </c>
      <c r="AI102" s="1">
        <v>5.0</v>
      </c>
      <c r="AJ102" s="1">
        <v>2.0</v>
      </c>
      <c r="AK102" s="1">
        <v>144.0</v>
      </c>
      <c r="AL102" s="1">
        <v>75.0</v>
      </c>
      <c r="AM102" s="1">
        <v>0.0</v>
      </c>
      <c r="AN102" s="1">
        <v>0.0</v>
      </c>
      <c r="AO102" s="1">
        <v>6.0</v>
      </c>
      <c r="AP102" s="1">
        <v>7.0</v>
      </c>
      <c r="AQ102" s="1">
        <v>1.0</v>
      </c>
    </row>
    <row r="103">
      <c r="A103" s="1"/>
      <c r="B103" s="1">
        <v>176.0</v>
      </c>
      <c r="C103" s="1" t="s">
        <v>1102</v>
      </c>
      <c r="D103" s="1" t="s">
        <v>1103</v>
      </c>
      <c r="E103" s="1" t="s">
        <v>1104</v>
      </c>
      <c r="F103" s="1" t="s">
        <v>58</v>
      </c>
      <c r="G103" s="2">
        <v>31309.0</v>
      </c>
      <c r="H103" s="1" t="s">
        <v>1105</v>
      </c>
      <c r="I103" s="1">
        <v>95.0</v>
      </c>
      <c r="J103" s="1" t="s">
        <v>302</v>
      </c>
      <c r="K103" s="1">
        <v>5.0</v>
      </c>
      <c r="L103" s="2">
        <v>42907.0</v>
      </c>
      <c r="O103" s="1">
        <v>0.0</v>
      </c>
      <c r="P103" s="1" t="s">
        <v>75</v>
      </c>
      <c r="Q103" s="1" t="s">
        <v>76</v>
      </c>
      <c r="R103" s="1" t="s">
        <v>1106</v>
      </c>
      <c r="U103" s="1" t="s">
        <v>1107</v>
      </c>
      <c r="V103" s="1">
        <v>418.0</v>
      </c>
      <c r="W103" s="3" t="s">
        <v>1108</v>
      </c>
      <c r="X103" s="1">
        <v>720916.0</v>
      </c>
      <c r="Y103" s="1" t="s">
        <v>1109</v>
      </c>
      <c r="Z103" s="3" t="s">
        <v>1110</v>
      </c>
      <c r="AA103" s="3" t="s">
        <v>1111</v>
      </c>
      <c r="AB103" s="1">
        <v>1.0</v>
      </c>
      <c r="AC103" s="1" t="s">
        <v>1112</v>
      </c>
      <c r="AD103" s="1">
        <v>23.0</v>
      </c>
      <c r="AE103" s="1">
        <f t="shared" si="5"/>
        <v>429</v>
      </c>
      <c r="AF103" s="1">
        <v>48.0</v>
      </c>
      <c r="AG103" s="1">
        <v>23.0</v>
      </c>
      <c r="AH103" s="1">
        <v>11.0</v>
      </c>
      <c r="AI103" s="1">
        <v>8.0</v>
      </c>
      <c r="AJ103" s="1">
        <v>3.0</v>
      </c>
      <c r="AK103" s="1">
        <v>68.0</v>
      </c>
      <c r="AL103" s="1">
        <v>27.0</v>
      </c>
      <c r="AM103" s="1">
        <v>1.0</v>
      </c>
      <c r="AN103" s="1">
        <v>0.0</v>
      </c>
      <c r="AO103" s="1">
        <v>5.0</v>
      </c>
      <c r="AP103" s="1">
        <v>1.0</v>
      </c>
      <c r="AQ103" s="1">
        <v>2.0</v>
      </c>
    </row>
    <row r="104">
      <c r="A104" s="1"/>
      <c r="B104" s="1">
        <v>216.0</v>
      </c>
      <c r="C104" s="1" t="s">
        <v>1113</v>
      </c>
      <c r="D104" s="1" t="s">
        <v>1114</v>
      </c>
      <c r="E104" s="1" t="s">
        <v>1115</v>
      </c>
      <c r="F104" s="1" t="s">
        <v>43</v>
      </c>
      <c r="G104" s="2">
        <v>23942.0</v>
      </c>
      <c r="H104" s="1" t="s">
        <v>1116</v>
      </c>
      <c r="I104" s="1">
        <v>29.0</v>
      </c>
      <c r="J104" s="1" t="s">
        <v>393</v>
      </c>
      <c r="K104" s="1">
        <v>3.0</v>
      </c>
      <c r="L104" s="2">
        <v>42907.0</v>
      </c>
      <c r="O104" s="1">
        <v>0.0</v>
      </c>
      <c r="P104" s="1" t="s">
        <v>75</v>
      </c>
      <c r="Q104" s="1" t="s">
        <v>76</v>
      </c>
      <c r="R104" s="1" t="s">
        <v>1117</v>
      </c>
      <c r="U104" s="1" t="s">
        <v>373</v>
      </c>
      <c r="V104" s="1">
        <v>333.0</v>
      </c>
      <c r="W104" s="3" t="s">
        <v>1118</v>
      </c>
      <c r="X104" s="1">
        <v>719404.0</v>
      </c>
      <c r="Y104" s="1" t="s">
        <v>1119</v>
      </c>
      <c r="Z104" s="3" t="s">
        <v>1120</v>
      </c>
      <c r="AA104" s="3" t="s">
        <v>1121</v>
      </c>
      <c r="AB104" s="1">
        <v>1.0</v>
      </c>
      <c r="AC104" s="1" t="s">
        <v>1122</v>
      </c>
      <c r="AD104" s="1">
        <v>23.0</v>
      </c>
      <c r="AE104" s="1">
        <f t="shared" si="5"/>
        <v>429</v>
      </c>
      <c r="AF104" s="1">
        <v>32.0</v>
      </c>
      <c r="AG104" s="1">
        <v>13.0</v>
      </c>
      <c r="AH104" s="1">
        <v>43.0</v>
      </c>
      <c r="AI104" s="1">
        <v>20.0</v>
      </c>
      <c r="AJ104" s="1">
        <v>4.0</v>
      </c>
      <c r="AK104" s="1">
        <v>16.0</v>
      </c>
      <c r="AL104" s="1">
        <v>4.0</v>
      </c>
      <c r="AM104" s="1">
        <v>0.0</v>
      </c>
      <c r="AN104" s="1">
        <v>0.0</v>
      </c>
      <c r="AO104" s="1">
        <v>8.0</v>
      </c>
      <c r="AP104" s="1">
        <v>22.0</v>
      </c>
      <c r="AQ104" s="1">
        <v>1.0</v>
      </c>
    </row>
    <row r="105">
      <c r="A105" s="1"/>
      <c r="B105" s="1">
        <v>87.0</v>
      </c>
      <c r="C105" s="1" t="s">
        <v>1123</v>
      </c>
      <c r="D105" s="1" t="s">
        <v>1124</v>
      </c>
      <c r="E105" s="1" t="s">
        <v>1125</v>
      </c>
      <c r="F105" s="1" t="s">
        <v>58</v>
      </c>
      <c r="G105" s="2">
        <v>22234.0</v>
      </c>
      <c r="H105" s="1" t="s">
        <v>1126</v>
      </c>
      <c r="I105" s="1">
        <v>92.0</v>
      </c>
      <c r="J105" s="1" t="s">
        <v>781</v>
      </c>
      <c r="K105" s="1">
        <v>6.0</v>
      </c>
      <c r="L105" s="2">
        <v>42907.0</v>
      </c>
      <c r="O105" s="1">
        <v>0.0</v>
      </c>
      <c r="P105" s="1" t="s">
        <v>61</v>
      </c>
      <c r="Q105" s="1" t="s">
        <v>62</v>
      </c>
      <c r="R105" s="3" t="s">
        <v>1127</v>
      </c>
      <c r="U105" s="1" t="s">
        <v>1086</v>
      </c>
      <c r="V105" s="1">
        <v>102.0</v>
      </c>
      <c r="W105" s="3" t="s">
        <v>1128</v>
      </c>
      <c r="X105" s="1">
        <v>345722.0</v>
      </c>
      <c r="Y105" s="1" t="s">
        <v>1129</v>
      </c>
      <c r="Z105" s="3" t="s">
        <v>1130</v>
      </c>
      <c r="AA105" s="3" t="s">
        <v>1131</v>
      </c>
      <c r="AB105" s="1">
        <v>1.0</v>
      </c>
      <c r="AC105" s="1" t="s">
        <v>1132</v>
      </c>
      <c r="AD105" s="1">
        <v>23.0</v>
      </c>
      <c r="AE105" s="1">
        <f t="shared" si="5"/>
        <v>429</v>
      </c>
      <c r="AF105" s="1">
        <v>56.0</v>
      </c>
      <c r="AG105" s="1">
        <v>83.0</v>
      </c>
      <c r="AH105" s="1">
        <v>60.0</v>
      </c>
      <c r="AI105" s="1">
        <v>31.0</v>
      </c>
      <c r="AJ105" s="1">
        <v>68.0</v>
      </c>
      <c r="AK105" s="1">
        <v>526.0</v>
      </c>
      <c r="AL105" s="1">
        <v>24.0</v>
      </c>
      <c r="AM105" s="1">
        <v>1.0</v>
      </c>
      <c r="AN105" s="1">
        <v>1.0</v>
      </c>
      <c r="AO105" s="1">
        <v>40.0</v>
      </c>
      <c r="AP105" s="1">
        <v>8.0</v>
      </c>
      <c r="AQ105" s="1">
        <v>2.0</v>
      </c>
    </row>
    <row r="106">
      <c r="A106" s="1"/>
      <c r="B106" s="1">
        <v>33.0</v>
      </c>
      <c r="C106" s="1" t="s">
        <v>1133</v>
      </c>
      <c r="D106" s="1" t="s">
        <v>1134</v>
      </c>
      <c r="E106" s="1" t="s">
        <v>1135</v>
      </c>
      <c r="F106" s="1" t="s">
        <v>43</v>
      </c>
      <c r="G106" s="2">
        <v>25442.0</v>
      </c>
      <c r="H106" s="1" t="s">
        <v>1136</v>
      </c>
      <c r="I106" s="1">
        <v>14.0</v>
      </c>
      <c r="J106" s="1" t="s">
        <v>1137</v>
      </c>
      <c r="K106" s="1">
        <v>1.0</v>
      </c>
      <c r="L106" s="2">
        <v>42907.0</v>
      </c>
      <c r="O106" s="1">
        <v>0.0</v>
      </c>
      <c r="P106" s="1" t="s">
        <v>75</v>
      </c>
      <c r="Q106" s="1" t="s">
        <v>76</v>
      </c>
      <c r="R106" s="1" t="s">
        <v>1138</v>
      </c>
      <c r="U106" s="1" t="s">
        <v>246</v>
      </c>
      <c r="V106" s="1">
        <v>468.0</v>
      </c>
      <c r="W106" s="3" t="s">
        <v>1139</v>
      </c>
      <c r="X106" s="1">
        <v>719006.0</v>
      </c>
      <c r="Y106" s="1" t="s">
        <v>1140</v>
      </c>
      <c r="Z106" s="3" t="s">
        <v>1141</v>
      </c>
      <c r="AA106" s="3" t="s">
        <v>1142</v>
      </c>
      <c r="AB106" s="1">
        <v>1.0</v>
      </c>
      <c r="AC106" s="1" t="s">
        <v>1143</v>
      </c>
      <c r="AD106" s="1">
        <v>23.0</v>
      </c>
      <c r="AE106" s="1">
        <f t="shared" si="5"/>
        <v>429</v>
      </c>
      <c r="AF106" s="1">
        <v>50.0</v>
      </c>
      <c r="AG106" s="1">
        <v>6.0</v>
      </c>
      <c r="AH106" s="1">
        <v>13.0</v>
      </c>
      <c r="AI106" s="1">
        <v>2.0</v>
      </c>
      <c r="AJ106" s="1">
        <v>0.0</v>
      </c>
      <c r="AK106" s="1">
        <v>159.0</v>
      </c>
      <c r="AL106" s="1">
        <v>108.0</v>
      </c>
      <c r="AM106" s="1">
        <v>1.0</v>
      </c>
      <c r="AN106" s="1">
        <v>0.0</v>
      </c>
      <c r="AO106" s="1">
        <v>5.0</v>
      </c>
      <c r="AP106" s="1">
        <v>1.0</v>
      </c>
      <c r="AQ106" s="1">
        <v>1.0</v>
      </c>
    </row>
    <row r="107">
      <c r="A107" s="1"/>
      <c r="B107" s="1">
        <v>432.0</v>
      </c>
      <c r="C107" s="1" t="s">
        <v>1144</v>
      </c>
      <c r="D107" s="1" t="s">
        <v>1145</v>
      </c>
      <c r="E107" s="1" t="s">
        <v>1146</v>
      </c>
      <c r="F107" s="1" t="s">
        <v>43</v>
      </c>
      <c r="G107" s="2">
        <v>20062.0</v>
      </c>
      <c r="H107" s="1" t="s">
        <v>1147</v>
      </c>
      <c r="I107" s="1">
        <v>80.0</v>
      </c>
      <c r="J107" s="1" t="s">
        <v>1148</v>
      </c>
      <c r="K107" s="1">
        <v>4.0</v>
      </c>
      <c r="L107" s="2">
        <v>42907.0</v>
      </c>
      <c r="O107" s="1">
        <v>0.0</v>
      </c>
      <c r="P107" s="1" t="s">
        <v>75</v>
      </c>
      <c r="Q107" s="1" t="s">
        <v>76</v>
      </c>
      <c r="R107" s="1" t="s">
        <v>1149</v>
      </c>
      <c r="U107" s="1" t="s">
        <v>1150</v>
      </c>
      <c r="V107" s="1">
        <v>532.0</v>
      </c>
      <c r="W107" s="3" t="s">
        <v>1151</v>
      </c>
      <c r="X107" s="1">
        <v>722228.0</v>
      </c>
      <c r="Y107" s="1" t="s">
        <v>1152</v>
      </c>
      <c r="Z107" s="3" t="s">
        <v>1153</v>
      </c>
      <c r="AA107" s="3" t="s">
        <v>1154</v>
      </c>
      <c r="AB107" s="1">
        <v>2.0</v>
      </c>
      <c r="AC107" s="1" t="s">
        <v>1155</v>
      </c>
      <c r="AD107" s="1">
        <v>23.0</v>
      </c>
      <c r="AE107" s="1">
        <f t="shared" si="5"/>
        <v>429</v>
      </c>
      <c r="AF107" s="1">
        <v>57.0</v>
      </c>
      <c r="AG107" s="1">
        <v>2.0</v>
      </c>
      <c r="AH107" s="1">
        <v>9.0</v>
      </c>
      <c r="AI107" s="1">
        <v>1.0</v>
      </c>
      <c r="AJ107" s="1">
        <v>3.0</v>
      </c>
      <c r="AK107" s="1">
        <v>83.0</v>
      </c>
      <c r="AL107" s="1">
        <v>44.0</v>
      </c>
      <c r="AM107" s="1">
        <v>0.0</v>
      </c>
      <c r="AN107" s="1">
        <v>0.0</v>
      </c>
      <c r="AO107" s="1">
        <v>5.0</v>
      </c>
      <c r="AP107" s="1">
        <v>0.0</v>
      </c>
      <c r="AQ107" s="1">
        <v>0.0</v>
      </c>
    </row>
    <row r="108">
      <c r="A108" s="1"/>
      <c r="B108" s="1">
        <v>20.0</v>
      </c>
      <c r="C108" s="1" t="s">
        <v>1156</v>
      </c>
      <c r="D108" s="1" t="s">
        <v>1157</v>
      </c>
      <c r="E108" s="1" t="s">
        <v>98</v>
      </c>
      <c r="F108" s="1" t="s">
        <v>43</v>
      </c>
      <c r="G108" s="2">
        <v>21471.0</v>
      </c>
      <c r="H108" s="1" t="s">
        <v>1158</v>
      </c>
      <c r="I108" s="1">
        <v>76.0</v>
      </c>
      <c r="J108" s="1" t="s">
        <v>371</v>
      </c>
      <c r="K108" s="1">
        <v>8.0</v>
      </c>
      <c r="L108" s="2">
        <v>42907.0</v>
      </c>
      <c r="O108" s="1">
        <v>0.0</v>
      </c>
      <c r="P108" s="1" t="s">
        <v>101</v>
      </c>
      <c r="Q108" s="1" t="s">
        <v>102</v>
      </c>
      <c r="R108" s="1" t="s">
        <v>1159</v>
      </c>
      <c r="U108" s="1" t="s">
        <v>429</v>
      </c>
      <c r="V108" s="1">
        <v>584.0</v>
      </c>
      <c r="W108" s="3" t="s">
        <v>1160</v>
      </c>
      <c r="X108" s="1">
        <v>335612.0</v>
      </c>
      <c r="Y108" s="1" t="s">
        <v>1161</v>
      </c>
      <c r="Z108" s="3" t="s">
        <v>1162</v>
      </c>
      <c r="AA108" s="3" t="s">
        <v>1163</v>
      </c>
      <c r="AB108" s="1">
        <v>2.0</v>
      </c>
      <c r="AD108" s="1">
        <v>23.0</v>
      </c>
      <c r="AE108" s="1">
        <f t="shared" si="5"/>
        <v>429</v>
      </c>
      <c r="AF108" s="1">
        <v>34.0</v>
      </c>
      <c r="AG108" s="1">
        <v>46.0</v>
      </c>
      <c r="AH108" s="1">
        <v>307.0</v>
      </c>
      <c r="AI108" s="1">
        <v>485.0</v>
      </c>
      <c r="AJ108" s="1">
        <v>0.0</v>
      </c>
      <c r="AK108" s="1">
        <v>654.0</v>
      </c>
      <c r="AL108" s="1">
        <v>22.0</v>
      </c>
      <c r="AM108" s="1">
        <v>0.0</v>
      </c>
      <c r="AN108" s="1">
        <v>1.0</v>
      </c>
      <c r="AO108" s="1">
        <v>21.0</v>
      </c>
      <c r="AP108" s="1">
        <v>2.0</v>
      </c>
      <c r="AQ108" s="1">
        <v>4.0</v>
      </c>
    </row>
    <row r="109">
      <c r="A109" s="1"/>
      <c r="B109" s="1">
        <v>275.0</v>
      </c>
      <c r="C109" s="1" t="s">
        <v>1164</v>
      </c>
      <c r="D109" s="1" t="s">
        <v>1165</v>
      </c>
      <c r="E109" s="1" t="s">
        <v>1166</v>
      </c>
      <c r="F109" s="1" t="s">
        <v>43</v>
      </c>
      <c r="G109" s="2">
        <v>24437.0</v>
      </c>
      <c r="H109" s="1" t="s">
        <v>1167</v>
      </c>
      <c r="I109" s="1">
        <v>999.0</v>
      </c>
      <c r="J109" s="1" t="s">
        <v>256</v>
      </c>
      <c r="K109" s="1">
        <v>1.0</v>
      </c>
      <c r="L109" s="2">
        <v>42907.0</v>
      </c>
      <c r="O109" s="1">
        <v>0.0</v>
      </c>
      <c r="P109" s="1" t="s">
        <v>75</v>
      </c>
      <c r="Q109" s="1" t="s">
        <v>76</v>
      </c>
      <c r="R109" s="1" t="s">
        <v>1168</v>
      </c>
      <c r="U109" s="1" t="s">
        <v>234</v>
      </c>
      <c r="V109" s="1">
        <v>634.0</v>
      </c>
      <c r="W109" s="3" t="s">
        <v>1169</v>
      </c>
      <c r="X109" s="1">
        <v>721134.0</v>
      </c>
      <c r="Y109" s="1" t="s">
        <v>1170</v>
      </c>
      <c r="Z109" s="3" t="s">
        <v>1171</v>
      </c>
      <c r="AA109" s="3" t="s">
        <v>1172</v>
      </c>
      <c r="AB109" s="1">
        <v>1.0</v>
      </c>
      <c r="AC109" s="1" t="s">
        <v>1173</v>
      </c>
      <c r="AD109" s="1">
        <v>23.0</v>
      </c>
      <c r="AE109" s="1">
        <f t="shared" si="5"/>
        <v>429</v>
      </c>
      <c r="AF109" s="1">
        <v>61.0</v>
      </c>
      <c r="AG109" s="1">
        <v>174.0</v>
      </c>
      <c r="AH109" s="1">
        <v>30.0</v>
      </c>
      <c r="AI109" s="1">
        <v>7.0</v>
      </c>
      <c r="AJ109" s="1">
        <v>1.0</v>
      </c>
      <c r="AK109" s="1">
        <v>45.0</v>
      </c>
      <c r="AL109" s="1">
        <v>20.0</v>
      </c>
      <c r="AM109" s="1">
        <v>0.0</v>
      </c>
      <c r="AN109" s="1">
        <v>0.0</v>
      </c>
      <c r="AO109" s="1">
        <v>5.0</v>
      </c>
      <c r="AP109" s="1">
        <v>2.0</v>
      </c>
      <c r="AQ109" s="1">
        <v>1.0</v>
      </c>
    </row>
    <row r="110">
      <c r="A110" s="1"/>
      <c r="B110" s="1">
        <v>320.0</v>
      </c>
      <c r="C110" s="1" t="s">
        <v>1174</v>
      </c>
      <c r="D110" s="1" t="s">
        <v>1175</v>
      </c>
      <c r="E110" s="1" t="s">
        <v>1176</v>
      </c>
      <c r="F110" s="1" t="s">
        <v>58</v>
      </c>
      <c r="G110" s="2">
        <v>19698.0</v>
      </c>
      <c r="H110" s="1" t="s">
        <v>207</v>
      </c>
      <c r="I110" s="1">
        <v>38.0</v>
      </c>
      <c r="J110" s="1" t="s">
        <v>267</v>
      </c>
      <c r="K110" s="1">
        <v>7.0</v>
      </c>
      <c r="L110" s="2">
        <v>42907.0</v>
      </c>
      <c r="O110" s="1">
        <v>0.0</v>
      </c>
      <c r="P110" s="1" t="s">
        <v>75</v>
      </c>
      <c r="Q110" s="1" t="s">
        <v>76</v>
      </c>
      <c r="R110" s="1" t="s">
        <v>1177</v>
      </c>
      <c r="U110" s="1" t="s">
        <v>1178</v>
      </c>
      <c r="V110" s="1">
        <v>382.0</v>
      </c>
      <c r="W110" s="3" t="s">
        <v>1179</v>
      </c>
      <c r="X110" s="1">
        <v>719858.0</v>
      </c>
      <c r="Y110" s="1" t="s">
        <v>1180</v>
      </c>
      <c r="Z110" s="3" t="s">
        <v>1181</v>
      </c>
      <c r="AA110" s="3" t="s">
        <v>1182</v>
      </c>
      <c r="AB110" s="1">
        <v>1.0</v>
      </c>
      <c r="AC110" s="1" t="s">
        <v>1183</v>
      </c>
      <c r="AD110" s="1">
        <v>23.0</v>
      </c>
      <c r="AE110" s="1">
        <f t="shared" si="5"/>
        <v>429</v>
      </c>
      <c r="AF110" s="1">
        <v>54.0</v>
      </c>
      <c r="AG110" s="1">
        <v>18.0</v>
      </c>
      <c r="AH110" s="1">
        <v>5.0</v>
      </c>
      <c r="AI110" s="1">
        <v>1.0</v>
      </c>
      <c r="AJ110" s="1">
        <v>0.0</v>
      </c>
      <c r="AK110" s="1">
        <v>119.0</v>
      </c>
      <c r="AL110" s="1">
        <v>57.0</v>
      </c>
      <c r="AM110" s="1">
        <v>0.0</v>
      </c>
      <c r="AN110" s="1">
        <v>0.0</v>
      </c>
      <c r="AO110" s="1">
        <v>5.0</v>
      </c>
      <c r="AP110" s="1">
        <v>0.0</v>
      </c>
      <c r="AQ110" s="1">
        <v>2.0</v>
      </c>
    </row>
    <row r="111">
      <c r="A111" s="1"/>
      <c r="B111" s="1">
        <v>454.0</v>
      </c>
      <c r="C111" s="1" t="s">
        <v>1184</v>
      </c>
      <c r="D111" s="1" t="s">
        <v>1185</v>
      </c>
      <c r="E111" s="1" t="s">
        <v>1186</v>
      </c>
      <c r="F111" s="1" t="s">
        <v>58</v>
      </c>
      <c r="G111" s="2">
        <v>22360.0</v>
      </c>
      <c r="H111" s="1" t="s">
        <v>1187</v>
      </c>
      <c r="I111" s="1">
        <v>61.0</v>
      </c>
      <c r="J111" s="1" t="s">
        <v>1188</v>
      </c>
      <c r="K111" s="1">
        <v>2.0</v>
      </c>
      <c r="L111" s="2">
        <v>42907.0</v>
      </c>
      <c r="O111" s="1">
        <v>0.0</v>
      </c>
      <c r="P111" s="1" t="s">
        <v>61</v>
      </c>
      <c r="Q111" s="1" t="s">
        <v>62</v>
      </c>
      <c r="R111" s="1" t="s">
        <v>1189</v>
      </c>
      <c r="U111" s="1" t="s">
        <v>1190</v>
      </c>
      <c r="V111" s="1">
        <v>97.0</v>
      </c>
      <c r="W111" s="3" t="s">
        <v>1191</v>
      </c>
      <c r="X111" s="1">
        <v>608016.0</v>
      </c>
      <c r="Y111" s="1" t="s">
        <v>1192</v>
      </c>
      <c r="Z111" s="3" t="s">
        <v>1193</v>
      </c>
      <c r="AA111" s="3" t="s">
        <v>1194</v>
      </c>
      <c r="AB111" s="1">
        <v>2.0</v>
      </c>
      <c r="AC111" s="1" t="s">
        <v>1195</v>
      </c>
      <c r="AD111" s="1">
        <v>23.0</v>
      </c>
      <c r="AE111" s="1">
        <f t="shared" si="5"/>
        <v>429</v>
      </c>
      <c r="AF111" s="1">
        <v>70.0</v>
      </c>
      <c r="AG111" s="1">
        <v>281.0</v>
      </c>
      <c r="AH111" s="1">
        <v>439.0</v>
      </c>
      <c r="AI111" s="1">
        <v>421.0</v>
      </c>
      <c r="AJ111" s="1">
        <v>414.0</v>
      </c>
      <c r="AK111" s="1">
        <v>1799.0</v>
      </c>
      <c r="AL111" s="1">
        <v>68.0</v>
      </c>
      <c r="AM111" s="1">
        <v>1.0</v>
      </c>
      <c r="AN111" s="1">
        <v>1.0</v>
      </c>
      <c r="AO111" s="1">
        <v>91.0</v>
      </c>
      <c r="AP111" s="1">
        <v>28.0</v>
      </c>
      <c r="AQ111" s="1">
        <v>1.0</v>
      </c>
    </row>
    <row r="112">
      <c r="A112" s="1"/>
      <c r="B112" s="1">
        <v>219.0</v>
      </c>
      <c r="C112" s="1" t="s">
        <v>1196</v>
      </c>
      <c r="D112" s="1" t="s">
        <v>1197</v>
      </c>
      <c r="E112" s="1" t="s">
        <v>1198</v>
      </c>
      <c r="F112" s="1" t="s">
        <v>58</v>
      </c>
      <c r="G112" s="2">
        <v>32101.0</v>
      </c>
      <c r="H112" s="1" t="s">
        <v>1199</v>
      </c>
      <c r="I112" s="1">
        <v>87.0</v>
      </c>
      <c r="J112" s="1" t="s">
        <v>405</v>
      </c>
      <c r="K112" s="1">
        <v>3.0</v>
      </c>
      <c r="L112" s="2">
        <v>42907.0</v>
      </c>
      <c r="O112" s="1">
        <v>0.0</v>
      </c>
      <c r="P112" s="1" t="s">
        <v>75</v>
      </c>
      <c r="Q112" s="1" t="s">
        <v>76</v>
      </c>
      <c r="R112" s="1" t="s">
        <v>1200</v>
      </c>
      <c r="U112" s="1" t="s">
        <v>1201</v>
      </c>
      <c r="V112" s="1">
        <v>327.0</v>
      </c>
      <c r="W112" s="3" t="s">
        <v>1202</v>
      </c>
      <c r="X112" s="1">
        <v>722244.0</v>
      </c>
      <c r="Y112" s="1" t="s">
        <v>1203</v>
      </c>
      <c r="Z112" s="3" t="s">
        <v>1204</v>
      </c>
      <c r="AA112" s="3" t="s">
        <v>1205</v>
      </c>
      <c r="AB112" s="1">
        <v>1.0</v>
      </c>
      <c r="AC112" s="1" t="s">
        <v>1206</v>
      </c>
      <c r="AD112" s="1">
        <v>23.0</v>
      </c>
      <c r="AE112" s="1">
        <f t="shared" si="5"/>
        <v>429</v>
      </c>
      <c r="AF112" s="1">
        <v>50.0</v>
      </c>
      <c r="AG112" s="1">
        <v>4.0</v>
      </c>
      <c r="AH112" s="1">
        <v>10.0</v>
      </c>
      <c r="AI112" s="1">
        <v>3.0</v>
      </c>
      <c r="AJ112" s="1">
        <v>1.0</v>
      </c>
      <c r="AK112" s="1">
        <v>153.0</v>
      </c>
      <c r="AL112" s="1">
        <v>105.0</v>
      </c>
      <c r="AM112" s="1">
        <v>1.0</v>
      </c>
      <c r="AN112" s="1">
        <v>0.0</v>
      </c>
      <c r="AO112" s="1">
        <v>5.0</v>
      </c>
      <c r="AP112" s="1">
        <v>1.0</v>
      </c>
      <c r="AQ112" s="1">
        <v>1.0</v>
      </c>
    </row>
    <row r="113">
      <c r="A113" s="1"/>
      <c r="B113" s="1">
        <v>242.0</v>
      </c>
      <c r="C113" s="1" t="s">
        <v>1207</v>
      </c>
      <c r="D113" s="1" t="s">
        <v>1208</v>
      </c>
      <c r="E113" s="1" t="s">
        <v>1209</v>
      </c>
      <c r="F113" s="1" t="s">
        <v>43</v>
      </c>
      <c r="G113" s="2">
        <v>27147.0</v>
      </c>
      <c r="H113" s="1" t="s">
        <v>1210</v>
      </c>
      <c r="I113" s="1">
        <v>75.0</v>
      </c>
      <c r="J113" s="1" t="s">
        <v>232</v>
      </c>
      <c r="K113" s="1">
        <v>1.0</v>
      </c>
      <c r="L113" s="2">
        <v>42907.0</v>
      </c>
      <c r="O113" s="1">
        <v>0.0</v>
      </c>
      <c r="P113" s="1" t="s">
        <v>75</v>
      </c>
      <c r="Q113" s="1" t="s">
        <v>76</v>
      </c>
      <c r="R113" s="1" t="s">
        <v>1211</v>
      </c>
      <c r="U113" s="1" t="s">
        <v>198</v>
      </c>
      <c r="V113" s="1">
        <v>330.0</v>
      </c>
      <c r="W113" s="3" t="s">
        <v>1212</v>
      </c>
      <c r="X113" s="1">
        <v>717379.0</v>
      </c>
      <c r="Y113" s="1" t="s">
        <v>1213</v>
      </c>
      <c r="Z113" s="3" t="s">
        <v>1214</v>
      </c>
      <c r="AA113" s="3" t="s">
        <v>1215</v>
      </c>
      <c r="AB113" s="1">
        <v>1.0</v>
      </c>
      <c r="AC113" s="1" t="s">
        <v>1216</v>
      </c>
      <c r="AD113" s="1">
        <v>23.0</v>
      </c>
      <c r="AE113" s="1">
        <f t="shared" si="5"/>
        <v>429</v>
      </c>
      <c r="AF113" s="1">
        <v>47.0</v>
      </c>
      <c r="AG113" s="1">
        <v>22.0</v>
      </c>
      <c r="AH113" s="1">
        <v>34.0</v>
      </c>
      <c r="AI113" s="1">
        <v>263.0</v>
      </c>
      <c r="AJ113" s="1">
        <v>1.0</v>
      </c>
      <c r="AK113" s="1">
        <v>60.0</v>
      </c>
      <c r="AL113" s="1">
        <v>27.0</v>
      </c>
      <c r="AM113" s="1">
        <v>0.0</v>
      </c>
      <c r="AN113" s="1">
        <v>0.0</v>
      </c>
      <c r="AO113" s="1">
        <v>5.0</v>
      </c>
      <c r="AP113" s="1">
        <v>3.0</v>
      </c>
      <c r="AQ113" s="1">
        <v>1.0</v>
      </c>
    </row>
    <row r="114">
      <c r="A114" s="1"/>
      <c r="B114" s="1">
        <v>280.0</v>
      </c>
      <c r="C114" s="1" t="s">
        <v>1217</v>
      </c>
      <c r="D114" s="1" t="s">
        <v>1218</v>
      </c>
      <c r="E114" s="1" t="s">
        <v>1115</v>
      </c>
      <c r="F114" s="1" t="s">
        <v>43</v>
      </c>
      <c r="G114" s="2">
        <v>20687.0</v>
      </c>
      <c r="H114" s="1" t="s">
        <v>1219</v>
      </c>
      <c r="I114" s="1">
        <v>21.0</v>
      </c>
      <c r="J114" s="1" t="s">
        <v>1220</v>
      </c>
      <c r="K114" s="1">
        <v>1.0</v>
      </c>
      <c r="L114" s="2">
        <v>42907.0</v>
      </c>
      <c r="O114" s="1">
        <v>0.0</v>
      </c>
      <c r="P114" s="1" t="s">
        <v>75</v>
      </c>
      <c r="Q114" s="1" t="s">
        <v>76</v>
      </c>
      <c r="R114" s="1" t="s">
        <v>1221</v>
      </c>
      <c r="U114" s="1" t="s">
        <v>1222</v>
      </c>
      <c r="V114" s="1">
        <v>366.0</v>
      </c>
      <c r="W114" s="3" t="s">
        <v>1223</v>
      </c>
      <c r="X114" s="1">
        <v>719154.0</v>
      </c>
      <c r="Y114" s="1" t="s">
        <v>1224</v>
      </c>
      <c r="Z114" s="3" t="s">
        <v>1225</v>
      </c>
      <c r="AA114" s="3" t="s">
        <v>1226</v>
      </c>
      <c r="AB114" s="1">
        <v>2.0</v>
      </c>
      <c r="AC114" s="1" t="s">
        <v>1227</v>
      </c>
      <c r="AD114" s="1">
        <v>23.0</v>
      </c>
      <c r="AE114" s="1">
        <f t="shared" si="5"/>
        <v>429</v>
      </c>
      <c r="AF114" s="1">
        <v>54.0</v>
      </c>
      <c r="AG114" s="1">
        <v>34.0</v>
      </c>
      <c r="AH114" s="1">
        <v>11.0</v>
      </c>
      <c r="AI114" s="1">
        <v>0.0</v>
      </c>
      <c r="AJ114" s="1">
        <v>11.0</v>
      </c>
      <c r="AK114" s="1">
        <v>81.0</v>
      </c>
      <c r="AL114" s="1">
        <v>37.0</v>
      </c>
      <c r="AM114" s="1">
        <v>1.0</v>
      </c>
      <c r="AN114" s="1">
        <v>0.0</v>
      </c>
      <c r="AO114" s="1">
        <v>5.0</v>
      </c>
      <c r="AP114" s="1">
        <v>2.0</v>
      </c>
      <c r="AQ114" s="1">
        <v>1.0</v>
      </c>
    </row>
    <row r="115">
      <c r="A115" s="1"/>
      <c r="B115" s="1">
        <v>200.0</v>
      </c>
      <c r="C115" s="1" t="s">
        <v>1228</v>
      </c>
      <c r="D115" s="1" t="s">
        <v>1229</v>
      </c>
      <c r="E115" s="1" t="s">
        <v>183</v>
      </c>
      <c r="F115" s="1" t="s">
        <v>43</v>
      </c>
      <c r="G115" s="2">
        <v>19760.0</v>
      </c>
      <c r="H115" s="1" t="s">
        <v>1230</v>
      </c>
      <c r="I115" s="1">
        <v>83.0</v>
      </c>
      <c r="J115" s="1" t="s">
        <v>1231</v>
      </c>
      <c r="K115" s="1">
        <v>3.0</v>
      </c>
      <c r="L115" s="2">
        <v>42907.0</v>
      </c>
      <c r="O115" s="1">
        <v>0.0</v>
      </c>
      <c r="P115" s="1" t="s">
        <v>61</v>
      </c>
      <c r="Q115" s="1" t="s">
        <v>62</v>
      </c>
      <c r="R115" s="3" t="s">
        <v>1232</v>
      </c>
      <c r="U115" s="1" t="s">
        <v>1233</v>
      </c>
      <c r="V115" s="1">
        <v>152.0</v>
      </c>
      <c r="W115" s="3" t="s">
        <v>1234</v>
      </c>
      <c r="X115" s="1">
        <v>346218.0</v>
      </c>
      <c r="Y115" s="1" t="s">
        <v>1235</v>
      </c>
      <c r="Z115" s="3" t="s">
        <v>1236</v>
      </c>
      <c r="AA115" s="3" t="s">
        <v>1237</v>
      </c>
      <c r="AB115" s="1">
        <v>2.0</v>
      </c>
      <c r="AD115" s="1">
        <v>23.0</v>
      </c>
      <c r="AE115" s="1">
        <f t="shared" si="5"/>
        <v>429</v>
      </c>
      <c r="AF115" s="1">
        <v>37.0</v>
      </c>
      <c r="AG115" s="1">
        <v>47.0</v>
      </c>
      <c r="AH115" s="1">
        <v>41.0</v>
      </c>
      <c r="AI115" s="1">
        <v>4.0</v>
      </c>
      <c r="AJ115" s="1">
        <v>113.0</v>
      </c>
      <c r="AK115" s="1">
        <v>1087.0</v>
      </c>
      <c r="AL115" s="1">
        <v>27.0</v>
      </c>
      <c r="AM115" s="1">
        <v>0.0</v>
      </c>
      <c r="AN115" s="1">
        <v>7.0</v>
      </c>
      <c r="AO115" s="1">
        <v>44.0</v>
      </c>
      <c r="AP115" s="1">
        <v>31.0</v>
      </c>
      <c r="AQ115" s="1">
        <v>2.0</v>
      </c>
    </row>
    <row r="116">
      <c r="A116" s="1"/>
      <c r="B116" s="1">
        <v>62.0</v>
      </c>
      <c r="C116" s="1" t="s">
        <v>1238</v>
      </c>
      <c r="D116" s="1" t="s">
        <v>1239</v>
      </c>
      <c r="E116" s="1" t="s">
        <v>705</v>
      </c>
      <c r="F116" s="1" t="s">
        <v>43</v>
      </c>
      <c r="G116" s="2">
        <v>18859.0</v>
      </c>
      <c r="H116" s="1" t="s">
        <v>1240</v>
      </c>
      <c r="I116" s="1">
        <v>13.0</v>
      </c>
      <c r="J116" s="1" t="s">
        <v>279</v>
      </c>
      <c r="K116" s="1">
        <v>4.0</v>
      </c>
      <c r="L116" s="2">
        <v>42907.0</v>
      </c>
      <c r="O116" s="1">
        <v>0.0</v>
      </c>
      <c r="P116" s="1" t="s">
        <v>173</v>
      </c>
      <c r="Q116" s="1" t="s">
        <v>174</v>
      </c>
      <c r="R116" s="1" t="s">
        <v>1241</v>
      </c>
      <c r="U116" s="1" t="s">
        <v>1242</v>
      </c>
      <c r="V116" s="1">
        <v>601.0</v>
      </c>
      <c r="W116" s="3" t="s">
        <v>1243</v>
      </c>
      <c r="X116" s="1">
        <v>2150.0</v>
      </c>
      <c r="Y116" s="1" t="s">
        <v>1244</v>
      </c>
      <c r="Z116" s="3" t="s">
        <v>1245</v>
      </c>
      <c r="AA116" s="3" t="s">
        <v>1246</v>
      </c>
      <c r="AB116" s="1">
        <v>1.0</v>
      </c>
      <c r="AC116" s="1" t="s">
        <v>1247</v>
      </c>
      <c r="AD116" s="1">
        <v>23.0</v>
      </c>
      <c r="AE116" s="1">
        <f t="shared" si="5"/>
        <v>429</v>
      </c>
      <c r="AF116" s="1">
        <v>17.0</v>
      </c>
      <c r="AG116" s="1">
        <v>18.0</v>
      </c>
      <c r="AH116" s="1">
        <v>320.0</v>
      </c>
      <c r="AI116" s="1">
        <v>499.0</v>
      </c>
      <c r="AJ116" s="1">
        <v>6.0</v>
      </c>
      <c r="AK116" s="1">
        <v>2061.0</v>
      </c>
      <c r="AL116" s="1">
        <v>32.0</v>
      </c>
      <c r="AM116" s="1">
        <v>0.0</v>
      </c>
      <c r="AN116" s="1">
        <v>1.0</v>
      </c>
      <c r="AO116" s="1">
        <v>15.0</v>
      </c>
      <c r="AP116" s="1">
        <v>24.0</v>
      </c>
      <c r="AQ116" s="1">
        <v>4.0</v>
      </c>
    </row>
    <row r="117">
      <c r="A117" s="1"/>
      <c r="B117" s="1">
        <v>88.0</v>
      </c>
      <c r="C117" s="1" t="s">
        <v>1248</v>
      </c>
      <c r="D117" s="1" t="s">
        <v>1249</v>
      </c>
      <c r="E117" s="1" t="s">
        <v>1250</v>
      </c>
      <c r="F117" s="1" t="s">
        <v>58</v>
      </c>
      <c r="G117" s="2">
        <v>25065.0</v>
      </c>
      <c r="H117" s="1" t="s">
        <v>1251</v>
      </c>
      <c r="I117" s="1">
        <v>34.0</v>
      </c>
      <c r="J117" s="1" t="s">
        <v>1252</v>
      </c>
      <c r="K117" s="1">
        <v>6.0</v>
      </c>
      <c r="L117" s="2">
        <v>42907.0</v>
      </c>
      <c r="O117" s="1">
        <v>0.0</v>
      </c>
      <c r="P117" s="1" t="s">
        <v>814</v>
      </c>
      <c r="Q117" s="1" t="s">
        <v>837</v>
      </c>
      <c r="R117" s="1" t="s">
        <v>1253</v>
      </c>
      <c r="U117" s="1" t="s">
        <v>1254</v>
      </c>
      <c r="V117" s="1">
        <v>68.0</v>
      </c>
      <c r="W117" s="3" t="s">
        <v>1255</v>
      </c>
      <c r="X117" s="1">
        <v>719608.0</v>
      </c>
      <c r="Y117" s="1" t="s">
        <v>1256</v>
      </c>
      <c r="Z117" s="3" t="s">
        <v>1257</v>
      </c>
      <c r="AA117" s="3" t="s">
        <v>1258</v>
      </c>
      <c r="AB117" s="1">
        <v>1.0</v>
      </c>
      <c r="AC117" s="1" t="s">
        <v>1259</v>
      </c>
      <c r="AD117" s="1">
        <v>23.0</v>
      </c>
      <c r="AE117" s="1">
        <f t="shared" si="5"/>
        <v>429</v>
      </c>
      <c r="AF117" s="1">
        <v>35.0</v>
      </c>
      <c r="AG117" s="1">
        <v>32.0</v>
      </c>
      <c r="AH117" s="1">
        <v>275.0</v>
      </c>
      <c r="AI117" s="1">
        <v>95.0</v>
      </c>
      <c r="AJ117" s="1">
        <v>204.0</v>
      </c>
      <c r="AK117" s="1">
        <v>221.0</v>
      </c>
      <c r="AL117" s="1">
        <v>0.0</v>
      </c>
      <c r="AM117" s="1">
        <v>0.0</v>
      </c>
      <c r="AN117" s="1">
        <v>1.0</v>
      </c>
      <c r="AO117" s="1">
        <v>8.0</v>
      </c>
      <c r="AP117" s="1">
        <v>19.0</v>
      </c>
      <c r="AQ117" s="1">
        <v>8.0</v>
      </c>
    </row>
    <row r="118">
      <c r="A118" s="1"/>
      <c r="B118" s="1">
        <v>418.0</v>
      </c>
      <c r="C118" s="1" t="s">
        <v>1260</v>
      </c>
      <c r="D118" s="1" t="s">
        <v>1261</v>
      </c>
      <c r="E118" s="1" t="s">
        <v>1262</v>
      </c>
      <c r="F118" s="1" t="s">
        <v>43</v>
      </c>
      <c r="G118" s="2">
        <v>31475.0</v>
      </c>
      <c r="H118" s="1" t="s">
        <v>1263</v>
      </c>
      <c r="I118" s="1">
        <v>16.0</v>
      </c>
      <c r="J118" s="1" t="s">
        <v>1264</v>
      </c>
      <c r="K118" s="1">
        <v>1.0</v>
      </c>
      <c r="L118" s="2">
        <v>42907.0</v>
      </c>
      <c r="O118" s="1">
        <v>0.0</v>
      </c>
      <c r="P118" s="1" t="s">
        <v>75</v>
      </c>
      <c r="Q118" s="1" t="s">
        <v>76</v>
      </c>
      <c r="R118" s="1" t="s">
        <v>1265</v>
      </c>
      <c r="U118" s="1" t="s">
        <v>151</v>
      </c>
      <c r="V118" s="1">
        <v>353.0</v>
      </c>
      <c r="W118" s="3" t="s">
        <v>1266</v>
      </c>
      <c r="X118" s="1">
        <v>719072.0</v>
      </c>
      <c r="Y118" s="1" t="s">
        <v>1267</v>
      </c>
      <c r="Z118" s="3" t="s">
        <v>1268</v>
      </c>
      <c r="AA118" s="3" t="s">
        <v>1269</v>
      </c>
      <c r="AB118" s="1">
        <v>1.0</v>
      </c>
      <c r="AC118" s="1" t="s">
        <v>1270</v>
      </c>
      <c r="AD118" s="1">
        <v>23.0</v>
      </c>
      <c r="AE118" s="1">
        <f t="shared" si="5"/>
        <v>429</v>
      </c>
      <c r="AF118" s="1">
        <v>48.0</v>
      </c>
      <c r="AG118" s="1">
        <v>36.0</v>
      </c>
      <c r="AH118" s="1">
        <v>59.0</v>
      </c>
      <c r="AI118" s="1">
        <v>19.0</v>
      </c>
      <c r="AJ118" s="1">
        <v>38.0</v>
      </c>
      <c r="AK118" s="1">
        <v>71.0</v>
      </c>
      <c r="AL118" s="1">
        <v>30.0</v>
      </c>
      <c r="AM118" s="1">
        <v>2.0</v>
      </c>
      <c r="AN118" s="1">
        <v>0.0</v>
      </c>
      <c r="AO118" s="1">
        <v>5.0</v>
      </c>
      <c r="AP118" s="1">
        <v>8.0</v>
      </c>
      <c r="AQ118" s="1">
        <v>1.0</v>
      </c>
    </row>
    <row r="119">
      <c r="A119" s="1"/>
      <c r="B119" s="1">
        <v>373.0</v>
      </c>
      <c r="C119" s="1" t="s">
        <v>1271</v>
      </c>
      <c r="D119" s="1" t="s">
        <v>1272</v>
      </c>
      <c r="E119" s="1" t="s">
        <v>413</v>
      </c>
      <c r="F119" s="1" t="s">
        <v>43</v>
      </c>
      <c r="G119" s="2">
        <v>22155.0</v>
      </c>
      <c r="H119" s="1" t="s">
        <v>1273</v>
      </c>
      <c r="I119" s="1">
        <v>67.0</v>
      </c>
      <c r="J119" s="1" t="s">
        <v>244</v>
      </c>
      <c r="K119" s="1">
        <v>1.0</v>
      </c>
      <c r="L119" s="2">
        <v>42907.0</v>
      </c>
      <c r="O119" s="1">
        <v>0.0</v>
      </c>
      <c r="P119" s="1" t="s">
        <v>75</v>
      </c>
      <c r="Q119" s="1" t="s">
        <v>76</v>
      </c>
      <c r="R119" s="1" t="s">
        <v>1274</v>
      </c>
      <c r="U119" s="1" t="s">
        <v>234</v>
      </c>
      <c r="V119" s="1">
        <v>445.0</v>
      </c>
      <c r="W119" s="3" t="s">
        <v>1275</v>
      </c>
      <c r="X119" s="1">
        <v>720738.0</v>
      </c>
      <c r="Y119" s="1" t="s">
        <v>1276</v>
      </c>
      <c r="Z119" s="3" t="s">
        <v>1277</v>
      </c>
      <c r="AA119" s="3" t="s">
        <v>1278</v>
      </c>
      <c r="AB119" s="1">
        <v>1.0</v>
      </c>
      <c r="AC119" s="1" t="s">
        <v>1279</v>
      </c>
      <c r="AD119" s="1">
        <v>23.0</v>
      </c>
      <c r="AE119" s="1">
        <f t="shared" si="5"/>
        <v>429</v>
      </c>
      <c r="AF119" s="1">
        <v>63.0</v>
      </c>
      <c r="AG119" s="1">
        <v>34.0</v>
      </c>
      <c r="AH119" s="1">
        <v>6.0</v>
      </c>
      <c r="AI119" s="1">
        <v>0.0</v>
      </c>
      <c r="AJ119" s="1">
        <v>1.0</v>
      </c>
      <c r="AK119" s="1">
        <v>58.0</v>
      </c>
      <c r="AL119" s="1">
        <v>25.0</v>
      </c>
      <c r="AM119" s="1">
        <v>1.0</v>
      </c>
      <c r="AN119" s="1">
        <v>1.0</v>
      </c>
      <c r="AO119" s="1">
        <v>6.0</v>
      </c>
      <c r="AP119" s="1">
        <v>0.0</v>
      </c>
      <c r="AQ119" s="1">
        <v>1.0</v>
      </c>
    </row>
    <row r="120">
      <c r="A120" s="1"/>
      <c r="B120" s="1">
        <v>119.0</v>
      </c>
      <c r="C120" s="1" t="s">
        <v>1280</v>
      </c>
      <c r="D120" s="1" t="s">
        <v>1281</v>
      </c>
      <c r="E120" s="1" t="s">
        <v>1282</v>
      </c>
      <c r="F120" s="1" t="s">
        <v>43</v>
      </c>
      <c r="G120" s="2">
        <v>33203.0</v>
      </c>
      <c r="H120" s="1" t="s">
        <v>404</v>
      </c>
      <c r="I120" s="1">
        <v>31.0</v>
      </c>
      <c r="J120" s="1" t="s">
        <v>360</v>
      </c>
      <c r="K120" s="1">
        <v>4.0</v>
      </c>
      <c r="L120" s="2">
        <v>42907.0</v>
      </c>
      <c r="O120" s="1">
        <v>0.0</v>
      </c>
      <c r="P120" s="1" t="s">
        <v>75</v>
      </c>
      <c r="Q120" s="1" t="s">
        <v>76</v>
      </c>
      <c r="R120" s="1" t="s">
        <v>1283</v>
      </c>
      <c r="U120" s="1" t="s">
        <v>293</v>
      </c>
      <c r="V120" s="1">
        <v>548.0</v>
      </c>
      <c r="W120" s="3" t="s">
        <v>1284</v>
      </c>
      <c r="X120" s="1">
        <v>719520.0</v>
      </c>
      <c r="Y120" s="1" t="s">
        <v>1285</v>
      </c>
      <c r="Z120" s="3" t="s">
        <v>1286</v>
      </c>
      <c r="AA120" s="3" t="s">
        <v>1287</v>
      </c>
      <c r="AB120" s="1">
        <v>1.0</v>
      </c>
      <c r="AC120" s="1" t="s">
        <v>1288</v>
      </c>
      <c r="AD120" s="1">
        <v>23.0</v>
      </c>
      <c r="AE120" s="1">
        <f t="shared" si="5"/>
        <v>429</v>
      </c>
      <c r="AF120" s="1">
        <v>45.0</v>
      </c>
      <c r="AG120" s="1">
        <v>23.0</v>
      </c>
      <c r="AH120" s="1">
        <v>14.0</v>
      </c>
      <c r="AI120" s="1">
        <v>11.0</v>
      </c>
      <c r="AJ120" s="1">
        <v>3.0</v>
      </c>
      <c r="AK120" s="1">
        <v>55.0</v>
      </c>
      <c r="AL120" s="1">
        <v>26.0</v>
      </c>
      <c r="AM120" s="1">
        <v>0.0</v>
      </c>
      <c r="AN120" s="1">
        <v>0.0</v>
      </c>
      <c r="AO120" s="1">
        <v>5.0</v>
      </c>
      <c r="AP120" s="1">
        <v>0.0</v>
      </c>
      <c r="AQ120" s="1">
        <v>2.0</v>
      </c>
    </row>
    <row r="121">
      <c r="A121" s="1"/>
      <c r="B121" s="1">
        <v>39.0</v>
      </c>
      <c r="C121" s="1" t="s">
        <v>1289</v>
      </c>
      <c r="D121" s="1" t="s">
        <v>1290</v>
      </c>
      <c r="E121" s="1" t="s">
        <v>629</v>
      </c>
      <c r="F121" s="1" t="s">
        <v>58</v>
      </c>
      <c r="G121" s="2">
        <v>27008.0</v>
      </c>
      <c r="H121" s="1" t="s">
        <v>1291</v>
      </c>
      <c r="I121" s="1">
        <v>44.0</v>
      </c>
      <c r="J121" s="1" t="s">
        <v>492</v>
      </c>
      <c r="K121" s="1">
        <v>2.0</v>
      </c>
      <c r="L121" s="2">
        <v>42907.0</v>
      </c>
      <c r="O121" s="1">
        <v>0.0</v>
      </c>
      <c r="P121" s="1" t="s">
        <v>75</v>
      </c>
      <c r="Q121" s="1" t="s">
        <v>76</v>
      </c>
      <c r="R121" s="1" t="s">
        <v>1292</v>
      </c>
      <c r="U121" s="1" t="s">
        <v>1293</v>
      </c>
      <c r="V121" s="1">
        <v>614.0</v>
      </c>
      <c r="W121" s="3" t="s">
        <v>1294</v>
      </c>
      <c r="X121" s="1">
        <v>720108.0</v>
      </c>
      <c r="Y121" s="1" t="s">
        <v>1295</v>
      </c>
      <c r="Z121" s="3" t="s">
        <v>1296</v>
      </c>
      <c r="AA121" s="3" t="s">
        <v>1297</v>
      </c>
      <c r="AB121" s="1">
        <v>1.0</v>
      </c>
      <c r="AC121" s="1" t="s">
        <v>1298</v>
      </c>
      <c r="AD121" s="1">
        <v>23.0</v>
      </c>
      <c r="AE121" s="1">
        <f t="shared" si="5"/>
        <v>429</v>
      </c>
      <c r="AF121" s="1">
        <v>37.0</v>
      </c>
      <c r="AG121" s="1">
        <v>10.0</v>
      </c>
      <c r="AH121" s="1">
        <v>2.0</v>
      </c>
      <c r="AI121" s="1">
        <v>0.0</v>
      </c>
      <c r="AJ121" s="1">
        <v>0.0</v>
      </c>
      <c r="AK121" s="1">
        <v>51.0</v>
      </c>
      <c r="AL121" s="1">
        <v>26.0</v>
      </c>
      <c r="AM121" s="1">
        <v>0.0</v>
      </c>
      <c r="AN121" s="1">
        <v>0.0</v>
      </c>
      <c r="AO121" s="1">
        <v>5.0</v>
      </c>
      <c r="AP121" s="1">
        <v>1.0</v>
      </c>
      <c r="AQ121" s="1">
        <v>1.0</v>
      </c>
    </row>
    <row r="122">
      <c r="A122" s="1"/>
      <c r="B122" s="1">
        <v>525.0</v>
      </c>
      <c r="C122" s="1" t="s">
        <v>1299</v>
      </c>
      <c r="D122" s="1" t="s">
        <v>1300</v>
      </c>
      <c r="E122" s="1" t="s">
        <v>1301</v>
      </c>
      <c r="F122" s="1" t="s">
        <v>43</v>
      </c>
      <c r="G122" s="2">
        <v>26636.0</v>
      </c>
      <c r="H122" s="1" t="s">
        <v>1302</v>
      </c>
      <c r="I122" s="1">
        <v>49.0</v>
      </c>
      <c r="J122" s="1" t="s">
        <v>220</v>
      </c>
      <c r="K122" s="1">
        <v>1.0</v>
      </c>
      <c r="L122" s="2">
        <v>42907.0</v>
      </c>
      <c r="O122" s="1">
        <v>0.0</v>
      </c>
      <c r="P122" s="1" t="s">
        <v>75</v>
      </c>
      <c r="Q122" s="1" t="s">
        <v>76</v>
      </c>
      <c r="R122" s="1" t="s">
        <v>1303</v>
      </c>
      <c r="U122" s="1" t="s">
        <v>1037</v>
      </c>
      <c r="V122" s="1">
        <v>428.0</v>
      </c>
      <c r="W122" s="3" t="s">
        <v>1304</v>
      </c>
      <c r="X122" s="1">
        <v>720278.0</v>
      </c>
      <c r="Y122" s="1" t="s">
        <v>1305</v>
      </c>
      <c r="Z122" s="3" t="s">
        <v>1306</v>
      </c>
      <c r="AA122" s="3" t="s">
        <v>1307</v>
      </c>
      <c r="AB122" s="1">
        <v>1.0</v>
      </c>
      <c r="AC122" s="1" t="s">
        <v>1308</v>
      </c>
      <c r="AD122" s="1">
        <v>23.0</v>
      </c>
      <c r="AE122" s="1">
        <f t="shared" si="5"/>
        <v>429</v>
      </c>
      <c r="AF122" s="1">
        <v>50.0</v>
      </c>
      <c r="AG122" s="1">
        <v>61.0</v>
      </c>
      <c r="AH122" s="1">
        <v>67.0</v>
      </c>
      <c r="AI122" s="1">
        <v>14.0</v>
      </c>
      <c r="AJ122" s="1">
        <v>65.0</v>
      </c>
      <c r="AK122" s="1">
        <v>119.0</v>
      </c>
      <c r="AL122" s="1">
        <v>47.0</v>
      </c>
      <c r="AM122" s="1">
        <v>0.0</v>
      </c>
      <c r="AN122" s="1">
        <v>0.0</v>
      </c>
      <c r="AO122" s="1">
        <v>5.0</v>
      </c>
      <c r="AP122" s="1">
        <v>15.0</v>
      </c>
      <c r="AQ122" s="1">
        <v>2.0</v>
      </c>
    </row>
    <row r="123">
      <c r="A123" s="1"/>
      <c r="B123" s="1">
        <v>97.0</v>
      </c>
      <c r="C123" s="1" t="s">
        <v>1309</v>
      </c>
      <c r="D123" s="1" t="s">
        <v>1310</v>
      </c>
      <c r="E123" s="1" t="s">
        <v>265</v>
      </c>
      <c r="F123" s="1" t="s">
        <v>58</v>
      </c>
      <c r="G123" s="2">
        <v>27067.0</v>
      </c>
      <c r="H123" s="1" t="s">
        <v>1311</v>
      </c>
      <c r="I123" s="1">
        <v>59.0</v>
      </c>
      <c r="J123" s="1" t="s">
        <v>172</v>
      </c>
      <c r="K123" s="1">
        <v>8.0</v>
      </c>
      <c r="L123" s="2">
        <v>42907.0</v>
      </c>
      <c r="O123" s="1">
        <v>0.0</v>
      </c>
      <c r="P123" s="1" t="s">
        <v>75</v>
      </c>
      <c r="Q123" s="1" t="s">
        <v>76</v>
      </c>
      <c r="R123" s="3" t="s">
        <v>1312</v>
      </c>
      <c r="U123" s="1" t="s">
        <v>1313</v>
      </c>
      <c r="V123" s="1">
        <v>570.0</v>
      </c>
      <c r="W123" s="3" t="s">
        <v>1314</v>
      </c>
      <c r="X123" s="1">
        <v>720492.0</v>
      </c>
      <c r="Y123" s="1" t="s">
        <v>1315</v>
      </c>
      <c r="Z123" s="3" t="s">
        <v>1316</v>
      </c>
      <c r="AA123" s="3" t="s">
        <v>1317</v>
      </c>
      <c r="AB123" s="1">
        <v>1.0</v>
      </c>
      <c r="AC123" s="1" t="s">
        <v>1318</v>
      </c>
      <c r="AD123" s="1">
        <v>23.0</v>
      </c>
      <c r="AE123" s="1">
        <f t="shared" si="5"/>
        <v>429</v>
      </c>
      <c r="AF123" s="1">
        <v>54.0</v>
      </c>
      <c r="AG123" s="1">
        <v>5.0</v>
      </c>
      <c r="AH123" s="1">
        <v>18.0</v>
      </c>
      <c r="AI123" s="1">
        <v>1.0</v>
      </c>
      <c r="AJ123" s="1">
        <v>0.0</v>
      </c>
      <c r="AK123" s="1">
        <v>150.0</v>
      </c>
      <c r="AL123" s="1">
        <v>103.0</v>
      </c>
      <c r="AM123" s="1">
        <v>1.0</v>
      </c>
      <c r="AN123" s="1">
        <v>0.0</v>
      </c>
      <c r="AO123" s="1">
        <v>5.0</v>
      </c>
      <c r="AP123" s="1">
        <v>12.0</v>
      </c>
      <c r="AQ123" s="1">
        <v>1.0</v>
      </c>
    </row>
    <row r="124">
      <c r="A124" s="1"/>
      <c r="B124" s="1">
        <v>550.0</v>
      </c>
      <c r="C124" s="1" t="s">
        <v>1319</v>
      </c>
      <c r="D124" s="1" t="s">
        <v>1320</v>
      </c>
      <c r="E124" s="1" t="s">
        <v>86</v>
      </c>
      <c r="F124" s="1" t="s">
        <v>43</v>
      </c>
      <c r="G124" s="2">
        <v>26646.0</v>
      </c>
      <c r="H124" s="1" t="s">
        <v>1321</v>
      </c>
      <c r="I124" s="1">
        <v>54.0</v>
      </c>
      <c r="J124" s="1" t="s">
        <v>160</v>
      </c>
      <c r="K124" s="1">
        <v>3.0</v>
      </c>
      <c r="L124" s="2">
        <v>42907.0</v>
      </c>
      <c r="O124" s="1">
        <v>0.0</v>
      </c>
      <c r="P124" s="1" t="s">
        <v>75</v>
      </c>
      <c r="Q124" s="1" t="s">
        <v>76</v>
      </c>
      <c r="R124" s="1" t="s">
        <v>1322</v>
      </c>
      <c r="U124" s="1" t="s">
        <v>967</v>
      </c>
      <c r="V124" s="1">
        <v>541.0</v>
      </c>
      <c r="W124" s="3" t="s">
        <v>1323</v>
      </c>
      <c r="X124" s="1">
        <v>720402.0</v>
      </c>
      <c r="Y124" s="1" t="s">
        <v>1324</v>
      </c>
      <c r="Z124" s="3" t="s">
        <v>1325</v>
      </c>
      <c r="AA124" s="3" t="s">
        <v>1326</v>
      </c>
      <c r="AB124" s="1">
        <v>1.0</v>
      </c>
      <c r="AC124" s="1" t="s">
        <v>1327</v>
      </c>
      <c r="AD124" s="1">
        <v>23.0</v>
      </c>
      <c r="AE124" s="1">
        <f t="shared" si="5"/>
        <v>429</v>
      </c>
      <c r="AF124" s="1">
        <v>45.0</v>
      </c>
      <c r="AG124" s="1">
        <v>17.0</v>
      </c>
      <c r="AH124" s="1">
        <v>22.0</v>
      </c>
      <c r="AI124" s="1">
        <v>0.0</v>
      </c>
      <c r="AJ124" s="1">
        <v>2.0</v>
      </c>
      <c r="AK124" s="1">
        <v>154.0</v>
      </c>
      <c r="AL124" s="1">
        <v>104.0</v>
      </c>
      <c r="AM124" s="1">
        <v>0.0</v>
      </c>
      <c r="AN124" s="1">
        <v>0.0</v>
      </c>
      <c r="AO124" s="1">
        <v>5.0</v>
      </c>
      <c r="AP124" s="1">
        <v>21.0</v>
      </c>
      <c r="AQ124" s="1">
        <v>1.0</v>
      </c>
    </row>
    <row r="125">
      <c r="A125" s="1"/>
      <c r="B125" s="1">
        <v>348.0</v>
      </c>
      <c r="C125" s="1" t="s">
        <v>1328</v>
      </c>
      <c r="D125" s="1" t="s">
        <v>1329</v>
      </c>
      <c r="E125" s="1" t="s">
        <v>1330</v>
      </c>
      <c r="F125" s="1" t="s">
        <v>58</v>
      </c>
      <c r="G125" s="2">
        <v>32523.0</v>
      </c>
      <c r="H125" s="1" t="s">
        <v>1331</v>
      </c>
      <c r="I125" s="1">
        <v>94.0</v>
      </c>
      <c r="J125" s="1" t="s">
        <v>642</v>
      </c>
      <c r="K125" s="1">
        <v>10.0</v>
      </c>
      <c r="L125" s="2">
        <v>42907.0</v>
      </c>
      <c r="O125" s="1">
        <v>0.0</v>
      </c>
      <c r="P125" s="1" t="s">
        <v>173</v>
      </c>
      <c r="Q125" s="1" t="s">
        <v>174</v>
      </c>
      <c r="R125" s="1" t="s">
        <v>1332</v>
      </c>
      <c r="U125" s="1" t="s">
        <v>1333</v>
      </c>
      <c r="V125" s="1">
        <v>604.0</v>
      </c>
      <c r="W125" s="3" t="s">
        <v>1334</v>
      </c>
      <c r="X125" s="1">
        <v>720892.0</v>
      </c>
      <c r="Y125" s="1" t="s">
        <v>1335</v>
      </c>
      <c r="Z125" s="3" t="s">
        <v>1336</v>
      </c>
      <c r="AA125" s="3" t="s">
        <v>1337</v>
      </c>
      <c r="AB125" s="1">
        <v>1.0</v>
      </c>
      <c r="AC125" s="1" t="s">
        <v>1338</v>
      </c>
      <c r="AD125" s="1">
        <v>23.0</v>
      </c>
      <c r="AE125" s="1">
        <f t="shared" si="5"/>
        <v>429</v>
      </c>
      <c r="AF125" s="1">
        <v>29.0</v>
      </c>
      <c r="AG125" s="1">
        <v>59.0</v>
      </c>
      <c r="AH125" s="1">
        <v>150.0</v>
      </c>
      <c r="AI125" s="1">
        <v>85.0</v>
      </c>
      <c r="AJ125" s="1">
        <v>86.0</v>
      </c>
      <c r="AK125" s="1">
        <v>2061.0</v>
      </c>
      <c r="AL125" s="1">
        <v>32.0</v>
      </c>
      <c r="AM125" s="1">
        <v>0.0</v>
      </c>
      <c r="AN125" s="1">
        <v>3.0</v>
      </c>
      <c r="AO125" s="1">
        <v>15.0</v>
      </c>
      <c r="AP125" s="1">
        <v>19.0</v>
      </c>
      <c r="AQ125" s="1">
        <v>5.0</v>
      </c>
    </row>
    <row r="126">
      <c r="A126" s="1"/>
      <c r="B126" s="1">
        <v>393.0</v>
      </c>
      <c r="C126" s="1" t="s">
        <v>1339</v>
      </c>
      <c r="D126" s="1" t="s">
        <v>1340</v>
      </c>
      <c r="E126" s="1" t="s">
        <v>1341</v>
      </c>
      <c r="F126" s="1" t="s">
        <v>43</v>
      </c>
      <c r="G126" s="2">
        <v>18735.0</v>
      </c>
      <c r="H126" s="1" t="s">
        <v>1342</v>
      </c>
      <c r="I126" s="1">
        <v>56.0</v>
      </c>
      <c r="J126" s="1" t="s">
        <v>1343</v>
      </c>
      <c r="K126" s="1">
        <v>1.0</v>
      </c>
      <c r="L126" s="2">
        <v>42907.0</v>
      </c>
      <c r="O126" s="1">
        <v>0.0</v>
      </c>
      <c r="P126" s="1" t="s">
        <v>75</v>
      </c>
      <c r="Q126" s="1" t="s">
        <v>76</v>
      </c>
      <c r="R126" s="1" t="s">
        <v>1344</v>
      </c>
      <c r="U126" s="1" t="s">
        <v>570</v>
      </c>
      <c r="V126" s="1">
        <v>376.0</v>
      </c>
      <c r="W126" s="3" t="s">
        <v>1345</v>
      </c>
      <c r="X126" s="1">
        <v>607595.0</v>
      </c>
      <c r="Y126" s="1" t="s">
        <v>1346</v>
      </c>
      <c r="Z126" s="3" t="s">
        <v>1347</v>
      </c>
      <c r="AA126" s="3" t="s">
        <v>1348</v>
      </c>
      <c r="AB126" s="1">
        <v>1.0</v>
      </c>
      <c r="AC126" s="1" t="s">
        <v>1349</v>
      </c>
      <c r="AD126" s="1">
        <v>23.0</v>
      </c>
      <c r="AE126" s="1">
        <f t="shared" si="5"/>
        <v>429</v>
      </c>
      <c r="AF126" s="1">
        <v>86.0</v>
      </c>
      <c r="AG126" s="1">
        <v>28.0</v>
      </c>
      <c r="AH126" s="1">
        <v>27.0</v>
      </c>
      <c r="AI126" s="1">
        <v>1.0</v>
      </c>
      <c r="AJ126" s="1">
        <v>15.0</v>
      </c>
      <c r="AK126" s="1">
        <v>261.0</v>
      </c>
      <c r="AL126" s="1">
        <v>143.0</v>
      </c>
      <c r="AM126" s="1">
        <v>1.0</v>
      </c>
      <c r="AN126" s="1">
        <v>0.0</v>
      </c>
      <c r="AO126" s="1">
        <v>5.0</v>
      </c>
      <c r="AP126" s="1">
        <v>17.0</v>
      </c>
      <c r="AQ126" s="1">
        <v>0.0</v>
      </c>
    </row>
    <row r="127">
      <c r="A127" s="1"/>
      <c r="B127" s="1">
        <v>364.0</v>
      </c>
      <c r="C127" s="1" t="s">
        <v>1350</v>
      </c>
      <c r="D127" s="1" t="s">
        <v>1351</v>
      </c>
      <c r="E127" s="1" t="s">
        <v>1352</v>
      </c>
      <c r="F127" s="1" t="s">
        <v>43</v>
      </c>
      <c r="G127" s="2">
        <v>23431.0</v>
      </c>
      <c r="H127" s="1" t="s">
        <v>1353</v>
      </c>
      <c r="I127" s="1">
        <v>58.0</v>
      </c>
      <c r="J127" s="1" t="s">
        <v>1017</v>
      </c>
      <c r="K127" s="1">
        <v>2.0</v>
      </c>
      <c r="L127" s="2">
        <v>42907.0</v>
      </c>
      <c r="O127" s="1">
        <v>0.0</v>
      </c>
      <c r="P127" s="1" t="s">
        <v>75</v>
      </c>
      <c r="Q127" s="1" t="s">
        <v>76</v>
      </c>
      <c r="R127" s="3" t="s">
        <v>1354</v>
      </c>
      <c r="U127" s="1" t="s">
        <v>198</v>
      </c>
      <c r="V127" s="1">
        <v>547.0</v>
      </c>
      <c r="W127" s="3" t="s">
        <v>1355</v>
      </c>
      <c r="X127" s="1">
        <v>720414.0</v>
      </c>
      <c r="Y127" s="1" t="s">
        <v>1356</v>
      </c>
      <c r="Z127" s="3" t="s">
        <v>1357</v>
      </c>
      <c r="AA127" s="3" t="s">
        <v>1358</v>
      </c>
      <c r="AB127" s="1">
        <v>1.0</v>
      </c>
      <c r="AD127" s="1">
        <v>23.0</v>
      </c>
      <c r="AE127" s="1">
        <f t="shared" si="5"/>
        <v>429</v>
      </c>
      <c r="AF127" s="1">
        <v>39.0</v>
      </c>
      <c r="AG127" s="1">
        <v>1.0</v>
      </c>
      <c r="AH127" s="1">
        <v>3.0</v>
      </c>
      <c r="AI127" s="1">
        <v>1.0</v>
      </c>
      <c r="AJ127" s="1">
        <v>0.0</v>
      </c>
      <c r="AK127" s="1">
        <v>102.0</v>
      </c>
      <c r="AL127" s="1">
        <v>43.0</v>
      </c>
      <c r="AM127" s="1">
        <v>0.0</v>
      </c>
      <c r="AN127" s="1">
        <v>0.0</v>
      </c>
      <c r="AO127" s="1">
        <v>5.0</v>
      </c>
      <c r="AP127" s="1">
        <v>20.0</v>
      </c>
      <c r="AQ127" s="1">
        <v>1.0</v>
      </c>
    </row>
    <row r="128">
      <c r="A128" s="1"/>
      <c r="B128" s="1">
        <v>538.0</v>
      </c>
      <c r="C128" s="1" t="s">
        <v>1359</v>
      </c>
      <c r="D128" s="1" t="s">
        <v>1360</v>
      </c>
      <c r="E128" s="1" t="s">
        <v>1361</v>
      </c>
      <c r="F128" s="1" t="s">
        <v>43</v>
      </c>
      <c r="G128" s="2">
        <v>20844.0</v>
      </c>
      <c r="H128" s="1" t="s">
        <v>1362</v>
      </c>
      <c r="I128" s="1">
        <v>69.0</v>
      </c>
      <c r="J128" s="1" t="s">
        <v>1363</v>
      </c>
      <c r="K128" s="1">
        <v>9.0</v>
      </c>
      <c r="L128" s="2">
        <v>42907.0</v>
      </c>
      <c r="O128" s="1">
        <v>0.0</v>
      </c>
      <c r="P128" s="1" t="s">
        <v>61</v>
      </c>
      <c r="Q128" s="1" t="s">
        <v>62</v>
      </c>
      <c r="R128" s="1" t="s">
        <v>1364</v>
      </c>
      <c r="U128" s="1" t="s">
        <v>1365</v>
      </c>
      <c r="V128" s="1">
        <v>108.0</v>
      </c>
      <c r="W128" s="3" t="s">
        <v>1366</v>
      </c>
      <c r="X128" s="1">
        <v>2377.0</v>
      </c>
      <c r="Y128" s="1" t="s">
        <v>1367</v>
      </c>
      <c r="Z128" s="3" t="s">
        <v>1368</v>
      </c>
      <c r="AA128" s="3" t="s">
        <v>1369</v>
      </c>
      <c r="AB128" s="1">
        <v>2.0</v>
      </c>
      <c r="AC128" s="1" t="s">
        <v>1370</v>
      </c>
      <c r="AD128" s="1">
        <v>23.0</v>
      </c>
      <c r="AE128" s="1">
        <f t="shared" si="5"/>
        <v>429</v>
      </c>
      <c r="AF128" s="1">
        <v>40.0</v>
      </c>
      <c r="AG128" s="1">
        <v>37.0</v>
      </c>
      <c r="AH128" s="1">
        <v>11.0</v>
      </c>
      <c r="AI128" s="1">
        <v>1.0</v>
      </c>
      <c r="AJ128" s="1">
        <v>0.0</v>
      </c>
      <c r="AK128" s="1">
        <v>1036.0</v>
      </c>
      <c r="AL128" s="1">
        <v>37.0</v>
      </c>
      <c r="AM128" s="1">
        <v>0.0</v>
      </c>
      <c r="AN128" s="1">
        <v>1.0</v>
      </c>
      <c r="AO128" s="1">
        <v>98.0</v>
      </c>
      <c r="AP128" s="1">
        <v>21.0</v>
      </c>
      <c r="AQ128" s="1">
        <v>1.0</v>
      </c>
    </row>
    <row r="129">
      <c r="A129" s="1"/>
      <c r="B129" s="1">
        <v>164.0</v>
      </c>
      <c r="C129" s="1" t="s">
        <v>1371</v>
      </c>
      <c r="D129" s="1" t="s">
        <v>1372</v>
      </c>
      <c r="E129" s="1" t="s">
        <v>629</v>
      </c>
      <c r="F129" s="1" t="s">
        <v>58</v>
      </c>
      <c r="G129" s="2">
        <v>27934.0</v>
      </c>
      <c r="H129" s="1" t="s">
        <v>1373</v>
      </c>
      <c r="I129" s="1">
        <v>59.0</v>
      </c>
      <c r="J129" s="1" t="s">
        <v>172</v>
      </c>
      <c r="K129" s="1">
        <v>9.0</v>
      </c>
      <c r="L129" s="2">
        <v>42907.0</v>
      </c>
      <c r="O129" s="1">
        <v>0.0</v>
      </c>
      <c r="P129" s="1" t="s">
        <v>75</v>
      </c>
      <c r="Q129" s="1" t="s">
        <v>76</v>
      </c>
      <c r="R129" s="3" t="s">
        <v>1374</v>
      </c>
      <c r="U129" s="1" t="s">
        <v>1375</v>
      </c>
      <c r="V129" s="1">
        <v>214.0</v>
      </c>
      <c r="W129" s="3" t="s">
        <v>1376</v>
      </c>
      <c r="X129" s="1">
        <v>720500.0</v>
      </c>
      <c r="Y129" s="1" t="s">
        <v>1377</v>
      </c>
      <c r="Z129" s="3" t="s">
        <v>1378</v>
      </c>
      <c r="AA129" s="3" t="s">
        <v>1379</v>
      </c>
      <c r="AB129" s="1">
        <v>1.0</v>
      </c>
      <c r="AC129" s="1" t="s">
        <v>1380</v>
      </c>
      <c r="AD129" s="1">
        <v>23.0</v>
      </c>
      <c r="AE129" s="1">
        <f t="shared" si="5"/>
        <v>429</v>
      </c>
      <c r="AF129" s="1">
        <v>50.0</v>
      </c>
      <c r="AG129" s="1">
        <v>9.0</v>
      </c>
      <c r="AH129" s="1">
        <v>11.0</v>
      </c>
      <c r="AI129" s="1">
        <v>3.0</v>
      </c>
      <c r="AJ129" s="1">
        <v>1.0</v>
      </c>
      <c r="AK129" s="1">
        <v>73.0</v>
      </c>
      <c r="AL129" s="1">
        <v>26.0</v>
      </c>
      <c r="AM129" s="1">
        <v>0.0</v>
      </c>
      <c r="AN129" s="1">
        <v>0.0</v>
      </c>
      <c r="AO129" s="1">
        <v>5.0</v>
      </c>
      <c r="AP129" s="1">
        <v>2.0</v>
      </c>
      <c r="AQ129" s="1">
        <v>0.0</v>
      </c>
    </row>
    <row r="130">
      <c r="A130" s="1"/>
      <c r="B130" s="1">
        <v>144.0</v>
      </c>
      <c r="C130" s="1" t="s">
        <v>1381</v>
      </c>
      <c r="D130" s="1" t="s">
        <v>1382</v>
      </c>
      <c r="E130" s="1" t="s">
        <v>1383</v>
      </c>
      <c r="F130" s="1" t="s">
        <v>58</v>
      </c>
      <c r="G130" s="2">
        <v>33320.0</v>
      </c>
      <c r="H130" s="1" t="s">
        <v>1384</v>
      </c>
      <c r="I130" s="1">
        <v>3.0</v>
      </c>
      <c r="J130" s="1" t="s">
        <v>100</v>
      </c>
      <c r="K130" s="1">
        <v>3.0</v>
      </c>
      <c r="L130" s="2">
        <v>42907.0</v>
      </c>
      <c r="O130" s="1">
        <v>0.0</v>
      </c>
      <c r="P130" s="1" t="s">
        <v>75</v>
      </c>
      <c r="Q130" s="1" t="s">
        <v>76</v>
      </c>
      <c r="R130" s="1" t="s">
        <v>1385</v>
      </c>
      <c r="U130" s="1" t="s">
        <v>1386</v>
      </c>
      <c r="V130" s="1">
        <v>201.0</v>
      </c>
      <c r="W130" s="3" t="s">
        <v>1387</v>
      </c>
      <c r="X130" s="1">
        <v>718736.0</v>
      </c>
      <c r="Y130" s="1" t="s">
        <v>1388</v>
      </c>
      <c r="Z130" s="3" t="s">
        <v>1389</v>
      </c>
      <c r="AA130" s="3" t="s">
        <v>1390</v>
      </c>
      <c r="AB130" s="1">
        <v>1.0</v>
      </c>
      <c r="AC130" s="1" t="s">
        <v>1391</v>
      </c>
      <c r="AD130" s="1">
        <v>23.0</v>
      </c>
      <c r="AE130" s="1">
        <f t="shared" si="5"/>
        <v>429</v>
      </c>
      <c r="AF130" s="1">
        <v>67.0</v>
      </c>
      <c r="AG130" s="1">
        <v>23.0</v>
      </c>
      <c r="AH130" s="1">
        <v>37.0</v>
      </c>
      <c r="AI130" s="1">
        <v>4.0</v>
      </c>
      <c r="AJ130" s="1">
        <v>12.0</v>
      </c>
      <c r="AK130" s="1">
        <v>184.0</v>
      </c>
      <c r="AL130" s="1">
        <v>110.0</v>
      </c>
      <c r="AM130" s="1">
        <v>1.0</v>
      </c>
      <c r="AN130" s="1">
        <v>0.0</v>
      </c>
      <c r="AO130" s="1">
        <v>5.0</v>
      </c>
      <c r="AP130" s="1">
        <v>5.0</v>
      </c>
      <c r="AQ130" s="1">
        <v>1.0</v>
      </c>
    </row>
    <row r="131">
      <c r="A131" s="1"/>
      <c r="B131" s="1">
        <v>4.0</v>
      </c>
      <c r="C131" s="1" t="s">
        <v>1392</v>
      </c>
      <c r="D131" s="1" t="s">
        <v>1393</v>
      </c>
      <c r="E131" s="1" t="s">
        <v>641</v>
      </c>
      <c r="F131" s="1" t="s">
        <v>43</v>
      </c>
      <c r="G131" s="2">
        <v>24430.0</v>
      </c>
      <c r="H131" s="1" t="s">
        <v>1394</v>
      </c>
      <c r="I131" s="1">
        <v>59.0</v>
      </c>
      <c r="J131" s="1" t="s">
        <v>172</v>
      </c>
      <c r="K131" s="1">
        <v>11.0</v>
      </c>
      <c r="L131" s="2">
        <v>42907.0</v>
      </c>
      <c r="O131" s="1">
        <v>0.0</v>
      </c>
      <c r="P131" s="1" t="s">
        <v>75</v>
      </c>
      <c r="Q131" s="1" t="s">
        <v>76</v>
      </c>
      <c r="R131" s="1" t="s">
        <v>1395</v>
      </c>
      <c r="U131" s="1" t="s">
        <v>162</v>
      </c>
      <c r="V131" s="1">
        <v>371.0</v>
      </c>
      <c r="W131" s="3" t="s">
        <v>1396</v>
      </c>
      <c r="X131" s="1">
        <v>720512.0</v>
      </c>
      <c r="Y131" s="1" t="s">
        <v>1397</v>
      </c>
      <c r="Z131" s="3" t="s">
        <v>1398</v>
      </c>
      <c r="AA131" s="3" t="s">
        <v>1399</v>
      </c>
      <c r="AB131" s="1">
        <v>1.0</v>
      </c>
      <c r="AC131" s="1" t="s">
        <v>1400</v>
      </c>
      <c r="AD131" s="1">
        <v>23.0</v>
      </c>
      <c r="AE131" s="1">
        <f t="shared" si="5"/>
        <v>429</v>
      </c>
      <c r="AF131" s="1">
        <v>54.0</v>
      </c>
      <c r="AG131" s="1">
        <v>307.0</v>
      </c>
      <c r="AH131" s="1">
        <v>529.0</v>
      </c>
      <c r="AI131" s="1">
        <v>91.0</v>
      </c>
      <c r="AJ131" s="1">
        <v>48.0</v>
      </c>
      <c r="AK131" s="1">
        <v>156.0</v>
      </c>
      <c r="AL131" s="1">
        <v>101.0</v>
      </c>
      <c r="AM131" s="1">
        <v>4.0</v>
      </c>
      <c r="AN131" s="1">
        <v>0.0</v>
      </c>
      <c r="AO131" s="1">
        <v>5.0</v>
      </c>
      <c r="AP131" s="1">
        <v>0.0</v>
      </c>
      <c r="AQ131" s="1">
        <v>1.0</v>
      </c>
    </row>
    <row r="132">
      <c r="A132" s="1"/>
      <c r="B132" s="1">
        <v>138.0</v>
      </c>
      <c r="C132" s="1" t="s">
        <v>1401</v>
      </c>
      <c r="D132" s="1" t="s">
        <v>1402</v>
      </c>
      <c r="E132" s="1" t="s">
        <v>887</v>
      </c>
      <c r="F132" s="1" t="s">
        <v>43</v>
      </c>
      <c r="G132" s="2">
        <v>23453.0</v>
      </c>
      <c r="H132" s="1" t="s">
        <v>1403</v>
      </c>
      <c r="I132" s="1">
        <v>54.0</v>
      </c>
      <c r="J132" s="1" t="s">
        <v>160</v>
      </c>
      <c r="K132" s="1">
        <v>5.0</v>
      </c>
      <c r="L132" s="2">
        <v>42907.0</v>
      </c>
      <c r="O132" s="1">
        <v>0.0</v>
      </c>
      <c r="P132" s="1" t="s">
        <v>115</v>
      </c>
      <c r="Q132" s="1" t="s">
        <v>116</v>
      </c>
      <c r="R132" s="1" t="s">
        <v>1404</v>
      </c>
      <c r="U132" s="1" t="s">
        <v>1067</v>
      </c>
      <c r="V132" s="1">
        <v>514.0</v>
      </c>
      <c r="W132" s="3" t="s">
        <v>1405</v>
      </c>
      <c r="X132" s="1">
        <v>607553.0</v>
      </c>
      <c r="Y132" s="1" t="s">
        <v>1406</v>
      </c>
      <c r="Z132" s="3" t="s">
        <v>1407</v>
      </c>
      <c r="AA132" s="3" t="s">
        <v>1408</v>
      </c>
      <c r="AB132" s="1">
        <v>1.0</v>
      </c>
      <c r="AC132" s="1" t="s">
        <v>1409</v>
      </c>
      <c r="AD132" s="1">
        <v>23.0</v>
      </c>
      <c r="AE132" s="1">
        <f t="shared" si="5"/>
        <v>429</v>
      </c>
      <c r="AF132" s="1">
        <v>51.0</v>
      </c>
      <c r="AG132" s="1">
        <v>102.0</v>
      </c>
      <c r="AH132" s="1">
        <v>76.0</v>
      </c>
      <c r="AI132" s="1">
        <v>30.0</v>
      </c>
      <c r="AJ132" s="1">
        <v>91.0</v>
      </c>
      <c r="AK132" s="1">
        <v>1220.0</v>
      </c>
      <c r="AL132" s="1">
        <v>78.0</v>
      </c>
      <c r="AM132" s="1">
        <v>1.0</v>
      </c>
      <c r="AN132" s="1">
        <v>0.0</v>
      </c>
      <c r="AO132" s="1">
        <v>6.0</v>
      </c>
      <c r="AP132" s="1">
        <v>16.0</v>
      </c>
      <c r="AQ132" s="1">
        <v>3.0</v>
      </c>
    </row>
    <row r="133">
      <c r="A133" s="1"/>
      <c r="B133" s="1">
        <v>453.0</v>
      </c>
      <c r="C133" s="1" t="s">
        <v>1410</v>
      </c>
      <c r="D133" s="1" t="s">
        <v>1411</v>
      </c>
      <c r="E133" s="1" t="s">
        <v>1412</v>
      </c>
      <c r="F133" s="1" t="s">
        <v>58</v>
      </c>
      <c r="G133" s="2">
        <v>22330.0</v>
      </c>
      <c r="H133" s="1" t="s">
        <v>1199</v>
      </c>
      <c r="I133" s="1">
        <v>78.0</v>
      </c>
      <c r="J133" s="1" t="s">
        <v>74</v>
      </c>
      <c r="K133" s="1">
        <v>6.0</v>
      </c>
      <c r="L133" s="2">
        <v>42907.0</v>
      </c>
      <c r="O133" s="1">
        <v>0.0</v>
      </c>
      <c r="P133" s="1" t="s">
        <v>75</v>
      </c>
      <c r="Q133" s="1" t="s">
        <v>76</v>
      </c>
      <c r="R133" s="1" t="s">
        <v>1413</v>
      </c>
      <c r="U133" s="1" t="s">
        <v>633</v>
      </c>
      <c r="V133" s="1">
        <v>228.0</v>
      </c>
      <c r="W133" s="3" t="s">
        <v>1414</v>
      </c>
      <c r="X133" s="1">
        <v>721916.0</v>
      </c>
      <c r="Y133" s="1" t="s">
        <v>1415</v>
      </c>
      <c r="Z133" s="3" t="s">
        <v>1416</v>
      </c>
      <c r="AA133" s="3" t="s">
        <v>1417</v>
      </c>
      <c r="AB133" s="1">
        <v>1.0</v>
      </c>
      <c r="AC133" s="1" t="s">
        <v>1418</v>
      </c>
      <c r="AD133" s="1">
        <v>23.0</v>
      </c>
      <c r="AE133" s="1">
        <f t="shared" si="5"/>
        <v>429</v>
      </c>
      <c r="AF133" s="1">
        <v>46.0</v>
      </c>
      <c r="AG133" s="1">
        <v>22.0</v>
      </c>
      <c r="AH133" s="1">
        <v>11.0</v>
      </c>
      <c r="AI133" s="1">
        <v>7.0</v>
      </c>
      <c r="AJ133" s="1">
        <v>4.0</v>
      </c>
      <c r="AK133" s="1">
        <v>18.0</v>
      </c>
      <c r="AL133" s="1">
        <v>3.0</v>
      </c>
      <c r="AM133" s="1">
        <v>0.0</v>
      </c>
      <c r="AN133" s="1">
        <v>0.0</v>
      </c>
      <c r="AO133" s="1">
        <v>5.0</v>
      </c>
      <c r="AP133" s="1">
        <v>2.0</v>
      </c>
      <c r="AQ133" s="1">
        <v>0.0</v>
      </c>
    </row>
    <row r="134">
      <c r="A134" s="1"/>
      <c r="B134" s="1">
        <v>534.0</v>
      </c>
      <c r="C134" s="1" t="s">
        <v>1419</v>
      </c>
      <c r="D134" s="1" t="s">
        <v>1420</v>
      </c>
      <c r="E134" s="1" t="s">
        <v>1421</v>
      </c>
      <c r="F134" s="1" t="s">
        <v>43</v>
      </c>
      <c r="G134" s="2">
        <v>25434.0</v>
      </c>
      <c r="H134" s="1" t="s">
        <v>1422</v>
      </c>
      <c r="I134" s="1">
        <v>33.0</v>
      </c>
      <c r="J134" s="1" t="s">
        <v>348</v>
      </c>
      <c r="K134" s="1">
        <v>3.0</v>
      </c>
      <c r="L134" s="2">
        <v>42907.0</v>
      </c>
      <c r="O134" s="1">
        <v>0.0</v>
      </c>
      <c r="P134" s="1" t="s">
        <v>173</v>
      </c>
      <c r="Q134" s="1" t="s">
        <v>174</v>
      </c>
      <c r="R134" s="1" t="s">
        <v>1423</v>
      </c>
      <c r="U134" s="1" t="s">
        <v>429</v>
      </c>
      <c r="V134" s="1">
        <v>621.0</v>
      </c>
      <c r="W134" s="3" t="s">
        <v>1424</v>
      </c>
      <c r="X134" s="1">
        <v>719578.0</v>
      </c>
      <c r="Y134" s="1" t="s">
        <v>1425</v>
      </c>
      <c r="Z134" s="3" t="s">
        <v>1426</v>
      </c>
      <c r="AA134" s="3" t="s">
        <v>1427</v>
      </c>
      <c r="AB134" s="1">
        <v>1.0</v>
      </c>
      <c r="AC134" s="1" t="s">
        <v>1428</v>
      </c>
      <c r="AD134" s="1">
        <v>23.0</v>
      </c>
      <c r="AE134" s="1">
        <f t="shared" si="5"/>
        <v>429</v>
      </c>
      <c r="AF134" s="1">
        <v>35.0</v>
      </c>
      <c r="AG134" s="1">
        <v>69.0</v>
      </c>
      <c r="AH134" s="1">
        <v>179.0</v>
      </c>
      <c r="AI134" s="1">
        <v>175.0</v>
      </c>
      <c r="AJ134" s="1">
        <v>102.0</v>
      </c>
      <c r="AK134" s="1">
        <v>2063.0</v>
      </c>
      <c r="AL134" s="1">
        <v>32.0</v>
      </c>
      <c r="AM134" s="1">
        <v>0.0</v>
      </c>
      <c r="AN134" s="1">
        <v>0.0</v>
      </c>
      <c r="AO134" s="1">
        <v>13.0</v>
      </c>
      <c r="AP134" s="1">
        <v>19.0</v>
      </c>
      <c r="AQ134" s="1">
        <v>5.0</v>
      </c>
    </row>
    <row r="135">
      <c r="A135" s="1"/>
      <c r="B135" s="1">
        <v>474.0</v>
      </c>
      <c r="C135" s="1" t="s">
        <v>1429</v>
      </c>
      <c r="D135" s="1" t="s">
        <v>1430</v>
      </c>
      <c r="E135" s="1" t="s">
        <v>1431</v>
      </c>
      <c r="F135" s="1" t="s">
        <v>43</v>
      </c>
      <c r="G135" s="2">
        <v>33016.0</v>
      </c>
      <c r="H135" s="1" t="s">
        <v>1251</v>
      </c>
      <c r="I135" s="1">
        <v>59.0</v>
      </c>
      <c r="J135" s="1" t="s">
        <v>172</v>
      </c>
      <c r="K135" s="1">
        <v>1.0</v>
      </c>
      <c r="L135" s="2">
        <v>42907.0</v>
      </c>
      <c r="O135" s="1">
        <v>0.0</v>
      </c>
      <c r="P135" s="1" t="s">
        <v>173</v>
      </c>
      <c r="Q135" s="1" t="s">
        <v>174</v>
      </c>
      <c r="R135" s="1" t="s">
        <v>1432</v>
      </c>
      <c r="U135" s="1" t="s">
        <v>967</v>
      </c>
      <c r="V135" s="1">
        <v>612.0</v>
      </c>
      <c r="W135" s="3" t="s">
        <v>1433</v>
      </c>
      <c r="X135" s="1">
        <v>720422.0</v>
      </c>
      <c r="Y135" s="1" t="s">
        <v>1434</v>
      </c>
      <c r="Z135" s="3" t="s">
        <v>1435</v>
      </c>
      <c r="AA135" s="3" t="s">
        <v>1436</v>
      </c>
      <c r="AB135" s="1">
        <v>1.0</v>
      </c>
      <c r="AC135" s="1" t="s">
        <v>1437</v>
      </c>
      <c r="AD135" s="1">
        <v>23.0</v>
      </c>
      <c r="AE135" s="1">
        <f t="shared" si="5"/>
        <v>429</v>
      </c>
      <c r="AF135" s="1">
        <v>36.0</v>
      </c>
      <c r="AG135" s="1">
        <v>133.0</v>
      </c>
      <c r="AH135" s="1">
        <v>182.0</v>
      </c>
      <c r="AI135" s="1">
        <v>146.0</v>
      </c>
      <c r="AJ135" s="1">
        <v>239.0</v>
      </c>
      <c r="AK135" s="1">
        <v>2082.0</v>
      </c>
      <c r="AL135" s="1">
        <v>32.0</v>
      </c>
      <c r="AM135" s="1">
        <v>0.0</v>
      </c>
      <c r="AN135" s="1">
        <v>0.0</v>
      </c>
      <c r="AO135" s="1">
        <v>15.0</v>
      </c>
      <c r="AP135" s="1">
        <v>27.0</v>
      </c>
      <c r="AQ135" s="1">
        <v>3.0</v>
      </c>
    </row>
    <row r="136">
      <c r="A136" s="1"/>
      <c r="B136" s="1">
        <v>267.0</v>
      </c>
      <c r="C136" s="1" t="s">
        <v>1438</v>
      </c>
      <c r="D136" s="1" t="s">
        <v>1439</v>
      </c>
      <c r="E136" s="1" t="s">
        <v>1186</v>
      </c>
      <c r="F136" s="1" t="s">
        <v>58</v>
      </c>
      <c r="G136" s="2">
        <v>25509.0</v>
      </c>
      <c r="H136" s="1" t="s">
        <v>1440</v>
      </c>
      <c r="I136" s="1">
        <v>74.0</v>
      </c>
      <c r="J136" s="1" t="s">
        <v>1441</v>
      </c>
      <c r="K136" s="1">
        <v>1.0</v>
      </c>
      <c r="L136" s="2">
        <v>42907.0</v>
      </c>
      <c r="O136" s="1">
        <v>0.0</v>
      </c>
      <c r="P136" s="1" t="s">
        <v>75</v>
      </c>
      <c r="Q136" s="1" t="s">
        <v>76</v>
      </c>
      <c r="R136" s="1" t="s">
        <v>1442</v>
      </c>
      <c r="U136" s="1" t="s">
        <v>1443</v>
      </c>
      <c r="V136" s="1">
        <v>431.0</v>
      </c>
      <c r="W136" s="3" t="s">
        <v>1444</v>
      </c>
      <c r="X136" s="1">
        <v>721426.0</v>
      </c>
      <c r="Y136" s="1" t="s">
        <v>1445</v>
      </c>
      <c r="Z136" s="3" t="s">
        <v>1446</v>
      </c>
      <c r="AA136" s="3" t="s">
        <v>1447</v>
      </c>
      <c r="AB136" s="1">
        <v>1.0</v>
      </c>
      <c r="AC136" s="1" t="s">
        <v>1448</v>
      </c>
      <c r="AD136" s="1">
        <v>23.0</v>
      </c>
      <c r="AE136" s="1">
        <f t="shared" si="5"/>
        <v>429</v>
      </c>
      <c r="AF136" s="1">
        <v>43.0</v>
      </c>
      <c r="AG136" s="1">
        <v>3.0</v>
      </c>
      <c r="AH136" s="1">
        <v>4.0</v>
      </c>
      <c r="AI136" s="1">
        <v>3.0</v>
      </c>
      <c r="AJ136" s="1">
        <v>1.0</v>
      </c>
      <c r="AK136" s="1">
        <v>105.0</v>
      </c>
      <c r="AL136" s="1">
        <v>43.0</v>
      </c>
      <c r="AM136" s="1">
        <v>0.0</v>
      </c>
      <c r="AN136" s="1">
        <v>0.0</v>
      </c>
      <c r="AO136" s="1">
        <v>6.0</v>
      </c>
      <c r="AP136" s="1">
        <v>5.0</v>
      </c>
      <c r="AQ136" s="1">
        <v>0.0</v>
      </c>
    </row>
    <row r="137">
      <c r="A137" s="1"/>
      <c r="B137" s="1">
        <v>433.0</v>
      </c>
      <c r="C137" s="1" t="s">
        <v>1449</v>
      </c>
      <c r="D137" s="1" t="s">
        <v>1450</v>
      </c>
      <c r="E137" s="1" t="s">
        <v>1451</v>
      </c>
      <c r="F137" s="1" t="s">
        <v>58</v>
      </c>
      <c r="G137" s="2">
        <v>22706.0</v>
      </c>
      <c r="H137" s="1" t="s">
        <v>1452</v>
      </c>
      <c r="I137" s="1">
        <v>11.0</v>
      </c>
      <c r="J137" s="1" t="s">
        <v>1453</v>
      </c>
      <c r="K137" s="1">
        <v>3.0</v>
      </c>
      <c r="L137" s="2">
        <v>42907.0</v>
      </c>
      <c r="O137" s="1">
        <v>0.0</v>
      </c>
      <c r="P137" s="1" t="s">
        <v>75</v>
      </c>
      <c r="Q137" s="1" t="s">
        <v>76</v>
      </c>
      <c r="R137" s="1" t="s">
        <v>1454</v>
      </c>
      <c r="U137" s="1" t="s">
        <v>1455</v>
      </c>
      <c r="V137" s="1">
        <v>533.0</v>
      </c>
      <c r="W137" s="3" t="s">
        <v>1456</v>
      </c>
      <c r="X137" s="1">
        <v>718810.0</v>
      </c>
      <c r="Y137" s="1" t="s">
        <v>1457</v>
      </c>
      <c r="Z137" s="3" t="s">
        <v>1458</v>
      </c>
      <c r="AA137" s="3" t="s">
        <v>1459</v>
      </c>
      <c r="AB137" s="1">
        <v>1.0</v>
      </c>
      <c r="AC137" s="1" t="s">
        <v>1460</v>
      </c>
      <c r="AD137" s="1">
        <v>23.0</v>
      </c>
      <c r="AE137" s="1">
        <f t="shared" si="5"/>
        <v>429</v>
      </c>
      <c r="AF137" s="1">
        <v>44.0</v>
      </c>
      <c r="AG137" s="1">
        <v>5.0</v>
      </c>
      <c r="AH137" s="1">
        <v>5.0</v>
      </c>
      <c r="AI137" s="1">
        <v>2.0</v>
      </c>
      <c r="AJ137" s="1">
        <v>0.0</v>
      </c>
      <c r="AK137" s="1">
        <v>72.0</v>
      </c>
      <c r="AL137" s="1">
        <v>26.0</v>
      </c>
      <c r="AM137" s="1">
        <v>0.0</v>
      </c>
      <c r="AN137" s="1">
        <v>0.0</v>
      </c>
      <c r="AO137" s="1">
        <v>7.0</v>
      </c>
      <c r="AP137" s="1">
        <v>3.0</v>
      </c>
      <c r="AQ137" s="1">
        <v>2.0</v>
      </c>
    </row>
    <row r="138">
      <c r="A138" s="1"/>
      <c r="B138" s="1">
        <v>447.0</v>
      </c>
      <c r="C138" s="1" t="s">
        <v>1461</v>
      </c>
      <c r="D138" s="1" t="s">
        <v>1462</v>
      </c>
      <c r="E138" s="1" t="s">
        <v>86</v>
      </c>
      <c r="F138" s="1" t="s">
        <v>43</v>
      </c>
      <c r="G138" s="2">
        <v>25580.0</v>
      </c>
      <c r="H138" s="1" t="s">
        <v>1463</v>
      </c>
      <c r="I138" s="1">
        <v>74.0</v>
      </c>
      <c r="J138" s="1" t="s">
        <v>1441</v>
      </c>
      <c r="K138" s="1">
        <v>6.0</v>
      </c>
      <c r="L138" s="2">
        <v>42907.0</v>
      </c>
      <c r="O138" s="1">
        <v>0.0</v>
      </c>
      <c r="P138" s="1" t="s">
        <v>75</v>
      </c>
      <c r="Q138" s="1" t="s">
        <v>76</v>
      </c>
      <c r="R138" s="1" t="s">
        <v>1464</v>
      </c>
      <c r="U138" s="1" t="s">
        <v>1465</v>
      </c>
      <c r="V138" s="1">
        <v>394.0</v>
      </c>
      <c r="W138" s="3" t="s">
        <v>1466</v>
      </c>
      <c r="X138" s="1">
        <v>721458.0</v>
      </c>
      <c r="Y138" s="1" t="s">
        <v>1467</v>
      </c>
      <c r="Z138" s="3" t="s">
        <v>1468</v>
      </c>
      <c r="AA138" s="3" t="s">
        <v>1469</v>
      </c>
      <c r="AB138" s="1">
        <v>2.0</v>
      </c>
      <c r="AC138" s="1" t="s">
        <v>1470</v>
      </c>
      <c r="AD138" s="1">
        <v>23.0</v>
      </c>
      <c r="AE138" s="1">
        <f t="shared" si="5"/>
        <v>429</v>
      </c>
      <c r="AF138" s="1">
        <v>52.0</v>
      </c>
      <c r="AG138" s="1">
        <v>15.0</v>
      </c>
      <c r="AH138" s="1">
        <v>35.0</v>
      </c>
      <c r="AI138" s="1">
        <v>3.0</v>
      </c>
      <c r="AJ138" s="1">
        <v>16.0</v>
      </c>
      <c r="AK138" s="1">
        <v>181.0</v>
      </c>
      <c r="AL138" s="1">
        <v>110.0</v>
      </c>
      <c r="AM138" s="1">
        <v>1.0</v>
      </c>
      <c r="AN138" s="1">
        <v>0.0</v>
      </c>
      <c r="AO138" s="1">
        <v>7.0</v>
      </c>
      <c r="AP138" s="1">
        <v>6.0</v>
      </c>
      <c r="AQ138" s="1">
        <v>1.0</v>
      </c>
    </row>
    <row r="139">
      <c r="A139" s="1"/>
      <c r="B139" s="1">
        <v>315.0</v>
      </c>
      <c r="C139" s="1" t="s">
        <v>1471</v>
      </c>
      <c r="D139" s="1" t="s">
        <v>1472</v>
      </c>
      <c r="E139" s="1" t="s">
        <v>1473</v>
      </c>
      <c r="F139" s="1" t="s">
        <v>58</v>
      </c>
      <c r="G139" s="2">
        <v>22141.0</v>
      </c>
      <c r="H139" s="1" t="s">
        <v>207</v>
      </c>
      <c r="I139" s="1">
        <v>93.0</v>
      </c>
      <c r="J139" s="1" t="s">
        <v>196</v>
      </c>
      <c r="K139" s="1">
        <v>9.0</v>
      </c>
      <c r="L139" s="2">
        <v>42907.0</v>
      </c>
      <c r="O139" s="1">
        <v>0.0</v>
      </c>
      <c r="P139" s="1" t="s">
        <v>173</v>
      </c>
      <c r="Q139" s="1" t="s">
        <v>174</v>
      </c>
      <c r="R139" s="1" t="s">
        <v>1474</v>
      </c>
      <c r="U139" s="1" t="s">
        <v>118</v>
      </c>
      <c r="V139" s="1">
        <v>628.0</v>
      </c>
      <c r="W139" s="3" t="s">
        <v>1475</v>
      </c>
      <c r="X139" s="1">
        <v>721226.0</v>
      </c>
      <c r="Y139" s="1" t="s">
        <v>1476</v>
      </c>
      <c r="Z139" s="3" t="s">
        <v>1477</v>
      </c>
      <c r="AA139" s="3" t="s">
        <v>1478</v>
      </c>
      <c r="AB139" s="1">
        <v>1.0</v>
      </c>
      <c r="AC139" s="1" t="s">
        <v>1479</v>
      </c>
      <c r="AD139" s="1">
        <v>23.0</v>
      </c>
      <c r="AE139" s="1">
        <f t="shared" si="5"/>
        <v>429</v>
      </c>
      <c r="AF139" s="1">
        <v>30.0</v>
      </c>
      <c r="AG139" s="1">
        <v>63.0</v>
      </c>
      <c r="AH139" s="1">
        <v>127.0</v>
      </c>
      <c r="AI139" s="1">
        <v>27.0</v>
      </c>
      <c r="AJ139" s="1">
        <v>110.0</v>
      </c>
      <c r="AK139" s="1">
        <v>2060.0</v>
      </c>
      <c r="AL139" s="1">
        <v>32.0</v>
      </c>
      <c r="AM139" s="1">
        <v>0.0</v>
      </c>
      <c r="AN139" s="1">
        <v>0.0</v>
      </c>
      <c r="AO139" s="1">
        <v>14.0</v>
      </c>
      <c r="AP139" s="1">
        <v>12.0</v>
      </c>
      <c r="AQ139" s="1">
        <v>3.0</v>
      </c>
    </row>
    <row r="140">
      <c r="A140" s="1"/>
      <c r="B140" s="1">
        <v>319.0</v>
      </c>
      <c r="C140" s="1" t="s">
        <v>1480</v>
      </c>
      <c r="D140" s="1" t="s">
        <v>1481</v>
      </c>
      <c r="E140" s="1" t="s">
        <v>1262</v>
      </c>
      <c r="F140" s="1" t="s">
        <v>43</v>
      </c>
      <c r="G140" s="2">
        <v>25944.0</v>
      </c>
      <c r="H140" s="1" t="s">
        <v>739</v>
      </c>
      <c r="I140" s="1">
        <v>69.0</v>
      </c>
      <c r="J140" s="1" t="s">
        <v>1363</v>
      </c>
      <c r="K140" s="1">
        <v>1.0</v>
      </c>
      <c r="L140" s="2">
        <v>42907.0</v>
      </c>
      <c r="O140" s="1">
        <v>0.0</v>
      </c>
      <c r="P140" s="1" t="s">
        <v>75</v>
      </c>
      <c r="Q140" s="1" t="s">
        <v>76</v>
      </c>
      <c r="R140" s="1" t="s">
        <v>1482</v>
      </c>
      <c r="U140" s="1">
        <v>0.0</v>
      </c>
      <c r="V140" s="1">
        <v>546.0</v>
      </c>
      <c r="W140" s="3" t="s">
        <v>1483</v>
      </c>
      <c r="X140" s="1">
        <v>722292.0</v>
      </c>
      <c r="Y140" s="1" t="s">
        <v>1484</v>
      </c>
      <c r="Z140" s="3" t="s">
        <v>1485</v>
      </c>
      <c r="AA140" s="3" t="s">
        <v>1486</v>
      </c>
      <c r="AB140" s="1">
        <v>3.0</v>
      </c>
      <c r="AC140" s="1" t="s">
        <v>1487</v>
      </c>
      <c r="AD140" s="1">
        <v>23.0</v>
      </c>
      <c r="AE140" s="1">
        <f t="shared" si="5"/>
        <v>429</v>
      </c>
      <c r="AF140" s="1">
        <v>32.0</v>
      </c>
      <c r="AG140" s="1">
        <v>9.0</v>
      </c>
      <c r="AH140" s="1">
        <v>26.0</v>
      </c>
      <c r="AI140" s="1">
        <v>17.0</v>
      </c>
      <c r="AJ140" s="1">
        <v>1.0</v>
      </c>
      <c r="AK140" s="1">
        <v>34.0</v>
      </c>
      <c r="AL140" s="1">
        <v>15.0</v>
      </c>
      <c r="AM140" s="1">
        <v>0.0</v>
      </c>
      <c r="AN140" s="1">
        <v>0.0</v>
      </c>
      <c r="AO140" s="1">
        <v>6.0</v>
      </c>
      <c r="AP140" s="1">
        <v>4.0</v>
      </c>
      <c r="AQ140" s="1">
        <v>1.0</v>
      </c>
    </row>
    <row r="141">
      <c r="A141" s="1"/>
      <c r="B141" s="1">
        <v>510.0</v>
      </c>
      <c r="C141" s="1" t="s">
        <v>1488</v>
      </c>
      <c r="D141" s="1" t="s">
        <v>1489</v>
      </c>
      <c r="E141" s="1" t="s">
        <v>1490</v>
      </c>
      <c r="F141" s="1" t="s">
        <v>43</v>
      </c>
      <c r="G141" s="2">
        <v>27004.0</v>
      </c>
      <c r="H141" s="1" t="s">
        <v>1291</v>
      </c>
      <c r="I141" s="1">
        <v>44.0</v>
      </c>
      <c r="J141" s="1" t="s">
        <v>492</v>
      </c>
      <c r="K141" s="1">
        <v>1.0</v>
      </c>
      <c r="L141" s="2">
        <v>42907.0</v>
      </c>
      <c r="O141" s="1">
        <v>0.0</v>
      </c>
      <c r="P141" s="1" t="s">
        <v>75</v>
      </c>
      <c r="Q141" s="1" t="s">
        <v>76</v>
      </c>
      <c r="R141" s="1" t="s">
        <v>1491</v>
      </c>
      <c r="U141" s="1" t="s">
        <v>1492</v>
      </c>
      <c r="V141" s="1">
        <v>494.0</v>
      </c>
      <c r="W141" s="3" t="s">
        <v>1493</v>
      </c>
      <c r="X141" s="1">
        <v>332747.0</v>
      </c>
      <c r="Y141" s="1" t="s">
        <v>1494</v>
      </c>
      <c r="Z141" s="3" t="s">
        <v>1495</v>
      </c>
      <c r="AA141" s="3" t="s">
        <v>1496</v>
      </c>
      <c r="AB141" s="1">
        <v>1.0</v>
      </c>
      <c r="AC141" s="1" t="s">
        <v>1497</v>
      </c>
      <c r="AD141" s="1">
        <v>23.0</v>
      </c>
      <c r="AE141" s="1">
        <f t="shared" si="5"/>
        <v>429</v>
      </c>
      <c r="AF141" s="1">
        <v>6.0</v>
      </c>
      <c r="AG141" s="1">
        <v>20.0</v>
      </c>
      <c r="AH141" s="1">
        <v>655.0</v>
      </c>
      <c r="AI141" s="1">
        <v>3478.0</v>
      </c>
      <c r="AJ141" s="1">
        <v>0.0</v>
      </c>
      <c r="AK141" s="1">
        <v>5.0</v>
      </c>
      <c r="AL141" s="1">
        <v>2.0</v>
      </c>
      <c r="AM141" s="1">
        <v>0.0</v>
      </c>
      <c r="AN141" s="1">
        <v>2.0</v>
      </c>
      <c r="AO141" s="1">
        <v>6.0</v>
      </c>
      <c r="AP141" s="1">
        <v>2.0</v>
      </c>
      <c r="AQ141" s="1">
        <v>0.0</v>
      </c>
    </row>
    <row r="142">
      <c r="A142" s="1"/>
      <c r="B142" s="1">
        <v>110.0</v>
      </c>
      <c r="C142" s="1" t="s">
        <v>1498</v>
      </c>
      <c r="D142" s="1" t="s">
        <v>1499</v>
      </c>
      <c r="E142" s="1" t="s">
        <v>148</v>
      </c>
      <c r="F142" s="1" t="s">
        <v>43</v>
      </c>
      <c r="G142" s="2">
        <v>23606.0</v>
      </c>
      <c r="H142" s="1" t="s">
        <v>1500</v>
      </c>
      <c r="I142" s="1">
        <v>68.0</v>
      </c>
      <c r="J142" s="1" t="s">
        <v>1501</v>
      </c>
      <c r="K142" s="1">
        <v>1.0</v>
      </c>
      <c r="L142" s="2">
        <v>42907.0</v>
      </c>
      <c r="O142" s="1">
        <v>0.0</v>
      </c>
      <c r="P142" s="1" t="s">
        <v>61</v>
      </c>
      <c r="Q142" s="1" t="s">
        <v>62</v>
      </c>
      <c r="R142" s="1" t="s">
        <v>1502</v>
      </c>
      <c r="U142" s="1" t="s">
        <v>1503</v>
      </c>
      <c r="V142" s="1">
        <v>76.0</v>
      </c>
      <c r="W142" s="3" t="s">
        <v>1504</v>
      </c>
      <c r="X142" s="1">
        <v>334654.0</v>
      </c>
      <c r="Y142" s="1" t="s">
        <v>1505</v>
      </c>
      <c r="Z142" s="3" t="s">
        <v>1506</v>
      </c>
      <c r="AA142" s="3" t="s">
        <v>1507</v>
      </c>
      <c r="AB142" s="1">
        <v>1.0</v>
      </c>
      <c r="AC142" s="1" t="s">
        <v>1508</v>
      </c>
      <c r="AD142" s="1">
        <v>23.0</v>
      </c>
      <c r="AE142" s="1">
        <f t="shared" si="5"/>
        <v>429</v>
      </c>
      <c r="AF142" s="1">
        <v>43.0</v>
      </c>
      <c r="AG142" s="1">
        <v>22.0</v>
      </c>
      <c r="AH142" s="1">
        <v>18.0</v>
      </c>
      <c r="AI142" s="1">
        <v>277.0</v>
      </c>
      <c r="AJ142" s="1">
        <v>22.0</v>
      </c>
      <c r="AK142" s="1">
        <v>1777.0</v>
      </c>
      <c r="AL142" s="1">
        <v>52.0</v>
      </c>
      <c r="AM142" s="1">
        <v>0.0</v>
      </c>
      <c r="AN142" s="1">
        <v>0.0</v>
      </c>
      <c r="AO142" s="1">
        <v>78.0</v>
      </c>
      <c r="AP142" s="1">
        <v>17.0</v>
      </c>
      <c r="AQ142" s="1">
        <v>1.0</v>
      </c>
    </row>
    <row r="143">
      <c r="A143" s="1"/>
      <c r="B143" s="1">
        <v>306.0</v>
      </c>
      <c r="C143" s="1" t="s">
        <v>1509</v>
      </c>
      <c r="D143" s="1" t="s">
        <v>1510</v>
      </c>
      <c r="E143" s="1" t="s">
        <v>1511</v>
      </c>
      <c r="F143" s="1" t="s">
        <v>43</v>
      </c>
      <c r="G143" s="2">
        <v>26442.0</v>
      </c>
      <c r="H143" s="1" t="s">
        <v>404</v>
      </c>
      <c r="I143" s="1">
        <v>67.0</v>
      </c>
      <c r="J143" s="1" t="s">
        <v>244</v>
      </c>
      <c r="K143" s="1">
        <v>9.0</v>
      </c>
      <c r="L143" s="2">
        <v>42907.0</v>
      </c>
      <c r="O143" s="1">
        <v>0.0</v>
      </c>
      <c r="P143" s="1" t="s">
        <v>75</v>
      </c>
      <c r="Q143" s="1" t="s">
        <v>76</v>
      </c>
      <c r="R143" s="1" t="s">
        <v>1512</v>
      </c>
      <c r="U143" s="1" t="s">
        <v>162</v>
      </c>
      <c r="V143" s="1">
        <v>432.0</v>
      </c>
      <c r="W143" s="3" t="s">
        <v>1513</v>
      </c>
      <c r="X143" s="1">
        <v>722336.0</v>
      </c>
      <c r="Y143" s="1" t="s">
        <v>1514</v>
      </c>
      <c r="Z143" s="3" t="s">
        <v>1515</v>
      </c>
      <c r="AA143" s="3" t="s">
        <v>1516</v>
      </c>
      <c r="AB143" s="1">
        <v>1.0</v>
      </c>
      <c r="AC143" s="1" t="s">
        <v>1517</v>
      </c>
      <c r="AD143" s="1">
        <v>23.0</v>
      </c>
      <c r="AE143" s="1">
        <f t="shared" si="5"/>
        <v>429</v>
      </c>
      <c r="AF143" s="1">
        <v>44.0</v>
      </c>
      <c r="AG143" s="1">
        <v>7.0</v>
      </c>
      <c r="AH143" s="1">
        <v>7.0</v>
      </c>
      <c r="AI143" s="1">
        <v>11.0</v>
      </c>
      <c r="AJ143" s="1">
        <v>3.0</v>
      </c>
      <c r="AK143" s="1">
        <v>98.0</v>
      </c>
      <c r="AL143" s="1">
        <v>42.0</v>
      </c>
      <c r="AM143" s="1">
        <v>0.0</v>
      </c>
      <c r="AN143" s="1">
        <v>0.0</v>
      </c>
      <c r="AO143" s="1">
        <v>5.0</v>
      </c>
      <c r="AP143" s="1">
        <v>2.0</v>
      </c>
      <c r="AQ143" s="1">
        <v>0.0</v>
      </c>
    </row>
    <row r="144">
      <c r="A144" s="1"/>
      <c r="B144" s="1">
        <v>140.0</v>
      </c>
      <c r="C144" s="1" t="s">
        <v>1518</v>
      </c>
      <c r="D144" s="1" t="s">
        <v>1519</v>
      </c>
      <c r="E144" s="1" t="s">
        <v>994</v>
      </c>
      <c r="F144" s="1" t="s">
        <v>58</v>
      </c>
      <c r="G144" s="2">
        <v>22666.0</v>
      </c>
      <c r="H144" s="1" t="s">
        <v>1520</v>
      </c>
      <c r="I144" s="1">
        <v>43.0</v>
      </c>
      <c r="J144" s="1" t="s">
        <v>139</v>
      </c>
      <c r="K144" s="1">
        <v>1.0</v>
      </c>
      <c r="L144" s="2">
        <v>42907.0</v>
      </c>
      <c r="O144" s="1">
        <v>0.0</v>
      </c>
      <c r="P144" s="1" t="s">
        <v>61</v>
      </c>
      <c r="Q144" s="1" t="s">
        <v>62</v>
      </c>
      <c r="R144" s="3" t="s">
        <v>1521</v>
      </c>
      <c r="U144" s="1" t="s">
        <v>1522</v>
      </c>
      <c r="V144" s="1">
        <v>24.0</v>
      </c>
      <c r="W144" s="3" t="s">
        <v>1523</v>
      </c>
      <c r="X144" s="1">
        <v>643134.0</v>
      </c>
      <c r="Y144" s="1" t="s">
        <v>1524</v>
      </c>
      <c r="Z144" s="3" t="s">
        <v>1525</v>
      </c>
      <c r="AA144" s="3" t="s">
        <v>1526</v>
      </c>
      <c r="AB144" s="1">
        <v>1.0</v>
      </c>
      <c r="AC144" s="1" t="s">
        <v>1527</v>
      </c>
      <c r="AD144" s="1">
        <v>23.0</v>
      </c>
      <c r="AE144" s="1">
        <f t="shared" si="5"/>
        <v>429</v>
      </c>
      <c r="AF144" s="1">
        <v>27.0</v>
      </c>
      <c r="AG144" s="1">
        <v>12.0</v>
      </c>
      <c r="AH144" s="1">
        <v>24.0</v>
      </c>
      <c r="AI144" s="1">
        <v>14.0</v>
      </c>
      <c r="AJ144" s="1">
        <v>19.0</v>
      </c>
      <c r="AK144" s="1">
        <v>1126.0</v>
      </c>
      <c r="AL144" s="1">
        <v>34.0</v>
      </c>
      <c r="AM144" s="1">
        <v>0.0</v>
      </c>
      <c r="AN144" s="1">
        <v>1.0</v>
      </c>
      <c r="AO144" s="1">
        <v>73.0</v>
      </c>
      <c r="AP144" s="1">
        <v>15.0</v>
      </c>
      <c r="AQ144" s="1">
        <v>2.0</v>
      </c>
    </row>
    <row r="145">
      <c r="A145" s="1"/>
      <c r="B145" s="1">
        <v>417.0</v>
      </c>
      <c r="C145" s="1" t="s">
        <v>1528</v>
      </c>
      <c r="D145" s="1" t="s">
        <v>1529</v>
      </c>
      <c r="E145" s="1" t="s">
        <v>619</v>
      </c>
      <c r="F145" s="1" t="s">
        <v>58</v>
      </c>
      <c r="G145" s="2">
        <v>23419.0</v>
      </c>
      <c r="H145" s="1" t="s">
        <v>1530</v>
      </c>
      <c r="I145" s="1">
        <v>78.0</v>
      </c>
      <c r="J145" s="1" t="s">
        <v>74</v>
      </c>
      <c r="K145" s="1">
        <v>7.0</v>
      </c>
      <c r="L145" s="2">
        <v>42907.0</v>
      </c>
      <c r="O145" s="1">
        <v>0.0</v>
      </c>
      <c r="P145" s="1" t="s">
        <v>280</v>
      </c>
      <c r="Q145" s="1" t="s">
        <v>281</v>
      </c>
      <c r="R145" s="1" t="s">
        <v>1531</v>
      </c>
      <c r="U145" s="1" t="s">
        <v>1532</v>
      </c>
      <c r="V145" s="1">
        <v>266.0</v>
      </c>
      <c r="W145" s="3" t="s">
        <v>1533</v>
      </c>
      <c r="X145" s="1">
        <v>721924.0</v>
      </c>
      <c r="Y145" s="1" t="s">
        <v>1534</v>
      </c>
      <c r="Z145" s="3" t="s">
        <v>1535</v>
      </c>
      <c r="AA145" s="3" t="s">
        <v>1536</v>
      </c>
      <c r="AB145" s="1">
        <v>1.0</v>
      </c>
      <c r="AC145" s="1" t="s">
        <v>1537</v>
      </c>
      <c r="AD145" s="1">
        <v>23.0</v>
      </c>
      <c r="AE145" s="1">
        <f t="shared" si="5"/>
        <v>429</v>
      </c>
      <c r="AF145" s="1">
        <v>49.0</v>
      </c>
      <c r="AG145" s="1">
        <v>33.0</v>
      </c>
      <c r="AH145" s="1">
        <v>19.0</v>
      </c>
      <c r="AI145" s="1">
        <v>3.0</v>
      </c>
      <c r="AJ145" s="1">
        <v>14.0</v>
      </c>
      <c r="AK145" s="1">
        <v>268.0</v>
      </c>
      <c r="AL145" s="1">
        <v>25.0</v>
      </c>
      <c r="AM145" s="1">
        <v>0.0</v>
      </c>
      <c r="AN145" s="1">
        <v>0.0</v>
      </c>
      <c r="AO145" s="1">
        <v>5.0</v>
      </c>
      <c r="AP145" s="1">
        <v>7.0</v>
      </c>
      <c r="AQ145" s="1">
        <v>3.0</v>
      </c>
    </row>
    <row r="146">
      <c r="A146" s="1"/>
      <c r="B146" s="1">
        <v>551.0</v>
      </c>
      <c r="C146" s="1" t="s">
        <v>1538</v>
      </c>
      <c r="D146" s="1" t="s">
        <v>1539</v>
      </c>
      <c r="E146" s="1" t="s">
        <v>1540</v>
      </c>
      <c r="F146" s="1" t="s">
        <v>43</v>
      </c>
      <c r="G146" s="2">
        <v>25490.0</v>
      </c>
      <c r="H146" s="1" t="s">
        <v>1541</v>
      </c>
      <c r="I146" s="1">
        <v>88.0</v>
      </c>
      <c r="J146" s="1" t="s">
        <v>1542</v>
      </c>
      <c r="K146" s="1">
        <v>1.0</v>
      </c>
      <c r="L146" s="2">
        <v>42907.0</v>
      </c>
      <c r="O146" s="1">
        <v>0.0</v>
      </c>
      <c r="P146" s="1" t="s">
        <v>61</v>
      </c>
      <c r="Q146" s="1" t="s">
        <v>62</v>
      </c>
      <c r="R146" s="1" t="s">
        <v>1543</v>
      </c>
      <c r="U146" s="1" t="s">
        <v>304</v>
      </c>
      <c r="V146" s="1">
        <v>23.0</v>
      </c>
      <c r="W146" s="3" t="s">
        <v>1544</v>
      </c>
      <c r="X146" s="1">
        <v>721474.0</v>
      </c>
      <c r="Y146" s="1" t="s">
        <v>1545</v>
      </c>
      <c r="Z146" s="3" t="s">
        <v>1546</v>
      </c>
      <c r="AA146" s="3" t="s">
        <v>1547</v>
      </c>
      <c r="AB146" s="1">
        <v>2.0</v>
      </c>
      <c r="AC146" s="1" t="s">
        <v>1548</v>
      </c>
      <c r="AD146" s="1">
        <v>23.0</v>
      </c>
      <c r="AE146" s="1">
        <f t="shared" si="5"/>
        <v>429</v>
      </c>
      <c r="AF146" s="1">
        <v>60.0</v>
      </c>
      <c r="AG146" s="1">
        <v>53.0</v>
      </c>
      <c r="AH146" s="1">
        <v>59.0</v>
      </c>
      <c r="AI146" s="1">
        <v>7.0</v>
      </c>
      <c r="AJ146" s="1">
        <v>38.0</v>
      </c>
      <c r="AK146" s="1">
        <v>925.0</v>
      </c>
      <c r="AL146" s="1">
        <v>27.0</v>
      </c>
      <c r="AM146" s="1">
        <v>1.0</v>
      </c>
      <c r="AN146" s="1">
        <v>0.0</v>
      </c>
      <c r="AO146" s="1">
        <v>53.0</v>
      </c>
      <c r="AP146" s="1">
        <v>23.0</v>
      </c>
      <c r="AQ146" s="1">
        <v>1.0</v>
      </c>
    </row>
    <row r="147">
      <c r="A147" s="1"/>
      <c r="B147" s="1">
        <v>130.0</v>
      </c>
      <c r="C147" s="1" t="s">
        <v>1549</v>
      </c>
      <c r="D147" s="1" t="s">
        <v>1550</v>
      </c>
      <c r="E147" s="1" t="s">
        <v>1551</v>
      </c>
      <c r="F147" s="1" t="s">
        <v>58</v>
      </c>
      <c r="G147" s="2">
        <v>26561.0</v>
      </c>
      <c r="H147" s="1" t="s">
        <v>1552</v>
      </c>
      <c r="I147" s="1">
        <v>57.0</v>
      </c>
      <c r="J147" s="1" t="s">
        <v>471</v>
      </c>
      <c r="K147" s="1">
        <v>7.0</v>
      </c>
      <c r="L147" s="2">
        <v>42907.0</v>
      </c>
      <c r="O147" s="1">
        <v>0.0</v>
      </c>
      <c r="P147" s="1" t="s">
        <v>75</v>
      </c>
      <c r="Q147" s="1" t="s">
        <v>76</v>
      </c>
      <c r="R147" s="1" t="s">
        <v>1553</v>
      </c>
      <c r="U147" s="1" t="s">
        <v>118</v>
      </c>
      <c r="V147" s="1">
        <v>296.0</v>
      </c>
      <c r="W147" s="3" t="s">
        <v>1554</v>
      </c>
      <c r="X147" s="1">
        <v>720318.0</v>
      </c>
      <c r="Y147" s="1" t="s">
        <v>1555</v>
      </c>
      <c r="Z147" s="3" t="s">
        <v>1556</v>
      </c>
      <c r="AA147" s="3" t="s">
        <v>1557</v>
      </c>
      <c r="AB147" s="1">
        <v>1.0</v>
      </c>
      <c r="AC147" s="1" t="s">
        <v>1558</v>
      </c>
      <c r="AD147" s="1">
        <v>23.0</v>
      </c>
      <c r="AE147" s="1">
        <f t="shared" si="5"/>
        <v>429</v>
      </c>
      <c r="AF147" s="1">
        <v>47.0</v>
      </c>
      <c r="AG147" s="1">
        <v>14.0</v>
      </c>
      <c r="AH147" s="1">
        <v>38.0</v>
      </c>
      <c r="AI147" s="1">
        <v>14.0</v>
      </c>
      <c r="AJ147" s="1">
        <v>3.0</v>
      </c>
      <c r="AK147" s="1">
        <v>78.0</v>
      </c>
      <c r="AL147" s="1">
        <v>32.0</v>
      </c>
      <c r="AM147" s="1">
        <v>0.0</v>
      </c>
      <c r="AN147" s="1">
        <v>0.0</v>
      </c>
      <c r="AO147" s="1">
        <v>6.0</v>
      </c>
      <c r="AP147" s="1">
        <v>2.0</v>
      </c>
      <c r="AQ147" s="1">
        <v>2.0</v>
      </c>
    </row>
    <row r="148">
      <c r="A148" s="1"/>
      <c r="B148" s="1">
        <v>32.0</v>
      </c>
      <c r="C148" s="1" t="s">
        <v>1559</v>
      </c>
      <c r="D148" s="1" t="s">
        <v>1560</v>
      </c>
      <c r="E148" s="1" t="s">
        <v>1561</v>
      </c>
      <c r="F148" s="1" t="s">
        <v>43</v>
      </c>
      <c r="G148" s="2">
        <v>29316.0</v>
      </c>
      <c r="H148" s="1" t="s">
        <v>620</v>
      </c>
      <c r="I148" s="1">
        <v>1.0</v>
      </c>
      <c r="J148" s="1" t="s">
        <v>88</v>
      </c>
      <c r="K148" s="1">
        <v>5.0</v>
      </c>
      <c r="L148" s="2">
        <v>42907.0</v>
      </c>
      <c r="O148" s="1">
        <v>0.0</v>
      </c>
      <c r="P148" s="1" t="s">
        <v>61</v>
      </c>
      <c r="Q148" s="1" t="s">
        <v>62</v>
      </c>
      <c r="R148" s="1" t="s">
        <v>1562</v>
      </c>
      <c r="U148" s="1">
        <v>0.0</v>
      </c>
      <c r="V148" s="1">
        <v>78.0</v>
      </c>
      <c r="W148" s="3" t="s">
        <v>1563</v>
      </c>
      <c r="X148" s="1">
        <v>605036.0</v>
      </c>
      <c r="Y148" s="1" t="s">
        <v>1564</v>
      </c>
      <c r="Z148" s="3" t="s">
        <v>1565</v>
      </c>
      <c r="AA148" s="3" t="s">
        <v>1566</v>
      </c>
      <c r="AB148" s="1">
        <v>1.0</v>
      </c>
      <c r="AC148" s="1" t="s">
        <v>1567</v>
      </c>
      <c r="AD148" s="1">
        <v>22.0</v>
      </c>
      <c r="AE148" s="1">
        <f t="shared" si="5"/>
        <v>430</v>
      </c>
      <c r="AF148" s="1">
        <v>26.0</v>
      </c>
      <c r="AG148" s="1">
        <v>13.0</v>
      </c>
      <c r="AH148" s="1">
        <v>155.0</v>
      </c>
      <c r="AI148" s="1">
        <v>135.0</v>
      </c>
      <c r="AJ148" s="1">
        <v>210.0</v>
      </c>
      <c r="AK148" s="1">
        <v>1559.0</v>
      </c>
      <c r="AL148" s="1">
        <v>51.0</v>
      </c>
      <c r="AM148" s="1">
        <v>0.0</v>
      </c>
      <c r="AN148" s="1">
        <v>6.0</v>
      </c>
      <c r="AO148" s="1">
        <v>93.0</v>
      </c>
      <c r="AP148" s="1">
        <v>12.0</v>
      </c>
      <c r="AQ148" s="1">
        <v>2.0</v>
      </c>
    </row>
    <row r="149">
      <c r="A149" s="1"/>
      <c r="B149" s="1">
        <v>135.0</v>
      </c>
      <c r="C149" s="1" t="s">
        <v>1568</v>
      </c>
      <c r="D149" s="1" t="s">
        <v>1569</v>
      </c>
      <c r="E149" s="1" t="s">
        <v>1570</v>
      </c>
      <c r="F149" s="1" t="s">
        <v>43</v>
      </c>
      <c r="G149" s="2">
        <v>26610.0</v>
      </c>
      <c r="H149" s="1" t="s">
        <v>1571</v>
      </c>
      <c r="I149" s="1">
        <v>13.0</v>
      </c>
      <c r="J149" s="1" t="s">
        <v>279</v>
      </c>
      <c r="K149" s="1">
        <v>7.0</v>
      </c>
      <c r="L149" s="2">
        <v>42907.0</v>
      </c>
      <c r="O149" s="1">
        <v>0.0</v>
      </c>
      <c r="P149" s="1" t="s">
        <v>75</v>
      </c>
      <c r="Q149" s="1" t="s">
        <v>76</v>
      </c>
      <c r="R149" s="1" t="s">
        <v>1572</v>
      </c>
      <c r="U149" s="1" t="s">
        <v>118</v>
      </c>
      <c r="V149" s="1">
        <v>471.0</v>
      </c>
      <c r="W149" s="3" t="s">
        <v>1573</v>
      </c>
      <c r="X149" s="1">
        <v>718954.0</v>
      </c>
      <c r="Y149" s="1" t="s">
        <v>1574</v>
      </c>
      <c r="Z149" s="3" t="s">
        <v>1575</v>
      </c>
      <c r="AA149" s="3" t="s">
        <v>1576</v>
      </c>
      <c r="AB149" s="1">
        <v>1.0</v>
      </c>
      <c r="AC149" s="1" t="s">
        <v>1577</v>
      </c>
      <c r="AD149" s="1">
        <v>22.0</v>
      </c>
      <c r="AE149" s="1">
        <f t="shared" si="5"/>
        <v>430</v>
      </c>
      <c r="AF149" s="1">
        <v>51.0</v>
      </c>
      <c r="AG149" s="1">
        <v>17.0</v>
      </c>
      <c r="AH149" s="1">
        <v>25.0</v>
      </c>
      <c r="AI149" s="1">
        <v>2.0</v>
      </c>
      <c r="AJ149" s="1">
        <v>1.0</v>
      </c>
      <c r="AK149" s="1">
        <v>152.0</v>
      </c>
      <c r="AL149" s="1">
        <v>103.0</v>
      </c>
      <c r="AM149" s="1">
        <v>1.0</v>
      </c>
      <c r="AN149" s="1">
        <v>0.0</v>
      </c>
      <c r="AO149" s="1">
        <v>5.0</v>
      </c>
      <c r="AP149" s="1">
        <v>1.0</v>
      </c>
      <c r="AQ149" s="1">
        <v>1.0</v>
      </c>
    </row>
    <row r="150">
      <c r="A150" s="1"/>
      <c r="B150" s="1">
        <v>404.0</v>
      </c>
      <c r="C150" s="1" t="s">
        <v>1578</v>
      </c>
      <c r="D150" s="1" t="s">
        <v>1579</v>
      </c>
      <c r="E150" s="1" t="s">
        <v>1580</v>
      </c>
      <c r="F150" s="1" t="s">
        <v>58</v>
      </c>
      <c r="G150" s="2">
        <v>26810.0</v>
      </c>
      <c r="H150" s="1" t="s">
        <v>1581</v>
      </c>
      <c r="I150" s="1">
        <v>93.0</v>
      </c>
      <c r="J150" s="1" t="s">
        <v>196</v>
      </c>
      <c r="K150" s="1">
        <v>11.0</v>
      </c>
      <c r="L150" s="2">
        <v>42907.0</v>
      </c>
      <c r="O150" s="1">
        <v>0.0</v>
      </c>
      <c r="P150" s="1" t="s">
        <v>173</v>
      </c>
      <c r="Q150" s="1" t="s">
        <v>174</v>
      </c>
      <c r="R150" s="1" t="s">
        <v>1582</v>
      </c>
      <c r="U150" s="1" t="s">
        <v>1254</v>
      </c>
      <c r="V150" s="1">
        <v>618.0</v>
      </c>
      <c r="W150" s="3" t="s">
        <v>1583</v>
      </c>
      <c r="X150" s="1">
        <v>588884.0</v>
      </c>
      <c r="Y150" s="1" t="s">
        <v>1584</v>
      </c>
      <c r="Z150" s="3" t="s">
        <v>1585</v>
      </c>
      <c r="AA150" s="3" t="s">
        <v>1586</v>
      </c>
      <c r="AB150" s="1">
        <v>2.0</v>
      </c>
      <c r="AC150" s="1" t="s">
        <v>1587</v>
      </c>
      <c r="AD150" s="1">
        <v>22.0</v>
      </c>
      <c r="AE150" s="1">
        <f t="shared" si="5"/>
        <v>430</v>
      </c>
      <c r="AF150" s="1">
        <v>16.0</v>
      </c>
      <c r="AG150" s="1">
        <v>10.0</v>
      </c>
      <c r="AH150" s="1">
        <v>112.0</v>
      </c>
      <c r="AI150" s="1">
        <v>44.0</v>
      </c>
      <c r="AJ150" s="1">
        <v>6.0</v>
      </c>
      <c r="AK150" s="1">
        <v>2056.0</v>
      </c>
      <c r="AL150" s="1">
        <v>32.0</v>
      </c>
      <c r="AM150" s="1">
        <v>0.0</v>
      </c>
      <c r="AN150" s="1">
        <v>0.0</v>
      </c>
      <c r="AO150" s="1">
        <v>14.0</v>
      </c>
      <c r="AP150" s="1">
        <v>11.0</v>
      </c>
      <c r="AQ150" s="1">
        <v>5.0</v>
      </c>
    </row>
    <row r="151">
      <c r="A151" s="1"/>
      <c r="B151" s="1">
        <v>106.0</v>
      </c>
      <c r="C151" s="1" t="s">
        <v>1588</v>
      </c>
      <c r="D151" s="1" t="s">
        <v>1589</v>
      </c>
      <c r="E151" s="1" t="s">
        <v>1590</v>
      </c>
      <c r="F151" s="1" t="s">
        <v>43</v>
      </c>
      <c r="G151" s="2">
        <v>30449.0</v>
      </c>
      <c r="H151" s="1" t="s">
        <v>207</v>
      </c>
      <c r="I151" s="1">
        <v>78.0</v>
      </c>
      <c r="J151" s="1" t="s">
        <v>74</v>
      </c>
      <c r="K151" s="1">
        <v>2.0</v>
      </c>
      <c r="L151" s="2">
        <v>42907.0</v>
      </c>
      <c r="O151" s="1">
        <v>0.0</v>
      </c>
      <c r="P151" s="1" t="s">
        <v>280</v>
      </c>
      <c r="Q151" s="1" t="s">
        <v>281</v>
      </c>
      <c r="R151" s="1" t="s">
        <v>1591</v>
      </c>
      <c r="U151" s="1" t="s">
        <v>1592</v>
      </c>
      <c r="V151" s="1">
        <v>167.0</v>
      </c>
      <c r="W151" s="3" t="s">
        <v>1593</v>
      </c>
      <c r="X151" s="1">
        <v>721836.0</v>
      </c>
      <c r="Y151" s="1" t="s">
        <v>1594</v>
      </c>
      <c r="Z151" s="3" t="s">
        <v>1595</v>
      </c>
      <c r="AA151" s="3" t="s">
        <v>1596</v>
      </c>
      <c r="AB151" s="1">
        <v>1.0</v>
      </c>
      <c r="AC151" s="1" t="s">
        <v>1597</v>
      </c>
      <c r="AD151" s="1">
        <v>22.0</v>
      </c>
      <c r="AE151" s="1">
        <f t="shared" si="5"/>
        <v>430</v>
      </c>
      <c r="AF151" s="1">
        <v>50.0</v>
      </c>
      <c r="AG151" s="1">
        <v>34.0</v>
      </c>
      <c r="AH151" s="1">
        <v>82.0</v>
      </c>
      <c r="AI151" s="1">
        <v>19.0</v>
      </c>
      <c r="AJ151" s="1">
        <v>44.0</v>
      </c>
      <c r="AK151" s="1">
        <v>272.0</v>
      </c>
      <c r="AL151" s="1">
        <v>40.0</v>
      </c>
      <c r="AM151" s="1">
        <v>1.0</v>
      </c>
      <c r="AN151" s="1">
        <v>0.0</v>
      </c>
      <c r="AO151" s="1">
        <v>7.0</v>
      </c>
      <c r="AP151" s="1">
        <v>0.0</v>
      </c>
      <c r="AQ151" s="1">
        <v>2.0</v>
      </c>
    </row>
    <row r="152">
      <c r="A152" s="1"/>
      <c r="B152" s="1">
        <v>209.0</v>
      </c>
      <c r="C152" s="1" t="s">
        <v>1598</v>
      </c>
      <c r="D152" s="1" t="s">
        <v>1599</v>
      </c>
      <c r="E152" s="1" t="s">
        <v>1600</v>
      </c>
      <c r="F152" s="1" t="s">
        <v>58</v>
      </c>
      <c r="G152" s="2">
        <v>20687.0</v>
      </c>
      <c r="H152" s="1" t="s">
        <v>1075</v>
      </c>
      <c r="I152" s="1">
        <v>38.0</v>
      </c>
      <c r="J152" s="1" t="s">
        <v>267</v>
      </c>
      <c r="K152" s="1">
        <v>4.0</v>
      </c>
      <c r="L152" s="2">
        <v>42907.0</v>
      </c>
      <c r="O152" s="1">
        <v>0.0</v>
      </c>
      <c r="P152" s="1" t="s">
        <v>115</v>
      </c>
      <c r="Q152" s="1" t="s">
        <v>116</v>
      </c>
      <c r="U152" s="1" t="s">
        <v>162</v>
      </c>
      <c r="V152" s="1">
        <v>513.0</v>
      </c>
      <c r="W152" s="3" t="s">
        <v>1601</v>
      </c>
      <c r="X152" s="1">
        <v>342415.0</v>
      </c>
      <c r="Y152" s="1" t="s">
        <v>1602</v>
      </c>
      <c r="Z152" s="3" t="s">
        <v>1603</v>
      </c>
      <c r="AA152" s="3" t="s">
        <v>1604</v>
      </c>
      <c r="AB152" s="1">
        <v>1.0</v>
      </c>
      <c r="AD152" s="1">
        <v>22.0</v>
      </c>
      <c r="AE152" s="1">
        <f t="shared" si="5"/>
        <v>430</v>
      </c>
      <c r="AF152" s="1">
        <v>56.0</v>
      </c>
      <c r="AG152" s="1">
        <v>55.0</v>
      </c>
      <c r="AH152" s="1">
        <v>48.0</v>
      </c>
      <c r="AI152" s="1">
        <v>49.0</v>
      </c>
      <c r="AJ152" s="1">
        <v>34.0</v>
      </c>
      <c r="AK152" s="1">
        <v>1207.0</v>
      </c>
      <c r="AL152" s="1">
        <v>81.0</v>
      </c>
      <c r="AM152" s="1">
        <v>1.0</v>
      </c>
      <c r="AN152" s="1">
        <v>0.0</v>
      </c>
      <c r="AO152" s="1">
        <v>5.0</v>
      </c>
      <c r="AP152" s="1">
        <v>17.0</v>
      </c>
      <c r="AQ152" s="1">
        <v>1.0</v>
      </c>
    </row>
    <row r="153">
      <c r="A153" s="1"/>
      <c r="B153" s="1">
        <v>361.0</v>
      </c>
      <c r="C153" s="1" t="s">
        <v>1605</v>
      </c>
      <c r="D153" s="1" t="s">
        <v>1606</v>
      </c>
      <c r="E153" s="1" t="s">
        <v>42</v>
      </c>
      <c r="F153" s="1" t="s">
        <v>43</v>
      </c>
      <c r="G153" s="2">
        <v>24556.0</v>
      </c>
      <c r="H153" s="1" t="s">
        <v>1199</v>
      </c>
      <c r="I153" s="1">
        <v>49.0</v>
      </c>
      <c r="J153" s="1" t="s">
        <v>220</v>
      </c>
      <c r="K153" s="1">
        <v>7.0</v>
      </c>
      <c r="L153" s="2">
        <v>42907.0</v>
      </c>
      <c r="O153" s="1">
        <v>0.0</v>
      </c>
      <c r="P153" s="1" t="s">
        <v>280</v>
      </c>
      <c r="Q153" s="1" t="s">
        <v>281</v>
      </c>
      <c r="R153" s="1" t="s">
        <v>1607</v>
      </c>
      <c r="U153" s="1" t="s">
        <v>827</v>
      </c>
      <c r="V153" s="1">
        <v>166.0</v>
      </c>
      <c r="W153" s="3" t="s">
        <v>1608</v>
      </c>
      <c r="X153" s="1">
        <v>720162.0</v>
      </c>
      <c r="Y153" s="1" t="s">
        <v>1609</v>
      </c>
      <c r="Z153" s="3" t="s">
        <v>1610</v>
      </c>
      <c r="AA153" s="3" t="s">
        <v>1611</v>
      </c>
      <c r="AB153" s="1">
        <v>1.0</v>
      </c>
      <c r="AC153" s="1" t="s">
        <v>1612</v>
      </c>
      <c r="AD153" s="1">
        <v>22.0</v>
      </c>
      <c r="AE153" s="1">
        <f t="shared" si="5"/>
        <v>430</v>
      </c>
      <c r="AF153" s="1">
        <v>40.0</v>
      </c>
      <c r="AG153" s="1">
        <v>19.0</v>
      </c>
      <c r="AH153" s="1">
        <v>9.0</v>
      </c>
      <c r="AI153" s="1">
        <v>3.0</v>
      </c>
      <c r="AJ153" s="1">
        <v>3.0</v>
      </c>
      <c r="AK153" s="1">
        <v>184.0</v>
      </c>
      <c r="AL153" s="1">
        <v>17.0</v>
      </c>
      <c r="AM153" s="1">
        <v>1.0</v>
      </c>
      <c r="AN153" s="1">
        <v>0.0</v>
      </c>
      <c r="AO153" s="1">
        <v>4.0</v>
      </c>
      <c r="AP153" s="1">
        <v>1.0</v>
      </c>
      <c r="AQ153" s="1">
        <v>0.0</v>
      </c>
    </row>
    <row r="154">
      <c r="A154" s="1"/>
      <c r="B154" s="1">
        <v>171.0</v>
      </c>
      <c r="C154" s="1" t="s">
        <v>1613</v>
      </c>
      <c r="D154" s="1" t="s">
        <v>1614</v>
      </c>
      <c r="E154" s="1" t="s">
        <v>183</v>
      </c>
      <c r="F154" s="1" t="s">
        <v>43</v>
      </c>
      <c r="G154" s="2">
        <v>16996.0</v>
      </c>
      <c r="H154" s="1" t="s">
        <v>1615</v>
      </c>
      <c r="I154" s="1">
        <v>92.0</v>
      </c>
      <c r="J154" s="1" t="s">
        <v>781</v>
      </c>
      <c r="K154" s="1">
        <v>12.0</v>
      </c>
      <c r="L154" s="2">
        <v>42907.0</v>
      </c>
      <c r="O154" s="1">
        <v>0.0</v>
      </c>
      <c r="P154" s="1" t="s">
        <v>280</v>
      </c>
      <c r="Q154" s="1" t="s">
        <v>281</v>
      </c>
      <c r="U154" s="1" t="s">
        <v>1616</v>
      </c>
      <c r="V154" s="1">
        <v>165.0</v>
      </c>
      <c r="W154" s="3" t="s">
        <v>1617</v>
      </c>
      <c r="X154" s="1">
        <v>721608.0</v>
      </c>
      <c r="Y154" s="1" t="s">
        <v>1618</v>
      </c>
      <c r="Z154" s="3" t="s">
        <v>1619</v>
      </c>
      <c r="AA154" s="3" t="s">
        <v>1620</v>
      </c>
      <c r="AB154" s="1">
        <v>1.0</v>
      </c>
      <c r="AD154" s="1">
        <v>22.0</v>
      </c>
      <c r="AE154" s="1">
        <f t="shared" si="5"/>
        <v>430</v>
      </c>
      <c r="AF154" s="1">
        <v>59.0</v>
      </c>
      <c r="AG154" s="1">
        <v>109.0</v>
      </c>
      <c r="AH154" s="1">
        <v>68.0</v>
      </c>
      <c r="AI154" s="1">
        <v>81.0</v>
      </c>
      <c r="AJ154" s="1">
        <v>13.0</v>
      </c>
      <c r="AK154" s="1">
        <v>252.0</v>
      </c>
      <c r="AL154" s="1">
        <v>37.0</v>
      </c>
      <c r="AM154" s="1">
        <v>0.0</v>
      </c>
      <c r="AN154" s="1">
        <v>0.0</v>
      </c>
      <c r="AO154" s="1">
        <v>4.0</v>
      </c>
      <c r="AP154" s="1">
        <v>0.0</v>
      </c>
      <c r="AQ154" s="1">
        <v>1.0</v>
      </c>
    </row>
    <row r="155">
      <c r="A155" s="1"/>
      <c r="B155" s="1">
        <v>435.0</v>
      </c>
      <c r="C155" s="1" t="s">
        <v>1621</v>
      </c>
      <c r="D155" s="1" t="s">
        <v>1622</v>
      </c>
      <c r="E155" s="1" t="s">
        <v>1623</v>
      </c>
      <c r="F155" s="1" t="s">
        <v>58</v>
      </c>
      <c r="G155" s="2">
        <v>24013.0</v>
      </c>
      <c r="H155" s="1" t="s">
        <v>1624</v>
      </c>
      <c r="I155" s="1">
        <v>5.0</v>
      </c>
      <c r="J155" s="1" t="s">
        <v>1005</v>
      </c>
      <c r="K155" s="1">
        <v>1.0</v>
      </c>
      <c r="L155" s="2">
        <v>42907.0</v>
      </c>
      <c r="O155" s="1">
        <v>0.0</v>
      </c>
      <c r="P155" s="1" t="s">
        <v>75</v>
      </c>
      <c r="Q155" s="1" t="s">
        <v>76</v>
      </c>
      <c r="R155" s="3" t="s">
        <v>1625</v>
      </c>
      <c r="U155" s="1">
        <v>0.0</v>
      </c>
      <c r="V155" s="1">
        <v>315.0</v>
      </c>
      <c r="W155" s="3" t="s">
        <v>1626</v>
      </c>
      <c r="X155" s="1">
        <v>718710.0</v>
      </c>
      <c r="Y155" s="1" t="s">
        <v>1627</v>
      </c>
      <c r="Z155" s="3" t="s">
        <v>1628</v>
      </c>
      <c r="AA155" s="3" t="s">
        <v>1629</v>
      </c>
      <c r="AB155" s="1">
        <v>1.0</v>
      </c>
      <c r="AC155" s="1" t="s">
        <v>1630</v>
      </c>
      <c r="AD155" s="1">
        <v>22.0</v>
      </c>
      <c r="AE155" s="1">
        <f t="shared" si="5"/>
        <v>430</v>
      </c>
      <c r="AF155" s="1">
        <v>26.0</v>
      </c>
      <c r="AG155" s="1">
        <v>5.0</v>
      </c>
      <c r="AH155" s="1">
        <v>16.0</v>
      </c>
      <c r="AI155" s="1">
        <v>2.0</v>
      </c>
      <c r="AJ155" s="1">
        <v>7.0</v>
      </c>
      <c r="AK155" s="1">
        <v>115.0</v>
      </c>
      <c r="AL155" s="1">
        <v>44.0</v>
      </c>
      <c r="AM155" s="1">
        <v>0.0</v>
      </c>
      <c r="AN155" s="1">
        <v>0.0</v>
      </c>
      <c r="AO155" s="1">
        <v>5.0</v>
      </c>
      <c r="AP155" s="1">
        <v>11.0</v>
      </c>
      <c r="AQ155" s="1">
        <v>3.0</v>
      </c>
    </row>
    <row r="156">
      <c r="A156" s="1"/>
      <c r="B156" s="1">
        <v>468.0</v>
      </c>
      <c r="C156" s="1" t="s">
        <v>1631</v>
      </c>
      <c r="D156" s="1" t="s">
        <v>1632</v>
      </c>
      <c r="E156" s="1" t="s">
        <v>1511</v>
      </c>
      <c r="F156" s="1" t="s">
        <v>43</v>
      </c>
      <c r="G156" s="2">
        <v>20208.0</v>
      </c>
      <c r="H156" s="1" t="s">
        <v>1633</v>
      </c>
      <c r="I156" s="1">
        <v>64.0</v>
      </c>
      <c r="J156" s="1" t="s">
        <v>579</v>
      </c>
      <c r="K156" s="1">
        <v>6.0</v>
      </c>
      <c r="L156" s="2">
        <v>42907.0</v>
      </c>
      <c r="O156" s="1">
        <v>0.0</v>
      </c>
      <c r="P156" s="1" t="s">
        <v>280</v>
      </c>
      <c r="Q156" s="1" t="s">
        <v>281</v>
      </c>
      <c r="R156" s="1" t="s">
        <v>1634</v>
      </c>
      <c r="U156" s="1" t="s">
        <v>1592</v>
      </c>
      <c r="V156" s="1">
        <v>168.0</v>
      </c>
      <c r="W156" s="3" t="s">
        <v>1635</v>
      </c>
      <c r="X156" s="1">
        <v>720772.0</v>
      </c>
      <c r="Y156" s="1" t="s">
        <v>1636</v>
      </c>
      <c r="Z156" s="3" t="s">
        <v>1637</v>
      </c>
      <c r="AA156" s="3" t="s">
        <v>1638</v>
      </c>
      <c r="AB156" s="1">
        <v>1.0</v>
      </c>
      <c r="AC156" s="1" t="s">
        <v>1639</v>
      </c>
      <c r="AD156" s="1">
        <v>22.0</v>
      </c>
      <c r="AE156" s="1">
        <f t="shared" si="5"/>
        <v>430</v>
      </c>
      <c r="AF156" s="1">
        <v>40.0</v>
      </c>
      <c r="AG156" s="1">
        <v>37.0</v>
      </c>
      <c r="AH156" s="1">
        <v>19.0</v>
      </c>
      <c r="AI156" s="1">
        <v>5.0</v>
      </c>
      <c r="AJ156" s="1">
        <v>10.0</v>
      </c>
      <c r="AK156" s="1">
        <v>280.0</v>
      </c>
      <c r="AL156" s="1">
        <v>35.0</v>
      </c>
      <c r="AM156" s="1">
        <v>1.0</v>
      </c>
      <c r="AN156" s="1">
        <v>0.0</v>
      </c>
      <c r="AO156" s="1">
        <v>4.0</v>
      </c>
      <c r="AP156" s="1">
        <v>5.0</v>
      </c>
      <c r="AQ156" s="1">
        <v>2.0</v>
      </c>
    </row>
    <row r="157">
      <c r="A157" s="1"/>
      <c r="B157" s="1">
        <v>35.0</v>
      </c>
      <c r="C157" s="1" t="s">
        <v>1640</v>
      </c>
      <c r="D157" s="1" t="s">
        <v>1641</v>
      </c>
      <c r="E157" s="1" t="s">
        <v>1642</v>
      </c>
      <c r="F157" s="1" t="s">
        <v>58</v>
      </c>
      <c r="G157" s="2">
        <v>32441.0</v>
      </c>
      <c r="H157" s="1" t="s">
        <v>1643</v>
      </c>
      <c r="I157" s="1">
        <v>59.0</v>
      </c>
      <c r="J157" s="1" t="s">
        <v>172</v>
      </c>
      <c r="K157" s="1">
        <v>12.0</v>
      </c>
      <c r="L157" s="2">
        <v>42907.0</v>
      </c>
      <c r="O157" s="1">
        <v>0.0</v>
      </c>
      <c r="P157" s="1" t="s">
        <v>75</v>
      </c>
      <c r="Q157" s="1" t="s">
        <v>76</v>
      </c>
      <c r="R157" s="1" t="s">
        <v>1644</v>
      </c>
      <c r="U157" s="1" t="s">
        <v>1645</v>
      </c>
      <c r="V157" s="1">
        <v>211.0</v>
      </c>
      <c r="W157" s="3" t="s">
        <v>1646</v>
      </c>
      <c r="X157" s="1">
        <v>720520.0</v>
      </c>
      <c r="Y157" s="1" t="s">
        <v>1647</v>
      </c>
      <c r="Z157" s="3" t="s">
        <v>1648</v>
      </c>
      <c r="AA157" s="3" t="s">
        <v>1649</v>
      </c>
      <c r="AB157" s="1">
        <v>1.0</v>
      </c>
      <c r="AC157" s="1" t="s">
        <v>1650</v>
      </c>
      <c r="AD157" s="1">
        <v>22.0</v>
      </c>
      <c r="AE157" s="1">
        <f t="shared" si="5"/>
        <v>430</v>
      </c>
      <c r="AF157" s="1">
        <v>70.0</v>
      </c>
      <c r="AG157" s="1">
        <v>15.0</v>
      </c>
      <c r="AH157" s="1">
        <v>20.0</v>
      </c>
      <c r="AI157" s="1">
        <v>2.0</v>
      </c>
      <c r="AJ157" s="1">
        <v>7.0</v>
      </c>
      <c r="AK157" s="1">
        <v>238.0</v>
      </c>
      <c r="AL157" s="1">
        <v>139.0</v>
      </c>
      <c r="AM157" s="1">
        <v>1.0</v>
      </c>
      <c r="AN157" s="1">
        <v>0.0</v>
      </c>
      <c r="AO157" s="1">
        <v>5.0</v>
      </c>
      <c r="AP157" s="1">
        <v>2.0</v>
      </c>
      <c r="AQ157" s="1">
        <v>1.0</v>
      </c>
    </row>
    <row r="158">
      <c r="A158" s="1"/>
      <c r="B158" s="1">
        <v>287.0</v>
      </c>
      <c r="C158" s="1" t="s">
        <v>1651</v>
      </c>
      <c r="D158" s="1" t="s">
        <v>546</v>
      </c>
      <c r="E158" s="1" t="s">
        <v>1652</v>
      </c>
      <c r="F158" s="1" t="s">
        <v>43</v>
      </c>
      <c r="G158" s="2">
        <v>19936.0</v>
      </c>
      <c r="H158" s="1" t="s">
        <v>1653</v>
      </c>
      <c r="I158" s="1">
        <v>44.0</v>
      </c>
      <c r="J158" s="1" t="s">
        <v>492</v>
      </c>
      <c r="K158" s="1">
        <v>6.0</v>
      </c>
      <c r="L158" s="2">
        <v>42907.0</v>
      </c>
      <c r="O158" s="1">
        <v>0.0</v>
      </c>
      <c r="P158" s="1" t="s">
        <v>75</v>
      </c>
      <c r="Q158" s="1" t="s">
        <v>76</v>
      </c>
      <c r="R158" s="1" t="s">
        <v>1654</v>
      </c>
      <c r="U158" s="1" t="s">
        <v>1655</v>
      </c>
      <c r="V158" s="1">
        <v>295.0</v>
      </c>
      <c r="W158" s="3" t="s">
        <v>1656</v>
      </c>
      <c r="X158" s="1">
        <v>607155.0</v>
      </c>
      <c r="Y158" s="1" t="s">
        <v>1657</v>
      </c>
      <c r="Z158" s="3" t="s">
        <v>1658</v>
      </c>
      <c r="AA158" s="3" t="s">
        <v>1659</v>
      </c>
      <c r="AB158" s="1">
        <v>1.0</v>
      </c>
      <c r="AC158" s="1" t="s">
        <v>1660</v>
      </c>
      <c r="AD158" s="1">
        <v>22.0</v>
      </c>
      <c r="AE158" s="1">
        <f t="shared" si="5"/>
        <v>430</v>
      </c>
      <c r="AF158" s="1">
        <v>53.0</v>
      </c>
      <c r="AG158" s="1">
        <v>18.0</v>
      </c>
      <c r="AH158" s="1">
        <v>6.0</v>
      </c>
      <c r="AI158" s="1">
        <v>0.0</v>
      </c>
      <c r="AJ158" s="1">
        <v>18.0</v>
      </c>
      <c r="AK158" s="1">
        <v>151.0</v>
      </c>
      <c r="AL158" s="1">
        <v>63.0</v>
      </c>
      <c r="AM158" s="1">
        <v>0.0</v>
      </c>
      <c r="AN158" s="1">
        <v>0.0</v>
      </c>
      <c r="AO158" s="1">
        <v>6.0</v>
      </c>
      <c r="AP158" s="1">
        <v>14.0</v>
      </c>
      <c r="AQ158" s="1">
        <v>1.0</v>
      </c>
    </row>
    <row r="159">
      <c r="A159" s="1"/>
      <c r="B159" s="1">
        <v>53.0</v>
      </c>
      <c r="C159" s="1" t="s">
        <v>1661</v>
      </c>
      <c r="D159" s="1" t="s">
        <v>1662</v>
      </c>
      <c r="E159" s="1" t="s">
        <v>1511</v>
      </c>
      <c r="F159" s="1" t="s">
        <v>43</v>
      </c>
      <c r="G159" s="2">
        <v>22993.0</v>
      </c>
      <c r="H159" s="1" t="s">
        <v>1663</v>
      </c>
      <c r="I159" s="1">
        <v>15.0</v>
      </c>
      <c r="J159" s="1" t="s">
        <v>1664</v>
      </c>
      <c r="K159" s="1">
        <v>1.0</v>
      </c>
      <c r="L159" s="2">
        <v>42907.0</v>
      </c>
      <c r="O159" s="1">
        <v>0.0</v>
      </c>
      <c r="P159" s="1" t="s">
        <v>61</v>
      </c>
      <c r="Q159" s="1" t="s">
        <v>62</v>
      </c>
      <c r="R159" s="1" t="s">
        <v>1665</v>
      </c>
      <c r="U159" s="1" t="s">
        <v>1666</v>
      </c>
      <c r="V159" s="1">
        <v>3.0</v>
      </c>
      <c r="W159" s="3" t="s">
        <v>1667</v>
      </c>
      <c r="X159" s="1">
        <v>330909.0</v>
      </c>
      <c r="Y159" s="1" t="s">
        <v>1668</v>
      </c>
      <c r="Z159" s="3" t="s">
        <v>1669</v>
      </c>
      <c r="AA159" s="3" t="s">
        <v>1670</v>
      </c>
      <c r="AB159" s="1">
        <v>2.0</v>
      </c>
      <c r="AC159" s="1" t="s">
        <v>1671</v>
      </c>
      <c r="AD159" s="1">
        <v>22.0</v>
      </c>
      <c r="AE159" s="1">
        <f t="shared" si="5"/>
        <v>430</v>
      </c>
      <c r="AF159" s="1">
        <v>36.0</v>
      </c>
      <c r="AG159" s="1">
        <v>27.0</v>
      </c>
      <c r="AH159" s="1">
        <v>78.0</v>
      </c>
      <c r="AI159" s="1">
        <v>146.0</v>
      </c>
      <c r="AJ159" s="1">
        <v>117.0</v>
      </c>
      <c r="AK159" s="1">
        <v>934.0</v>
      </c>
      <c r="AL159" s="1">
        <v>43.0</v>
      </c>
      <c r="AM159" s="1">
        <v>0.0</v>
      </c>
      <c r="AN159" s="1">
        <v>0.0</v>
      </c>
      <c r="AO159" s="1">
        <v>13.0</v>
      </c>
      <c r="AP159" s="1">
        <v>19.0</v>
      </c>
      <c r="AQ159" s="1">
        <v>2.0</v>
      </c>
    </row>
    <row r="160">
      <c r="A160" s="1"/>
      <c r="B160" s="1">
        <v>543.0</v>
      </c>
      <c r="C160" s="1" t="s">
        <v>1672</v>
      </c>
      <c r="D160" s="1" t="s">
        <v>1673</v>
      </c>
      <c r="E160" s="1" t="s">
        <v>1674</v>
      </c>
      <c r="F160" s="1" t="s">
        <v>58</v>
      </c>
      <c r="G160" s="2">
        <v>27845.0</v>
      </c>
      <c r="H160" s="1" t="s">
        <v>1675</v>
      </c>
      <c r="I160" s="1">
        <v>33.0</v>
      </c>
      <c r="J160" s="1" t="s">
        <v>348</v>
      </c>
      <c r="K160" s="1">
        <v>12.0</v>
      </c>
      <c r="L160" s="2">
        <v>42907.0</v>
      </c>
      <c r="O160" s="1">
        <v>0.0</v>
      </c>
      <c r="P160" s="1" t="s">
        <v>75</v>
      </c>
      <c r="Q160" s="1" t="s">
        <v>76</v>
      </c>
      <c r="R160" s="1" t="s">
        <v>1676</v>
      </c>
      <c r="U160" s="1" t="s">
        <v>1677</v>
      </c>
      <c r="V160" s="1">
        <v>370.0</v>
      </c>
      <c r="W160" s="3" t="s">
        <v>1678</v>
      </c>
      <c r="X160" s="1">
        <v>719660.0</v>
      </c>
      <c r="Y160" s="1" t="s">
        <v>1679</v>
      </c>
      <c r="Z160" s="3" t="s">
        <v>1680</v>
      </c>
      <c r="AA160" s="3" t="s">
        <v>1681</v>
      </c>
      <c r="AB160" s="1">
        <v>1.0</v>
      </c>
      <c r="AC160" s="1" t="s">
        <v>1682</v>
      </c>
      <c r="AD160" s="1">
        <v>22.0</v>
      </c>
      <c r="AE160" s="1">
        <f t="shared" si="5"/>
        <v>430</v>
      </c>
      <c r="AF160" s="1">
        <v>41.0</v>
      </c>
      <c r="AG160" s="1">
        <v>6.0</v>
      </c>
      <c r="AH160" s="1">
        <v>10.0</v>
      </c>
      <c r="AI160" s="1">
        <v>1.0</v>
      </c>
      <c r="AJ160" s="1">
        <v>3.0</v>
      </c>
      <c r="AK160" s="1">
        <v>59.0</v>
      </c>
      <c r="AL160" s="1">
        <v>27.0</v>
      </c>
      <c r="AM160" s="1">
        <v>0.0</v>
      </c>
      <c r="AN160" s="1">
        <v>0.0</v>
      </c>
      <c r="AO160" s="1">
        <v>5.0</v>
      </c>
      <c r="AP160" s="1">
        <v>3.0</v>
      </c>
      <c r="AQ160" s="1">
        <v>2.0</v>
      </c>
    </row>
    <row r="161">
      <c r="A161" s="1"/>
      <c r="B161" s="1">
        <v>63.0</v>
      </c>
      <c r="C161" s="1" t="s">
        <v>1683</v>
      </c>
      <c r="D161" s="1" t="s">
        <v>1684</v>
      </c>
      <c r="E161" s="1" t="s">
        <v>1685</v>
      </c>
      <c r="F161" s="1" t="s">
        <v>58</v>
      </c>
      <c r="G161" s="2">
        <v>29375.0</v>
      </c>
      <c r="H161" s="1" t="s">
        <v>1302</v>
      </c>
      <c r="I161" s="1">
        <v>44.0</v>
      </c>
      <c r="J161" s="1" t="s">
        <v>492</v>
      </c>
      <c r="K161" s="1">
        <v>8.0</v>
      </c>
      <c r="L161" s="2">
        <v>42907.0</v>
      </c>
      <c r="O161" s="1">
        <v>0.0</v>
      </c>
      <c r="P161" s="1" t="s">
        <v>75</v>
      </c>
      <c r="Q161" s="1" t="s">
        <v>76</v>
      </c>
      <c r="R161" s="1" t="s">
        <v>1686</v>
      </c>
      <c r="U161" s="1" t="s">
        <v>1687</v>
      </c>
      <c r="V161" s="1">
        <v>522.0</v>
      </c>
      <c r="W161" s="3" t="s">
        <v>1688</v>
      </c>
      <c r="X161" s="1">
        <v>720046.0</v>
      </c>
      <c r="Y161" s="1" t="s">
        <v>1689</v>
      </c>
      <c r="Z161" s="3" t="s">
        <v>1690</v>
      </c>
      <c r="AA161" s="3" t="s">
        <v>1691</v>
      </c>
      <c r="AB161" s="1">
        <v>1.0</v>
      </c>
      <c r="AC161" s="1" t="s">
        <v>1692</v>
      </c>
      <c r="AD161" s="1">
        <v>22.0</v>
      </c>
      <c r="AE161" s="1">
        <f t="shared" si="5"/>
        <v>430</v>
      </c>
      <c r="AF161" s="1">
        <v>40.0</v>
      </c>
      <c r="AG161" s="1">
        <v>12.0</v>
      </c>
      <c r="AH161" s="1">
        <v>22.0</v>
      </c>
      <c r="AI161" s="1">
        <v>5.0</v>
      </c>
      <c r="AJ161" s="1">
        <v>1.0</v>
      </c>
      <c r="AK161" s="1">
        <v>61.0</v>
      </c>
      <c r="AL161" s="1">
        <v>25.0</v>
      </c>
      <c r="AM161" s="1">
        <v>0.0</v>
      </c>
      <c r="AN161" s="1">
        <v>0.0</v>
      </c>
      <c r="AO161" s="1">
        <v>5.0</v>
      </c>
      <c r="AP161" s="1">
        <v>1.0</v>
      </c>
      <c r="AQ161" s="1">
        <v>3.0</v>
      </c>
    </row>
    <row r="162">
      <c r="A162" s="1"/>
      <c r="B162" s="1">
        <v>495.0</v>
      </c>
      <c r="C162" s="1" t="s">
        <v>1693</v>
      </c>
      <c r="D162" s="1" t="s">
        <v>1694</v>
      </c>
      <c r="E162" s="1" t="s">
        <v>1695</v>
      </c>
      <c r="F162" s="1" t="s">
        <v>58</v>
      </c>
      <c r="G162" s="2">
        <v>26820.0</v>
      </c>
      <c r="H162" s="1" t="s">
        <v>836</v>
      </c>
      <c r="I162" s="1">
        <v>95.0</v>
      </c>
      <c r="J162" s="1" t="s">
        <v>302</v>
      </c>
      <c r="K162" s="1">
        <v>6.0</v>
      </c>
      <c r="L162" s="2">
        <v>42907.0</v>
      </c>
      <c r="O162" s="1">
        <v>0.0</v>
      </c>
      <c r="P162" s="1" t="s">
        <v>280</v>
      </c>
      <c r="Q162" s="1" t="s">
        <v>281</v>
      </c>
      <c r="R162" s="1" t="s">
        <v>1696</v>
      </c>
      <c r="U162" s="1" t="s">
        <v>1455</v>
      </c>
      <c r="V162" s="1">
        <v>173.0</v>
      </c>
      <c r="W162" s="3" t="s">
        <v>1697</v>
      </c>
      <c r="X162" s="1">
        <v>720924.0</v>
      </c>
      <c r="Y162" s="1" t="s">
        <v>1698</v>
      </c>
      <c r="Z162" s="3" t="s">
        <v>1699</v>
      </c>
      <c r="AA162" s="3" t="s">
        <v>1700</v>
      </c>
      <c r="AB162" s="1">
        <v>1.0</v>
      </c>
      <c r="AC162" s="1" t="s">
        <v>1701</v>
      </c>
      <c r="AD162" s="1">
        <v>22.0</v>
      </c>
      <c r="AE162" s="1">
        <f t="shared" si="5"/>
        <v>430</v>
      </c>
      <c r="AF162" s="1">
        <v>27.0</v>
      </c>
      <c r="AG162" s="1">
        <v>17.0</v>
      </c>
      <c r="AH162" s="1">
        <v>67.0</v>
      </c>
      <c r="AI162" s="1">
        <v>19.0</v>
      </c>
      <c r="AJ162" s="1">
        <v>48.0</v>
      </c>
      <c r="AK162" s="1">
        <v>259.0</v>
      </c>
      <c r="AL162" s="1">
        <v>25.0</v>
      </c>
      <c r="AM162" s="1">
        <v>0.0</v>
      </c>
      <c r="AN162" s="1">
        <v>0.0</v>
      </c>
      <c r="AO162" s="1">
        <v>3.0</v>
      </c>
      <c r="AP162" s="1">
        <v>20.0</v>
      </c>
      <c r="AQ162" s="1">
        <v>2.0</v>
      </c>
    </row>
    <row r="163">
      <c r="A163" s="1"/>
      <c r="B163" s="1">
        <v>548.0</v>
      </c>
      <c r="C163" s="1" t="s">
        <v>1702</v>
      </c>
      <c r="D163" s="1" t="s">
        <v>1703</v>
      </c>
      <c r="E163" s="1" t="s">
        <v>403</v>
      </c>
      <c r="F163" s="1" t="s">
        <v>58</v>
      </c>
      <c r="G163" s="2">
        <v>26136.0</v>
      </c>
      <c r="H163" s="1" t="s">
        <v>1291</v>
      </c>
      <c r="I163" s="1">
        <v>44.0</v>
      </c>
      <c r="J163" s="1" t="s">
        <v>492</v>
      </c>
      <c r="K163" s="1">
        <v>10.0</v>
      </c>
      <c r="L163" s="2">
        <v>42907.0</v>
      </c>
      <c r="O163" s="1">
        <v>0.0</v>
      </c>
      <c r="P163" s="1" t="s">
        <v>75</v>
      </c>
      <c r="Q163" s="1" t="s">
        <v>76</v>
      </c>
      <c r="R163" s="1" t="s">
        <v>1704</v>
      </c>
      <c r="U163" s="1" t="s">
        <v>198</v>
      </c>
      <c r="V163" s="1">
        <v>361.0</v>
      </c>
      <c r="W163" s="3" t="s">
        <v>1705</v>
      </c>
      <c r="X163" s="1">
        <v>607193.0</v>
      </c>
      <c r="Y163" s="1" t="s">
        <v>1706</v>
      </c>
      <c r="Z163" s="3" t="s">
        <v>1707</v>
      </c>
      <c r="AA163" s="3" t="s">
        <v>1708</v>
      </c>
      <c r="AB163" s="1">
        <v>1.0</v>
      </c>
      <c r="AC163" s="1" t="s">
        <v>1709</v>
      </c>
      <c r="AD163" s="1">
        <v>22.0</v>
      </c>
      <c r="AE163" s="1">
        <f t="shared" si="5"/>
        <v>430</v>
      </c>
      <c r="AF163" s="1">
        <v>44.0</v>
      </c>
      <c r="AG163" s="1">
        <v>56.0</v>
      </c>
      <c r="AH163" s="1">
        <v>2.0</v>
      </c>
      <c r="AI163" s="1">
        <v>4.0</v>
      </c>
      <c r="AJ163" s="1">
        <v>0.0</v>
      </c>
      <c r="AK163" s="1">
        <v>114.0</v>
      </c>
      <c r="AL163" s="1">
        <v>57.0</v>
      </c>
      <c r="AM163" s="1">
        <v>0.0</v>
      </c>
      <c r="AN163" s="1">
        <v>0.0</v>
      </c>
      <c r="AO163" s="1">
        <v>5.0</v>
      </c>
      <c r="AP163" s="1">
        <v>0.0</v>
      </c>
      <c r="AQ163" s="1">
        <v>0.0</v>
      </c>
    </row>
    <row r="164">
      <c r="A164" s="1"/>
      <c r="B164" s="1">
        <v>365.0</v>
      </c>
      <c r="C164" s="1" t="s">
        <v>1710</v>
      </c>
      <c r="D164" s="1" t="s">
        <v>1711</v>
      </c>
      <c r="E164" s="1" t="s">
        <v>265</v>
      </c>
      <c r="F164" s="1" t="s">
        <v>58</v>
      </c>
      <c r="G164" s="2">
        <v>28752.0</v>
      </c>
      <c r="H164" s="1" t="s">
        <v>404</v>
      </c>
      <c r="I164" s="1">
        <v>33.0</v>
      </c>
      <c r="J164" s="1" t="s">
        <v>348</v>
      </c>
      <c r="K164" s="1">
        <v>2.0</v>
      </c>
      <c r="L164" s="2">
        <v>42907.0</v>
      </c>
      <c r="O164" s="1">
        <v>0.0</v>
      </c>
      <c r="P164" s="1" t="s">
        <v>75</v>
      </c>
      <c r="Q164" s="1" t="s">
        <v>76</v>
      </c>
      <c r="R164" s="1" t="s">
        <v>1712</v>
      </c>
      <c r="U164" s="1" t="s">
        <v>1713</v>
      </c>
      <c r="V164" s="1">
        <v>217.0</v>
      </c>
      <c r="W164" s="3" t="s">
        <v>1714</v>
      </c>
      <c r="X164" s="1">
        <v>719570.0</v>
      </c>
      <c r="Y164" s="1" t="s">
        <v>1715</v>
      </c>
      <c r="Z164" s="3" t="s">
        <v>1716</v>
      </c>
      <c r="AA164" s="3" t="s">
        <v>1717</v>
      </c>
      <c r="AB164" s="1">
        <v>1.0</v>
      </c>
      <c r="AC164" s="1" t="s">
        <v>1718</v>
      </c>
      <c r="AD164" s="1">
        <v>22.0</v>
      </c>
      <c r="AE164" s="1">
        <f t="shared" si="5"/>
        <v>430</v>
      </c>
      <c r="AF164" s="1">
        <v>46.0</v>
      </c>
      <c r="AG164" s="1">
        <v>14.0</v>
      </c>
      <c r="AH164" s="1">
        <v>11.0</v>
      </c>
      <c r="AI164" s="1">
        <v>6.0</v>
      </c>
      <c r="AJ164" s="1">
        <v>0.0</v>
      </c>
      <c r="AK164" s="1">
        <v>56.0</v>
      </c>
      <c r="AL164" s="1">
        <v>25.0</v>
      </c>
      <c r="AM164" s="1">
        <v>0.0</v>
      </c>
      <c r="AN164" s="1">
        <v>0.0</v>
      </c>
      <c r="AO164" s="1">
        <v>5.0</v>
      </c>
      <c r="AP164" s="1">
        <v>8.0</v>
      </c>
      <c r="AQ164" s="1">
        <v>0.0</v>
      </c>
    </row>
    <row r="165">
      <c r="A165" s="1"/>
      <c r="B165" s="1">
        <v>174.0</v>
      </c>
      <c r="C165" s="1" t="s">
        <v>1719</v>
      </c>
      <c r="D165" s="1" t="s">
        <v>1720</v>
      </c>
      <c r="E165" s="1" t="s">
        <v>546</v>
      </c>
      <c r="F165" s="1" t="s">
        <v>43</v>
      </c>
      <c r="G165" s="2">
        <v>23027.0</v>
      </c>
      <c r="H165" s="1" t="s">
        <v>1721</v>
      </c>
      <c r="I165" s="1">
        <v>62.0</v>
      </c>
      <c r="J165" s="1" t="s">
        <v>427</v>
      </c>
      <c r="K165" s="1">
        <v>4.0</v>
      </c>
      <c r="L165" s="2">
        <v>42907.0</v>
      </c>
      <c r="O165" s="1">
        <v>0.0</v>
      </c>
      <c r="P165" s="1" t="s">
        <v>61</v>
      </c>
      <c r="Q165" s="1" t="s">
        <v>62</v>
      </c>
      <c r="R165" s="1" t="s">
        <v>1722</v>
      </c>
      <c r="U165" s="1" t="s">
        <v>246</v>
      </c>
      <c r="V165" s="1">
        <v>62.0</v>
      </c>
      <c r="W165" s="3" t="s">
        <v>1723</v>
      </c>
      <c r="X165" s="1">
        <v>334149.0</v>
      </c>
      <c r="Y165" s="1" t="s">
        <v>1724</v>
      </c>
      <c r="Z165" s="3" t="s">
        <v>1725</v>
      </c>
      <c r="AA165" s="3" t="s">
        <v>1726</v>
      </c>
      <c r="AB165" s="1">
        <v>2.0</v>
      </c>
      <c r="AC165" s="1" t="s">
        <v>1727</v>
      </c>
      <c r="AD165" s="1">
        <v>22.0</v>
      </c>
      <c r="AE165" s="1">
        <f t="shared" si="5"/>
        <v>430</v>
      </c>
      <c r="AF165" s="1">
        <v>27.0</v>
      </c>
      <c r="AG165" s="1">
        <v>25.0</v>
      </c>
      <c r="AH165" s="1">
        <v>16.0</v>
      </c>
      <c r="AI165" s="1">
        <v>29.0</v>
      </c>
      <c r="AJ165" s="1">
        <v>0.0</v>
      </c>
      <c r="AK165" s="1">
        <v>247.0</v>
      </c>
      <c r="AL165" s="1">
        <v>13.0</v>
      </c>
      <c r="AM165" s="1">
        <v>0.0</v>
      </c>
      <c r="AN165" s="1">
        <v>1.0</v>
      </c>
      <c r="AO165" s="1">
        <v>55.0</v>
      </c>
      <c r="AP165" s="1">
        <v>7.0</v>
      </c>
      <c r="AQ165" s="1">
        <v>1.0</v>
      </c>
    </row>
    <row r="166">
      <c r="A166" s="1"/>
      <c r="B166" s="1">
        <v>399.0</v>
      </c>
      <c r="C166" s="1" t="s">
        <v>1728</v>
      </c>
      <c r="D166" s="1" t="s">
        <v>1729</v>
      </c>
      <c r="E166" s="1" t="s">
        <v>1730</v>
      </c>
      <c r="F166" s="1" t="s">
        <v>58</v>
      </c>
      <c r="G166" s="2">
        <v>29804.0</v>
      </c>
      <c r="H166" s="1" t="s">
        <v>1731</v>
      </c>
      <c r="I166" s="1">
        <v>92.0</v>
      </c>
      <c r="J166" s="1" t="s">
        <v>781</v>
      </c>
      <c r="K166" s="1">
        <v>1.0</v>
      </c>
      <c r="L166" s="2">
        <v>42907.0</v>
      </c>
      <c r="O166" s="1">
        <v>0.0</v>
      </c>
      <c r="P166" s="1" t="s">
        <v>101</v>
      </c>
      <c r="Q166" s="1" t="s">
        <v>102</v>
      </c>
      <c r="R166" s="1" t="s">
        <v>1732</v>
      </c>
      <c r="U166" s="1" t="s">
        <v>1733</v>
      </c>
      <c r="V166" s="1">
        <v>588.0</v>
      </c>
      <c r="W166" s="3" t="s">
        <v>1734</v>
      </c>
      <c r="X166" s="1">
        <v>721896.0</v>
      </c>
      <c r="Y166" s="1" t="s">
        <v>1735</v>
      </c>
      <c r="Z166" s="3" t="s">
        <v>1736</v>
      </c>
      <c r="AA166" s="3" t="s">
        <v>1737</v>
      </c>
      <c r="AB166" s="1">
        <v>1.0</v>
      </c>
      <c r="AC166" s="1" t="s">
        <v>1738</v>
      </c>
      <c r="AD166" s="1">
        <v>22.0</v>
      </c>
      <c r="AE166" s="1">
        <f t="shared" si="5"/>
        <v>430</v>
      </c>
      <c r="AF166" s="1">
        <v>31.0</v>
      </c>
      <c r="AG166" s="1">
        <v>17.0</v>
      </c>
      <c r="AH166" s="1">
        <v>92.0</v>
      </c>
      <c r="AI166" s="1">
        <v>100.0</v>
      </c>
      <c r="AJ166" s="1">
        <v>5.0</v>
      </c>
      <c r="AK166" s="1">
        <v>675.0</v>
      </c>
      <c r="AL166" s="1">
        <v>23.0</v>
      </c>
      <c r="AM166" s="1">
        <v>0.0</v>
      </c>
      <c r="AN166" s="1">
        <v>0.0</v>
      </c>
      <c r="AO166" s="1">
        <v>19.0</v>
      </c>
      <c r="AP166" s="1">
        <v>5.0</v>
      </c>
      <c r="AQ166" s="1">
        <v>5.0</v>
      </c>
    </row>
    <row r="167">
      <c r="A167" s="1"/>
      <c r="B167" s="1">
        <v>273.0</v>
      </c>
      <c r="C167" s="1" t="s">
        <v>1739</v>
      </c>
      <c r="D167" s="1" t="s">
        <v>1740</v>
      </c>
      <c r="E167" s="1" t="s">
        <v>944</v>
      </c>
      <c r="F167" s="1" t="s">
        <v>43</v>
      </c>
      <c r="G167" s="2">
        <v>25944.0</v>
      </c>
      <c r="H167" s="1" t="s">
        <v>231</v>
      </c>
      <c r="I167" s="1">
        <v>41.0</v>
      </c>
      <c r="J167" s="1" t="s">
        <v>1741</v>
      </c>
      <c r="K167" s="1">
        <v>1.0</v>
      </c>
      <c r="L167" s="2">
        <v>42907.0</v>
      </c>
      <c r="O167" s="1">
        <v>0.0</v>
      </c>
      <c r="P167" s="1" t="s">
        <v>280</v>
      </c>
      <c r="Q167" s="1" t="s">
        <v>281</v>
      </c>
      <c r="R167" s="1" t="s">
        <v>1742</v>
      </c>
      <c r="U167" s="1" t="s">
        <v>1743</v>
      </c>
      <c r="V167" s="1">
        <v>180.0</v>
      </c>
      <c r="W167" s="3" t="s">
        <v>1744</v>
      </c>
      <c r="X167" s="1">
        <v>719938.0</v>
      </c>
      <c r="Y167" s="1" t="s">
        <v>1745</v>
      </c>
      <c r="Z167" s="3" t="s">
        <v>1746</v>
      </c>
      <c r="AA167" s="3" t="s">
        <v>1747</v>
      </c>
      <c r="AB167" s="1">
        <v>2.0</v>
      </c>
      <c r="AC167" s="1" t="s">
        <v>1748</v>
      </c>
      <c r="AD167" s="1">
        <v>22.0</v>
      </c>
      <c r="AE167" s="1">
        <f t="shared" si="5"/>
        <v>430</v>
      </c>
      <c r="AF167" s="1">
        <v>10.0</v>
      </c>
      <c r="AG167" s="1">
        <v>1.0</v>
      </c>
      <c r="AH167" s="1">
        <v>199.0</v>
      </c>
      <c r="AI167" s="1">
        <v>90.0</v>
      </c>
      <c r="AJ167" s="1">
        <v>35.0</v>
      </c>
      <c r="AK167" s="1">
        <v>214.0</v>
      </c>
      <c r="AL167" s="1">
        <v>22.0</v>
      </c>
      <c r="AM167" s="1">
        <v>0.0</v>
      </c>
      <c r="AN167" s="1">
        <v>1.0</v>
      </c>
      <c r="AO167" s="1">
        <v>7.0</v>
      </c>
      <c r="AP167" s="1">
        <v>0.0</v>
      </c>
      <c r="AQ167" s="1">
        <v>2.0</v>
      </c>
    </row>
    <row r="168">
      <c r="A168" s="1"/>
      <c r="B168" s="1">
        <v>228.0</v>
      </c>
      <c r="C168" s="1" t="s">
        <v>1749</v>
      </c>
      <c r="D168" s="1" t="s">
        <v>1750</v>
      </c>
      <c r="E168" s="1" t="s">
        <v>905</v>
      </c>
      <c r="F168" s="1" t="s">
        <v>43</v>
      </c>
      <c r="G168" s="2">
        <v>24531.0</v>
      </c>
      <c r="H168" s="1" t="s">
        <v>620</v>
      </c>
      <c r="I168" s="1">
        <v>30.0</v>
      </c>
      <c r="J168" s="1" t="s">
        <v>1751</v>
      </c>
      <c r="K168" s="1">
        <v>5.0</v>
      </c>
      <c r="L168" s="2">
        <v>42907.0</v>
      </c>
      <c r="O168" s="1">
        <v>0.0</v>
      </c>
      <c r="P168" s="1" t="s">
        <v>75</v>
      </c>
      <c r="Q168" s="1" t="s">
        <v>76</v>
      </c>
      <c r="R168" s="3" t="s">
        <v>1752</v>
      </c>
      <c r="U168" s="1" t="s">
        <v>118</v>
      </c>
      <c r="V168" s="1">
        <v>243.0</v>
      </c>
      <c r="W168" s="3" t="s">
        <v>1753</v>
      </c>
      <c r="X168" s="1">
        <v>719480.0</v>
      </c>
      <c r="Y168" s="1" t="s">
        <v>1754</v>
      </c>
      <c r="Z168" s="3" t="s">
        <v>1755</v>
      </c>
      <c r="AA168" s="3" t="s">
        <v>1756</v>
      </c>
      <c r="AB168" s="1">
        <v>1.0</v>
      </c>
      <c r="AC168" s="1" t="s">
        <v>1757</v>
      </c>
      <c r="AD168" s="1">
        <v>22.0</v>
      </c>
      <c r="AE168" s="1">
        <f t="shared" si="5"/>
        <v>430</v>
      </c>
      <c r="AF168" s="1">
        <v>61.0</v>
      </c>
      <c r="AG168" s="1">
        <v>9.0</v>
      </c>
      <c r="AH168" s="1">
        <v>16.0</v>
      </c>
      <c r="AI168" s="1">
        <v>8.0</v>
      </c>
      <c r="AJ168" s="1">
        <v>20.0</v>
      </c>
      <c r="AK168" s="1">
        <v>182.0</v>
      </c>
      <c r="AL168" s="1">
        <v>106.0</v>
      </c>
      <c r="AM168" s="1">
        <v>1.0</v>
      </c>
      <c r="AN168" s="1">
        <v>0.0</v>
      </c>
      <c r="AO168" s="1">
        <v>5.0</v>
      </c>
      <c r="AP168" s="1">
        <v>22.0</v>
      </c>
      <c r="AQ168" s="1">
        <v>2.0</v>
      </c>
    </row>
    <row r="169">
      <c r="A169" s="1"/>
      <c r="B169" s="1">
        <v>355.0</v>
      </c>
      <c r="C169" s="1" t="s">
        <v>1758</v>
      </c>
      <c r="D169" s="1" t="s">
        <v>1759</v>
      </c>
      <c r="E169" s="1" t="s">
        <v>1760</v>
      </c>
      <c r="F169" s="1" t="s">
        <v>43</v>
      </c>
      <c r="G169" s="2">
        <v>16508.0</v>
      </c>
      <c r="H169" s="1" t="s">
        <v>1761</v>
      </c>
      <c r="I169" s="1">
        <v>75.0</v>
      </c>
      <c r="J169" s="1" t="s">
        <v>232</v>
      </c>
      <c r="K169" s="1">
        <v>14.0</v>
      </c>
      <c r="L169" s="2">
        <v>42907.0</v>
      </c>
      <c r="O169" s="1">
        <v>0.0</v>
      </c>
      <c r="P169" s="1" t="s">
        <v>61</v>
      </c>
      <c r="Q169" s="1" t="s">
        <v>62</v>
      </c>
      <c r="R169" s="1" t="s">
        <v>1762</v>
      </c>
      <c r="U169" s="1" t="s">
        <v>1763</v>
      </c>
      <c r="V169" s="1">
        <v>93.0</v>
      </c>
      <c r="W169" s="3" t="s">
        <v>1764</v>
      </c>
      <c r="X169" s="1">
        <v>1498.0</v>
      </c>
      <c r="Y169" s="1" t="s">
        <v>1765</v>
      </c>
      <c r="Z169" s="3" t="s">
        <v>1766</v>
      </c>
      <c r="AA169" s="3" t="s">
        <v>1767</v>
      </c>
      <c r="AB169" s="1">
        <v>2.0</v>
      </c>
      <c r="AC169" s="1" t="s">
        <v>1768</v>
      </c>
      <c r="AD169" s="1">
        <v>22.0</v>
      </c>
      <c r="AE169" s="1">
        <f t="shared" si="5"/>
        <v>430</v>
      </c>
      <c r="AF169" s="1">
        <v>27.0</v>
      </c>
      <c r="AG169" s="1">
        <v>23.0</v>
      </c>
      <c r="AH169" s="1">
        <v>19.0</v>
      </c>
      <c r="AI169" s="1">
        <v>196.0</v>
      </c>
      <c r="AJ169" s="1">
        <v>4.0</v>
      </c>
      <c r="AK169" s="1">
        <v>300.0</v>
      </c>
      <c r="AL169" s="1">
        <v>15.0</v>
      </c>
      <c r="AM169" s="1">
        <v>1.0</v>
      </c>
      <c r="AN169" s="1">
        <v>0.0</v>
      </c>
      <c r="AO169" s="1">
        <v>36.0</v>
      </c>
      <c r="AP169" s="1">
        <v>2.0</v>
      </c>
      <c r="AQ169" s="1">
        <v>1.0</v>
      </c>
    </row>
    <row r="170">
      <c r="A170" s="1"/>
      <c r="B170" s="1">
        <v>208.0</v>
      </c>
      <c r="C170" s="1" t="s">
        <v>1769</v>
      </c>
      <c r="D170" s="1" t="s">
        <v>1770</v>
      </c>
      <c r="E170" s="1" t="s">
        <v>1771</v>
      </c>
      <c r="F170" s="1" t="s">
        <v>43</v>
      </c>
      <c r="G170" s="2">
        <v>27201.0</v>
      </c>
      <c r="H170" s="1" t="s">
        <v>1772</v>
      </c>
      <c r="I170" s="1">
        <v>66.0</v>
      </c>
      <c r="J170" s="1" t="s">
        <v>1773</v>
      </c>
      <c r="K170" s="1">
        <v>1.0</v>
      </c>
      <c r="L170" s="2">
        <v>42907.0</v>
      </c>
      <c r="O170" s="1">
        <v>0.0</v>
      </c>
      <c r="P170" s="1" t="s">
        <v>75</v>
      </c>
      <c r="Q170" s="1" t="s">
        <v>76</v>
      </c>
      <c r="R170" s="1" t="s">
        <v>1774</v>
      </c>
      <c r="U170" s="1" t="s">
        <v>198</v>
      </c>
      <c r="V170" s="1">
        <v>531.0</v>
      </c>
      <c r="W170" s="3" t="s">
        <v>1775</v>
      </c>
      <c r="X170" s="1">
        <v>720790.0</v>
      </c>
      <c r="Y170" s="1" t="s">
        <v>1776</v>
      </c>
      <c r="Z170" s="3" t="s">
        <v>1777</v>
      </c>
      <c r="AA170" s="3" t="s">
        <v>1778</v>
      </c>
      <c r="AB170" s="1">
        <v>1.0</v>
      </c>
      <c r="AC170" s="1" t="s">
        <v>1779</v>
      </c>
      <c r="AD170" s="1">
        <v>22.0</v>
      </c>
      <c r="AE170" s="1">
        <f t="shared" si="5"/>
        <v>430</v>
      </c>
      <c r="AF170" s="1">
        <v>54.0</v>
      </c>
      <c r="AG170" s="1">
        <v>5.0</v>
      </c>
      <c r="AH170" s="1">
        <v>13.0</v>
      </c>
      <c r="AI170" s="1">
        <v>1.0</v>
      </c>
      <c r="AJ170" s="1">
        <v>0.0</v>
      </c>
      <c r="AK170" s="1">
        <v>163.0</v>
      </c>
      <c r="AL170" s="1">
        <v>104.0</v>
      </c>
      <c r="AM170" s="1">
        <v>1.0</v>
      </c>
      <c r="AN170" s="1">
        <v>0.0</v>
      </c>
      <c r="AO170" s="1">
        <v>5.0</v>
      </c>
      <c r="AP170" s="1">
        <v>38.0</v>
      </c>
      <c r="AQ170" s="1">
        <v>1.0</v>
      </c>
    </row>
    <row r="171">
      <c r="A171" s="1"/>
      <c r="B171" s="1">
        <v>356.0</v>
      </c>
      <c r="C171" s="1" t="s">
        <v>1780</v>
      </c>
      <c r="D171" s="1" t="s">
        <v>1781</v>
      </c>
      <c r="E171" s="1" t="s">
        <v>1782</v>
      </c>
      <c r="F171" s="1" t="s">
        <v>43</v>
      </c>
      <c r="G171" s="2">
        <v>19887.0</v>
      </c>
      <c r="H171" s="1" t="s">
        <v>1291</v>
      </c>
      <c r="I171" s="1">
        <v>44.0</v>
      </c>
      <c r="J171" s="1" t="s">
        <v>492</v>
      </c>
      <c r="K171" s="1">
        <v>9.0</v>
      </c>
      <c r="L171" s="2">
        <v>42907.0</v>
      </c>
      <c r="O171" s="1">
        <v>0.0</v>
      </c>
      <c r="P171" s="1" t="s">
        <v>75</v>
      </c>
      <c r="Q171" s="1" t="s">
        <v>76</v>
      </c>
      <c r="R171" s="1" t="s">
        <v>1783</v>
      </c>
      <c r="U171" s="1" t="s">
        <v>1784</v>
      </c>
      <c r="V171" s="1">
        <v>566.0</v>
      </c>
      <c r="W171" s="3" t="s">
        <v>1785</v>
      </c>
      <c r="X171" s="1">
        <v>720054.0</v>
      </c>
      <c r="Y171" s="1" t="s">
        <v>1786</v>
      </c>
      <c r="Z171" s="3" t="s">
        <v>1787</v>
      </c>
      <c r="AA171" s="3" t="s">
        <v>1788</v>
      </c>
      <c r="AB171" s="1">
        <v>1.0</v>
      </c>
      <c r="AC171" s="1" t="s">
        <v>1789</v>
      </c>
      <c r="AD171" s="1">
        <v>22.0</v>
      </c>
      <c r="AE171" s="1">
        <f t="shared" si="5"/>
        <v>430</v>
      </c>
      <c r="AF171" s="1">
        <v>36.0</v>
      </c>
      <c r="AG171" s="1">
        <v>23.0</v>
      </c>
      <c r="AH171" s="1">
        <v>17.0</v>
      </c>
      <c r="AI171" s="1">
        <v>2.0</v>
      </c>
      <c r="AJ171" s="1">
        <v>2.0</v>
      </c>
      <c r="AK171" s="1">
        <v>96.0</v>
      </c>
      <c r="AL171" s="1">
        <v>43.0</v>
      </c>
      <c r="AM171" s="1">
        <v>1.0</v>
      </c>
      <c r="AN171" s="1">
        <v>0.0</v>
      </c>
      <c r="AO171" s="1">
        <v>5.0</v>
      </c>
      <c r="AP171" s="1">
        <v>16.0</v>
      </c>
      <c r="AQ171" s="1">
        <v>2.0</v>
      </c>
    </row>
    <row r="172">
      <c r="A172" s="1"/>
      <c r="B172" s="1">
        <v>456.0</v>
      </c>
      <c r="C172" s="1" t="s">
        <v>1790</v>
      </c>
      <c r="D172" s="1" t="s">
        <v>1791</v>
      </c>
      <c r="E172" s="1" t="s">
        <v>1792</v>
      </c>
      <c r="F172" s="1" t="s">
        <v>43</v>
      </c>
      <c r="G172" s="2">
        <v>23056.0</v>
      </c>
      <c r="H172" s="1" t="s">
        <v>1793</v>
      </c>
      <c r="I172" s="1">
        <v>67.0</v>
      </c>
      <c r="J172" s="1" t="s">
        <v>244</v>
      </c>
      <c r="K172" s="1">
        <v>5.0</v>
      </c>
      <c r="L172" s="2">
        <v>42907.0</v>
      </c>
      <c r="O172" s="1">
        <v>0.0</v>
      </c>
      <c r="P172" s="1" t="s">
        <v>46</v>
      </c>
      <c r="Q172" s="1" t="s">
        <v>47</v>
      </c>
      <c r="R172" s="1" t="s">
        <v>1794</v>
      </c>
      <c r="U172" s="1" t="s">
        <v>1067</v>
      </c>
      <c r="V172" s="1">
        <v>143.0</v>
      </c>
      <c r="W172" s="3" t="s">
        <v>1795</v>
      </c>
      <c r="X172" s="1">
        <v>267355.0</v>
      </c>
      <c r="Y172" s="1" t="s">
        <v>1796</v>
      </c>
      <c r="Z172" s="3" t="s">
        <v>1797</v>
      </c>
      <c r="AA172" s="3" t="s">
        <v>1798</v>
      </c>
      <c r="AB172" s="1">
        <v>1.0</v>
      </c>
      <c r="AC172" s="1" t="s">
        <v>1799</v>
      </c>
      <c r="AD172" s="1">
        <v>22.0</v>
      </c>
      <c r="AE172" s="1">
        <f t="shared" si="5"/>
        <v>430</v>
      </c>
      <c r="AF172" s="1">
        <v>38.0</v>
      </c>
      <c r="AG172" s="1">
        <v>17.0</v>
      </c>
      <c r="AH172" s="1">
        <v>3.0</v>
      </c>
      <c r="AI172" s="1">
        <v>0.0</v>
      </c>
      <c r="AJ172" s="1">
        <v>3.0</v>
      </c>
      <c r="AK172" s="1">
        <v>415.0</v>
      </c>
      <c r="AL172" s="1">
        <v>23.0</v>
      </c>
      <c r="AM172" s="1">
        <v>0.0</v>
      </c>
      <c r="AN172" s="1">
        <v>2.0</v>
      </c>
      <c r="AO172" s="1">
        <v>23.0</v>
      </c>
      <c r="AP172" s="1">
        <v>9.0</v>
      </c>
      <c r="AQ172" s="1">
        <v>1.0</v>
      </c>
    </row>
    <row r="173">
      <c r="A173" s="1"/>
      <c r="B173" s="1">
        <v>317.0</v>
      </c>
      <c r="C173" s="1" t="s">
        <v>1800</v>
      </c>
      <c r="D173" s="1" t="s">
        <v>1801</v>
      </c>
      <c r="E173" s="1" t="s">
        <v>501</v>
      </c>
      <c r="F173" s="1" t="s">
        <v>43</v>
      </c>
      <c r="G173" s="2">
        <v>24897.0</v>
      </c>
      <c r="H173" s="1" t="s">
        <v>1802</v>
      </c>
      <c r="I173" s="1">
        <v>56.0</v>
      </c>
      <c r="J173" s="1" t="s">
        <v>1343</v>
      </c>
      <c r="K173" s="1">
        <v>6.0</v>
      </c>
      <c r="L173" s="2">
        <v>42907.0</v>
      </c>
      <c r="O173" s="1">
        <v>0.0</v>
      </c>
      <c r="P173" s="1" t="s">
        <v>75</v>
      </c>
      <c r="Q173" s="1" t="s">
        <v>76</v>
      </c>
      <c r="R173" s="3" t="s">
        <v>1803</v>
      </c>
      <c r="U173" s="1" t="s">
        <v>1804</v>
      </c>
      <c r="V173" s="1">
        <v>404.0</v>
      </c>
      <c r="W173" s="3" t="s">
        <v>1805</v>
      </c>
      <c r="X173" s="1">
        <v>720354.0</v>
      </c>
      <c r="Y173" s="1" t="s">
        <v>1806</v>
      </c>
      <c r="Z173" s="3" t="s">
        <v>1807</v>
      </c>
      <c r="AA173" s="3" t="s">
        <v>1808</v>
      </c>
      <c r="AB173" s="1">
        <v>2.0</v>
      </c>
      <c r="AC173" s="1" t="s">
        <v>1809</v>
      </c>
      <c r="AD173" s="1">
        <v>22.0</v>
      </c>
      <c r="AE173" s="1">
        <f t="shared" si="5"/>
        <v>430</v>
      </c>
      <c r="AF173" s="1">
        <v>38.0</v>
      </c>
      <c r="AG173" s="1">
        <v>26.0</v>
      </c>
      <c r="AH173" s="1">
        <v>2.0</v>
      </c>
      <c r="AI173" s="1">
        <v>34.0</v>
      </c>
      <c r="AJ173" s="1">
        <v>0.0</v>
      </c>
      <c r="AK173" s="1">
        <v>12.0</v>
      </c>
      <c r="AL173" s="1">
        <v>3.0</v>
      </c>
      <c r="AM173" s="1">
        <v>0.0</v>
      </c>
      <c r="AN173" s="1">
        <v>0.0</v>
      </c>
      <c r="AO173" s="1">
        <v>5.0</v>
      </c>
      <c r="AP173" s="1">
        <v>11.0</v>
      </c>
      <c r="AQ173" s="1">
        <v>0.0</v>
      </c>
    </row>
    <row r="174">
      <c r="A174" s="1"/>
      <c r="B174" s="1">
        <v>197.0</v>
      </c>
      <c r="C174" s="1" t="s">
        <v>1810</v>
      </c>
      <c r="D174" s="1" t="s">
        <v>1811</v>
      </c>
      <c r="E174" s="1" t="s">
        <v>1490</v>
      </c>
      <c r="F174" s="1" t="s">
        <v>43</v>
      </c>
      <c r="G174" s="2">
        <v>24187.0</v>
      </c>
      <c r="H174" s="1" t="s">
        <v>1812</v>
      </c>
      <c r="I174" s="1">
        <v>36.0</v>
      </c>
      <c r="J174" s="1" t="s">
        <v>1813</v>
      </c>
      <c r="K174" s="1">
        <v>1.0</v>
      </c>
      <c r="L174" s="2">
        <v>42907.0</v>
      </c>
      <c r="O174" s="1">
        <v>0.0</v>
      </c>
      <c r="P174" s="1" t="s">
        <v>75</v>
      </c>
      <c r="Q174" s="1" t="s">
        <v>76</v>
      </c>
      <c r="R174" s="1" t="s">
        <v>1814</v>
      </c>
      <c r="U174" s="1" t="s">
        <v>234</v>
      </c>
      <c r="V174" s="1">
        <v>606.0</v>
      </c>
      <c r="W174" s="3" t="s">
        <v>1815</v>
      </c>
      <c r="X174" s="1">
        <v>719778.0</v>
      </c>
      <c r="Y174" s="1" t="s">
        <v>1816</v>
      </c>
      <c r="Z174" s="3" t="s">
        <v>1817</v>
      </c>
      <c r="AA174" s="3" t="s">
        <v>1818</v>
      </c>
      <c r="AB174" s="1">
        <v>2.0</v>
      </c>
      <c r="AC174" s="1" t="s">
        <v>1819</v>
      </c>
      <c r="AD174" s="1">
        <v>22.0</v>
      </c>
      <c r="AE174" s="1">
        <f t="shared" si="5"/>
        <v>430</v>
      </c>
      <c r="AF174" s="1">
        <v>49.0</v>
      </c>
      <c r="AG174" s="1">
        <v>19.0</v>
      </c>
      <c r="AH174" s="1">
        <v>32.0</v>
      </c>
      <c r="AI174" s="1">
        <v>10.0</v>
      </c>
      <c r="AJ174" s="1">
        <v>18.0</v>
      </c>
      <c r="AK174" s="1">
        <v>175.0</v>
      </c>
      <c r="AL174" s="1">
        <v>105.0</v>
      </c>
      <c r="AM174" s="1">
        <v>1.0</v>
      </c>
      <c r="AN174" s="1">
        <v>0.0</v>
      </c>
      <c r="AO174" s="1">
        <v>5.0</v>
      </c>
      <c r="AP174" s="1">
        <v>2.0</v>
      </c>
      <c r="AQ174" s="1">
        <v>0.0</v>
      </c>
    </row>
    <row r="175">
      <c r="A175" s="1"/>
      <c r="B175" s="1">
        <v>5.0</v>
      </c>
      <c r="C175" s="1" t="s">
        <v>1820</v>
      </c>
      <c r="D175" s="1" t="s">
        <v>1821</v>
      </c>
      <c r="E175" s="1" t="s">
        <v>1822</v>
      </c>
      <c r="F175" s="1" t="s">
        <v>43</v>
      </c>
      <c r="G175" s="2">
        <v>31836.0</v>
      </c>
      <c r="H175" s="1" t="s">
        <v>718</v>
      </c>
      <c r="I175" s="1">
        <v>28.0</v>
      </c>
      <c r="J175" s="1" t="s">
        <v>45</v>
      </c>
      <c r="K175" s="1">
        <v>1.0</v>
      </c>
      <c r="L175" s="2">
        <v>42907.0</v>
      </c>
      <c r="O175" s="1">
        <v>0.0</v>
      </c>
      <c r="P175" s="1" t="s">
        <v>75</v>
      </c>
      <c r="Q175" s="1" t="s">
        <v>76</v>
      </c>
      <c r="R175" s="1" t="s">
        <v>1823</v>
      </c>
      <c r="U175" s="1" t="s">
        <v>234</v>
      </c>
      <c r="V175" s="1">
        <v>458.0</v>
      </c>
      <c r="W175" s="3" t="s">
        <v>1824</v>
      </c>
      <c r="X175" s="1">
        <v>719372.0</v>
      </c>
      <c r="Y175" s="1" t="s">
        <v>1825</v>
      </c>
      <c r="Z175" s="3" t="s">
        <v>1826</v>
      </c>
      <c r="AA175" s="3" t="s">
        <v>1827</v>
      </c>
      <c r="AB175" s="1">
        <v>1.0</v>
      </c>
      <c r="AC175" s="1" t="s">
        <v>1828</v>
      </c>
      <c r="AD175" s="1">
        <v>22.0</v>
      </c>
      <c r="AE175" s="1">
        <f t="shared" si="5"/>
        <v>430</v>
      </c>
      <c r="AF175" s="1">
        <v>46.0</v>
      </c>
      <c r="AG175" s="1">
        <v>36.0</v>
      </c>
      <c r="AH175" s="1">
        <v>0.0</v>
      </c>
      <c r="AI175" s="1">
        <v>0.0</v>
      </c>
      <c r="AJ175" s="1">
        <v>0.0</v>
      </c>
      <c r="AK175" s="1">
        <v>47.0</v>
      </c>
      <c r="AL175" s="1">
        <v>25.0</v>
      </c>
      <c r="AM175" s="1">
        <v>1.0</v>
      </c>
      <c r="AN175" s="1">
        <v>0.0</v>
      </c>
      <c r="AO175" s="1">
        <v>5.0</v>
      </c>
      <c r="AP175" s="1">
        <v>9.0</v>
      </c>
      <c r="AQ175" s="1">
        <v>0.0</v>
      </c>
    </row>
    <row r="176">
      <c r="A176" s="1"/>
      <c r="B176" s="1">
        <v>136.0</v>
      </c>
      <c r="C176" s="1" t="s">
        <v>1829</v>
      </c>
      <c r="D176" s="1" t="s">
        <v>1830</v>
      </c>
      <c r="E176" s="1" t="s">
        <v>1831</v>
      </c>
      <c r="F176" s="1" t="s">
        <v>58</v>
      </c>
      <c r="G176" s="2">
        <v>22700.0</v>
      </c>
      <c r="H176" s="1" t="s">
        <v>1832</v>
      </c>
      <c r="I176" s="1">
        <v>21.0</v>
      </c>
      <c r="J176" s="1" t="s">
        <v>1220</v>
      </c>
      <c r="K176" s="1">
        <v>3.0</v>
      </c>
      <c r="L176" s="2">
        <v>42907.0</v>
      </c>
      <c r="O176" s="1">
        <v>0.0</v>
      </c>
      <c r="P176" s="1" t="s">
        <v>75</v>
      </c>
      <c r="Q176" s="1" t="s">
        <v>76</v>
      </c>
      <c r="R176" s="1" t="s">
        <v>1833</v>
      </c>
      <c r="U176" s="1" t="s">
        <v>1834</v>
      </c>
      <c r="V176" s="1">
        <v>294.0</v>
      </c>
      <c r="W176" s="3" t="s">
        <v>1835</v>
      </c>
      <c r="X176" s="1">
        <v>719186.0</v>
      </c>
      <c r="Y176" s="1" t="s">
        <v>1836</v>
      </c>
      <c r="Z176" s="3" t="s">
        <v>1837</v>
      </c>
      <c r="AA176" s="3" t="s">
        <v>1838</v>
      </c>
      <c r="AB176" s="1">
        <v>1.0</v>
      </c>
      <c r="AC176" s="1" t="s">
        <v>1839</v>
      </c>
      <c r="AD176" s="1">
        <v>22.0</v>
      </c>
      <c r="AE176" s="1">
        <f t="shared" si="5"/>
        <v>430</v>
      </c>
      <c r="AF176" s="1">
        <v>42.0</v>
      </c>
      <c r="AG176" s="1">
        <v>5.0</v>
      </c>
      <c r="AH176" s="1">
        <v>4.0</v>
      </c>
      <c r="AI176" s="1">
        <v>1.0</v>
      </c>
      <c r="AJ176" s="1">
        <v>0.0</v>
      </c>
      <c r="AK176" s="1">
        <v>63.0</v>
      </c>
      <c r="AL176" s="1">
        <v>25.0</v>
      </c>
      <c r="AM176" s="1">
        <v>0.0</v>
      </c>
      <c r="AN176" s="1">
        <v>0.0</v>
      </c>
      <c r="AO176" s="1">
        <v>5.0</v>
      </c>
      <c r="AP176" s="1">
        <v>2.0</v>
      </c>
      <c r="AQ176" s="1">
        <v>2.0</v>
      </c>
    </row>
    <row r="177">
      <c r="A177" s="1"/>
      <c r="B177" s="1">
        <v>363.0</v>
      </c>
      <c r="C177" s="1" t="s">
        <v>1840</v>
      </c>
      <c r="D177" s="1" t="s">
        <v>1841</v>
      </c>
      <c r="E177" s="1" t="s">
        <v>1822</v>
      </c>
      <c r="F177" s="1" t="s">
        <v>43</v>
      </c>
      <c r="G177" s="2">
        <v>28149.0</v>
      </c>
      <c r="H177" s="1" t="s">
        <v>1842</v>
      </c>
      <c r="I177" s="1">
        <v>89.0</v>
      </c>
      <c r="J177" s="1" t="s">
        <v>877</v>
      </c>
      <c r="K177" s="1">
        <v>1.0</v>
      </c>
      <c r="L177" s="2">
        <v>42907.0</v>
      </c>
      <c r="O177" s="1">
        <v>0.0</v>
      </c>
      <c r="P177" s="1" t="s">
        <v>61</v>
      </c>
      <c r="Q177" s="1" t="s">
        <v>62</v>
      </c>
      <c r="R177" s="1" t="s">
        <v>1843</v>
      </c>
      <c r="U177" s="1" t="s">
        <v>1844</v>
      </c>
      <c r="V177" s="1">
        <v>45.0</v>
      </c>
      <c r="W177" s="3" t="s">
        <v>1845</v>
      </c>
      <c r="X177" s="1">
        <v>267785.0</v>
      </c>
      <c r="Y177" s="1" t="s">
        <v>1846</v>
      </c>
      <c r="Z177" s="3" t="s">
        <v>1847</v>
      </c>
      <c r="AA177" s="3" t="s">
        <v>1848</v>
      </c>
      <c r="AB177" s="1">
        <v>1.0</v>
      </c>
      <c r="AC177" s="1" t="s">
        <v>1849</v>
      </c>
      <c r="AD177" s="1">
        <v>22.0</v>
      </c>
      <c r="AE177" s="1">
        <f t="shared" si="5"/>
        <v>430</v>
      </c>
      <c r="AF177" s="1">
        <v>37.0</v>
      </c>
      <c r="AG177" s="1">
        <v>56.0</v>
      </c>
      <c r="AH177" s="1">
        <v>152.0</v>
      </c>
      <c r="AI177" s="1">
        <v>55.0</v>
      </c>
      <c r="AJ177" s="1">
        <v>67.0</v>
      </c>
      <c r="AK177" s="1">
        <v>523.0</v>
      </c>
      <c r="AL177" s="1">
        <v>21.0</v>
      </c>
      <c r="AM177" s="1">
        <v>0.0</v>
      </c>
      <c r="AN177" s="1">
        <v>5.0</v>
      </c>
      <c r="AO177" s="1">
        <v>20.0</v>
      </c>
      <c r="AP177" s="1">
        <v>25.0</v>
      </c>
      <c r="AQ177" s="1">
        <v>2.0</v>
      </c>
    </row>
    <row r="178">
      <c r="A178" s="1"/>
      <c r="B178" s="1">
        <v>56.0</v>
      </c>
      <c r="C178" s="1" t="s">
        <v>1850</v>
      </c>
      <c r="D178" s="1" t="s">
        <v>1851</v>
      </c>
      <c r="E178" s="1" t="s">
        <v>42</v>
      </c>
      <c r="F178" s="1" t="s">
        <v>43</v>
      </c>
      <c r="G178" s="2">
        <v>27505.0</v>
      </c>
      <c r="H178" s="1" t="s">
        <v>1852</v>
      </c>
      <c r="I178" s="1">
        <v>85.0</v>
      </c>
      <c r="J178" s="1" t="s">
        <v>1853</v>
      </c>
      <c r="K178" s="1">
        <v>1.0</v>
      </c>
      <c r="L178" s="2">
        <v>42907.0</v>
      </c>
      <c r="O178" s="1">
        <v>0.0</v>
      </c>
      <c r="P178" s="1" t="s">
        <v>280</v>
      </c>
      <c r="Q178" s="1" t="s">
        <v>281</v>
      </c>
      <c r="R178" s="3" t="s">
        <v>1854</v>
      </c>
      <c r="U178" s="1" t="s">
        <v>234</v>
      </c>
      <c r="V178" s="1">
        <v>253.0</v>
      </c>
      <c r="W178" s="3" t="s">
        <v>1855</v>
      </c>
      <c r="X178" s="1">
        <v>721984.0</v>
      </c>
      <c r="Y178" s="1" t="s">
        <v>1856</v>
      </c>
      <c r="Z178" s="3" t="s">
        <v>1857</v>
      </c>
      <c r="AA178" s="3" t="s">
        <v>1858</v>
      </c>
      <c r="AB178" s="1">
        <v>1.0</v>
      </c>
      <c r="AC178" s="1" t="s">
        <v>1859</v>
      </c>
      <c r="AD178" s="1">
        <v>22.0</v>
      </c>
      <c r="AE178" s="1">
        <f t="shared" si="5"/>
        <v>430</v>
      </c>
      <c r="AF178" s="1">
        <v>40.0</v>
      </c>
      <c r="AG178" s="1">
        <v>48.0</v>
      </c>
      <c r="AH178" s="1">
        <v>47.0</v>
      </c>
      <c r="AI178" s="1">
        <v>6.0</v>
      </c>
      <c r="AJ178" s="1">
        <v>20.0</v>
      </c>
      <c r="AK178" s="1">
        <v>261.0</v>
      </c>
      <c r="AL178" s="1">
        <v>25.0</v>
      </c>
      <c r="AM178" s="1">
        <v>0.0</v>
      </c>
      <c r="AN178" s="1">
        <v>1.0</v>
      </c>
      <c r="AO178" s="1">
        <v>5.0</v>
      </c>
      <c r="AP178" s="1">
        <v>6.0</v>
      </c>
      <c r="AQ178" s="1">
        <v>0.0</v>
      </c>
    </row>
    <row r="179">
      <c r="A179" s="1"/>
      <c r="B179" s="1">
        <v>141.0</v>
      </c>
      <c r="C179" s="1" t="s">
        <v>1860</v>
      </c>
      <c r="D179" s="1" t="s">
        <v>1861</v>
      </c>
      <c r="E179" s="1" t="s">
        <v>810</v>
      </c>
      <c r="F179" s="1" t="s">
        <v>43</v>
      </c>
      <c r="G179" s="2">
        <v>20899.0</v>
      </c>
      <c r="H179" s="1" t="s">
        <v>1862</v>
      </c>
      <c r="I179" s="1">
        <v>47.0</v>
      </c>
      <c r="J179" s="1" t="s">
        <v>907</v>
      </c>
      <c r="K179" s="1">
        <v>1.0</v>
      </c>
      <c r="L179" s="2">
        <v>42907.0</v>
      </c>
      <c r="O179" s="1">
        <v>0.0</v>
      </c>
      <c r="P179" s="1" t="s">
        <v>75</v>
      </c>
      <c r="Q179" s="1" t="s">
        <v>76</v>
      </c>
      <c r="R179" s="3" t="s">
        <v>1863</v>
      </c>
      <c r="U179" s="1" t="s">
        <v>151</v>
      </c>
      <c r="V179" s="1">
        <v>400.0</v>
      </c>
      <c r="W179" s="3" t="s">
        <v>1864</v>
      </c>
      <c r="X179" s="1">
        <v>720022.0</v>
      </c>
      <c r="Y179" s="1" t="s">
        <v>1865</v>
      </c>
      <c r="Z179" s="3" t="s">
        <v>1866</v>
      </c>
      <c r="AA179" s="3" t="s">
        <v>1867</v>
      </c>
      <c r="AB179" s="1">
        <v>2.0</v>
      </c>
      <c r="AC179" s="1" t="s">
        <v>1868</v>
      </c>
      <c r="AD179" s="1">
        <v>22.0</v>
      </c>
      <c r="AE179" s="1">
        <f t="shared" si="5"/>
        <v>430</v>
      </c>
      <c r="AF179" s="1">
        <v>65.0</v>
      </c>
      <c r="AG179" s="1">
        <v>25.0</v>
      </c>
      <c r="AH179" s="1">
        <v>6.0</v>
      </c>
      <c r="AI179" s="1">
        <v>0.0</v>
      </c>
      <c r="AJ179" s="1">
        <v>0.0</v>
      </c>
      <c r="AK179" s="1">
        <v>152.0</v>
      </c>
      <c r="AL179" s="1">
        <v>104.0</v>
      </c>
      <c r="AM179" s="1">
        <v>1.0</v>
      </c>
      <c r="AN179" s="1">
        <v>0.0</v>
      </c>
      <c r="AO179" s="1">
        <v>6.0</v>
      </c>
      <c r="AP179" s="1">
        <v>6.0</v>
      </c>
      <c r="AQ179" s="1">
        <v>1.0</v>
      </c>
    </row>
    <row r="180">
      <c r="A180" s="1"/>
      <c r="B180" s="1">
        <v>341.0</v>
      </c>
      <c r="C180" s="1" t="s">
        <v>1869</v>
      </c>
      <c r="D180" s="1" t="s">
        <v>1870</v>
      </c>
      <c r="E180" s="1" t="s">
        <v>1871</v>
      </c>
      <c r="F180" s="1" t="s">
        <v>58</v>
      </c>
      <c r="G180" s="2">
        <v>29180.0</v>
      </c>
      <c r="H180" s="1" t="s">
        <v>1872</v>
      </c>
      <c r="I180" s="1">
        <v>26.0</v>
      </c>
      <c r="J180" s="1" t="s">
        <v>1873</v>
      </c>
      <c r="K180" s="1">
        <v>3.0</v>
      </c>
      <c r="L180" s="2">
        <v>42907.0</v>
      </c>
      <c r="O180" s="1">
        <v>0.0</v>
      </c>
      <c r="P180" s="1" t="s">
        <v>75</v>
      </c>
      <c r="Q180" s="1" t="s">
        <v>76</v>
      </c>
      <c r="R180" s="1" t="s">
        <v>1874</v>
      </c>
      <c r="U180" s="1" t="s">
        <v>827</v>
      </c>
      <c r="V180" s="1">
        <v>473.0</v>
      </c>
      <c r="W180" s="3" t="s">
        <v>1875</v>
      </c>
      <c r="X180" s="1">
        <v>719310.0</v>
      </c>
      <c r="Y180" s="1" t="s">
        <v>1876</v>
      </c>
      <c r="Z180" s="3" t="s">
        <v>1877</v>
      </c>
      <c r="AA180" s="3" t="s">
        <v>1878</v>
      </c>
      <c r="AB180" s="1">
        <v>1.0</v>
      </c>
      <c r="AC180" s="1" t="s">
        <v>1879</v>
      </c>
      <c r="AD180" s="1">
        <v>22.0</v>
      </c>
      <c r="AE180" s="1">
        <f t="shared" si="5"/>
        <v>430</v>
      </c>
      <c r="AF180" s="1">
        <v>40.0</v>
      </c>
      <c r="AG180" s="1">
        <v>51.0</v>
      </c>
      <c r="AH180" s="1">
        <v>28.0</v>
      </c>
      <c r="AI180" s="1">
        <v>2.0</v>
      </c>
      <c r="AJ180" s="1">
        <v>73.0</v>
      </c>
      <c r="AK180" s="1">
        <v>173.0</v>
      </c>
      <c r="AL180" s="1">
        <v>140.0</v>
      </c>
      <c r="AM180" s="1">
        <v>2.0</v>
      </c>
      <c r="AN180" s="1">
        <v>0.0</v>
      </c>
      <c r="AO180" s="1">
        <v>5.0</v>
      </c>
      <c r="AP180" s="1">
        <v>0.0</v>
      </c>
      <c r="AQ180" s="1">
        <v>1.0</v>
      </c>
    </row>
    <row r="181">
      <c r="A181" s="1"/>
      <c r="B181" s="1">
        <v>252.0</v>
      </c>
      <c r="C181" s="1" t="s">
        <v>1880</v>
      </c>
      <c r="D181" s="1" t="s">
        <v>1881</v>
      </c>
      <c r="E181" s="1" t="s">
        <v>944</v>
      </c>
      <c r="F181" s="1" t="s">
        <v>43</v>
      </c>
      <c r="G181" s="2">
        <v>20787.0</v>
      </c>
      <c r="H181" s="1" t="s">
        <v>1882</v>
      </c>
      <c r="I181" s="1">
        <v>22.0</v>
      </c>
      <c r="J181" s="1" t="s">
        <v>1883</v>
      </c>
      <c r="K181" s="1">
        <v>3.0</v>
      </c>
      <c r="L181" s="2">
        <v>42907.0</v>
      </c>
      <c r="O181" s="1">
        <v>0.0</v>
      </c>
      <c r="P181" s="1" t="s">
        <v>61</v>
      </c>
      <c r="Q181" s="1" t="s">
        <v>62</v>
      </c>
      <c r="R181" s="1" t="s">
        <v>1884</v>
      </c>
      <c r="U181" s="1" t="s">
        <v>1885</v>
      </c>
      <c r="V181" s="1">
        <v>96.0</v>
      </c>
      <c r="W181" s="3" t="s">
        <v>1886</v>
      </c>
      <c r="X181" s="1">
        <v>1874.0</v>
      </c>
      <c r="Y181" s="1" t="s">
        <v>1887</v>
      </c>
      <c r="Z181" s="3" t="s">
        <v>1888</v>
      </c>
      <c r="AA181" s="3" t="s">
        <v>1889</v>
      </c>
      <c r="AB181" s="1">
        <v>1.0</v>
      </c>
      <c r="AC181" s="1" t="s">
        <v>1890</v>
      </c>
      <c r="AD181" s="1">
        <v>22.0</v>
      </c>
      <c r="AE181" s="1">
        <f t="shared" si="5"/>
        <v>430</v>
      </c>
      <c r="AF181" s="1">
        <v>39.0</v>
      </c>
      <c r="AG181" s="1">
        <v>89.0</v>
      </c>
      <c r="AH181" s="1">
        <v>638.0</v>
      </c>
      <c r="AI181" s="1">
        <v>2335.0</v>
      </c>
      <c r="AJ181" s="1">
        <v>545.0</v>
      </c>
      <c r="AK181" s="1">
        <v>1604.0</v>
      </c>
      <c r="AL181" s="1">
        <v>49.0</v>
      </c>
      <c r="AM181" s="1">
        <v>1.0</v>
      </c>
      <c r="AN181" s="1">
        <v>14.0</v>
      </c>
      <c r="AO181" s="1">
        <v>81.0</v>
      </c>
      <c r="AP181" s="1">
        <v>9.0</v>
      </c>
      <c r="AQ181" s="1">
        <v>1.0</v>
      </c>
    </row>
    <row r="182">
      <c r="A182" s="1"/>
      <c r="B182" s="1">
        <v>344.0</v>
      </c>
      <c r="C182" s="1" t="s">
        <v>1891</v>
      </c>
      <c r="D182" s="1" t="s">
        <v>1892</v>
      </c>
      <c r="E182" s="1" t="s">
        <v>567</v>
      </c>
      <c r="F182" s="1" t="s">
        <v>43</v>
      </c>
      <c r="G182" s="2">
        <v>21318.0</v>
      </c>
      <c r="H182" s="1" t="s">
        <v>1893</v>
      </c>
      <c r="I182" s="1">
        <v>75.0</v>
      </c>
      <c r="J182" s="1" t="s">
        <v>232</v>
      </c>
      <c r="K182" s="1">
        <v>2.0</v>
      </c>
      <c r="L182" s="2">
        <v>42907.0</v>
      </c>
      <c r="O182" s="1">
        <v>0.0</v>
      </c>
      <c r="P182" s="1" t="s">
        <v>75</v>
      </c>
      <c r="Q182" s="1" t="s">
        <v>76</v>
      </c>
      <c r="R182" s="1" t="s">
        <v>1894</v>
      </c>
      <c r="U182" s="1" t="s">
        <v>198</v>
      </c>
      <c r="V182" s="1">
        <v>436.0</v>
      </c>
      <c r="W182" s="3" t="s">
        <v>1895</v>
      </c>
      <c r="X182" s="1">
        <v>721466.0</v>
      </c>
      <c r="Y182" s="1" t="s">
        <v>1896</v>
      </c>
      <c r="Z182" s="3" t="s">
        <v>1897</v>
      </c>
      <c r="AA182" s="3" t="s">
        <v>1898</v>
      </c>
      <c r="AB182" s="1">
        <v>1.0</v>
      </c>
      <c r="AC182" s="1" t="s">
        <v>1899</v>
      </c>
      <c r="AD182" s="1">
        <v>22.0</v>
      </c>
      <c r="AE182" s="1">
        <f t="shared" si="5"/>
        <v>430</v>
      </c>
      <c r="AF182" s="1">
        <v>48.0</v>
      </c>
      <c r="AG182" s="1">
        <v>9.0</v>
      </c>
      <c r="AH182" s="1">
        <v>38.0</v>
      </c>
      <c r="AI182" s="1">
        <v>17.0</v>
      </c>
      <c r="AJ182" s="1">
        <v>0.0</v>
      </c>
      <c r="AK182" s="1">
        <v>149.0</v>
      </c>
      <c r="AL182" s="1">
        <v>103.0</v>
      </c>
      <c r="AM182" s="1">
        <v>1.0</v>
      </c>
      <c r="AN182" s="1">
        <v>0.0</v>
      </c>
      <c r="AO182" s="1">
        <v>5.0</v>
      </c>
      <c r="AP182" s="1">
        <v>0.0</v>
      </c>
      <c r="AQ182" s="1">
        <v>0.0</v>
      </c>
    </row>
    <row r="183">
      <c r="A183" s="1"/>
      <c r="B183" s="1">
        <v>485.0</v>
      </c>
      <c r="C183" s="1" t="s">
        <v>1900</v>
      </c>
      <c r="D183" s="1" t="s">
        <v>1901</v>
      </c>
      <c r="E183" s="1" t="s">
        <v>1902</v>
      </c>
      <c r="F183" s="1" t="s">
        <v>58</v>
      </c>
      <c r="G183" s="2">
        <v>21821.0</v>
      </c>
      <c r="H183" s="1" t="s">
        <v>1903</v>
      </c>
      <c r="I183" s="1">
        <v>56.0</v>
      </c>
      <c r="J183" s="1" t="s">
        <v>1343</v>
      </c>
      <c r="K183" s="1">
        <v>3.0</v>
      </c>
      <c r="L183" s="2">
        <v>42907.0</v>
      </c>
      <c r="O183" s="1">
        <v>0.0</v>
      </c>
      <c r="P183" s="1" t="s">
        <v>75</v>
      </c>
      <c r="Q183" s="1" t="s">
        <v>76</v>
      </c>
      <c r="R183" s="1" t="s">
        <v>1904</v>
      </c>
      <c r="U183" s="1" t="s">
        <v>1905</v>
      </c>
      <c r="V183" s="1">
        <v>220.0</v>
      </c>
      <c r="W183" s="3" t="s">
        <v>1906</v>
      </c>
      <c r="X183" s="1">
        <v>720342.0</v>
      </c>
      <c r="Y183" s="1" t="s">
        <v>1907</v>
      </c>
      <c r="Z183" s="3" t="s">
        <v>1908</v>
      </c>
      <c r="AA183" s="3" t="s">
        <v>1909</v>
      </c>
      <c r="AB183" s="1">
        <v>1.0</v>
      </c>
      <c r="AC183" s="1" t="s">
        <v>1910</v>
      </c>
      <c r="AD183" s="1">
        <v>22.0</v>
      </c>
      <c r="AE183" s="1">
        <f t="shared" si="5"/>
        <v>430</v>
      </c>
      <c r="AF183" s="1">
        <v>68.0</v>
      </c>
      <c r="AG183" s="1">
        <v>3.0</v>
      </c>
      <c r="AH183" s="1">
        <v>0.0</v>
      </c>
      <c r="AI183" s="1">
        <v>0.0</v>
      </c>
      <c r="AJ183" s="1">
        <v>0.0</v>
      </c>
      <c r="AK183" s="1">
        <v>88.0</v>
      </c>
      <c r="AL183" s="1">
        <v>41.0</v>
      </c>
      <c r="AM183" s="1">
        <v>0.0</v>
      </c>
      <c r="AN183" s="1">
        <v>0.0</v>
      </c>
      <c r="AO183" s="1">
        <v>6.0</v>
      </c>
      <c r="AP183" s="1">
        <v>6.0</v>
      </c>
      <c r="AQ183" s="1">
        <v>0.0</v>
      </c>
    </row>
    <row r="184">
      <c r="A184" s="1"/>
      <c r="B184" s="1">
        <v>276.0</v>
      </c>
      <c r="C184" s="1" t="s">
        <v>1911</v>
      </c>
      <c r="D184" s="1" t="s">
        <v>1912</v>
      </c>
      <c r="E184" s="1" t="s">
        <v>1913</v>
      </c>
      <c r="F184" s="1" t="s">
        <v>58</v>
      </c>
      <c r="G184" s="2">
        <v>28323.0</v>
      </c>
      <c r="H184" s="1" t="s">
        <v>1914</v>
      </c>
      <c r="I184" s="1">
        <v>59.0</v>
      </c>
      <c r="J184" s="1" t="s">
        <v>172</v>
      </c>
      <c r="K184" s="1">
        <v>6.0</v>
      </c>
      <c r="L184" s="2">
        <v>42907.0</v>
      </c>
      <c r="O184" s="1">
        <v>0.0</v>
      </c>
      <c r="P184" s="1" t="s">
        <v>75</v>
      </c>
      <c r="Q184" s="1" t="s">
        <v>76</v>
      </c>
      <c r="R184" s="1" t="s">
        <v>1915</v>
      </c>
      <c r="U184" s="1" t="s">
        <v>198</v>
      </c>
      <c r="V184" s="1">
        <v>393.0</v>
      </c>
      <c r="W184" s="3" t="s">
        <v>1916</v>
      </c>
      <c r="X184" s="1">
        <v>720480.0</v>
      </c>
      <c r="Y184" s="1" t="s">
        <v>1917</v>
      </c>
      <c r="Z184" s="3" t="s">
        <v>1918</v>
      </c>
      <c r="AA184" s="3" t="s">
        <v>1919</v>
      </c>
      <c r="AB184" s="1">
        <v>1.0</v>
      </c>
      <c r="AC184" s="1" t="s">
        <v>1920</v>
      </c>
      <c r="AD184" s="1">
        <v>22.0</v>
      </c>
      <c r="AE184" s="1">
        <f t="shared" si="5"/>
        <v>430</v>
      </c>
      <c r="AF184" s="1">
        <v>48.0</v>
      </c>
      <c r="AG184" s="1">
        <v>15.0</v>
      </c>
      <c r="AH184" s="1">
        <v>6.0</v>
      </c>
      <c r="AI184" s="1">
        <v>1.0</v>
      </c>
      <c r="AJ184" s="1">
        <v>4.0</v>
      </c>
      <c r="AK184" s="1">
        <v>73.0</v>
      </c>
      <c r="AL184" s="1">
        <v>27.0</v>
      </c>
      <c r="AM184" s="1">
        <v>1.0</v>
      </c>
      <c r="AN184" s="1">
        <v>0.0</v>
      </c>
      <c r="AO184" s="1">
        <v>7.0</v>
      </c>
      <c r="AP184" s="1">
        <v>13.0</v>
      </c>
      <c r="AQ184" s="1">
        <v>1.0</v>
      </c>
    </row>
    <row r="185">
      <c r="A185" s="1"/>
      <c r="B185" s="1">
        <v>398.0</v>
      </c>
      <c r="C185" s="1" t="s">
        <v>1921</v>
      </c>
      <c r="D185" s="1" t="s">
        <v>1922</v>
      </c>
      <c r="E185" s="1" t="s">
        <v>1511</v>
      </c>
      <c r="F185" s="1" t="s">
        <v>43</v>
      </c>
      <c r="G185" s="2">
        <v>24279.0</v>
      </c>
      <c r="H185" s="1" t="s">
        <v>1923</v>
      </c>
      <c r="I185" s="1">
        <v>59.0</v>
      </c>
      <c r="J185" s="1" t="s">
        <v>172</v>
      </c>
      <c r="K185" s="1">
        <v>10.0</v>
      </c>
      <c r="L185" s="2">
        <v>42907.0</v>
      </c>
      <c r="O185" s="1">
        <v>0.0</v>
      </c>
      <c r="P185" s="1" t="s">
        <v>46</v>
      </c>
      <c r="Q185" s="1" t="s">
        <v>47</v>
      </c>
      <c r="R185" s="1" t="s">
        <v>1924</v>
      </c>
      <c r="U185" s="1" t="s">
        <v>1925</v>
      </c>
      <c r="V185" s="1">
        <v>129.0</v>
      </c>
      <c r="W185" s="3" t="s">
        <v>1926</v>
      </c>
      <c r="X185" s="1">
        <v>712014.0</v>
      </c>
      <c r="Y185" s="1" t="s">
        <v>1927</v>
      </c>
      <c r="Z185" s="3" t="s">
        <v>1928</v>
      </c>
      <c r="AA185" s="3" t="s">
        <v>1929</v>
      </c>
      <c r="AB185" s="1">
        <v>2.0</v>
      </c>
      <c r="AC185" s="1" t="s">
        <v>1930</v>
      </c>
      <c r="AD185" s="1">
        <v>22.0</v>
      </c>
      <c r="AE185" s="1">
        <f t="shared" si="5"/>
        <v>430</v>
      </c>
      <c r="AF185" s="1">
        <v>29.0</v>
      </c>
      <c r="AG185" s="1">
        <v>10.0</v>
      </c>
      <c r="AH185" s="1">
        <v>45.0</v>
      </c>
      <c r="AI185" s="1">
        <v>8.0</v>
      </c>
      <c r="AJ185" s="1">
        <v>22.0</v>
      </c>
      <c r="AK185" s="1">
        <v>629.0</v>
      </c>
      <c r="AL185" s="1">
        <v>36.0</v>
      </c>
      <c r="AM185" s="1">
        <v>1.0</v>
      </c>
      <c r="AN185" s="1">
        <v>1.0</v>
      </c>
      <c r="AO185" s="1">
        <v>35.0</v>
      </c>
      <c r="AP185" s="1">
        <v>9.0</v>
      </c>
      <c r="AQ185" s="1">
        <v>6.0</v>
      </c>
    </row>
    <row r="186">
      <c r="A186" s="1"/>
      <c r="B186" s="1">
        <v>572.0</v>
      </c>
      <c r="C186" s="1" t="s">
        <v>1931</v>
      </c>
      <c r="D186" s="1" t="s">
        <v>1932</v>
      </c>
      <c r="E186" s="1" t="s">
        <v>1933</v>
      </c>
      <c r="F186" s="1" t="s">
        <v>58</v>
      </c>
      <c r="G186" s="2">
        <v>30576.0</v>
      </c>
      <c r="H186" s="1" t="s">
        <v>1075</v>
      </c>
      <c r="I186" s="1">
        <v>13.0</v>
      </c>
      <c r="J186" s="1" t="s">
        <v>279</v>
      </c>
      <c r="K186" s="1">
        <v>3.0</v>
      </c>
      <c r="L186" s="2">
        <v>42907.0</v>
      </c>
      <c r="O186" s="1">
        <v>0.0</v>
      </c>
      <c r="P186" s="1" t="s">
        <v>75</v>
      </c>
      <c r="Q186" s="1" t="s">
        <v>76</v>
      </c>
      <c r="U186" s="1" t="s">
        <v>304</v>
      </c>
      <c r="V186" s="1">
        <v>456.0</v>
      </c>
      <c r="W186" s="3" t="s">
        <v>1934</v>
      </c>
      <c r="X186" s="1">
        <v>718918.0</v>
      </c>
      <c r="Y186" s="1" t="s">
        <v>1935</v>
      </c>
      <c r="Z186" s="3" t="s">
        <v>1936</v>
      </c>
      <c r="AA186" s="3" t="s">
        <v>1937</v>
      </c>
      <c r="AB186" s="1">
        <v>1.0</v>
      </c>
      <c r="AD186" s="1">
        <v>22.0</v>
      </c>
      <c r="AE186" s="1">
        <f t="shared" si="5"/>
        <v>430</v>
      </c>
      <c r="AF186" s="1">
        <v>37.0</v>
      </c>
      <c r="AG186" s="1">
        <v>7.0</v>
      </c>
      <c r="AH186" s="1">
        <v>22.0</v>
      </c>
      <c r="AI186" s="1">
        <v>3.0</v>
      </c>
      <c r="AJ186" s="1">
        <v>0.0</v>
      </c>
      <c r="AK186" s="1">
        <v>59.0</v>
      </c>
      <c r="AL186" s="1">
        <v>25.0</v>
      </c>
      <c r="AM186" s="1">
        <v>0.0</v>
      </c>
      <c r="AN186" s="1">
        <v>0.0</v>
      </c>
      <c r="AO186" s="1">
        <v>5.0</v>
      </c>
      <c r="AP186" s="1">
        <v>0.0</v>
      </c>
      <c r="AQ186" s="1">
        <v>1.0</v>
      </c>
    </row>
    <row r="187">
      <c r="A187" s="1"/>
      <c r="B187" s="1">
        <v>259.0</v>
      </c>
      <c r="C187" s="1" t="s">
        <v>1938</v>
      </c>
      <c r="D187" s="1" t="s">
        <v>1939</v>
      </c>
      <c r="E187" s="1" t="s">
        <v>1940</v>
      </c>
      <c r="F187" s="1" t="s">
        <v>58</v>
      </c>
      <c r="G187" s="2">
        <v>31047.0</v>
      </c>
      <c r="H187" s="1" t="s">
        <v>1941</v>
      </c>
      <c r="I187" s="1">
        <v>51.0</v>
      </c>
      <c r="J187" s="1" t="s">
        <v>208</v>
      </c>
      <c r="K187" s="1">
        <v>4.0</v>
      </c>
      <c r="L187" s="2">
        <v>42907.0</v>
      </c>
      <c r="O187" s="1">
        <v>0.0</v>
      </c>
      <c r="P187" s="1" t="s">
        <v>46</v>
      </c>
      <c r="Q187" s="1" t="s">
        <v>47</v>
      </c>
      <c r="R187" s="1" t="s">
        <v>1942</v>
      </c>
      <c r="U187" s="1" t="s">
        <v>1943</v>
      </c>
      <c r="V187" s="1">
        <v>156.0</v>
      </c>
      <c r="W187" s="3" t="s">
        <v>1944</v>
      </c>
      <c r="X187" s="1">
        <v>720230.0</v>
      </c>
      <c r="Y187" s="1" t="s">
        <v>1945</v>
      </c>
      <c r="Z187" s="3" t="s">
        <v>1946</v>
      </c>
      <c r="AA187" s="3" t="s">
        <v>1947</v>
      </c>
      <c r="AB187" s="1">
        <v>2.0</v>
      </c>
      <c r="AC187" s="1" t="s">
        <v>1948</v>
      </c>
      <c r="AD187" s="1">
        <v>22.0</v>
      </c>
      <c r="AE187" s="1">
        <f t="shared" si="5"/>
        <v>430</v>
      </c>
      <c r="AF187" s="1">
        <v>45.0</v>
      </c>
      <c r="AG187" s="1">
        <v>41.0</v>
      </c>
      <c r="AH187" s="1">
        <v>87.0</v>
      </c>
      <c r="AI187" s="1">
        <v>24.0</v>
      </c>
      <c r="AJ187" s="1">
        <v>146.0</v>
      </c>
      <c r="AK187" s="1">
        <v>662.0</v>
      </c>
      <c r="AL187" s="1">
        <v>33.0</v>
      </c>
      <c r="AM187" s="1">
        <v>0.0</v>
      </c>
      <c r="AN187" s="1">
        <v>0.0</v>
      </c>
      <c r="AO187" s="1">
        <v>22.0</v>
      </c>
      <c r="AP187" s="1">
        <v>13.0</v>
      </c>
      <c r="AQ187" s="1">
        <v>3.0</v>
      </c>
    </row>
    <row r="188">
      <c r="A188" s="1"/>
      <c r="B188" s="1">
        <v>565.0</v>
      </c>
      <c r="C188" s="1" t="s">
        <v>1949</v>
      </c>
      <c r="D188" s="1" t="s">
        <v>1950</v>
      </c>
      <c r="E188" s="1" t="s">
        <v>905</v>
      </c>
      <c r="F188" s="1" t="s">
        <v>43</v>
      </c>
      <c r="G188" s="2">
        <v>25970.0</v>
      </c>
      <c r="H188" s="1" t="s">
        <v>695</v>
      </c>
      <c r="I188" s="1">
        <v>28.0</v>
      </c>
      <c r="J188" s="1" t="s">
        <v>45</v>
      </c>
      <c r="K188" s="1">
        <v>2.0</v>
      </c>
      <c r="L188" s="2">
        <v>42907.0</v>
      </c>
      <c r="O188" s="1">
        <v>0.0</v>
      </c>
      <c r="P188" s="1" t="s">
        <v>61</v>
      </c>
      <c r="Q188" s="1" t="s">
        <v>62</v>
      </c>
      <c r="R188" s="1" t="s">
        <v>1951</v>
      </c>
      <c r="U188" s="1" t="s">
        <v>118</v>
      </c>
      <c r="V188" s="1">
        <v>33.0</v>
      </c>
      <c r="W188" s="3" t="s">
        <v>1952</v>
      </c>
      <c r="X188" s="1">
        <v>606098.0</v>
      </c>
      <c r="Y188" s="1" t="s">
        <v>1953</v>
      </c>
      <c r="Z188" s="3" t="s">
        <v>1954</v>
      </c>
      <c r="AA188" s="3" t="s">
        <v>1955</v>
      </c>
      <c r="AB188" s="1">
        <v>2.0</v>
      </c>
      <c r="AC188" s="1" t="s">
        <v>1956</v>
      </c>
      <c r="AD188" s="1">
        <v>22.0</v>
      </c>
      <c r="AE188" s="1">
        <f t="shared" si="5"/>
        <v>430</v>
      </c>
      <c r="AF188" s="1">
        <v>57.0</v>
      </c>
      <c r="AG188" s="1">
        <v>201.0</v>
      </c>
      <c r="AH188" s="1">
        <v>62.0</v>
      </c>
      <c r="AI188" s="1">
        <v>51.0</v>
      </c>
      <c r="AJ188" s="1">
        <v>34.0</v>
      </c>
      <c r="AK188" s="1">
        <v>537.0</v>
      </c>
      <c r="AL188" s="1">
        <v>19.0</v>
      </c>
      <c r="AM188" s="1">
        <v>2.0</v>
      </c>
      <c r="AN188" s="1">
        <v>2.0</v>
      </c>
      <c r="AO188" s="1">
        <v>27.0</v>
      </c>
      <c r="AP188" s="1">
        <v>3.0</v>
      </c>
      <c r="AQ188" s="1">
        <v>1.0</v>
      </c>
    </row>
    <row r="189">
      <c r="A189" s="1"/>
      <c r="B189" s="1">
        <v>569.0</v>
      </c>
      <c r="C189" s="1" t="s">
        <v>1957</v>
      </c>
      <c r="D189" s="1" t="s">
        <v>1958</v>
      </c>
      <c r="E189" s="1" t="s">
        <v>1540</v>
      </c>
      <c r="F189" s="1" t="s">
        <v>43</v>
      </c>
      <c r="G189" s="2">
        <v>25287.0</v>
      </c>
      <c r="H189" s="1" t="s">
        <v>1959</v>
      </c>
      <c r="I189" s="1">
        <v>12.0</v>
      </c>
      <c r="J189" s="1" t="s">
        <v>685</v>
      </c>
      <c r="K189" s="1">
        <v>1.0</v>
      </c>
      <c r="L189" s="2">
        <v>42907.0</v>
      </c>
      <c r="O189" s="1">
        <v>0.0</v>
      </c>
      <c r="P189" s="1" t="s">
        <v>75</v>
      </c>
      <c r="Q189" s="1" t="s">
        <v>76</v>
      </c>
      <c r="R189" s="1" t="s">
        <v>1960</v>
      </c>
      <c r="U189" s="1" t="s">
        <v>304</v>
      </c>
      <c r="V189" s="1">
        <v>407.0</v>
      </c>
      <c r="W189" s="3" t="s">
        <v>1961</v>
      </c>
      <c r="X189" s="1">
        <v>677483.0</v>
      </c>
      <c r="Y189" s="1" t="s">
        <v>1962</v>
      </c>
      <c r="Z189" s="3" t="s">
        <v>1963</v>
      </c>
      <c r="AA189" s="3" t="s">
        <v>1964</v>
      </c>
      <c r="AB189" s="1">
        <v>1.0</v>
      </c>
      <c r="AC189" s="1" t="s">
        <v>1965</v>
      </c>
      <c r="AD189" s="1">
        <v>22.0</v>
      </c>
      <c r="AE189" s="1">
        <f t="shared" si="5"/>
        <v>430</v>
      </c>
      <c r="AF189" s="1">
        <v>50.0</v>
      </c>
      <c r="AG189" s="1">
        <v>57.0</v>
      </c>
      <c r="AH189" s="1">
        <v>15.0</v>
      </c>
      <c r="AI189" s="1">
        <v>3.0</v>
      </c>
      <c r="AJ189" s="1">
        <v>11.0</v>
      </c>
      <c r="AK189" s="1">
        <v>149.0</v>
      </c>
      <c r="AL189" s="1">
        <v>65.0</v>
      </c>
      <c r="AM189" s="1">
        <v>1.0</v>
      </c>
      <c r="AN189" s="1">
        <v>0.0</v>
      </c>
      <c r="AO189" s="1">
        <v>5.0</v>
      </c>
      <c r="AP189" s="1">
        <v>1.0</v>
      </c>
      <c r="AQ189" s="1">
        <v>2.0</v>
      </c>
    </row>
    <row r="190">
      <c r="A190" s="1"/>
      <c r="B190" s="1">
        <v>412.0</v>
      </c>
      <c r="C190" s="1" t="s">
        <v>1966</v>
      </c>
      <c r="D190" s="1" t="s">
        <v>1967</v>
      </c>
      <c r="E190" s="1" t="s">
        <v>1968</v>
      </c>
      <c r="F190" s="1" t="s">
        <v>43</v>
      </c>
      <c r="G190" s="2">
        <v>19121.0</v>
      </c>
      <c r="H190" s="1" t="s">
        <v>1969</v>
      </c>
      <c r="I190" s="1">
        <v>10.0</v>
      </c>
      <c r="J190" s="1" t="s">
        <v>1970</v>
      </c>
      <c r="K190" s="1">
        <v>3.0</v>
      </c>
      <c r="L190" s="2">
        <v>42907.0</v>
      </c>
      <c r="O190" s="1">
        <v>0.0</v>
      </c>
      <c r="P190" s="1" t="s">
        <v>61</v>
      </c>
      <c r="Q190" s="1" t="s">
        <v>62</v>
      </c>
      <c r="U190" s="1" t="s">
        <v>1067</v>
      </c>
      <c r="V190" s="1">
        <v>118.0</v>
      </c>
      <c r="W190" s="3" t="s">
        <v>1971</v>
      </c>
      <c r="X190" s="1">
        <v>2155.0</v>
      </c>
      <c r="Y190" s="1" t="s">
        <v>1972</v>
      </c>
      <c r="Z190" s="3" t="s">
        <v>1973</v>
      </c>
      <c r="AA190" s="3" t="s">
        <v>1974</v>
      </c>
      <c r="AB190" s="1">
        <v>2.0</v>
      </c>
      <c r="AD190" s="1">
        <v>22.0</v>
      </c>
      <c r="AE190" s="1">
        <f t="shared" si="5"/>
        <v>430</v>
      </c>
      <c r="AF190" s="1">
        <v>43.0</v>
      </c>
      <c r="AG190" s="1">
        <v>13.0</v>
      </c>
      <c r="AH190" s="1">
        <v>8.0</v>
      </c>
      <c r="AI190" s="1">
        <v>5.0</v>
      </c>
      <c r="AJ190" s="1">
        <v>1.0</v>
      </c>
      <c r="AK190" s="1">
        <v>640.0</v>
      </c>
      <c r="AL190" s="1">
        <v>20.0</v>
      </c>
      <c r="AM190" s="1">
        <v>1.0</v>
      </c>
      <c r="AN190" s="1">
        <v>0.0</v>
      </c>
      <c r="AO190" s="1">
        <v>18.0</v>
      </c>
      <c r="AP190" s="1">
        <v>14.0</v>
      </c>
      <c r="AQ190" s="1">
        <v>1.0</v>
      </c>
    </row>
    <row r="191">
      <c r="A191" s="1"/>
      <c r="B191" s="1">
        <v>29.0</v>
      </c>
      <c r="C191" s="1" t="s">
        <v>1975</v>
      </c>
      <c r="D191" s="1" t="s">
        <v>1976</v>
      </c>
      <c r="E191" s="1" t="s">
        <v>846</v>
      </c>
      <c r="F191" s="1" t="s">
        <v>43</v>
      </c>
      <c r="G191" s="2">
        <v>22787.0</v>
      </c>
      <c r="H191" s="1" t="s">
        <v>1977</v>
      </c>
      <c r="I191" s="1">
        <v>56.0</v>
      </c>
      <c r="J191" s="1" t="s">
        <v>1343</v>
      </c>
      <c r="K191" s="1">
        <v>4.0</v>
      </c>
      <c r="L191" s="2">
        <v>42907.0</v>
      </c>
      <c r="O191" s="1">
        <v>0.0</v>
      </c>
      <c r="P191" s="1" t="s">
        <v>75</v>
      </c>
      <c r="Q191" s="1" t="s">
        <v>815</v>
      </c>
      <c r="R191" s="1" t="s">
        <v>1978</v>
      </c>
      <c r="U191" s="1" t="s">
        <v>1979</v>
      </c>
      <c r="V191" s="1">
        <v>448.0</v>
      </c>
      <c r="W191" s="3" t="s">
        <v>1980</v>
      </c>
      <c r="X191" s="1">
        <v>607619.0</v>
      </c>
      <c r="Y191" s="1" t="s">
        <v>1981</v>
      </c>
      <c r="Z191" s="3" t="s">
        <v>1982</v>
      </c>
      <c r="AA191" s="3" t="s">
        <v>1983</v>
      </c>
      <c r="AB191" s="1">
        <v>1.0</v>
      </c>
      <c r="AC191" s="1" t="s">
        <v>1984</v>
      </c>
      <c r="AD191" s="1">
        <v>22.0</v>
      </c>
      <c r="AE191" s="1">
        <f t="shared" si="5"/>
        <v>430</v>
      </c>
      <c r="AF191" s="1">
        <v>48.0</v>
      </c>
      <c r="AG191" s="1">
        <v>35.0</v>
      </c>
      <c r="AH191" s="1">
        <v>43.0</v>
      </c>
      <c r="AI191" s="1">
        <v>19.0</v>
      </c>
      <c r="AJ191" s="1">
        <v>37.0</v>
      </c>
      <c r="AK191" s="1">
        <v>132.0</v>
      </c>
      <c r="AL191" s="1">
        <v>42.0</v>
      </c>
      <c r="AM191" s="1">
        <v>1.0</v>
      </c>
      <c r="AN191" s="1">
        <v>0.0</v>
      </c>
      <c r="AO191" s="1">
        <v>7.0</v>
      </c>
      <c r="AP191" s="1">
        <v>29.0</v>
      </c>
      <c r="AQ191" s="1">
        <v>1.0</v>
      </c>
    </row>
    <row r="192">
      <c r="A192" s="1"/>
      <c r="B192" s="1">
        <v>400.0</v>
      </c>
      <c r="C192" s="1" t="s">
        <v>1985</v>
      </c>
      <c r="D192" s="1" t="s">
        <v>1986</v>
      </c>
      <c r="E192" s="1" t="s">
        <v>1987</v>
      </c>
      <c r="F192" s="1" t="s">
        <v>43</v>
      </c>
      <c r="G192" s="2">
        <v>28170.0</v>
      </c>
      <c r="H192" s="1" t="s">
        <v>1988</v>
      </c>
      <c r="I192" s="1">
        <v>23.0</v>
      </c>
      <c r="J192" s="1" t="s">
        <v>1989</v>
      </c>
      <c r="K192" s="1">
        <v>1.0</v>
      </c>
      <c r="L192" s="2">
        <v>42907.0</v>
      </c>
      <c r="O192" s="1">
        <v>0.0</v>
      </c>
      <c r="P192" s="1" t="s">
        <v>75</v>
      </c>
      <c r="Q192" s="1" t="s">
        <v>76</v>
      </c>
      <c r="R192" s="1" t="s">
        <v>1990</v>
      </c>
      <c r="U192" s="1" t="s">
        <v>1905</v>
      </c>
      <c r="V192" s="1">
        <v>337.0</v>
      </c>
      <c r="W192" s="3" t="s">
        <v>1991</v>
      </c>
      <c r="X192" s="1">
        <v>719242.0</v>
      </c>
      <c r="Y192" s="1" t="s">
        <v>1992</v>
      </c>
      <c r="Z192" s="3" t="s">
        <v>1993</v>
      </c>
      <c r="AA192" s="3" t="s">
        <v>1994</v>
      </c>
      <c r="AB192" s="1">
        <v>1.0</v>
      </c>
      <c r="AC192" s="1" t="s">
        <v>1995</v>
      </c>
      <c r="AD192" s="1">
        <v>22.0</v>
      </c>
      <c r="AE192" s="1">
        <f t="shared" si="5"/>
        <v>430</v>
      </c>
      <c r="AF192" s="1">
        <v>50.0</v>
      </c>
      <c r="AG192" s="1">
        <v>55.0</v>
      </c>
      <c r="AH192" s="1">
        <v>23.0</v>
      </c>
      <c r="AI192" s="1">
        <v>4.0</v>
      </c>
      <c r="AJ192" s="1">
        <v>5.0</v>
      </c>
      <c r="AK192" s="1">
        <v>116.0</v>
      </c>
      <c r="AL192" s="1">
        <v>58.0</v>
      </c>
      <c r="AM192" s="1">
        <v>1.0</v>
      </c>
      <c r="AN192" s="1">
        <v>0.0</v>
      </c>
      <c r="AO192" s="1">
        <v>5.0</v>
      </c>
      <c r="AP192" s="1">
        <v>0.0</v>
      </c>
      <c r="AQ192" s="1">
        <v>1.0</v>
      </c>
    </row>
    <row r="193">
      <c r="A193" s="1"/>
      <c r="B193" s="1">
        <v>114.0</v>
      </c>
      <c r="C193" s="1" t="s">
        <v>1996</v>
      </c>
      <c r="D193" s="1" t="s">
        <v>1997</v>
      </c>
      <c r="E193" s="1" t="s">
        <v>522</v>
      </c>
      <c r="F193" s="1" t="s">
        <v>43</v>
      </c>
      <c r="G193" s="2">
        <v>30680.0</v>
      </c>
      <c r="H193" s="1" t="s">
        <v>1998</v>
      </c>
      <c r="I193" s="1">
        <v>88.0</v>
      </c>
      <c r="J193" s="1" t="s">
        <v>1542</v>
      </c>
      <c r="K193" s="1">
        <v>3.0</v>
      </c>
      <c r="L193" s="2">
        <v>42907.0</v>
      </c>
      <c r="O193" s="1">
        <v>0.0</v>
      </c>
      <c r="P193" s="1" t="s">
        <v>46</v>
      </c>
      <c r="Q193" s="1" t="s">
        <v>47</v>
      </c>
      <c r="R193" s="1" t="s">
        <v>1999</v>
      </c>
      <c r="U193" s="1" t="s">
        <v>198</v>
      </c>
      <c r="V193" s="1">
        <v>155.0</v>
      </c>
      <c r="W193" s="3" t="s">
        <v>2000</v>
      </c>
      <c r="X193" s="1">
        <v>721486.0</v>
      </c>
      <c r="Y193" s="1" t="s">
        <v>2001</v>
      </c>
      <c r="Z193" s="3" t="s">
        <v>2002</v>
      </c>
      <c r="AA193" s="3" t="s">
        <v>2003</v>
      </c>
      <c r="AB193" s="1">
        <v>1.0</v>
      </c>
      <c r="AC193" s="1" t="s">
        <v>2004</v>
      </c>
      <c r="AD193" s="1">
        <v>22.0</v>
      </c>
      <c r="AE193" s="1">
        <f t="shared" si="5"/>
        <v>430</v>
      </c>
      <c r="AF193" s="1">
        <v>52.0</v>
      </c>
      <c r="AG193" s="1">
        <v>37.0</v>
      </c>
      <c r="AH193" s="1">
        <v>69.0</v>
      </c>
      <c r="AI193" s="1">
        <v>27.0</v>
      </c>
      <c r="AJ193" s="1">
        <v>54.0</v>
      </c>
      <c r="AK193" s="1">
        <v>448.0</v>
      </c>
      <c r="AL193" s="1">
        <v>17.0</v>
      </c>
      <c r="AM193" s="1">
        <v>2.0</v>
      </c>
      <c r="AN193" s="1">
        <v>2.0</v>
      </c>
      <c r="AO193" s="1">
        <v>28.0</v>
      </c>
      <c r="AP193" s="1">
        <v>25.0</v>
      </c>
      <c r="AQ193" s="1">
        <v>6.0</v>
      </c>
    </row>
    <row r="194">
      <c r="A194" s="1"/>
      <c r="B194" s="1">
        <v>297.0</v>
      </c>
      <c r="C194" s="1" t="s">
        <v>2005</v>
      </c>
      <c r="D194" s="1" t="s">
        <v>2006</v>
      </c>
      <c r="E194" s="1" t="s">
        <v>2007</v>
      </c>
      <c r="F194" s="1" t="s">
        <v>43</v>
      </c>
      <c r="G194" s="2">
        <v>22781.0</v>
      </c>
      <c r="H194" s="1" t="s">
        <v>207</v>
      </c>
      <c r="I194" s="1">
        <v>56.0</v>
      </c>
      <c r="J194" s="1" t="s">
        <v>1343</v>
      </c>
      <c r="K194" s="1">
        <v>2.0</v>
      </c>
      <c r="L194" s="2">
        <v>42907.0</v>
      </c>
      <c r="O194" s="1">
        <v>0.0</v>
      </c>
      <c r="P194" s="1" t="s">
        <v>280</v>
      </c>
      <c r="Q194" s="1" t="s">
        <v>281</v>
      </c>
      <c r="R194" s="1" t="s">
        <v>2008</v>
      </c>
      <c r="U194" s="1" t="s">
        <v>2009</v>
      </c>
      <c r="V194" s="1">
        <v>187.0</v>
      </c>
      <c r="W194" s="3" t="s">
        <v>2010</v>
      </c>
      <c r="X194" s="1">
        <v>720334.0</v>
      </c>
      <c r="Y194" s="1" t="s">
        <v>2011</v>
      </c>
      <c r="Z194" s="3" t="s">
        <v>2012</v>
      </c>
      <c r="AA194" s="3" t="s">
        <v>2013</v>
      </c>
      <c r="AB194" s="1">
        <v>1.0</v>
      </c>
      <c r="AC194" s="1" t="s">
        <v>2014</v>
      </c>
      <c r="AD194" s="1">
        <v>22.0</v>
      </c>
      <c r="AE194" s="1">
        <f t="shared" si="5"/>
        <v>430</v>
      </c>
      <c r="AF194" s="1">
        <v>36.0</v>
      </c>
      <c r="AG194" s="1">
        <v>17.0</v>
      </c>
      <c r="AH194" s="1">
        <v>19.0</v>
      </c>
      <c r="AI194" s="1">
        <v>40.0</v>
      </c>
      <c r="AJ194" s="1">
        <v>7.0</v>
      </c>
      <c r="AK194" s="1">
        <v>207.0</v>
      </c>
      <c r="AL194" s="1">
        <v>21.0</v>
      </c>
      <c r="AM194" s="1">
        <v>1.0</v>
      </c>
      <c r="AN194" s="1">
        <v>0.0</v>
      </c>
      <c r="AO194" s="1">
        <v>6.0</v>
      </c>
      <c r="AP194" s="1">
        <v>4.0</v>
      </c>
      <c r="AQ194" s="1">
        <v>2.0</v>
      </c>
    </row>
    <row r="195">
      <c r="A195" s="1"/>
      <c r="B195" s="1">
        <v>246.0</v>
      </c>
      <c r="C195" s="1" t="s">
        <v>2015</v>
      </c>
      <c r="D195" s="1" t="s">
        <v>2016</v>
      </c>
      <c r="E195" s="1" t="s">
        <v>403</v>
      </c>
      <c r="F195" s="1" t="s">
        <v>58</v>
      </c>
      <c r="G195" s="2">
        <v>25188.0</v>
      </c>
      <c r="H195" s="1" t="s">
        <v>347</v>
      </c>
      <c r="I195" s="1">
        <v>33.0</v>
      </c>
      <c r="J195" s="1" t="s">
        <v>348</v>
      </c>
      <c r="K195" s="1">
        <v>8.0</v>
      </c>
      <c r="L195" s="2">
        <v>42907.0</v>
      </c>
      <c r="O195" s="1">
        <v>0.0</v>
      </c>
      <c r="P195" s="1" t="s">
        <v>75</v>
      </c>
      <c r="Q195" s="1" t="s">
        <v>76</v>
      </c>
      <c r="R195" s="3" t="s">
        <v>2017</v>
      </c>
      <c r="U195" s="1">
        <v>0.0</v>
      </c>
      <c r="V195" s="1">
        <v>281.0</v>
      </c>
      <c r="W195" s="3" t="s">
        <v>2018</v>
      </c>
      <c r="X195" s="1">
        <v>719632.0</v>
      </c>
      <c r="Y195" s="1" t="s">
        <v>2019</v>
      </c>
      <c r="Z195" s="3" t="s">
        <v>2020</v>
      </c>
      <c r="AA195" s="3" t="s">
        <v>2021</v>
      </c>
      <c r="AB195" s="1">
        <v>1.0</v>
      </c>
      <c r="AC195" s="1" t="s">
        <v>2022</v>
      </c>
      <c r="AD195" s="1">
        <v>22.0</v>
      </c>
      <c r="AE195" s="1">
        <f t="shared" si="5"/>
        <v>430</v>
      </c>
      <c r="AF195" s="1">
        <v>37.0</v>
      </c>
      <c r="AG195" s="1">
        <v>23.0</v>
      </c>
      <c r="AH195" s="1">
        <v>6.0</v>
      </c>
      <c r="AI195" s="1">
        <v>3.0</v>
      </c>
      <c r="AJ195" s="1">
        <v>2.0</v>
      </c>
      <c r="AK195" s="1">
        <v>101.0</v>
      </c>
      <c r="AL195" s="1">
        <v>44.0</v>
      </c>
      <c r="AM195" s="1">
        <v>1.0</v>
      </c>
      <c r="AN195" s="1">
        <v>0.0</v>
      </c>
      <c r="AO195" s="1">
        <v>5.0</v>
      </c>
      <c r="AP195" s="1">
        <v>22.0</v>
      </c>
      <c r="AQ195" s="1">
        <v>1.0</v>
      </c>
    </row>
    <row r="196">
      <c r="A196" s="1"/>
      <c r="B196" s="1">
        <v>307.0</v>
      </c>
      <c r="C196" s="1" t="s">
        <v>2023</v>
      </c>
      <c r="D196" s="1" t="s">
        <v>2024</v>
      </c>
      <c r="E196" s="1" t="s">
        <v>137</v>
      </c>
      <c r="F196" s="1" t="s">
        <v>43</v>
      </c>
      <c r="G196" s="2">
        <v>18392.0</v>
      </c>
      <c r="H196" s="1" t="s">
        <v>2025</v>
      </c>
      <c r="I196" s="1">
        <v>62.0</v>
      </c>
      <c r="J196" s="1" t="s">
        <v>427</v>
      </c>
      <c r="K196" s="1">
        <v>5.0</v>
      </c>
      <c r="L196" s="2">
        <v>42907.0</v>
      </c>
      <c r="O196" s="1">
        <v>0.0</v>
      </c>
      <c r="P196" s="1" t="s">
        <v>75</v>
      </c>
      <c r="Q196" s="1" t="s">
        <v>76</v>
      </c>
      <c r="R196" s="1" t="s">
        <v>2026</v>
      </c>
      <c r="U196" s="1" t="s">
        <v>151</v>
      </c>
      <c r="V196" s="1">
        <v>234.0</v>
      </c>
      <c r="W196" s="3" t="s">
        <v>2027</v>
      </c>
      <c r="X196" s="1">
        <v>2449.0</v>
      </c>
      <c r="Y196" s="1" t="s">
        <v>2028</v>
      </c>
      <c r="Z196" s="3" t="s">
        <v>2029</v>
      </c>
      <c r="AA196" s="3" t="s">
        <v>2030</v>
      </c>
      <c r="AB196" s="1">
        <v>2.0</v>
      </c>
      <c r="AC196" s="1" t="s">
        <v>2031</v>
      </c>
      <c r="AD196" s="1">
        <v>22.0</v>
      </c>
      <c r="AE196" s="1">
        <f t="shared" si="5"/>
        <v>430</v>
      </c>
      <c r="AF196" s="1">
        <v>55.0</v>
      </c>
      <c r="AG196" s="1">
        <v>2.0</v>
      </c>
      <c r="AH196" s="1">
        <v>0.0</v>
      </c>
      <c r="AI196" s="1">
        <v>0.0</v>
      </c>
      <c r="AJ196" s="1">
        <v>0.0</v>
      </c>
      <c r="AK196" s="1">
        <v>65.0</v>
      </c>
      <c r="AL196" s="1">
        <v>26.0</v>
      </c>
      <c r="AM196" s="1">
        <v>0.0</v>
      </c>
      <c r="AN196" s="1">
        <v>0.0</v>
      </c>
      <c r="AO196" s="1">
        <v>10.0</v>
      </c>
      <c r="AP196" s="1">
        <v>7.0</v>
      </c>
      <c r="AQ196" s="1">
        <v>0.0</v>
      </c>
    </row>
    <row r="197">
      <c r="A197" s="1"/>
      <c r="B197" s="1">
        <v>292.0</v>
      </c>
      <c r="C197" s="1" t="s">
        <v>2032</v>
      </c>
      <c r="D197" s="1" t="s">
        <v>2033</v>
      </c>
      <c r="E197" s="1" t="s">
        <v>2034</v>
      </c>
      <c r="F197" s="1" t="s">
        <v>43</v>
      </c>
      <c r="G197" s="2">
        <v>18413.0</v>
      </c>
      <c r="H197" s="1" t="s">
        <v>2035</v>
      </c>
      <c r="I197" s="1">
        <v>61.0</v>
      </c>
      <c r="J197" s="1" t="s">
        <v>1188</v>
      </c>
      <c r="K197" s="1">
        <v>1.0</v>
      </c>
      <c r="L197" s="2">
        <v>42907.0</v>
      </c>
      <c r="O197" s="1">
        <v>0.0</v>
      </c>
      <c r="P197" s="1" t="s">
        <v>115</v>
      </c>
      <c r="Q197" s="1" t="s">
        <v>116</v>
      </c>
      <c r="R197" s="1" t="s">
        <v>2036</v>
      </c>
      <c r="U197" s="1" t="s">
        <v>1616</v>
      </c>
      <c r="V197" s="1">
        <v>516.0</v>
      </c>
      <c r="W197" s="3" t="s">
        <v>2037</v>
      </c>
      <c r="X197" s="1">
        <v>608011.0</v>
      </c>
      <c r="Y197" s="1" t="s">
        <v>2038</v>
      </c>
      <c r="Z197" s="3" t="s">
        <v>2039</v>
      </c>
      <c r="AA197" s="3" t="s">
        <v>2040</v>
      </c>
      <c r="AB197" s="1">
        <v>2.0</v>
      </c>
      <c r="AC197" s="1" t="s">
        <v>2041</v>
      </c>
      <c r="AD197" s="1">
        <v>22.0</v>
      </c>
      <c r="AE197" s="1">
        <f t="shared" si="5"/>
        <v>430</v>
      </c>
      <c r="AF197" s="1">
        <v>46.0</v>
      </c>
      <c r="AG197" s="1">
        <v>37.0</v>
      </c>
      <c r="AH197" s="1">
        <v>32.0</v>
      </c>
      <c r="AI197" s="1">
        <v>6.0</v>
      </c>
      <c r="AJ197" s="1">
        <v>2.0</v>
      </c>
      <c r="AK197" s="1">
        <v>1049.0</v>
      </c>
      <c r="AL197" s="1">
        <v>72.0</v>
      </c>
      <c r="AM197" s="1">
        <v>0.0</v>
      </c>
      <c r="AN197" s="1">
        <v>0.0</v>
      </c>
      <c r="AO197" s="1">
        <v>5.0</v>
      </c>
      <c r="AP197" s="1">
        <v>4.0</v>
      </c>
      <c r="AQ197" s="1">
        <v>3.0</v>
      </c>
    </row>
    <row r="198">
      <c r="A198" s="1"/>
      <c r="B198" s="1">
        <v>250.0</v>
      </c>
      <c r="C198" s="1" t="s">
        <v>2042</v>
      </c>
      <c r="D198" s="1" t="s">
        <v>2043</v>
      </c>
      <c r="E198" s="1" t="s">
        <v>1490</v>
      </c>
      <c r="F198" s="1" t="s">
        <v>43</v>
      </c>
      <c r="G198" s="2">
        <v>22858.0</v>
      </c>
      <c r="H198" s="1" t="s">
        <v>2044</v>
      </c>
      <c r="I198" s="1">
        <v>95.0</v>
      </c>
      <c r="J198" s="1" t="s">
        <v>302</v>
      </c>
      <c r="K198" s="1">
        <v>8.0</v>
      </c>
      <c r="L198" s="2">
        <v>42907.0</v>
      </c>
      <c r="O198" s="1">
        <v>0.0</v>
      </c>
      <c r="P198" s="1" t="s">
        <v>115</v>
      </c>
      <c r="Q198" s="1" t="s">
        <v>116</v>
      </c>
      <c r="R198" s="1" t="s">
        <v>2045</v>
      </c>
      <c r="U198" s="1" t="s">
        <v>2046</v>
      </c>
      <c r="V198" s="1">
        <v>510.0</v>
      </c>
      <c r="W198" s="3" t="s">
        <v>2047</v>
      </c>
      <c r="X198" s="1">
        <v>405480.0</v>
      </c>
      <c r="Y198" s="1" t="s">
        <v>2048</v>
      </c>
      <c r="Z198" s="3" t="s">
        <v>2049</v>
      </c>
      <c r="AA198" s="3" t="s">
        <v>2050</v>
      </c>
      <c r="AB198" s="1">
        <v>2.0</v>
      </c>
      <c r="AC198" s="1" t="s">
        <v>2051</v>
      </c>
      <c r="AD198" s="1">
        <v>22.0</v>
      </c>
      <c r="AE198" s="1">
        <f t="shared" si="5"/>
        <v>430</v>
      </c>
      <c r="AF198" s="1">
        <v>41.0</v>
      </c>
      <c r="AG198" s="1">
        <v>120.0</v>
      </c>
      <c r="AH198" s="1">
        <v>272.0</v>
      </c>
      <c r="AI198" s="1">
        <v>288.0</v>
      </c>
      <c r="AJ198" s="1">
        <v>274.0</v>
      </c>
      <c r="AK198" s="1">
        <v>1130.0</v>
      </c>
      <c r="AL198" s="1">
        <v>86.0</v>
      </c>
      <c r="AM198" s="1">
        <v>0.0</v>
      </c>
      <c r="AN198" s="1">
        <v>0.0</v>
      </c>
      <c r="AO198" s="1">
        <v>6.0</v>
      </c>
      <c r="AP198" s="1">
        <v>1.0</v>
      </c>
      <c r="AQ198" s="1">
        <v>3.0</v>
      </c>
    </row>
    <row r="199">
      <c r="A199" s="1"/>
      <c r="B199" s="1">
        <v>402.0</v>
      </c>
      <c r="C199" s="1" t="s">
        <v>2052</v>
      </c>
      <c r="D199" s="1" t="s">
        <v>2053</v>
      </c>
      <c r="E199" s="1" t="s">
        <v>1115</v>
      </c>
      <c r="F199" s="1" t="s">
        <v>43</v>
      </c>
      <c r="G199" s="2">
        <v>17159.0</v>
      </c>
      <c r="H199" s="1" t="s">
        <v>2054</v>
      </c>
      <c r="I199" s="1">
        <v>17.0</v>
      </c>
      <c r="J199" s="1" t="s">
        <v>2055</v>
      </c>
      <c r="K199" s="1">
        <v>5.0</v>
      </c>
      <c r="L199" s="2">
        <v>42907.0</v>
      </c>
      <c r="O199" s="1">
        <v>0.0</v>
      </c>
      <c r="P199" s="1" t="s">
        <v>61</v>
      </c>
      <c r="Q199" s="1" t="s">
        <v>62</v>
      </c>
      <c r="R199" s="1" t="s">
        <v>2056</v>
      </c>
      <c r="U199" s="1" t="s">
        <v>2057</v>
      </c>
      <c r="V199" s="1">
        <v>28.0</v>
      </c>
      <c r="W199" s="3" t="s">
        <v>2058</v>
      </c>
      <c r="X199" s="1">
        <v>2492.0</v>
      </c>
      <c r="Y199" s="1" t="s">
        <v>2059</v>
      </c>
      <c r="Z199" s="3" t="s">
        <v>2060</v>
      </c>
      <c r="AA199" s="3" t="s">
        <v>2061</v>
      </c>
      <c r="AB199" s="1">
        <v>2.0</v>
      </c>
      <c r="AC199" s="1" t="s">
        <v>2062</v>
      </c>
      <c r="AD199" s="1">
        <v>22.0</v>
      </c>
      <c r="AE199" s="1">
        <f t="shared" si="5"/>
        <v>430</v>
      </c>
      <c r="AF199" s="1">
        <v>54.0</v>
      </c>
      <c r="AG199" s="1">
        <v>15.0</v>
      </c>
      <c r="AH199" s="1">
        <v>9.0</v>
      </c>
      <c r="AI199" s="1">
        <v>3.0</v>
      </c>
      <c r="AJ199" s="1">
        <v>0.0</v>
      </c>
      <c r="AK199" s="1">
        <v>1051.0</v>
      </c>
      <c r="AL199" s="1">
        <v>35.0</v>
      </c>
      <c r="AM199" s="1">
        <v>1.0</v>
      </c>
      <c r="AN199" s="1">
        <v>0.0</v>
      </c>
      <c r="AO199" s="1">
        <v>50.0</v>
      </c>
      <c r="AP199" s="1">
        <v>23.0</v>
      </c>
      <c r="AQ199" s="1">
        <v>1.0</v>
      </c>
    </row>
    <row r="200">
      <c r="A200" s="1"/>
      <c r="B200" s="1">
        <v>222.0</v>
      </c>
      <c r="C200" s="1" t="s">
        <v>2063</v>
      </c>
      <c r="D200" s="1" t="s">
        <v>2064</v>
      </c>
      <c r="E200" s="1" t="s">
        <v>916</v>
      </c>
      <c r="F200" s="1" t="s">
        <v>43</v>
      </c>
      <c r="G200" s="2">
        <v>21374.0</v>
      </c>
      <c r="H200" s="1" t="s">
        <v>207</v>
      </c>
      <c r="I200" s="1">
        <v>93.0</v>
      </c>
      <c r="J200" s="1" t="s">
        <v>196</v>
      </c>
      <c r="K200" s="1">
        <v>10.0</v>
      </c>
      <c r="L200" s="2">
        <v>42907.0</v>
      </c>
      <c r="O200" s="1">
        <v>0.0</v>
      </c>
      <c r="P200" s="1" t="s">
        <v>61</v>
      </c>
      <c r="Q200" s="1" t="s">
        <v>62</v>
      </c>
      <c r="R200" s="1" t="s">
        <v>2065</v>
      </c>
      <c r="U200" s="1" t="s">
        <v>2066</v>
      </c>
      <c r="V200" s="1">
        <v>48.0</v>
      </c>
      <c r="W200" s="3" t="s">
        <v>2067</v>
      </c>
      <c r="X200" s="1">
        <v>721286.0</v>
      </c>
      <c r="Y200" s="1" t="s">
        <v>2068</v>
      </c>
      <c r="Z200" s="3" t="s">
        <v>2069</v>
      </c>
      <c r="AA200" s="3" t="s">
        <v>2070</v>
      </c>
      <c r="AB200" s="1">
        <v>2.0</v>
      </c>
      <c r="AC200" s="1" t="s">
        <v>2071</v>
      </c>
      <c r="AD200" s="1">
        <v>22.0</v>
      </c>
      <c r="AE200" s="1">
        <f t="shared" si="5"/>
        <v>430</v>
      </c>
      <c r="AF200" s="1">
        <v>42.0</v>
      </c>
      <c r="AG200" s="1">
        <v>20.0</v>
      </c>
      <c r="AH200" s="1">
        <v>33.0</v>
      </c>
      <c r="AI200" s="1">
        <v>20.0</v>
      </c>
      <c r="AJ200" s="1">
        <v>49.0</v>
      </c>
      <c r="AK200" s="1">
        <v>790.0</v>
      </c>
      <c r="AL200" s="1">
        <v>29.0</v>
      </c>
      <c r="AM200" s="1">
        <v>0.0</v>
      </c>
      <c r="AN200" s="1">
        <v>0.0</v>
      </c>
      <c r="AO200" s="1">
        <v>48.0</v>
      </c>
      <c r="AP200" s="1">
        <v>8.0</v>
      </c>
      <c r="AQ200" s="1">
        <v>1.0</v>
      </c>
    </row>
    <row r="201">
      <c r="A201" s="1"/>
      <c r="B201" s="1">
        <v>342.0</v>
      </c>
      <c r="C201" s="1" t="s">
        <v>2072</v>
      </c>
      <c r="D201" s="1" t="s">
        <v>2073</v>
      </c>
      <c r="E201" s="1" t="s">
        <v>469</v>
      </c>
      <c r="F201" s="1" t="s">
        <v>43</v>
      </c>
      <c r="G201" s="2">
        <v>25309.0</v>
      </c>
      <c r="H201" s="1" t="s">
        <v>955</v>
      </c>
      <c r="I201" s="1">
        <v>59.0</v>
      </c>
      <c r="J201" s="1" t="s">
        <v>172</v>
      </c>
      <c r="K201" s="1">
        <v>20.0</v>
      </c>
      <c r="L201" s="2">
        <v>42907.0</v>
      </c>
      <c r="O201" s="1">
        <v>0.0</v>
      </c>
      <c r="P201" s="1" t="s">
        <v>101</v>
      </c>
      <c r="Q201" s="1" t="s">
        <v>102</v>
      </c>
      <c r="R201" s="1" t="s">
        <v>2074</v>
      </c>
      <c r="U201" s="1" t="s">
        <v>2075</v>
      </c>
      <c r="V201" s="1">
        <v>590.0</v>
      </c>
      <c r="W201" s="3" t="s">
        <v>2076</v>
      </c>
      <c r="X201" s="1">
        <v>720692.0</v>
      </c>
      <c r="Y201" s="1" t="s">
        <v>2077</v>
      </c>
      <c r="Z201" s="3" t="s">
        <v>2078</v>
      </c>
      <c r="AA201" s="3" t="s">
        <v>2079</v>
      </c>
      <c r="AB201" s="1">
        <v>2.0</v>
      </c>
      <c r="AC201" s="1" t="s">
        <v>2080</v>
      </c>
      <c r="AD201" s="1">
        <v>22.0</v>
      </c>
      <c r="AE201" s="1">
        <f t="shared" si="5"/>
        <v>430</v>
      </c>
      <c r="AF201" s="1">
        <v>31.0</v>
      </c>
      <c r="AG201" s="1">
        <v>59.0</v>
      </c>
      <c r="AH201" s="1">
        <v>311.0</v>
      </c>
      <c r="AI201" s="1">
        <v>210.0</v>
      </c>
      <c r="AJ201" s="1">
        <v>162.0</v>
      </c>
      <c r="AK201" s="1">
        <v>726.0</v>
      </c>
      <c r="AL201" s="1">
        <v>31.0</v>
      </c>
      <c r="AM201" s="1">
        <v>1.0</v>
      </c>
      <c r="AN201" s="1">
        <v>2.0</v>
      </c>
      <c r="AO201" s="1">
        <v>19.0</v>
      </c>
      <c r="AP201" s="1">
        <v>8.0</v>
      </c>
      <c r="AQ201" s="1">
        <v>3.0</v>
      </c>
    </row>
    <row r="202">
      <c r="A202" s="1"/>
      <c r="B202" s="1">
        <v>92.0</v>
      </c>
      <c r="C202" s="1" t="s">
        <v>2081</v>
      </c>
      <c r="D202" s="1" t="s">
        <v>2082</v>
      </c>
      <c r="E202" s="1" t="s">
        <v>1695</v>
      </c>
      <c r="F202" s="1" t="s">
        <v>58</v>
      </c>
      <c r="G202" s="2">
        <v>22753.0</v>
      </c>
      <c r="H202" s="1" t="s">
        <v>44</v>
      </c>
      <c r="I202" s="1">
        <v>42.0</v>
      </c>
      <c r="J202" s="1" t="s">
        <v>536</v>
      </c>
      <c r="K202" s="1">
        <v>5.0</v>
      </c>
      <c r="L202" s="2">
        <v>42907.0</v>
      </c>
      <c r="O202" s="1">
        <v>0.0</v>
      </c>
      <c r="P202" s="1" t="s">
        <v>75</v>
      </c>
      <c r="Q202" s="1" t="s">
        <v>76</v>
      </c>
      <c r="R202" s="3" t="s">
        <v>2083</v>
      </c>
      <c r="U202" s="1" t="s">
        <v>986</v>
      </c>
      <c r="V202" s="1">
        <v>290.0</v>
      </c>
      <c r="W202" s="3" t="s">
        <v>2084</v>
      </c>
      <c r="X202" s="1">
        <v>719972.0</v>
      </c>
      <c r="Y202" s="1" t="s">
        <v>2085</v>
      </c>
      <c r="Z202" s="3" t="s">
        <v>2086</v>
      </c>
      <c r="AA202" s="3" t="s">
        <v>2087</v>
      </c>
      <c r="AB202" s="1">
        <v>1.0</v>
      </c>
      <c r="AD202" s="1">
        <v>22.0</v>
      </c>
      <c r="AE202" s="1">
        <f t="shared" si="5"/>
        <v>430</v>
      </c>
      <c r="AF202" s="1">
        <v>35.0</v>
      </c>
      <c r="AG202" s="1">
        <v>3.0</v>
      </c>
      <c r="AH202" s="1">
        <v>4.0</v>
      </c>
      <c r="AI202" s="1">
        <v>0.0</v>
      </c>
      <c r="AJ202" s="1">
        <v>0.0</v>
      </c>
      <c r="AK202" s="1">
        <v>89.0</v>
      </c>
      <c r="AL202" s="1">
        <v>43.0</v>
      </c>
      <c r="AM202" s="1">
        <v>0.0</v>
      </c>
      <c r="AN202" s="1">
        <v>0.0</v>
      </c>
      <c r="AO202" s="1">
        <v>5.0</v>
      </c>
      <c r="AP202" s="1">
        <v>7.0</v>
      </c>
      <c r="AQ202" s="1">
        <v>2.0</v>
      </c>
    </row>
    <row r="203">
      <c r="A203" s="1"/>
      <c r="B203" s="1">
        <v>419.0</v>
      </c>
      <c r="C203" s="1" t="s">
        <v>2088</v>
      </c>
      <c r="D203" s="1" t="s">
        <v>2089</v>
      </c>
      <c r="E203" s="1" t="s">
        <v>2090</v>
      </c>
      <c r="F203" s="1" t="s">
        <v>58</v>
      </c>
      <c r="G203" s="2">
        <v>18714.0</v>
      </c>
      <c r="H203" s="1" t="s">
        <v>207</v>
      </c>
      <c r="I203" s="1">
        <v>75.0</v>
      </c>
      <c r="J203" s="1" t="s">
        <v>232</v>
      </c>
      <c r="K203" s="1">
        <v>11.0</v>
      </c>
      <c r="L203" s="2">
        <v>42907.0</v>
      </c>
      <c r="O203" s="1">
        <v>0.0</v>
      </c>
      <c r="P203" s="1" t="s">
        <v>280</v>
      </c>
      <c r="Q203" s="1" t="s">
        <v>281</v>
      </c>
      <c r="R203" s="1" t="s">
        <v>2091</v>
      </c>
      <c r="U203" s="1" t="s">
        <v>440</v>
      </c>
      <c r="V203" s="1">
        <v>257.0</v>
      </c>
      <c r="W203" s="3" t="s">
        <v>2092</v>
      </c>
      <c r="X203" s="1">
        <v>717151.0</v>
      </c>
      <c r="Y203" s="1" t="s">
        <v>2093</v>
      </c>
      <c r="Z203" s="3" t="s">
        <v>2094</v>
      </c>
      <c r="AA203" s="3" t="s">
        <v>2095</v>
      </c>
      <c r="AB203" s="1">
        <v>3.0</v>
      </c>
      <c r="AC203" s="1" t="s">
        <v>2096</v>
      </c>
      <c r="AD203" s="1">
        <v>22.0</v>
      </c>
      <c r="AE203" s="1">
        <f t="shared" si="5"/>
        <v>430</v>
      </c>
      <c r="AF203" s="1">
        <v>46.0</v>
      </c>
      <c r="AG203" s="1">
        <v>121.0</v>
      </c>
      <c r="AH203" s="1">
        <v>23.0</v>
      </c>
      <c r="AI203" s="1">
        <v>13.0</v>
      </c>
      <c r="AJ203" s="1">
        <v>2.0</v>
      </c>
      <c r="AK203" s="1">
        <v>183.0</v>
      </c>
      <c r="AL203" s="1">
        <v>16.0</v>
      </c>
      <c r="AM203" s="1">
        <v>0.0</v>
      </c>
      <c r="AN203" s="1">
        <v>0.0</v>
      </c>
      <c r="AO203" s="1">
        <v>9.0</v>
      </c>
      <c r="AP203" s="1">
        <v>24.0</v>
      </c>
      <c r="AQ203" s="1">
        <v>2.0</v>
      </c>
    </row>
    <row r="204">
      <c r="A204" s="1"/>
      <c r="B204" s="1">
        <v>72.0</v>
      </c>
      <c r="C204" s="1" t="s">
        <v>2097</v>
      </c>
      <c r="D204" s="1" t="s">
        <v>2098</v>
      </c>
      <c r="E204" s="1" t="s">
        <v>2099</v>
      </c>
      <c r="F204" s="1" t="s">
        <v>43</v>
      </c>
      <c r="G204" s="2">
        <v>32918.0</v>
      </c>
      <c r="H204" s="1" t="s">
        <v>1842</v>
      </c>
      <c r="I204" s="1">
        <v>68.0</v>
      </c>
      <c r="J204" s="1" t="s">
        <v>1501</v>
      </c>
      <c r="K204" s="1">
        <v>4.0</v>
      </c>
      <c r="L204" s="2">
        <v>42907.0</v>
      </c>
      <c r="O204" s="1">
        <v>0.0</v>
      </c>
      <c r="P204" s="1" t="s">
        <v>61</v>
      </c>
      <c r="Q204" s="1" t="s">
        <v>62</v>
      </c>
      <c r="R204" s="3" t="s">
        <v>2100</v>
      </c>
      <c r="U204" s="1" t="s">
        <v>2101</v>
      </c>
      <c r="V204" s="1">
        <v>72.0</v>
      </c>
      <c r="W204" s="3" t="s">
        <v>2102</v>
      </c>
      <c r="X204" s="1">
        <v>721314.0</v>
      </c>
      <c r="Y204" s="1" t="s">
        <v>2103</v>
      </c>
      <c r="Z204" s="3" t="s">
        <v>2104</v>
      </c>
      <c r="AA204" s="3" t="s">
        <v>2105</v>
      </c>
      <c r="AB204" s="1">
        <v>3.0</v>
      </c>
      <c r="AC204" s="1" t="s">
        <v>2106</v>
      </c>
      <c r="AD204" s="1">
        <v>22.0</v>
      </c>
      <c r="AE204" s="1">
        <f t="shared" si="5"/>
        <v>430</v>
      </c>
      <c r="AF204" s="1">
        <v>35.0</v>
      </c>
      <c r="AG204" s="1">
        <v>64.0</v>
      </c>
      <c r="AH204" s="1">
        <v>113.0</v>
      </c>
      <c r="AI204" s="1">
        <v>239.0</v>
      </c>
      <c r="AJ204" s="1">
        <v>69.0</v>
      </c>
      <c r="AK204" s="1">
        <v>884.0</v>
      </c>
      <c r="AL204" s="1">
        <v>25.0</v>
      </c>
      <c r="AM204" s="1">
        <v>0.0</v>
      </c>
      <c r="AN204" s="1">
        <v>4.0</v>
      </c>
      <c r="AO204" s="1">
        <v>83.0</v>
      </c>
      <c r="AP204" s="1">
        <v>16.0</v>
      </c>
      <c r="AQ204" s="1">
        <v>3.0</v>
      </c>
    </row>
    <row r="205">
      <c r="A205" s="1"/>
      <c r="B205" s="1">
        <v>251.0</v>
      </c>
      <c r="C205" s="1" t="s">
        <v>2107</v>
      </c>
      <c r="D205" s="1" t="s">
        <v>2108</v>
      </c>
      <c r="E205" s="1" t="s">
        <v>2109</v>
      </c>
      <c r="F205" s="1" t="s">
        <v>43</v>
      </c>
      <c r="G205" s="2">
        <v>21086.0</v>
      </c>
      <c r="H205" s="1" t="s">
        <v>2110</v>
      </c>
      <c r="I205" s="1">
        <v>25.0</v>
      </c>
      <c r="J205" s="1" t="s">
        <v>149</v>
      </c>
      <c r="K205" s="1">
        <v>3.0</v>
      </c>
      <c r="L205" s="2">
        <v>42907.0</v>
      </c>
      <c r="O205" s="1">
        <v>0.0</v>
      </c>
      <c r="P205" s="1" t="s">
        <v>75</v>
      </c>
      <c r="Q205" s="1" t="s">
        <v>76</v>
      </c>
      <c r="R205" s="1" t="s">
        <v>2111</v>
      </c>
      <c r="U205" s="1" t="s">
        <v>269</v>
      </c>
      <c r="V205" s="1">
        <v>623.0</v>
      </c>
      <c r="W205" s="3" t="s">
        <v>2112</v>
      </c>
      <c r="X205" s="1">
        <v>719420.0</v>
      </c>
      <c r="Y205" s="1" t="s">
        <v>2113</v>
      </c>
      <c r="Z205" s="3" t="s">
        <v>2114</v>
      </c>
      <c r="AA205" s="3" t="s">
        <v>2115</v>
      </c>
      <c r="AB205" s="1">
        <v>2.0</v>
      </c>
      <c r="AC205" s="1" t="s">
        <v>2116</v>
      </c>
      <c r="AD205" s="1">
        <v>22.0</v>
      </c>
      <c r="AE205" s="1">
        <f t="shared" si="5"/>
        <v>430</v>
      </c>
      <c r="AF205" s="1">
        <v>37.0</v>
      </c>
      <c r="AG205" s="1">
        <v>16.0</v>
      </c>
      <c r="AH205" s="1">
        <v>10.0</v>
      </c>
      <c r="AI205" s="1">
        <v>2.0</v>
      </c>
      <c r="AJ205" s="1">
        <v>21.0</v>
      </c>
      <c r="AK205" s="1">
        <v>86.0</v>
      </c>
      <c r="AL205" s="1">
        <v>25.0</v>
      </c>
      <c r="AM205" s="1">
        <v>0.0</v>
      </c>
      <c r="AN205" s="1">
        <v>0.0</v>
      </c>
      <c r="AO205" s="1">
        <v>5.0</v>
      </c>
      <c r="AP205" s="1">
        <v>17.0</v>
      </c>
      <c r="AQ205" s="1">
        <v>1.0</v>
      </c>
    </row>
    <row r="206">
      <c r="A206" s="1"/>
      <c r="B206" s="1">
        <v>522.0</v>
      </c>
      <c r="C206" s="1" t="s">
        <v>2117</v>
      </c>
      <c r="D206" s="1" t="s">
        <v>2118</v>
      </c>
      <c r="E206" s="1" t="s">
        <v>2119</v>
      </c>
      <c r="F206" s="1" t="s">
        <v>58</v>
      </c>
      <c r="G206" s="2">
        <v>30042.0</v>
      </c>
      <c r="H206" s="1" t="s">
        <v>2120</v>
      </c>
      <c r="I206" s="1">
        <v>46.0</v>
      </c>
      <c r="J206" s="1" t="s">
        <v>325</v>
      </c>
      <c r="K206" s="1">
        <v>2.0</v>
      </c>
      <c r="L206" s="2">
        <v>42907.0</v>
      </c>
      <c r="O206" s="1">
        <v>0.0</v>
      </c>
      <c r="P206" s="1" t="s">
        <v>75</v>
      </c>
      <c r="Q206" s="1" t="s">
        <v>76</v>
      </c>
      <c r="R206" s="1" t="s">
        <v>2121</v>
      </c>
      <c r="U206" s="1" t="s">
        <v>2122</v>
      </c>
      <c r="V206" s="1">
        <v>455.0</v>
      </c>
      <c r="W206" s="3" t="s">
        <v>2123</v>
      </c>
      <c r="X206" s="1">
        <v>720014.0</v>
      </c>
      <c r="Y206" s="1" t="s">
        <v>2124</v>
      </c>
      <c r="Z206" s="3" t="s">
        <v>2125</v>
      </c>
      <c r="AA206" s="3" t="s">
        <v>2126</v>
      </c>
      <c r="AB206" s="1">
        <v>1.0</v>
      </c>
      <c r="AC206" s="1" t="s">
        <v>2127</v>
      </c>
      <c r="AD206" s="1">
        <v>22.0</v>
      </c>
      <c r="AE206" s="1">
        <f t="shared" si="5"/>
        <v>430</v>
      </c>
      <c r="AF206" s="1">
        <v>49.0</v>
      </c>
      <c r="AG206" s="1">
        <v>45.0</v>
      </c>
      <c r="AH206" s="1">
        <v>17.0</v>
      </c>
      <c r="AI206" s="1">
        <v>4.0</v>
      </c>
      <c r="AJ206" s="1">
        <v>7.0</v>
      </c>
      <c r="AK206" s="1">
        <v>133.0</v>
      </c>
      <c r="AL206" s="1">
        <v>61.0</v>
      </c>
      <c r="AM206" s="1">
        <v>0.0</v>
      </c>
      <c r="AN206" s="1">
        <v>0.0</v>
      </c>
      <c r="AO206" s="1">
        <v>6.0</v>
      </c>
      <c r="AP206" s="1">
        <v>0.0</v>
      </c>
      <c r="AQ206" s="1">
        <v>2.0</v>
      </c>
    </row>
    <row r="207">
      <c r="A207" s="1"/>
      <c r="B207" s="1">
        <v>162.0</v>
      </c>
      <c r="C207" s="1" t="s">
        <v>2128</v>
      </c>
      <c r="D207" s="1" t="s">
        <v>2129</v>
      </c>
      <c r="E207" s="1" t="s">
        <v>694</v>
      </c>
      <c r="F207" s="1" t="s">
        <v>58</v>
      </c>
      <c r="G207" s="2">
        <v>25694.0</v>
      </c>
      <c r="H207" s="1" t="s">
        <v>2130</v>
      </c>
      <c r="I207" s="1">
        <v>3.0</v>
      </c>
      <c r="J207" s="1" t="s">
        <v>100</v>
      </c>
      <c r="K207" s="1">
        <v>2.0</v>
      </c>
      <c r="L207" s="2">
        <v>42907.0</v>
      </c>
      <c r="O207" s="1">
        <v>0.0</v>
      </c>
      <c r="P207" s="1" t="s">
        <v>75</v>
      </c>
      <c r="Q207" s="1" t="s">
        <v>76</v>
      </c>
      <c r="R207" s="3" t="s">
        <v>2131</v>
      </c>
      <c r="U207" s="1" t="s">
        <v>429</v>
      </c>
      <c r="V207" s="1">
        <v>292.0</v>
      </c>
      <c r="W207" s="3" t="s">
        <v>2132</v>
      </c>
      <c r="X207" s="1">
        <v>718728.0</v>
      </c>
      <c r="Y207" s="1" t="s">
        <v>2133</v>
      </c>
      <c r="Z207" s="3" t="s">
        <v>2134</v>
      </c>
      <c r="AA207" s="3" t="s">
        <v>2135</v>
      </c>
      <c r="AB207" s="1">
        <v>1.0</v>
      </c>
      <c r="AD207" s="1">
        <v>22.0</v>
      </c>
      <c r="AE207" s="1">
        <f t="shared" si="5"/>
        <v>430</v>
      </c>
      <c r="AF207" s="1">
        <v>31.0</v>
      </c>
      <c r="AG207" s="1">
        <v>3.0</v>
      </c>
      <c r="AH207" s="1">
        <v>7.0</v>
      </c>
      <c r="AI207" s="1">
        <v>1.0</v>
      </c>
      <c r="AJ207" s="1">
        <v>7.0</v>
      </c>
      <c r="AK207" s="1">
        <v>105.0</v>
      </c>
      <c r="AL207" s="1">
        <v>43.0</v>
      </c>
      <c r="AM207" s="1">
        <v>0.0</v>
      </c>
      <c r="AN207" s="1">
        <v>0.0</v>
      </c>
      <c r="AO207" s="1">
        <v>6.0</v>
      </c>
      <c r="AP207" s="1">
        <v>17.0</v>
      </c>
      <c r="AQ207" s="1">
        <v>1.0</v>
      </c>
    </row>
    <row r="208">
      <c r="A208" s="1"/>
      <c r="B208" s="1">
        <v>308.0</v>
      </c>
      <c r="C208" s="1" t="s">
        <v>2136</v>
      </c>
      <c r="D208" s="1" t="s">
        <v>2137</v>
      </c>
      <c r="E208" s="1" t="s">
        <v>905</v>
      </c>
      <c r="F208" s="1" t="s">
        <v>43</v>
      </c>
      <c r="G208" s="2">
        <v>29333.0</v>
      </c>
      <c r="H208" s="1" t="s">
        <v>381</v>
      </c>
      <c r="I208" s="1">
        <v>38.0</v>
      </c>
      <c r="J208" s="1" t="s">
        <v>267</v>
      </c>
      <c r="K208" s="1">
        <v>1.0</v>
      </c>
      <c r="L208" s="2">
        <v>42907.0</v>
      </c>
      <c r="O208" s="1">
        <v>0.0</v>
      </c>
      <c r="P208" s="1" t="s">
        <v>75</v>
      </c>
      <c r="Q208" s="1" t="s">
        <v>76</v>
      </c>
      <c r="R208" s="1" t="s">
        <v>2138</v>
      </c>
      <c r="U208" s="1" t="s">
        <v>2139</v>
      </c>
      <c r="V208" s="1">
        <v>540.0</v>
      </c>
      <c r="W208" s="3" t="s">
        <v>2140</v>
      </c>
      <c r="X208" s="1">
        <v>642788.0</v>
      </c>
      <c r="Y208" s="1" t="s">
        <v>2141</v>
      </c>
      <c r="Z208" s="3" t="s">
        <v>2142</v>
      </c>
      <c r="AA208" s="3" t="s">
        <v>2143</v>
      </c>
      <c r="AB208" s="1">
        <v>1.0</v>
      </c>
      <c r="AC208" s="1" t="s">
        <v>2144</v>
      </c>
      <c r="AD208" s="1">
        <v>22.0</v>
      </c>
      <c r="AE208" s="1">
        <f t="shared" si="5"/>
        <v>430</v>
      </c>
      <c r="AF208" s="1">
        <v>43.0</v>
      </c>
      <c r="AG208" s="1">
        <v>317.0</v>
      </c>
      <c r="AH208" s="1">
        <v>384.0</v>
      </c>
      <c r="AI208" s="1">
        <v>290.0</v>
      </c>
      <c r="AJ208" s="1">
        <v>263.0</v>
      </c>
      <c r="AK208" s="1">
        <v>357.0</v>
      </c>
      <c r="AL208" s="1">
        <v>288.0</v>
      </c>
      <c r="AM208" s="1">
        <v>4.0</v>
      </c>
      <c r="AN208" s="1">
        <v>0.0</v>
      </c>
      <c r="AO208" s="1">
        <v>5.0</v>
      </c>
      <c r="AP208" s="1">
        <v>3.0</v>
      </c>
      <c r="AQ208" s="1">
        <v>2.0</v>
      </c>
    </row>
    <row r="209">
      <c r="A209" s="1"/>
      <c r="B209" s="1">
        <v>480.0</v>
      </c>
      <c r="C209" s="1" t="s">
        <v>2145</v>
      </c>
      <c r="D209" s="1" t="s">
        <v>2146</v>
      </c>
      <c r="E209" s="1" t="s">
        <v>1352</v>
      </c>
      <c r="F209" s="1" t="s">
        <v>43</v>
      </c>
      <c r="G209" s="2">
        <v>27027.0</v>
      </c>
      <c r="H209" s="1" t="s">
        <v>1675</v>
      </c>
      <c r="I209" s="1">
        <v>69.0</v>
      </c>
      <c r="J209" s="1" t="s">
        <v>1363</v>
      </c>
      <c r="K209" s="1">
        <v>8.0</v>
      </c>
      <c r="L209" s="2">
        <v>42907.0</v>
      </c>
      <c r="O209" s="1">
        <v>0.0</v>
      </c>
      <c r="P209" s="1" t="s">
        <v>61</v>
      </c>
      <c r="Q209" s="1" t="s">
        <v>62</v>
      </c>
      <c r="R209" s="1" t="s">
        <v>2147</v>
      </c>
      <c r="U209" s="1" t="s">
        <v>1492</v>
      </c>
      <c r="V209" s="1">
        <v>126.0</v>
      </c>
      <c r="W209" s="3" t="s">
        <v>2148</v>
      </c>
      <c r="X209" s="1">
        <v>334843.0</v>
      </c>
      <c r="Y209" s="1" t="s">
        <v>2149</v>
      </c>
      <c r="Z209" s="3" t="s">
        <v>2150</v>
      </c>
      <c r="AA209" s="3" t="s">
        <v>2151</v>
      </c>
      <c r="AB209" s="1">
        <v>1.0</v>
      </c>
      <c r="AC209" s="1" t="s">
        <v>2152</v>
      </c>
      <c r="AD209" s="1">
        <v>22.0</v>
      </c>
      <c r="AE209" s="1">
        <f t="shared" si="5"/>
        <v>430</v>
      </c>
      <c r="AF209" s="1">
        <v>27.0</v>
      </c>
      <c r="AG209" s="1">
        <v>16.0</v>
      </c>
      <c r="AH209" s="1">
        <v>27.0</v>
      </c>
      <c r="AI209" s="1">
        <v>54.0</v>
      </c>
      <c r="AJ209" s="1">
        <v>16.0</v>
      </c>
      <c r="AK209" s="1">
        <v>575.0</v>
      </c>
      <c r="AL209" s="1">
        <v>24.0</v>
      </c>
      <c r="AM209" s="1">
        <v>0.0</v>
      </c>
      <c r="AN209" s="1">
        <v>0.0</v>
      </c>
      <c r="AO209" s="1">
        <v>66.0</v>
      </c>
      <c r="AP209" s="1">
        <v>28.0</v>
      </c>
      <c r="AQ209" s="1">
        <v>2.0</v>
      </c>
    </row>
    <row r="210">
      <c r="A210" s="1"/>
      <c r="B210" s="1">
        <v>175.0</v>
      </c>
      <c r="C210" s="1" t="s">
        <v>2153</v>
      </c>
      <c r="D210" s="1" t="s">
        <v>2154</v>
      </c>
      <c r="E210" s="1" t="s">
        <v>2155</v>
      </c>
      <c r="F210" s="1" t="s">
        <v>58</v>
      </c>
      <c r="G210" s="2">
        <v>20715.0</v>
      </c>
      <c r="H210" s="1" t="s">
        <v>2156</v>
      </c>
      <c r="I210" s="1">
        <v>76.0</v>
      </c>
      <c r="J210" s="1" t="s">
        <v>371</v>
      </c>
      <c r="K210" s="1">
        <v>2.0</v>
      </c>
      <c r="L210" s="2">
        <v>42907.0</v>
      </c>
      <c r="O210" s="1">
        <v>0.0</v>
      </c>
      <c r="P210" s="1" t="s">
        <v>75</v>
      </c>
      <c r="Q210" s="1" t="s">
        <v>76</v>
      </c>
      <c r="R210" s="1" t="s">
        <v>2157</v>
      </c>
      <c r="U210" s="1" t="s">
        <v>2158</v>
      </c>
      <c r="V210" s="1">
        <v>433.0</v>
      </c>
      <c r="W210" s="3" t="s">
        <v>2159</v>
      </c>
      <c r="X210" s="1">
        <v>722102.0</v>
      </c>
      <c r="Y210" s="1" t="s">
        <v>2160</v>
      </c>
      <c r="Z210" s="3" t="s">
        <v>2161</v>
      </c>
      <c r="AA210" s="3" t="s">
        <v>2162</v>
      </c>
      <c r="AB210" s="1">
        <v>1.0</v>
      </c>
      <c r="AC210" s="1" t="s">
        <v>2163</v>
      </c>
      <c r="AD210" s="1">
        <v>22.0</v>
      </c>
      <c r="AE210" s="1">
        <f t="shared" si="5"/>
        <v>430</v>
      </c>
      <c r="AF210" s="1">
        <v>46.0</v>
      </c>
      <c r="AG210" s="1">
        <v>13.0</v>
      </c>
      <c r="AH210" s="1">
        <v>22.0</v>
      </c>
      <c r="AI210" s="1">
        <v>3.0</v>
      </c>
      <c r="AJ210" s="1">
        <v>4.0</v>
      </c>
      <c r="AK210" s="1">
        <v>58.0</v>
      </c>
      <c r="AL210" s="1">
        <v>26.0</v>
      </c>
      <c r="AM210" s="1">
        <v>0.0</v>
      </c>
      <c r="AN210" s="1">
        <v>0.0</v>
      </c>
      <c r="AO210" s="1">
        <v>5.0</v>
      </c>
      <c r="AP210" s="1">
        <v>2.0</v>
      </c>
      <c r="AQ210" s="1">
        <v>1.0</v>
      </c>
    </row>
    <row r="211">
      <c r="A211" s="1"/>
      <c r="B211" s="1">
        <v>258.0</v>
      </c>
      <c r="C211" s="1" t="s">
        <v>2164</v>
      </c>
      <c r="D211" s="1" t="s">
        <v>2165</v>
      </c>
      <c r="E211" s="1" t="s">
        <v>2166</v>
      </c>
      <c r="F211" s="1" t="s">
        <v>58</v>
      </c>
      <c r="G211" s="2">
        <v>23172.0</v>
      </c>
      <c r="H211" s="1" t="s">
        <v>2167</v>
      </c>
      <c r="I211" s="1">
        <v>31.0</v>
      </c>
      <c r="J211" s="1" t="s">
        <v>360</v>
      </c>
      <c r="K211" s="1">
        <v>3.0</v>
      </c>
      <c r="L211" s="2">
        <v>42907.0</v>
      </c>
      <c r="O211" s="1">
        <v>0.0</v>
      </c>
      <c r="P211" s="1" t="s">
        <v>75</v>
      </c>
      <c r="Q211" s="1" t="s">
        <v>76</v>
      </c>
      <c r="R211" s="1" t="s">
        <v>2168</v>
      </c>
      <c r="U211" s="1" t="s">
        <v>234</v>
      </c>
      <c r="V211" s="1">
        <v>375.0</v>
      </c>
      <c r="W211" s="3" t="s">
        <v>2169</v>
      </c>
      <c r="X211" s="1">
        <v>719512.0</v>
      </c>
      <c r="Y211" s="1" t="s">
        <v>2170</v>
      </c>
      <c r="Z211" s="3" t="s">
        <v>2171</v>
      </c>
      <c r="AA211" s="3" t="s">
        <v>2172</v>
      </c>
      <c r="AB211" s="1">
        <v>2.0</v>
      </c>
      <c r="AC211" s="1" t="s">
        <v>2173</v>
      </c>
      <c r="AD211" s="1">
        <v>22.0</v>
      </c>
      <c r="AE211" s="1">
        <f t="shared" si="5"/>
        <v>430</v>
      </c>
      <c r="AF211" s="1">
        <v>51.0</v>
      </c>
      <c r="AG211" s="1">
        <v>14.0</v>
      </c>
      <c r="AH211" s="1">
        <v>2.0</v>
      </c>
      <c r="AI211" s="1">
        <v>0.0</v>
      </c>
      <c r="AJ211" s="1">
        <v>0.0</v>
      </c>
      <c r="AK211" s="1">
        <v>55.0</v>
      </c>
      <c r="AL211" s="1">
        <v>25.0</v>
      </c>
      <c r="AM211" s="1">
        <v>1.0</v>
      </c>
      <c r="AN211" s="1">
        <v>0.0</v>
      </c>
      <c r="AO211" s="1">
        <v>6.0</v>
      </c>
      <c r="AP211" s="1">
        <v>9.0</v>
      </c>
      <c r="AQ211" s="1">
        <v>1.0</v>
      </c>
    </row>
    <row r="212">
      <c r="A212" s="1"/>
      <c r="B212" s="1">
        <v>192.0</v>
      </c>
      <c r="C212" s="1" t="s">
        <v>2174</v>
      </c>
      <c r="D212" s="1" t="s">
        <v>2175</v>
      </c>
      <c r="E212" s="1" t="s">
        <v>148</v>
      </c>
      <c r="F212" s="1" t="s">
        <v>43</v>
      </c>
      <c r="G212" s="2">
        <v>20483.0</v>
      </c>
      <c r="H212" s="1" t="s">
        <v>2176</v>
      </c>
      <c r="I212" s="1">
        <v>60.0</v>
      </c>
      <c r="J212" s="1" t="s">
        <v>769</v>
      </c>
      <c r="K212" s="1">
        <v>4.0</v>
      </c>
      <c r="L212" s="2">
        <v>42907.0</v>
      </c>
      <c r="O212" s="1">
        <v>0.0</v>
      </c>
      <c r="P212" s="1" t="s">
        <v>61</v>
      </c>
      <c r="Q212" s="1" t="s">
        <v>62</v>
      </c>
      <c r="R212" s="1" t="s">
        <v>2177</v>
      </c>
      <c r="U212" s="1" t="s">
        <v>2178</v>
      </c>
      <c r="V212" s="1">
        <v>89.0</v>
      </c>
      <c r="W212" s="3" t="s">
        <v>2179</v>
      </c>
      <c r="X212" s="1">
        <v>2960.0</v>
      </c>
      <c r="Y212" s="1" t="s">
        <v>2180</v>
      </c>
      <c r="Z212" s="3" t="s">
        <v>2181</v>
      </c>
      <c r="AA212" s="3" t="s">
        <v>2182</v>
      </c>
      <c r="AB212" s="1">
        <v>2.0</v>
      </c>
      <c r="AC212" s="1" t="s">
        <v>2183</v>
      </c>
      <c r="AD212" s="1">
        <v>22.0</v>
      </c>
      <c r="AE212" s="1">
        <f t="shared" si="5"/>
        <v>430</v>
      </c>
      <c r="AF212" s="1">
        <v>79.0</v>
      </c>
      <c r="AG212" s="1">
        <v>563.0</v>
      </c>
      <c r="AH212" s="1">
        <v>269.0</v>
      </c>
      <c r="AI212" s="1">
        <v>112.0</v>
      </c>
      <c r="AJ212" s="1">
        <v>93.0</v>
      </c>
      <c r="AK212" s="1">
        <v>308.0</v>
      </c>
      <c r="AL212" s="1">
        <v>22.0</v>
      </c>
      <c r="AM212" s="1">
        <v>0.0</v>
      </c>
      <c r="AN212" s="1">
        <v>0.0</v>
      </c>
      <c r="AO212" s="1">
        <v>5.0</v>
      </c>
      <c r="AP212" s="1">
        <v>6.0</v>
      </c>
      <c r="AQ212" s="1">
        <v>2.0</v>
      </c>
    </row>
    <row r="213">
      <c r="A213" s="1"/>
      <c r="B213" s="1">
        <v>26.0</v>
      </c>
      <c r="C213" s="1" t="s">
        <v>2184</v>
      </c>
      <c r="D213" s="1" t="s">
        <v>2185</v>
      </c>
      <c r="E213" s="1" t="s">
        <v>2186</v>
      </c>
      <c r="F213" s="1" t="s">
        <v>58</v>
      </c>
      <c r="G213" s="2">
        <v>23463.0</v>
      </c>
      <c r="H213" s="1" t="s">
        <v>2187</v>
      </c>
      <c r="I213" s="1">
        <v>67.0</v>
      </c>
      <c r="J213" s="1" t="s">
        <v>244</v>
      </c>
      <c r="K213" s="1">
        <v>4.0</v>
      </c>
      <c r="L213" s="2">
        <v>42907.0</v>
      </c>
      <c r="O213" s="1">
        <v>0.0</v>
      </c>
      <c r="P213" s="1" t="s">
        <v>75</v>
      </c>
      <c r="Q213" s="1" t="s">
        <v>76</v>
      </c>
      <c r="R213" s="1" t="s">
        <v>2188</v>
      </c>
      <c r="U213" s="1" t="s">
        <v>2189</v>
      </c>
      <c r="V213" s="1">
        <v>488.0</v>
      </c>
      <c r="W213" s="3" t="s">
        <v>2190</v>
      </c>
      <c r="X213" s="1">
        <v>722268.0</v>
      </c>
      <c r="Y213" s="1" t="s">
        <v>2191</v>
      </c>
      <c r="Z213" s="3" t="s">
        <v>2192</v>
      </c>
      <c r="AA213" s="3" t="s">
        <v>2193</v>
      </c>
      <c r="AB213" s="1">
        <v>1.0</v>
      </c>
      <c r="AC213" s="1" t="s">
        <v>2194</v>
      </c>
      <c r="AD213" s="1">
        <v>22.0</v>
      </c>
      <c r="AE213" s="1">
        <f t="shared" si="5"/>
        <v>430</v>
      </c>
      <c r="AF213" s="1">
        <v>45.0</v>
      </c>
      <c r="AG213" s="1">
        <v>24.0</v>
      </c>
      <c r="AH213" s="1">
        <v>30.0</v>
      </c>
      <c r="AI213" s="1">
        <v>6.0</v>
      </c>
      <c r="AJ213" s="1">
        <v>2.0</v>
      </c>
      <c r="AK213" s="1">
        <v>83.0</v>
      </c>
      <c r="AL213" s="1">
        <v>32.0</v>
      </c>
      <c r="AM213" s="1">
        <v>0.0</v>
      </c>
      <c r="AN213" s="1">
        <v>0.0</v>
      </c>
      <c r="AO213" s="1">
        <v>7.0</v>
      </c>
      <c r="AP213" s="1">
        <v>8.0</v>
      </c>
      <c r="AQ213" s="1">
        <v>2.0</v>
      </c>
    </row>
    <row r="214">
      <c r="A214" s="1"/>
      <c r="B214" s="1">
        <v>31.0</v>
      </c>
      <c r="C214" s="1" t="s">
        <v>2195</v>
      </c>
      <c r="D214" s="1" t="s">
        <v>2196</v>
      </c>
      <c r="E214" s="1" t="s">
        <v>2197</v>
      </c>
      <c r="F214" s="1" t="s">
        <v>43</v>
      </c>
      <c r="G214" s="2">
        <v>32300.0</v>
      </c>
      <c r="H214" s="1" t="s">
        <v>718</v>
      </c>
      <c r="I214" s="1">
        <v>13.0</v>
      </c>
      <c r="J214" s="1" t="s">
        <v>279</v>
      </c>
      <c r="K214" s="1">
        <v>8.0</v>
      </c>
      <c r="L214" s="2">
        <v>42907.0</v>
      </c>
      <c r="O214" s="1">
        <v>0.0</v>
      </c>
      <c r="P214" s="1" t="s">
        <v>75</v>
      </c>
      <c r="Q214" s="1" t="s">
        <v>76</v>
      </c>
      <c r="R214" s="1" t="s">
        <v>2198</v>
      </c>
      <c r="U214" s="1" t="s">
        <v>162</v>
      </c>
      <c r="V214" s="1">
        <v>305.0</v>
      </c>
      <c r="W214" s="3" t="s">
        <v>2199</v>
      </c>
      <c r="X214" s="1">
        <v>718962.0</v>
      </c>
      <c r="Y214" s="1" t="s">
        <v>2200</v>
      </c>
      <c r="Z214" s="3" t="s">
        <v>2201</v>
      </c>
      <c r="AA214" s="3" t="s">
        <v>2202</v>
      </c>
      <c r="AB214" s="1">
        <v>1.0</v>
      </c>
      <c r="AC214" s="1" t="s">
        <v>2203</v>
      </c>
      <c r="AD214" s="1">
        <v>22.0</v>
      </c>
      <c r="AE214" s="1">
        <f t="shared" si="5"/>
        <v>430</v>
      </c>
      <c r="AF214" s="1">
        <v>41.0</v>
      </c>
      <c r="AG214" s="1">
        <v>34.0</v>
      </c>
      <c r="AH214" s="1">
        <v>41.0</v>
      </c>
      <c r="AI214" s="1">
        <v>16.0</v>
      </c>
      <c r="AJ214" s="1">
        <v>33.0</v>
      </c>
      <c r="AK214" s="1">
        <v>142.0</v>
      </c>
      <c r="AL214" s="1">
        <v>75.0</v>
      </c>
      <c r="AM214" s="1">
        <v>2.0</v>
      </c>
      <c r="AN214" s="1">
        <v>0.0</v>
      </c>
      <c r="AO214" s="1">
        <v>6.0</v>
      </c>
      <c r="AP214" s="1">
        <v>13.0</v>
      </c>
      <c r="AQ214" s="1">
        <v>1.0</v>
      </c>
    </row>
    <row r="215">
      <c r="A215" s="1"/>
      <c r="B215" s="1">
        <v>382.0</v>
      </c>
      <c r="C215" s="1" t="s">
        <v>2204</v>
      </c>
      <c r="D215" s="1" t="s">
        <v>2205</v>
      </c>
      <c r="E215" s="1" t="s">
        <v>1352</v>
      </c>
      <c r="F215" s="1" t="s">
        <v>43</v>
      </c>
      <c r="G215" s="2">
        <v>27833.0</v>
      </c>
      <c r="H215" s="1" t="s">
        <v>2206</v>
      </c>
      <c r="I215" s="1">
        <v>93.0</v>
      </c>
      <c r="J215" s="1" t="s">
        <v>196</v>
      </c>
      <c r="K215" s="1">
        <v>3.0</v>
      </c>
      <c r="L215" s="2">
        <v>42907.0</v>
      </c>
      <c r="O215" s="1">
        <v>0.0</v>
      </c>
      <c r="P215" s="1" t="s">
        <v>75</v>
      </c>
      <c r="Q215" s="1" t="s">
        <v>76</v>
      </c>
      <c r="R215" s="1" t="s">
        <v>2207</v>
      </c>
      <c r="U215" s="1" t="s">
        <v>2208</v>
      </c>
      <c r="V215" s="1">
        <v>352.0</v>
      </c>
      <c r="W215" s="3" t="s">
        <v>2209</v>
      </c>
      <c r="X215" s="1">
        <v>721278.0</v>
      </c>
      <c r="Y215" s="1" t="s">
        <v>2210</v>
      </c>
      <c r="Z215" s="3" t="s">
        <v>2211</v>
      </c>
      <c r="AA215" s="3" t="s">
        <v>2212</v>
      </c>
      <c r="AB215" s="1">
        <v>1.0</v>
      </c>
      <c r="AC215" s="1" t="s">
        <v>2213</v>
      </c>
      <c r="AD215" s="1">
        <v>21.0</v>
      </c>
      <c r="AE215" s="1">
        <f t="shared" si="5"/>
        <v>431</v>
      </c>
      <c r="AF215" s="1">
        <v>44.0</v>
      </c>
      <c r="AG215" s="1">
        <v>20.0</v>
      </c>
      <c r="AH215" s="1">
        <v>5.0</v>
      </c>
      <c r="AI215" s="1">
        <v>1.0</v>
      </c>
      <c r="AJ215" s="1">
        <v>3.0</v>
      </c>
      <c r="AK215" s="1">
        <v>73.0</v>
      </c>
      <c r="AL215" s="1">
        <v>31.0</v>
      </c>
      <c r="AM215" s="1">
        <v>1.0</v>
      </c>
      <c r="AN215" s="1">
        <v>0.0</v>
      </c>
      <c r="AO215" s="1">
        <v>5.0</v>
      </c>
      <c r="AP215" s="1">
        <v>1.0</v>
      </c>
      <c r="AQ215" s="1">
        <v>0.0</v>
      </c>
    </row>
    <row r="216">
      <c r="A216" s="1"/>
      <c r="B216" s="1">
        <v>441.0</v>
      </c>
      <c r="C216" s="1" t="s">
        <v>2214</v>
      </c>
      <c r="D216" s="1" t="s">
        <v>2215</v>
      </c>
      <c r="E216" s="1" t="s">
        <v>2216</v>
      </c>
      <c r="F216" s="1" t="s">
        <v>43</v>
      </c>
      <c r="G216" s="2">
        <v>31718.0</v>
      </c>
      <c r="H216" s="1" t="s">
        <v>2217</v>
      </c>
      <c r="I216" s="1">
        <v>999.0</v>
      </c>
      <c r="J216" s="1" t="s">
        <v>256</v>
      </c>
      <c r="K216" s="1">
        <v>4.0</v>
      </c>
      <c r="L216" s="2">
        <v>42907.0</v>
      </c>
      <c r="O216" s="1">
        <v>0.0</v>
      </c>
      <c r="P216" s="1" t="s">
        <v>75</v>
      </c>
      <c r="Q216" s="1" t="s">
        <v>76</v>
      </c>
      <c r="R216" s="1" t="s">
        <v>2218</v>
      </c>
      <c r="U216" s="1" t="s">
        <v>2219</v>
      </c>
      <c r="V216" s="1">
        <v>227.0</v>
      </c>
      <c r="W216" s="3" t="s">
        <v>2220</v>
      </c>
      <c r="X216" s="1">
        <v>721158.0</v>
      </c>
      <c r="Y216" s="1" t="s">
        <v>2221</v>
      </c>
      <c r="Z216" s="3" t="s">
        <v>2222</v>
      </c>
      <c r="AA216" s="3" t="s">
        <v>2223</v>
      </c>
      <c r="AB216" s="1">
        <v>1.0</v>
      </c>
      <c r="AC216" s="1" t="s">
        <v>2224</v>
      </c>
      <c r="AD216" s="1">
        <v>21.0</v>
      </c>
      <c r="AE216" s="1">
        <f t="shared" si="5"/>
        <v>431</v>
      </c>
      <c r="AF216" s="1">
        <v>48.0</v>
      </c>
      <c r="AG216" s="1">
        <v>26.0</v>
      </c>
      <c r="AH216" s="1">
        <v>2.0</v>
      </c>
      <c r="AI216" s="1">
        <v>1.0</v>
      </c>
      <c r="AJ216" s="1">
        <v>0.0</v>
      </c>
      <c r="AK216" s="1">
        <v>15.0</v>
      </c>
      <c r="AL216" s="1">
        <v>6.0</v>
      </c>
      <c r="AM216" s="1">
        <v>1.0</v>
      </c>
      <c r="AN216" s="1">
        <v>0.0</v>
      </c>
      <c r="AO216" s="1">
        <v>5.0</v>
      </c>
      <c r="AP216" s="1">
        <v>5.0</v>
      </c>
      <c r="AQ216" s="1">
        <v>0.0</v>
      </c>
    </row>
    <row r="217">
      <c r="A217" s="1"/>
      <c r="B217" s="1">
        <v>500.0</v>
      </c>
      <c r="C217" s="1" t="s">
        <v>2225</v>
      </c>
      <c r="D217" s="1" t="s">
        <v>2226</v>
      </c>
      <c r="E217" s="1" t="s">
        <v>738</v>
      </c>
      <c r="F217" s="1" t="s">
        <v>58</v>
      </c>
      <c r="G217" s="2">
        <v>26746.0</v>
      </c>
      <c r="H217" s="1" t="s">
        <v>2227</v>
      </c>
      <c r="I217" s="1">
        <v>79.0</v>
      </c>
      <c r="J217" s="1" t="s">
        <v>2228</v>
      </c>
      <c r="K217" s="1">
        <v>2.0</v>
      </c>
      <c r="L217" s="2">
        <v>42907.0</v>
      </c>
      <c r="O217" s="1">
        <v>0.0</v>
      </c>
      <c r="P217" s="1" t="s">
        <v>115</v>
      </c>
      <c r="Q217" s="1" t="s">
        <v>116</v>
      </c>
      <c r="R217" s="1" t="s">
        <v>2229</v>
      </c>
      <c r="U217" s="1" t="s">
        <v>90</v>
      </c>
      <c r="V217" s="1">
        <v>500.0</v>
      </c>
      <c r="W217" s="3" t="s">
        <v>2230</v>
      </c>
      <c r="X217" s="1">
        <v>335999.0</v>
      </c>
      <c r="Y217" s="1" t="s">
        <v>2231</v>
      </c>
      <c r="Z217" s="3" t="s">
        <v>2232</v>
      </c>
      <c r="AA217" s="3" t="s">
        <v>2233</v>
      </c>
      <c r="AB217" s="1">
        <v>1.0</v>
      </c>
      <c r="AC217" s="1" t="s">
        <v>2234</v>
      </c>
      <c r="AD217" s="1">
        <v>21.0</v>
      </c>
      <c r="AE217" s="1">
        <f t="shared" si="5"/>
        <v>431</v>
      </c>
      <c r="AF217" s="1">
        <v>40.0</v>
      </c>
      <c r="AG217" s="1">
        <v>126.0</v>
      </c>
      <c r="AH217" s="1">
        <v>174.0</v>
      </c>
      <c r="AI217" s="1">
        <v>146.0</v>
      </c>
      <c r="AJ217" s="1">
        <v>151.0</v>
      </c>
      <c r="AK217" s="1">
        <v>1144.0</v>
      </c>
      <c r="AL217" s="1">
        <v>89.0</v>
      </c>
      <c r="AM217" s="1">
        <v>0.0</v>
      </c>
      <c r="AN217" s="1">
        <v>0.0</v>
      </c>
      <c r="AO217" s="1">
        <v>7.0</v>
      </c>
      <c r="AP217" s="1">
        <v>7.0</v>
      </c>
      <c r="AQ217" s="1">
        <v>1.0</v>
      </c>
    </row>
    <row r="218">
      <c r="A218" s="1"/>
      <c r="B218" s="1">
        <v>387.0</v>
      </c>
      <c r="C218" s="1" t="s">
        <v>2235</v>
      </c>
      <c r="D218" s="1" t="s">
        <v>2236</v>
      </c>
      <c r="E218" s="1" t="s">
        <v>717</v>
      </c>
      <c r="F218" s="1" t="s">
        <v>43</v>
      </c>
      <c r="G218" s="2">
        <v>28977.0</v>
      </c>
      <c r="H218" s="1" t="s">
        <v>2237</v>
      </c>
      <c r="I218" s="1">
        <v>42.0</v>
      </c>
      <c r="J218" s="1" t="s">
        <v>536</v>
      </c>
      <c r="K218" s="1">
        <v>6.0</v>
      </c>
      <c r="L218" s="2">
        <v>42907.0</v>
      </c>
      <c r="O218" s="1">
        <v>0.0</v>
      </c>
      <c r="P218" s="1" t="s">
        <v>75</v>
      </c>
      <c r="Q218" s="1" t="s">
        <v>76</v>
      </c>
      <c r="R218" s="1" t="s">
        <v>2238</v>
      </c>
      <c r="U218" s="1" t="s">
        <v>151</v>
      </c>
      <c r="V218" s="1">
        <v>387.0</v>
      </c>
      <c r="W218" s="3" t="s">
        <v>2239</v>
      </c>
      <c r="X218" s="1">
        <v>719980.0</v>
      </c>
      <c r="Y218" s="1" t="s">
        <v>2240</v>
      </c>
      <c r="Z218" s="3" t="s">
        <v>2241</v>
      </c>
      <c r="AA218" s="3" t="s">
        <v>2242</v>
      </c>
      <c r="AB218" s="1">
        <v>1.0</v>
      </c>
      <c r="AC218" s="1" t="s">
        <v>2243</v>
      </c>
      <c r="AD218" s="1">
        <v>21.0</v>
      </c>
      <c r="AE218" s="1">
        <f t="shared" si="5"/>
        <v>431</v>
      </c>
      <c r="AF218" s="1">
        <v>43.0</v>
      </c>
      <c r="AG218" s="1">
        <v>22.0</v>
      </c>
      <c r="AH218" s="1">
        <v>22.0</v>
      </c>
      <c r="AI218" s="1">
        <v>4.0</v>
      </c>
      <c r="AJ218" s="1">
        <v>0.0</v>
      </c>
      <c r="AK218" s="1">
        <v>58.0</v>
      </c>
      <c r="AL218" s="1">
        <v>25.0</v>
      </c>
      <c r="AM218" s="1">
        <v>0.0</v>
      </c>
      <c r="AN218" s="1">
        <v>0.0</v>
      </c>
      <c r="AO218" s="1">
        <v>7.0</v>
      </c>
      <c r="AP218" s="1">
        <v>11.0</v>
      </c>
      <c r="AQ218" s="1">
        <v>0.0</v>
      </c>
    </row>
    <row r="219">
      <c r="A219" s="1"/>
      <c r="B219" s="1">
        <v>64.0</v>
      </c>
      <c r="C219" s="1" t="s">
        <v>2244</v>
      </c>
      <c r="D219" s="1" t="s">
        <v>2245</v>
      </c>
      <c r="E219" s="1" t="s">
        <v>2246</v>
      </c>
      <c r="F219" s="1" t="s">
        <v>43</v>
      </c>
      <c r="G219" s="2">
        <v>26929.0</v>
      </c>
      <c r="H219" s="1" t="s">
        <v>2247</v>
      </c>
      <c r="I219" s="1">
        <v>33.0</v>
      </c>
      <c r="J219" s="1" t="s">
        <v>348</v>
      </c>
      <c r="K219" s="1">
        <v>10.0</v>
      </c>
      <c r="L219" s="2">
        <v>42907.0</v>
      </c>
      <c r="O219" s="1">
        <v>0.0</v>
      </c>
      <c r="P219" s="1" t="s">
        <v>75</v>
      </c>
      <c r="Q219" s="1" t="s">
        <v>76</v>
      </c>
      <c r="R219" s="1" t="s">
        <v>2248</v>
      </c>
      <c r="U219" s="1" t="s">
        <v>2249</v>
      </c>
      <c r="V219" s="1">
        <v>233.0</v>
      </c>
      <c r="W219" s="3" t="s">
        <v>2250</v>
      </c>
      <c r="X219" s="1">
        <v>606507.0</v>
      </c>
      <c r="Y219" s="1" t="s">
        <v>2251</v>
      </c>
      <c r="Z219" s="3" t="s">
        <v>2252</v>
      </c>
      <c r="AA219" s="3" t="s">
        <v>2253</v>
      </c>
      <c r="AB219" s="1">
        <v>1.0</v>
      </c>
      <c r="AC219" s="1" t="s">
        <v>2254</v>
      </c>
      <c r="AD219" s="1">
        <v>21.0</v>
      </c>
      <c r="AE219" s="1">
        <f t="shared" si="5"/>
        <v>431</v>
      </c>
      <c r="AF219" s="1">
        <v>37.0</v>
      </c>
      <c r="AG219" s="1">
        <v>6.0</v>
      </c>
      <c r="AH219" s="1">
        <v>10.0</v>
      </c>
      <c r="AI219" s="1">
        <v>1.0</v>
      </c>
      <c r="AJ219" s="1">
        <v>1.0</v>
      </c>
      <c r="AK219" s="1">
        <v>33.0</v>
      </c>
      <c r="AL219" s="1">
        <v>14.0</v>
      </c>
      <c r="AM219" s="1">
        <v>0.0</v>
      </c>
      <c r="AN219" s="1">
        <v>0.0</v>
      </c>
      <c r="AO219" s="1">
        <v>5.0</v>
      </c>
      <c r="AP219" s="1">
        <v>7.0</v>
      </c>
      <c r="AQ219" s="1">
        <v>2.0</v>
      </c>
    </row>
    <row r="220">
      <c r="A220" s="1"/>
      <c r="B220" s="1">
        <v>334.0</v>
      </c>
      <c r="C220" s="1" t="s">
        <v>2255</v>
      </c>
      <c r="D220" s="1" t="s">
        <v>2256</v>
      </c>
      <c r="E220" s="1" t="s">
        <v>2257</v>
      </c>
      <c r="F220" s="1" t="s">
        <v>43</v>
      </c>
      <c r="G220" s="2">
        <v>28368.0</v>
      </c>
      <c r="H220" s="1" t="s">
        <v>2258</v>
      </c>
      <c r="I220" s="1">
        <v>75.0</v>
      </c>
      <c r="J220" s="1" t="s">
        <v>232</v>
      </c>
      <c r="K220" s="1">
        <v>18.0</v>
      </c>
      <c r="L220" s="2">
        <v>42907.0</v>
      </c>
      <c r="O220" s="1">
        <v>0.0</v>
      </c>
      <c r="P220" s="1" t="s">
        <v>46</v>
      </c>
      <c r="Q220" s="1" t="s">
        <v>47</v>
      </c>
      <c r="R220" s="1" t="s">
        <v>2259</v>
      </c>
      <c r="U220" s="1" t="s">
        <v>2260</v>
      </c>
      <c r="V220" s="1">
        <v>146.0</v>
      </c>
      <c r="W220" s="3" t="s">
        <v>2261</v>
      </c>
      <c r="X220" s="1">
        <v>722030.0</v>
      </c>
      <c r="Y220" s="1" t="s">
        <v>2262</v>
      </c>
      <c r="Z220" s="3" t="s">
        <v>2263</v>
      </c>
      <c r="AA220" s="3" t="s">
        <v>2264</v>
      </c>
      <c r="AB220" s="1">
        <v>2.0</v>
      </c>
      <c r="AC220" s="1" t="s">
        <v>2265</v>
      </c>
      <c r="AD220" s="1">
        <v>21.0</v>
      </c>
      <c r="AE220" s="1">
        <f t="shared" si="5"/>
        <v>431</v>
      </c>
      <c r="AF220" s="1">
        <v>30.0</v>
      </c>
      <c r="AG220" s="1">
        <v>35.0</v>
      </c>
      <c r="AH220" s="1">
        <v>66.0</v>
      </c>
      <c r="AI220" s="1">
        <v>15.0</v>
      </c>
      <c r="AJ220" s="1">
        <v>21.0</v>
      </c>
      <c r="AK220" s="1">
        <v>453.0</v>
      </c>
      <c r="AL220" s="1">
        <v>25.0</v>
      </c>
      <c r="AM220" s="1">
        <v>1.0</v>
      </c>
      <c r="AN220" s="1">
        <v>0.0</v>
      </c>
      <c r="AO220" s="1">
        <v>6.0</v>
      </c>
      <c r="AP220" s="1">
        <v>13.0</v>
      </c>
      <c r="AQ220" s="1">
        <v>5.0</v>
      </c>
    </row>
    <row r="221">
      <c r="A221" s="1"/>
      <c r="B221" s="1">
        <v>512.0</v>
      </c>
      <c r="C221" s="1" t="s">
        <v>2266</v>
      </c>
      <c r="D221" s="1" t="s">
        <v>2267</v>
      </c>
      <c r="E221" s="1" t="s">
        <v>1135</v>
      </c>
      <c r="F221" s="1" t="s">
        <v>43</v>
      </c>
      <c r="G221" s="2">
        <v>24930.0</v>
      </c>
      <c r="H221" s="1" t="s">
        <v>2268</v>
      </c>
      <c r="I221" s="1">
        <v>7.0</v>
      </c>
      <c r="J221" s="1" t="s">
        <v>2269</v>
      </c>
      <c r="K221" s="1">
        <v>3.0</v>
      </c>
      <c r="L221" s="2">
        <v>42907.0</v>
      </c>
      <c r="O221" s="1">
        <v>0.0</v>
      </c>
      <c r="P221" s="1" t="s">
        <v>61</v>
      </c>
      <c r="Q221" s="1" t="s">
        <v>62</v>
      </c>
      <c r="R221" s="1" t="s">
        <v>2270</v>
      </c>
      <c r="U221" s="1" t="s">
        <v>198</v>
      </c>
      <c r="V221" s="1">
        <v>137.0</v>
      </c>
      <c r="W221" s="3" t="s">
        <v>2271</v>
      </c>
      <c r="X221" s="1">
        <v>718838.0</v>
      </c>
      <c r="Y221" s="1" t="s">
        <v>2272</v>
      </c>
      <c r="Z221" s="3" t="s">
        <v>2273</v>
      </c>
      <c r="AA221" s="3" t="s">
        <v>2274</v>
      </c>
      <c r="AB221" s="1">
        <v>1.0</v>
      </c>
      <c r="AC221" s="1" t="s">
        <v>2275</v>
      </c>
      <c r="AD221" s="1">
        <v>21.0</v>
      </c>
      <c r="AE221" s="1">
        <f t="shared" si="5"/>
        <v>431</v>
      </c>
      <c r="AF221" s="1">
        <v>36.0</v>
      </c>
      <c r="AG221" s="1">
        <v>81.0</v>
      </c>
      <c r="AH221" s="1">
        <v>119.0</v>
      </c>
      <c r="AI221" s="1">
        <v>85.0</v>
      </c>
      <c r="AJ221" s="1">
        <v>157.0</v>
      </c>
      <c r="AK221" s="1">
        <v>1656.0</v>
      </c>
      <c r="AL221" s="1">
        <v>50.0</v>
      </c>
      <c r="AM221" s="1">
        <v>2.0</v>
      </c>
      <c r="AN221" s="1">
        <v>12.0</v>
      </c>
      <c r="AO221" s="1">
        <v>97.0</v>
      </c>
      <c r="AP221" s="1">
        <v>33.0</v>
      </c>
      <c r="AQ221" s="1">
        <v>3.0</v>
      </c>
    </row>
    <row r="222">
      <c r="A222" s="1"/>
      <c r="B222" s="1">
        <v>407.0</v>
      </c>
      <c r="C222" s="1" t="s">
        <v>2276</v>
      </c>
      <c r="D222" s="1" t="s">
        <v>2277</v>
      </c>
      <c r="E222" s="1" t="s">
        <v>916</v>
      </c>
      <c r="F222" s="1" t="s">
        <v>43</v>
      </c>
      <c r="G222" s="2">
        <v>19060.0</v>
      </c>
      <c r="H222" s="1" t="s">
        <v>2278</v>
      </c>
      <c r="I222" s="1">
        <v>59.0</v>
      </c>
      <c r="J222" s="1" t="s">
        <v>172</v>
      </c>
      <c r="K222" s="1">
        <v>16.0</v>
      </c>
      <c r="L222" s="2">
        <v>42907.0</v>
      </c>
      <c r="O222" s="1">
        <v>0.0</v>
      </c>
      <c r="P222" s="1" t="s">
        <v>101</v>
      </c>
      <c r="Q222" s="1" t="s">
        <v>102</v>
      </c>
      <c r="R222" s="3" t="s">
        <v>2279</v>
      </c>
      <c r="U222" s="1" t="s">
        <v>2280</v>
      </c>
      <c r="V222" s="1">
        <v>586.0</v>
      </c>
      <c r="W222" s="3" t="s">
        <v>2281</v>
      </c>
      <c r="X222" s="1">
        <v>720546.0</v>
      </c>
      <c r="Y222" s="1" t="s">
        <v>2282</v>
      </c>
      <c r="Z222" s="3" t="s">
        <v>2283</v>
      </c>
      <c r="AA222" s="3" t="s">
        <v>2284</v>
      </c>
      <c r="AB222" s="1">
        <v>1.0</v>
      </c>
      <c r="AC222" s="1" t="s">
        <v>2285</v>
      </c>
      <c r="AD222" s="1">
        <v>21.0</v>
      </c>
      <c r="AE222" s="1">
        <f t="shared" si="5"/>
        <v>431</v>
      </c>
      <c r="AF222" s="1">
        <v>29.0</v>
      </c>
      <c r="AG222" s="1">
        <v>35.0</v>
      </c>
      <c r="AH222" s="1">
        <v>116.0</v>
      </c>
      <c r="AI222" s="1">
        <v>68.0</v>
      </c>
      <c r="AJ222" s="1">
        <v>26.0</v>
      </c>
      <c r="AK222" s="1">
        <v>668.0</v>
      </c>
      <c r="AL222" s="1">
        <v>25.0</v>
      </c>
      <c r="AM222" s="1">
        <v>0.0</v>
      </c>
      <c r="AN222" s="1">
        <v>1.0</v>
      </c>
      <c r="AO222" s="1">
        <v>19.0</v>
      </c>
      <c r="AP222" s="1">
        <v>16.0</v>
      </c>
      <c r="AQ222" s="1">
        <v>6.0</v>
      </c>
    </row>
    <row r="223">
      <c r="A223" s="1"/>
      <c r="B223" s="1">
        <v>289.0</v>
      </c>
      <c r="C223" s="1" t="s">
        <v>2286</v>
      </c>
      <c r="D223" s="1" t="s">
        <v>2287</v>
      </c>
      <c r="E223" s="1" t="s">
        <v>866</v>
      </c>
      <c r="F223" s="1" t="s">
        <v>43</v>
      </c>
      <c r="G223" s="2">
        <v>21166.0</v>
      </c>
      <c r="H223" s="1" t="s">
        <v>404</v>
      </c>
      <c r="I223" s="1">
        <v>31.0</v>
      </c>
      <c r="J223" s="1" t="s">
        <v>360</v>
      </c>
      <c r="K223" s="1">
        <v>1.0</v>
      </c>
      <c r="L223" s="2">
        <v>42907.0</v>
      </c>
      <c r="O223" s="1">
        <v>0.0</v>
      </c>
      <c r="P223" s="1" t="s">
        <v>75</v>
      </c>
      <c r="Q223" s="1" t="s">
        <v>76</v>
      </c>
      <c r="R223" s="1" t="s">
        <v>2288</v>
      </c>
      <c r="U223" s="1" t="s">
        <v>2289</v>
      </c>
      <c r="V223" s="1">
        <v>637.0</v>
      </c>
      <c r="W223" s="3" t="s">
        <v>2290</v>
      </c>
      <c r="X223" s="1">
        <v>719496.0</v>
      </c>
      <c r="Y223" s="1" t="s">
        <v>2291</v>
      </c>
      <c r="Z223" s="3" t="s">
        <v>2292</v>
      </c>
      <c r="AA223" s="3" t="s">
        <v>2293</v>
      </c>
      <c r="AB223" s="1">
        <v>1.0</v>
      </c>
      <c r="AC223" s="1" t="s">
        <v>2294</v>
      </c>
      <c r="AD223" s="1">
        <v>21.0</v>
      </c>
      <c r="AE223" s="1">
        <f t="shared" si="5"/>
        <v>431</v>
      </c>
      <c r="AF223" s="1">
        <v>47.0</v>
      </c>
      <c r="AG223" s="1">
        <v>10.0</v>
      </c>
      <c r="AH223" s="1">
        <v>18.0</v>
      </c>
      <c r="AI223" s="1">
        <v>0.0</v>
      </c>
      <c r="AJ223" s="1">
        <v>0.0</v>
      </c>
      <c r="AK223" s="1">
        <v>15.0</v>
      </c>
      <c r="AL223" s="1">
        <v>7.0</v>
      </c>
      <c r="AM223" s="1">
        <v>0.0</v>
      </c>
      <c r="AN223" s="1">
        <v>0.0</v>
      </c>
      <c r="AO223" s="1">
        <v>5.0</v>
      </c>
      <c r="AP223" s="1">
        <v>1.0</v>
      </c>
      <c r="AQ223" s="1">
        <v>2.0</v>
      </c>
    </row>
    <row r="224">
      <c r="A224" s="1"/>
      <c r="B224" s="1">
        <v>465.0</v>
      </c>
      <c r="C224" s="1" t="s">
        <v>2295</v>
      </c>
      <c r="D224" s="1" t="s">
        <v>2296</v>
      </c>
      <c r="E224" s="1" t="s">
        <v>2297</v>
      </c>
      <c r="F224" s="1" t="s">
        <v>43</v>
      </c>
      <c r="G224" s="2">
        <v>27546.0</v>
      </c>
      <c r="H224" s="1" t="s">
        <v>2298</v>
      </c>
      <c r="I224" s="1">
        <v>30.0</v>
      </c>
      <c r="J224" s="1" t="s">
        <v>1751</v>
      </c>
      <c r="K224" s="1">
        <v>3.0</v>
      </c>
      <c r="L224" s="2">
        <v>42907.0</v>
      </c>
      <c r="O224" s="1">
        <v>0.0</v>
      </c>
      <c r="P224" s="1" t="s">
        <v>75</v>
      </c>
      <c r="Q224" s="1" t="s">
        <v>76</v>
      </c>
      <c r="R224" s="1" t="s">
        <v>2299</v>
      </c>
      <c r="U224" s="1" t="s">
        <v>162</v>
      </c>
      <c r="V224" s="1">
        <v>615.0</v>
      </c>
      <c r="W224" s="3" t="s">
        <v>2300</v>
      </c>
      <c r="X224" s="1">
        <v>719440.0</v>
      </c>
      <c r="Y224" s="1" t="s">
        <v>2301</v>
      </c>
      <c r="Z224" s="3" t="s">
        <v>2302</v>
      </c>
      <c r="AA224" s="3" t="s">
        <v>2303</v>
      </c>
      <c r="AB224" s="1">
        <v>1.0</v>
      </c>
      <c r="AC224" s="1" t="s">
        <v>2304</v>
      </c>
      <c r="AD224" s="1">
        <v>21.0</v>
      </c>
      <c r="AE224" s="1">
        <f t="shared" si="5"/>
        <v>431</v>
      </c>
      <c r="AF224" s="1">
        <v>35.0</v>
      </c>
      <c r="AG224" s="1">
        <v>16.0</v>
      </c>
      <c r="AH224" s="1">
        <v>5.0</v>
      </c>
      <c r="AI224" s="1">
        <v>3.0</v>
      </c>
      <c r="AJ224" s="1">
        <v>1.0</v>
      </c>
      <c r="AK224" s="1">
        <v>74.0</v>
      </c>
      <c r="AL224" s="1">
        <v>27.0</v>
      </c>
      <c r="AM224" s="1">
        <v>0.0</v>
      </c>
      <c r="AN224" s="1">
        <v>0.0</v>
      </c>
      <c r="AO224" s="1">
        <v>5.0</v>
      </c>
      <c r="AP224" s="1">
        <v>4.0</v>
      </c>
      <c r="AQ224" s="1">
        <v>1.0</v>
      </c>
    </row>
    <row r="225">
      <c r="A225" s="1"/>
      <c r="B225" s="1">
        <v>142.0</v>
      </c>
      <c r="C225" s="1" t="s">
        <v>2305</v>
      </c>
      <c r="D225" s="1" t="s">
        <v>2306</v>
      </c>
      <c r="E225" s="1" t="s">
        <v>42</v>
      </c>
      <c r="F225" s="1" t="s">
        <v>43</v>
      </c>
      <c r="G225" s="2">
        <v>23323.0</v>
      </c>
      <c r="H225" s="1" t="s">
        <v>2307</v>
      </c>
      <c r="I225" s="1">
        <v>37.0</v>
      </c>
      <c r="J225" s="1" t="s">
        <v>547</v>
      </c>
      <c r="K225" s="1">
        <v>1.0</v>
      </c>
      <c r="L225" s="2">
        <v>42907.0</v>
      </c>
      <c r="O225" s="1">
        <v>0.0</v>
      </c>
      <c r="P225" s="1" t="s">
        <v>75</v>
      </c>
      <c r="Q225" s="1" t="s">
        <v>76</v>
      </c>
      <c r="R225" s="1" t="s">
        <v>2308</v>
      </c>
      <c r="U225" s="1" t="s">
        <v>151</v>
      </c>
      <c r="V225" s="1">
        <v>444.0</v>
      </c>
      <c r="W225" s="3" t="s">
        <v>2309</v>
      </c>
      <c r="X225" s="1">
        <v>719790.0</v>
      </c>
      <c r="Y225" s="1" t="s">
        <v>2310</v>
      </c>
      <c r="Z225" s="3" t="s">
        <v>2311</v>
      </c>
      <c r="AA225" s="3" t="s">
        <v>2312</v>
      </c>
      <c r="AB225" s="1">
        <v>1.0</v>
      </c>
      <c r="AC225" s="1" t="s">
        <v>2313</v>
      </c>
      <c r="AD225" s="1">
        <v>21.0</v>
      </c>
      <c r="AE225" s="1">
        <f t="shared" si="5"/>
        <v>431</v>
      </c>
      <c r="AF225" s="1">
        <v>31.0</v>
      </c>
      <c r="AG225" s="1">
        <v>7.0</v>
      </c>
      <c r="AH225" s="1">
        <v>11.0</v>
      </c>
      <c r="AI225" s="1">
        <v>1.0</v>
      </c>
      <c r="AJ225" s="1">
        <v>1.0</v>
      </c>
      <c r="AK225" s="1">
        <v>5.0</v>
      </c>
      <c r="AL225" s="1">
        <v>2.0</v>
      </c>
      <c r="AM225" s="1">
        <v>0.0</v>
      </c>
      <c r="AN225" s="1">
        <v>0.0</v>
      </c>
      <c r="AO225" s="1">
        <v>5.0</v>
      </c>
      <c r="AP225" s="1">
        <v>5.0</v>
      </c>
      <c r="AQ225" s="1">
        <v>1.0</v>
      </c>
    </row>
    <row r="226">
      <c r="A226" s="1"/>
      <c r="B226" s="1">
        <v>94.0</v>
      </c>
      <c r="C226" s="1" t="s">
        <v>2314</v>
      </c>
      <c r="D226" s="1" t="s">
        <v>2315</v>
      </c>
      <c r="E226" s="1" t="s">
        <v>2316</v>
      </c>
      <c r="F226" s="1" t="s">
        <v>43</v>
      </c>
      <c r="G226" s="2">
        <v>18446.0</v>
      </c>
      <c r="H226" s="1" t="s">
        <v>2317</v>
      </c>
      <c r="I226" s="1">
        <v>63.0</v>
      </c>
      <c r="J226" s="1" t="s">
        <v>114</v>
      </c>
      <c r="K226" s="1">
        <v>5.0</v>
      </c>
      <c r="L226" s="2">
        <v>42907.0</v>
      </c>
      <c r="O226" s="1">
        <v>0.0</v>
      </c>
      <c r="P226" s="1" t="s">
        <v>101</v>
      </c>
      <c r="Q226" s="1" t="s">
        <v>102</v>
      </c>
      <c r="R226" s="1" t="s">
        <v>2318</v>
      </c>
      <c r="U226" s="1" t="s">
        <v>2319</v>
      </c>
      <c r="V226" s="1">
        <v>587.0</v>
      </c>
      <c r="W226" s="3" t="s">
        <v>2320</v>
      </c>
      <c r="X226" s="1">
        <v>267306.0</v>
      </c>
      <c r="Y226" s="1" t="s">
        <v>2321</v>
      </c>
      <c r="Z226" s="3" t="s">
        <v>2322</v>
      </c>
      <c r="AA226" s="3" t="s">
        <v>2323</v>
      </c>
      <c r="AB226" s="1">
        <v>1.0</v>
      </c>
      <c r="AC226" s="1" t="s">
        <v>2324</v>
      </c>
      <c r="AD226" s="1">
        <v>21.0</v>
      </c>
      <c r="AE226" s="1">
        <f t="shared" si="5"/>
        <v>431</v>
      </c>
      <c r="AF226" s="1">
        <v>34.0</v>
      </c>
      <c r="AG226" s="1">
        <v>51.0</v>
      </c>
      <c r="AH226" s="1">
        <v>159.0</v>
      </c>
      <c r="AI226" s="1">
        <v>209.0</v>
      </c>
      <c r="AJ226" s="1">
        <v>43.0</v>
      </c>
      <c r="AK226" s="1">
        <v>659.0</v>
      </c>
      <c r="AL226" s="1">
        <v>22.0</v>
      </c>
      <c r="AM226" s="1">
        <v>0.0</v>
      </c>
      <c r="AN226" s="1">
        <v>2.0</v>
      </c>
      <c r="AO226" s="1">
        <v>20.0</v>
      </c>
      <c r="AP226" s="1">
        <v>31.0</v>
      </c>
      <c r="AQ226" s="1">
        <v>2.0</v>
      </c>
    </row>
    <row r="227">
      <c r="A227" s="1"/>
      <c r="B227" s="1">
        <v>236.0</v>
      </c>
      <c r="C227" s="1" t="s">
        <v>2325</v>
      </c>
      <c r="D227" s="1" t="s">
        <v>2326</v>
      </c>
      <c r="E227" s="1" t="s">
        <v>42</v>
      </c>
      <c r="F227" s="1" t="s">
        <v>43</v>
      </c>
      <c r="G227" s="2">
        <v>26437.0</v>
      </c>
      <c r="H227" s="1" t="s">
        <v>672</v>
      </c>
      <c r="I227" s="1">
        <v>24.0</v>
      </c>
      <c r="J227" s="1" t="s">
        <v>2327</v>
      </c>
      <c r="K227" s="1">
        <v>1.0</v>
      </c>
      <c r="L227" s="2">
        <v>42907.0</v>
      </c>
      <c r="O227" s="1">
        <v>0.0</v>
      </c>
      <c r="P227" s="1" t="s">
        <v>75</v>
      </c>
      <c r="Q227" s="1" t="s">
        <v>76</v>
      </c>
      <c r="R227" s="1" t="s">
        <v>2328</v>
      </c>
      <c r="U227" s="1" t="s">
        <v>1979</v>
      </c>
      <c r="V227" s="1">
        <v>405.0</v>
      </c>
      <c r="W227" s="3" t="s">
        <v>2329</v>
      </c>
      <c r="X227" s="1">
        <v>719250.0</v>
      </c>
      <c r="Y227" s="1" t="s">
        <v>2330</v>
      </c>
      <c r="Z227" s="3" t="s">
        <v>2331</v>
      </c>
      <c r="AA227" s="3" t="s">
        <v>2332</v>
      </c>
      <c r="AB227" s="1">
        <v>1.0</v>
      </c>
      <c r="AD227" s="1">
        <v>21.0</v>
      </c>
      <c r="AE227" s="1">
        <f t="shared" si="5"/>
        <v>431</v>
      </c>
      <c r="AF227" s="1">
        <v>48.0</v>
      </c>
      <c r="AG227" s="1">
        <v>15.0</v>
      </c>
      <c r="AH227" s="1">
        <v>5.0</v>
      </c>
      <c r="AI227" s="1">
        <v>0.0</v>
      </c>
      <c r="AJ227" s="1">
        <v>0.0</v>
      </c>
      <c r="AK227" s="1">
        <v>149.0</v>
      </c>
      <c r="AL227" s="1">
        <v>101.0</v>
      </c>
      <c r="AM227" s="1">
        <v>1.0</v>
      </c>
      <c r="AN227" s="1">
        <v>0.0</v>
      </c>
      <c r="AO227" s="1">
        <v>5.0</v>
      </c>
      <c r="AP227" s="1">
        <v>2.0</v>
      </c>
      <c r="AQ227" s="1">
        <v>0.0</v>
      </c>
    </row>
    <row r="228">
      <c r="A228" s="1"/>
      <c r="B228" s="1">
        <v>261.0</v>
      </c>
      <c r="C228" s="1" t="s">
        <v>2333</v>
      </c>
      <c r="D228" s="1" t="s">
        <v>2334</v>
      </c>
      <c r="E228" s="1" t="s">
        <v>1490</v>
      </c>
      <c r="F228" s="1" t="s">
        <v>43</v>
      </c>
      <c r="G228" s="2">
        <v>26622.0</v>
      </c>
      <c r="H228" s="1" t="s">
        <v>2335</v>
      </c>
      <c r="I228" s="1">
        <v>18.0</v>
      </c>
      <c r="J228" s="1" t="s">
        <v>2336</v>
      </c>
      <c r="K228" s="1">
        <v>1.0</v>
      </c>
      <c r="L228" s="2">
        <v>42907.0</v>
      </c>
      <c r="O228" s="1">
        <v>0.0</v>
      </c>
      <c r="P228" s="1" t="s">
        <v>75</v>
      </c>
      <c r="Q228" s="1" t="s">
        <v>76</v>
      </c>
      <c r="R228" s="3" t="s">
        <v>2337</v>
      </c>
      <c r="U228" s="1" t="s">
        <v>2338</v>
      </c>
      <c r="V228" s="1">
        <v>300.0</v>
      </c>
      <c r="W228" s="3" t="s">
        <v>2339</v>
      </c>
      <c r="X228" s="1">
        <v>719118.0</v>
      </c>
      <c r="Y228" s="1" t="s">
        <v>2340</v>
      </c>
      <c r="Z228" s="3" t="s">
        <v>2341</v>
      </c>
      <c r="AA228" s="3" t="s">
        <v>2342</v>
      </c>
      <c r="AB228" s="1">
        <v>1.0</v>
      </c>
      <c r="AD228" s="1">
        <v>21.0</v>
      </c>
      <c r="AE228" s="1">
        <f t="shared" si="5"/>
        <v>431</v>
      </c>
      <c r="AF228" s="1">
        <v>27.0</v>
      </c>
      <c r="AG228" s="1">
        <v>8.0</v>
      </c>
      <c r="AH228" s="1">
        <v>26.0</v>
      </c>
      <c r="AI228" s="1">
        <v>18.0</v>
      </c>
      <c r="AJ228" s="1">
        <v>1.0</v>
      </c>
      <c r="AK228" s="1">
        <v>46.0</v>
      </c>
      <c r="AL228" s="1">
        <v>13.0</v>
      </c>
      <c r="AM228" s="1">
        <v>0.0</v>
      </c>
      <c r="AN228" s="1">
        <v>0.0</v>
      </c>
      <c r="AO228" s="1">
        <v>5.0</v>
      </c>
      <c r="AP228" s="1">
        <v>5.0</v>
      </c>
      <c r="AQ228" s="1">
        <v>1.0</v>
      </c>
    </row>
    <row r="229">
      <c r="A229" s="1"/>
      <c r="B229" s="1">
        <v>515.0</v>
      </c>
      <c r="C229" s="1" t="s">
        <v>2343</v>
      </c>
      <c r="D229" s="1" t="s">
        <v>2344</v>
      </c>
      <c r="E229" s="1" t="s">
        <v>2345</v>
      </c>
      <c r="F229" s="1" t="s">
        <v>58</v>
      </c>
      <c r="G229" s="2">
        <v>21823.0</v>
      </c>
      <c r="H229" s="1" t="s">
        <v>2346</v>
      </c>
      <c r="I229" s="1">
        <v>71.0</v>
      </c>
      <c r="J229" s="1" t="s">
        <v>336</v>
      </c>
      <c r="K229" s="1">
        <v>2.0</v>
      </c>
      <c r="L229" s="2">
        <v>42907.0</v>
      </c>
      <c r="O229" s="1">
        <v>0.0</v>
      </c>
      <c r="P229" s="1" t="s">
        <v>61</v>
      </c>
      <c r="Q229" s="1" t="s">
        <v>62</v>
      </c>
      <c r="R229" s="3" t="s">
        <v>2347</v>
      </c>
      <c r="U229" s="1" t="s">
        <v>2348</v>
      </c>
      <c r="V229" s="1">
        <v>6.0</v>
      </c>
      <c r="W229" s="3" t="s">
        <v>2349</v>
      </c>
      <c r="X229" s="1">
        <v>722390.0</v>
      </c>
      <c r="Y229" s="1" t="s">
        <v>2350</v>
      </c>
      <c r="Z229" s="3" t="s">
        <v>2351</v>
      </c>
      <c r="AA229" s="3" t="s">
        <v>2352</v>
      </c>
      <c r="AB229" s="1">
        <v>2.0</v>
      </c>
      <c r="AD229" s="1">
        <v>21.0</v>
      </c>
      <c r="AE229" s="1">
        <f t="shared" si="5"/>
        <v>431</v>
      </c>
      <c r="AF229" s="1">
        <v>33.0</v>
      </c>
      <c r="AG229" s="1">
        <v>18.0</v>
      </c>
      <c r="AH229" s="1">
        <v>15.0</v>
      </c>
      <c r="AI229" s="1">
        <v>4.0</v>
      </c>
      <c r="AJ229" s="1">
        <v>16.0</v>
      </c>
      <c r="AK229" s="1">
        <v>710.0</v>
      </c>
      <c r="AL229" s="1">
        <v>30.0</v>
      </c>
      <c r="AM229" s="1">
        <v>0.0</v>
      </c>
      <c r="AN229" s="1">
        <v>0.0</v>
      </c>
      <c r="AO229" s="1">
        <v>25.0</v>
      </c>
      <c r="AP229" s="1">
        <v>16.0</v>
      </c>
      <c r="AQ229" s="1">
        <v>2.0</v>
      </c>
    </row>
    <row r="230">
      <c r="A230" s="1"/>
      <c r="B230" s="1">
        <v>391.0</v>
      </c>
      <c r="C230" s="1" t="s">
        <v>2353</v>
      </c>
      <c r="D230" s="1" t="s">
        <v>2354</v>
      </c>
      <c r="E230" s="1" t="s">
        <v>2355</v>
      </c>
      <c r="F230" s="1" t="s">
        <v>58</v>
      </c>
      <c r="G230" s="2">
        <v>31617.0</v>
      </c>
      <c r="H230" s="1" t="s">
        <v>780</v>
      </c>
      <c r="I230" s="1">
        <v>33.0</v>
      </c>
      <c r="J230" s="1" t="s">
        <v>348</v>
      </c>
      <c r="K230" s="1">
        <v>7.0</v>
      </c>
      <c r="L230" s="2">
        <v>42907.0</v>
      </c>
      <c r="O230" s="1">
        <v>0.0</v>
      </c>
      <c r="P230" s="1" t="s">
        <v>75</v>
      </c>
      <c r="Q230" s="1" t="s">
        <v>76</v>
      </c>
      <c r="R230" s="1" t="s">
        <v>2356</v>
      </c>
      <c r="U230" s="1" t="s">
        <v>162</v>
      </c>
      <c r="V230" s="1">
        <v>322.0</v>
      </c>
      <c r="W230" s="3" t="s">
        <v>2357</v>
      </c>
      <c r="X230" s="1">
        <v>719624.0</v>
      </c>
      <c r="Y230" s="1" t="s">
        <v>2358</v>
      </c>
      <c r="Z230" s="3" t="s">
        <v>2359</v>
      </c>
      <c r="AA230" s="3" t="s">
        <v>2360</v>
      </c>
      <c r="AB230" s="1">
        <v>1.0</v>
      </c>
      <c r="AC230" s="1" t="s">
        <v>2361</v>
      </c>
      <c r="AD230" s="1">
        <v>21.0</v>
      </c>
      <c r="AE230" s="1">
        <f t="shared" si="5"/>
        <v>431</v>
      </c>
      <c r="AF230" s="1">
        <v>39.0</v>
      </c>
      <c r="AG230" s="1">
        <v>15.0</v>
      </c>
      <c r="AH230" s="1">
        <v>3.0</v>
      </c>
      <c r="AI230" s="1">
        <v>0.0</v>
      </c>
      <c r="AJ230" s="1">
        <v>0.0</v>
      </c>
      <c r="AK230" s="1">
        <v>77.0</v>
      </c>
      <c r="AL230" s="1">
        <v>42.0</v>
      </c>
      <c r="AM230" s="1">
        <v>0.0</v>
      </c>
      <c r="AN230" s="1">
        <v>0.0</v>
      </c>
      <c r="AO230" s="1">
        <v>5.0</v>
      </c>
      <c r="AP230" s="1">
        <v>11.0</v>
      </c>
      <c r="AQ230" s="1">
        <v>2.0</v>
      </c>
    </row>
    <row r="231">
      <c r="A231" s="1"/>
      <c r="B231" s="1">
        <v>521.0</v>
      </c>
      <c r="C231" s="1" t="s">
        <v>2362</v>
      </c>
      <c r="D231" s="1" t="s">
        <v>2363</v>
      </c>
      <c r="E231" s="1" t="s">
        <v>810</v>
      </c>
      <c r="F231" s="1" t="s">
        <v>43</v>
      </c>
      <c r="G231" s="2">
        <v>18123.0</v>
      </c>
      <c r="H231" s="1" t="s">
        <v>2364</v>
      </c>
      <c r="I231" s="1">
        <v>24.0</v>
      </c>
      <c r="J231" s="1" t="s">
        <v>2327</v>
      </c>
      <c r="K231" s="1">
        <v>2.0</v>
      </c>
      <c r="L231" s="2">
        <v>42907.0</v>
      </c>
      <c r="O231" s="1">
        <v>0.0</v>
      </c>
      <c r="P231" s="1" t="s">
        <v>75</v>
      </c>
      <c r="Q231" s="1" t="s">
        <v>76</v>
      </c>
      <c r="R231" s="1" t="s">
        <v>2365</v>
      </c>
      <c r="U231" s="1" t="s">
        <v>2366</v>
      </c>
      <c r="V231" s="1">
        <v>437.0</v>
      </c>
      <c r="W231" s="3" t="s">
        <v>2367</v>
      </c>
      <c r="X231" s="1">
        <v>719258.0</v>
      </c>
      <c r="Y231" s="1" t="s">
        <v>2368</v>
      </c>
      <c r="Z231" s="3" t="s">
        <v>2369</v>
      </c>
      <c r="AA231" s="3" t="s">
        <v>2370</v>
      </c>
      <c r="AB231" s="1">
        <v>1.0</v>
      </c>
      <c r="AC231" s="1" t="s">
        <v>2371</v>
      </c>
      <c r="AD231" s="1">
        <v>21.0</v>
      </c>
      <c r="AE231" s="1">
        <f t="shared" si="5"/>
        <v>431</v>
      </c>
      <c r="AF231" s="1">
        <v>47.0</v>
      </c>
      <c r="AG231" s="1">
        <v>16.0</v>
      </c>
      <c r="AH231" s="1">
        <v>7.0</v>
      </c>
      <c r="AI231" s="1">
        <v>1.0</v>
      </c>
      <c r="AJ231" s="1">
        <v>0.0</v>
      </c>
      <c r="AK231" s="1">
        <v>64.0</v>
      </c>
      <c r="AL231" s="1">
        <v>26.0</v>
      </c>
      <c r="AM231" s="1">
        <v>0.0</v>
      </c>
      <c r="AN231" s="1">
        <v>0.0</v>
      </c>
      <c r="AO231" s="1">
        <v>5.0</v>
      </c>
      <c r="AP231" s="1">
        <v>3.0</v>
      </c>
      <c r="AQ231" s="1">
        <v>2.0</v>
      </c>
    </row>
    <row r="232">
      <c r="A232" s="1"/>
      <c r="B232" s="1">
        <v>386.0</v>
      </c>
      <c r="C232" s="1" t="s">
        <v>2372</v>
      </c>
      <c r="D232" s="1" t="s">
        <v>2373</v>
      </c>
      <c r="E232" s="1" t="s">
        <v>2374</v>
      </c>
      <c r="F232" s="1" t="s">
        <v>43</v>
      </c>
      <c r="G232" s="2">
        <v>26502.0</v>
      </c>
      <c r="H232" s="1" t="s">
        <v>347</v>
      </c>
      <c r="I232" s="1">
        <v>34.0</v>
      </c>
      <c r="J232" s="1" t="s">
        <v>1252</v>
      </c>
      <c r="K232" s="1">
        <v>8.0</v>
      </c>
      <c r="L232" s="2">
        <v>42907.0</v>
      </c>
      <c r="O232" s="1">
        <v>0.0</v>
      </c>
      <c r="P232" s="1" t="s">
        <v>75</v>
      </c>
      <c r="Q232" s="1" t="s">
        <v>76</v>
      </c>
      <c r="R232" s="1" t="s">
        <v>2375</v>
      </c>
      <c r="U232" s="1" t="s">
        <v>2376</v>
      </c>
      <c r="V232" s="1">
        <v>487.0</v>
      </c>
      <c r="W232" s="3" t="s">
        <v>2377</v>
      </c>
      <c r="X232" s="1">
        <v>719830.0</v>
      </c>
      <c r="Y232" s="1" t="s">
        <v>2378</v>
      </c>
      <c r="Z232" s="3" t="s">
        <v>2379</v>
      </c>
      <c r="AA232" s="3" t="s">
        <v>2380</v>
      </c>
      <c r="AB232" s="1">
        <v>1.0</v>
      </c>
      <c r="AC232" s="1" t="s">
        <v>2381</v>
      </c>
      <c r="AD232" s="1">
        <v>21.0</v>
      </c>
      <c r="AE232" s="1">
        <f t="shared" si="5"/>
        <v>431</v>
      </c>
      <c r="AF232" s="1">
        <v>32.0</v>
      </c>
      <c r="AG232" s="1">
        <v>28.0</v>
      </c>
      <c r="AH232" s="1">
        <v>0.0</v>
      </c>
      <c r="AI232" s="1">
        <v>1.0</v>
      </c>
      <c r="AJ232" s="1">
        <v>47.0</v>
      </c>
      <c r="AK232" s="1">
        <v>102.0</v>
      </c>
      <c r="AL232" s="1">
        <v>70.0</v>
      </c>
      <c r="AM232" s="1">
        <v>1.0</v>
      </c>
      <c r="AN232" s="1">
        <v>0.0</v>
      </c>
      <c r="AO232" s="1">
        <v>5.0</v>
      </c>
      <c r="AP232" s="1">
        <v>3.0</v>
      </c>
      <c r="AQ232" s="1">
        <v>0.0</v>
      </c>
    </row>
    <row r="233">
      <c r="A233" s="1"/>
      <c r="B233" s="1">
        <v>518.0</v>
      </c>
      <c r="C233" s="1" t="s">
        <v>2382</v>
      </c>
      <c r="D233" s="1" t="s">
        <v>2383</v>
      </c>
      <c r="E233" s="1" t="s">
        <v>2384</v>
      </c>
      <c r="F233" s="1" t="s">
        <v>43</v>
      </c>
      <c r="G233" s="2">
        <v>28880.0</v>
      </c>
      <c r="H233" s="1" t="s">
        <v>2385</v>
      </c>
      <c r="I233" s="1">
        <v>71.0</v>
      </c>
      <c r="J233" s="1" t="s">
        <v>336</v>
      </c>
      <c r="K233" s="1">
        <v>1.0</v>
      </c>
      <c r="L233" s="2">
        <v>42907.0</v>
      </c>
      <c r="O233" s="1">
        <v>0.0</v>
      </c>
      <c r="P233" s="1" t="s">
        <v>75</v>
      </c>
      <c r="Q233" s="1" t="s">
        <v>76</v>
      </c>
      <c r="R233" s="3" t="s">
        <v>2386</v>
      </c>
      <c r="U233" s="1" t="s">
        <v>198</v>
      </c>
      <c r="V233" s="1">
        <v>205.0</v>
      </c>
      <c r="W233" s="3" t="s">
        <v>2387</v>
      </c>
      <c r="X233" s="1">
        <v>722382.0</v>
      </c>
      <c r="Y233" s="1" t="s">
        <v>2388</v>
      </c>
      <c r="Z233" s="3" t="s">
        <v>2389</v>
      </c>
      <c r="AA233" s="3" t="s">
        <v>2390</v>
      </c>
      <c r="AB233" s="1">
        <v>1.0</v>
      </c>
      <c r="AC233" s="1" t="s">
        <v>2391</v>
      </c>
      <c r="AD233" s="1">
        <v>21.0</v>
      </c>
      <c r="AE233" s="1">
        <f t="shared" si="5"/>
        <v>431</v>
      </c>
      <c r="AF233" s="1">
        <v>36.0</v>
      </c>
      <c r="AG233" s="1">
        <v>2.0</v>
      </c>
      <c r="AH233" s="1">
        <v>2.0</v>
      </c>
      <c r="AI233" s="1">
        <v>0.0</v>
      </c>
      <c r="AJ233" s="1">
        <v>0.0</v>
      </c>
      <c r="AK233" s="1">
        <v>15.0</v>
      </c>
      <c r="AL233" s="1">
        <v>7.0</v>
      </c>
      <c r="AM233" s="1">
        <v>0.0</v>
      </c>
      <c r="AN233" s="1">
        <v>0.0</v>
      </c>
      <c r="AO233" s="1">
        <v>5.0</v>
      </c>
      <c r="AP233" s="1">
        <v>0.0</v>
      </c>
      <c r="AQ233" s="1">
        <v>1.0</v>
      </c>
    </row>
    <row r="234">
      <c r="A234" s="1"/>
      <c r="B234" s="1">
        <v>78.0</v>
      </c>
      <c r="C234" s="1" t="s">
        <v>2392</v>
      </c>
      <c r="D234" s="1" t="s">
        <v>2393</v>
      </c>
      <c r="E234" s="1" t="s">
        <v>2394</v>
      </c>
      <c r="F234" s="1" t="s">
        <v>58</v>
      </c>
      <c r="G234" s="2">
        <v>21188.0</v>
      </c>
      <c r="H234" s="1" t="s">
        <v>2395</v>
      </c>
      <c r="I234" s="1">
        <v>65.0</v>
      </c>
      <c r="J234" s="1" t="s">
        <v>2396</v>
      </c>
      <c r="K234" s="1">
        <v>2.0</v>
      </c>
      <c r="L234" s="2">
        <v>42907.0</v>
      </c>
      <c r="O234" s="1">
        <v>0.0</v>
      </c>
      <c r="P234" s="1" t="s">
        <v>814</v>
      </c>
      <c r="Q234" s="1" t="s">
        <v>2397</v>
      </c>
      <c r="R234" s="1" t="s">
        <v>2398</v>
      </c>
      <c r="U234" s="1" t="s">
        <v>118</v>
      </c>
      <c r="V234" s="1">
        <v>191.0</v>
      </c>
      <c r="W234" s="3" t="s">
        <v>2399</v>
      </c>
      <c r="X234" s="1">
        <v>608292.0</v>
      </c>
      <c r="Y234" s="1" t="s">
        <v>2400</v>
      </c>
      <c r="Z234" s="3" t="s">
        <v>2401</v>
      </c>
      <c r="AA234" s="3" t="s">
        <v>2402</v>
      </c>
      <c r="AB234" s="1">
        <v>1.0</v>
      </c>
      <c r="AD234" s="1">
        <v>21.0</v>
      </c>
      <c r="AE234" s="1">
        <f t="shared" si="5"/>
        <v>431</v>
      </c>
      <c r="AF234" s="1">
        <v>48.0</v>
      </c>
      <c r="AG234" s="1">
        <v>74.0</v>
      </c>
      <c r="AH234" s="1">
        <v>51.0</v>
      </c>
      <c r="AI234" s="1">
        <v>14.0</v>
      </c>
      <c r="AJ234" s="1">
        <v>95.0</v>
      </c>
      <c r="AK234" s="1">
        <v>147.0</v>
      </c>
      <c r="AL234" s="1">
        <v>5.0</v>
      </c>
      <c r="AM234" s="1">
        <v>0.0</v>
      </c>
      <c r="AN234" s="1">
        <v>0.0</v>
      </c>
      <c r="AO234" s="1">
        <v>3.0</v>
      </c>
      <c r="AP234" s="1">
        <v>17.0</v>
      </c>
      <c r="AQ234" s="1">
        <v>0.0</v>
      </c>
    </row>
    <row r="235">
      <c r="A235" s="1"/>
      <c r="B235" s="1">
        <v>254.0</v>
      </c>
      <c r="C235" s="1" t="s">
        <v>2403</v>
      </c>
      <c r="D235" s="1" t="s">
        <v>2404</v>
      </c>
      <c r="E235" s="1" t="s">
        <v>1902</v>
      </c>
      <c r="F235" s="1" t="s">
        <v>58</v>
      </c>
      <c r="G235" s="2">
        <v>18980.0</v>
      </c>
      <c r="H235" s="1" t="s">
        <v>2405</v>
      </c>
      <c r="I235" s="1">
        <v>49.0</v>
      </c>
      <c r="J235" s="1" t="s">
        <v>220</v>
      </c>
      <c r="K235" s="1">
        <v>6.0</v>
      </c>
      <c r="L235" s="2">
        <v>42907.0</v>
      </c>
      <c r="O235" s="1">
        <v>0.0</v>
      </c>
      <c r="P235" s="1" t="s">
        <v>75</v>
      </c>
      <c r="Q235" s="1" t="s">
        <v>76</v>
      </c>
      <c r="R235" s="1" t="s">
        <v>2406</v>
      </c>
      <c r="U235" s="1" t="s">
        <v>2407</v>
      </c>
      <c r="V235" s="1">
        <v>302.0</v>
      </c>
      <c r="W235" s="3" t="s">
        <v>2408</v>
      </c>
      <c r="X235" s="1">
        <v>720154.0</v>
      </c>
      <c r="Y235" s="1" t="s">
        <v>2409</v>
      </c>
      <c r="Z235" s="3" t="s">
        <v>2410</v>
      </c>
      <c r="AA235" s="3" t="s">
        <v>2411</v>
      </c>
      <c r="AB235" s="1">
        <v>1.0</v>
      </c>
      <c r="AC235" s="1" t="s">
        <v>2412</v>
      </c>
      <c r="AD235" s="1">
        <v>21.0</v>
      </c>
      <c r="AE235" s="1">
        <f t="shared" si="5"/>
        <v>431</v>
      </c>
      <c r="AF235" s="1">
        <v>35.0</v>
      </c>
      <c r="AG235" s="1">
        <v>0.0</v>
      </c>
      <c r="AH235" s="1">
        <v>10.0</v>
      </c>
      <c r="AI235" s="1">
        <v>1.0</v>
      </c>
      <c r="AJ235" s="1">
        <v>0.0</v>
      </c>
      <c r="AK235" s="1">
        <v>66.0</v>
      </c>
      <c r="AL235" s="1">
        <v>25.0</v>
      </c>
      <c r="AM235" s="1">
        <v>0.0</v>
      </c>
      <c r="AN235" s="1">
        <v>0.0</v>
      </c>
      <c r="AO235" s="1">
        <v>5.0</v>
      </c>
      <c r="AP235" s="1">
        <v>5.0</v>
      </c>
      <c r="AQ235" s="1">
        <v>2.0</v>
      </c>
    </row>
    <row r="236">
      <c r="A236" s="1"/>
      <c r="B236" s="1">
        <v>291.0</v>
      </c>
      <c r="C236" s="1" t="s">
        <v>2413</v>
      </c>
      <c r="D236" s="1" t="s">
        <v>2414</v>
      </c>
      <c r="E236" s="1" t="s">
        <v>2415</v>
      </c>
      <c r="F236" s="1" t="s">
        <v>58</v>
      </c>
      <c r="G236" s="2">
        <v>29083.0</v>
      </c>
      <c r="H236" s="1" t="s">
        <v>1440</v>
      </c>
      <c r="I236" s="1">
        <v>74.0</v>
      </c>
      <c r="J236" s="1" t="s">
        <v>1441</v>
      </c>
      <c r="K236" s="1">
        <v>4.0</v>
      </c>
      <c r="L236" s="2">
        <v>42907.0</v>
      </c>
      <c r="O236" s="1">
        <v>0.0</v>
      </c>
      <c r="P236" s="1" t="s">
        <v>61</v>
      </c>
      <c r="Q236" s="1" t="s">
        <v>62</v>
      </c>
      <c r="R236" s="1" t="s">
        <v>2416</v>
      </c>
      <c r="U236" s="1" t="s">
        <v>472</v>
      </c>
      <c r="V236" s="1">
        <v>95.0</v>
      </c>
      <c r="W236" s="3" t="s">
        <v>2417</v>
      </c>
      <c r="X236" s="1">
        <v>608826.0</v>
      </c>
      <c r="Y236" s="1" t="s">
        <v>2418</v>
      </c>
      <c r="Z236" s="3" t="s">
        <v>2419</v>
      </c>
      <c r="AA236" s="3" t="s">
        <v>2420</v>
      </c>
      <c r="AB236" s="1">
        <v>1.0</v>
      </c>
      <c r="AC236" s="1" t="s">
        <v>2421</v>
      </c>
      <c r="AD236" s="1">
        <v>21.0</v>
      </c>
      <c r="AE236" s="1">
        <f t="shared" si="5"/>
        <v>431</v>
      </c>
      <c r="AF236" s="1">
        <v>39.0</v>
      </c>
      <c r="AG236" s="1">
        <v>20.0</v>
      </c>
      <c r="AH236" s="1">
        <v>20.0</v>
      </c>
      <c r="AI236" s="1">
        <v>3.0</v>
      </c>
      <c r="AJ236" s="1">
        <v>13.0</v>
      </c>
      <c r="AK236" s="1">
        <v>1310.0</v>
      </c>
      <c r="AL236" s="1">
        <v>45.0</v>
      </c>
      <c r="AM236" s="1">
        <v>0.0</v>
      </c>
      <c r="AN236" s="1">
        <v>6.0</v>
      </c>
      <c r="AO236" s="1">
        <v>80.0</v>
      </c>
      <c r="AP236" s="1">
        <v>31.0</v>
      </c>
      <c r="AQ236" s="1">
        <v>3.0</v>
      </c>
    </row>
    <row r="237">
      <c r="A237" s="1"/>
      <c r="B237" s="1">
        <v>24.0</v>
      </c>
      <c r="C237" s="1" t="s">
        <v>2422</v>
      </c>
      <c r="D237" s="1" t="s">
        <v>2423</v>
      </c>
      <c r="E237" s="1" t="s">
        <v>589</v>
      </c>
      <c r="F237" s="1" t="s">
        <v>43</v>
      </c>
      <c r="G237" s="2">
        <v>20913.0</v>
      </c>
      <c r="H237" s="1" t="s">
        <v>2424</v>
      </c>
      <c r="I237" s="1">
        <v>62.0</v>
      </c>
      <c r="J237" s="1" t="s">
        <v>427</v>
      </c>
      <c r="K237" s="1">
        <v>1.0</v>
      </c>
      <c r="L237" s="2">
        <v>42907.0</v>
      </c>
      <c r="O237" s="1">
        <v>0.0</v>
      </c>
      <c r="P237" s="1" t="s">
        <v>280</v>
      </c>
      <c r="Q237" s="1" t="s">
        <v>281</v>
      </c>
      <c r="R237" s="1" t="s">
        <v>2425</v>
      </c>
      <c r="U237" s="1" t="s">
        <v>234</v>
      </c>
      <c r="V237" s="1">
        <v>171.0</v>
      </c>
      <c r="W237" s="3" t="s">
        <v>2426</v>
      </c>
      <c r="X237" s="1">
        <v>720652.0</v>
      </c>
      <c r="Y237" s="1" t="s">
        <v>2427</v>
      </c>
      <c r="Z237" s="3" t="s">
        <v>2428</v>
      </c>
      <c r="AA237" s="3" t="s">
        <v>2429</v>
      </c>
      <c r="AB237" s="1">
        <v>1.0</v>
      </c>
      <c r="AC237" s="1" t="s">
        <v>2430</v>
      </c>
      <c r="AD237" s="1">
        <v>21.0</v>
      </c>
      <c r="AE237" s="1">
        <f t="shared" si="5"/>
        <v>431</v>
      </c>
      <c r="AF237" s="1">
        <v>31.0</v>
      </c>
      <c r="AG237" s="1">
        <v>19.0</v>
      </c>
      <c r="AH237" s="1">
        <v>20.0</v>
      </c>
      <c r="AI237" s="1">
        <v>6.0</v>
      </c>
      <c r="AJ237" s="1">
        <v>8.0</v>
      </c>
      <c r="AK237" s="1">
        <v>208.0</v>
      </c>
      <c r="AL237" s="1">
        <v>22.0</v>
      </c>
      <c r="AM237" s="1">
        <v>0.0</v>
      </c>
      <c r="AN237" s="1">
        <v>0.0</v>
      </c>
      <c r="AO237" s="1">
        <v>5.0</v>
      </c>
      <c r="AP237" s="1">
        <v>2.0</v>
      </c>
      <c r="AQ237" s="1">
        <v>1.0</v>
      </c>
    </row>
    <row r="238">
      <c r="A238" s="1"/>
      <c r="B238" s="1">
        <v>30.0</v>
      </c>
      <c r="C238" s="1" t="s">
        <v>2431</v>
      </c>
      <c r="D238" s="1" t="s">
        <v>2432</v>
      </c>
      <c r="E238" s="1" t="s">
        <v>522</v>
      </c>
      <c r="F238" s="1" t="s">
        <v>43</v>
      </c>
      <c r="G238" s="2">
        <v>24564.0</v>
      </c>
      <c r="H238" s="1" t="s">
        <v>1772</v>
      </c>
      <c r="I238" s="1">
        <v>34.0</v>
      </c>
      <c r="J238" s="1" t="s">
        <v>1252</v>
      </c>
      <c r="K238" s="1">
        <v>7.0</v>
      </c>
      <c r="L238" s="2">
        <v>42907.0</v>
      </c>
      <c r="O238" s="1">
        <v>0.0</v>
      </c>
      <c r="P238" s="1" t="s">
        <v>75</v>
      </c>
      <c r="Q238" s="1" t="s">
        <v>76</v>
      </c>
      <c r="R238" s="1" t="s">
        <v>2433</v>
      </c>
      <c r="U238" s="1" t="s">
        <v>2434</v>
      </c>
      <c r="V238" s="1">
        <v>312.0</v>
      </c>
      <c r="W238" s="3" t="s">
        <v>2435</v>
      </c>
      <c r="X238" s="1">
        <v>719616.0</v>
      </c>
      <c r="Y238" s="1" t="s">
        <v>2436</v>
      </c>
      <c r="Z238" s="3" t="s">
        <v>2437</v>
      </c>
      <c r="AA238" s="3" t="s">
        <v>2438</v>
      </c>
      <c r="AB238" s="1">
        <v>1.0</v>
      </c>
      <c r="AC238" s="1" t="s">
        <v>2439</v>
      </c>
      <c r="AD238" s="1">
        <v>21.0</v>
      </c>
      <c r="AE238" s="1">
        <f t="shared" si="5"/>
        <v>431</v>
      </c>
      <c r="AF238" s="1">
        <v>41.0</v>
      </c>
      <c r="AG238" s="1">
        <v>25.0</v>
      </c>
      <c r="AH238" s="1">
        <v>32.0</v>
      </c>
      <c r="AI238" s="1">
        <v>9.0</v>
      </c>
      <c r="AJ238" s="1">
        <v>27.0</v>
      </c>
      <c r="AK238" s="1">
        <v>91.0</v>
      </c>
      <c r="AL238" s="1">
        <v>52.0</v>
      </c>
      <c r="AM238" s="1">
        <v>2.0</v>
      </c>
      <c r="AN238" s="1">
        <v>0.0</v>
      </c>
      <c r="AO238" s="1">
        <v>5.0</v>
      </c>
      <c r="AP238" s="1">
        <v>4.0</v>
      </c>
      <c r="AQ238" s="1">
        <v>1.0</v>
      </c>
    </row>
    <row r="239">
      <c r="A239" s="1"/>
      <c r="B239" s="1">
        <v>284.0</v>
      </c>
      <c r="C239" s="1" t="s">
        <v>2440</v>
      </c>
      <c r="D239" s="1" t="s">
        <v>2441</v>
      </c>
      <c r="E239" s="1" t="s">
        <v>705</v>
      </c>
      <c r="F239" s="1" t="s">
        <v>43</v>
      </c>
      <c r="G239" s="2">
        <v>25534.0</v>
      </c>
      <c r="H239" s="1" t="s">
        <v>2442</v>
      </c>
      <c r="I239" s="1">
        <v>69.0</v>
      </c>
      <c r="J239" s="1" t="s">
        <v>1363</v>
      </c>
      <c r="K239" s="1">
        <v>11.0</v>
      </c>
      <c r="L239" s="2">
        <v>42907.0</v>
      </c>
      <c r="O239" s="1">
        <v>0.0</v>
      </c>
      <c r="P239" s="1" t="s">
        <v>75</v>
      </c>
      <c r="Q239" s="1" t="s">
        <v>76</v>
      </c>
      <c r="R239" s="3" t="s">
        <v>2443</v>
      </c>
      <c r="U239" s="1" t="s">
        <v>1592</v>
      </c>
      <c r="V239" s="1">
        <v>374.0</v>
      </c>
      <c r="W239" s="3" t="s">
        <v>2444</v>
      </c>
      <c r="X239" s="1">
        <v>722366.0</v>
      </c>
      <c r="Y239" s="1" t="s">
        <v>2445</v>
      </c>
      <c r="Z239" s="3" t="s">
        <v>2446</v>
      </c>
      <c r="AA239" s="3" t="s">
        <v>2447</v>
      </c>
      <c r="AB239" s="1">
        <v>1.0</v>
      </c>
      <c r="AC239" s="1" t="s">
        <v>2448</v>
      </c>
      <c r="AD239" s="1">
        <v>21.0</v>
      </c>
      <c r="AE239" s="1">
        <f t="shared" si="5"/>
        <v>431</v>
      </c>
      <c r="AF239" s="1">
        <v>34.0</v>
      </c>
      <c r="AG239" s="1">
        <v>13.0</v>
      </c>
      <c r="AH239" s="1">
        <v>23.0</v>
      </c>
      <c r="AI239" s="1">
        <v>7.0</v>
      </c>
      <c r="AJ239" s="1">
        <v>0.0</v>
      </c>
      <c r="AK239" s="1">
        <v>115.0</v>
      </c>
      <c r="AL239" s="1">
        <v>50.0</v>
      </c>
      <c r="AM239" s="1">
        <v>0.0</v>
      </c>
      <c r="AN239" s="1">
        <v>0.0</v>
      </c>
      <c r="AO239" s="1">
        <v>6.0</v>
      </c>
      <c r="AP239" s="1">
        <v>5.0</v>
      </c>
      <c r="AQ239" s="1">
        <v>3.0</v>
      </c>
    </row>
    <row r="240">
      <c r="A240" s="1"/>
      <c r="B240" s="1">
        <v>476.0</v>
      </c>
      <c r="C240" s="1" t="s">
        <v>2449</v>
      </c>
      <c r="D240" s="1" t="s">
        <v>2450</v>
      </c>
      <c r="E240" s="1" t="s">
        <v>2451</v>
      </c>
      <c r="F240" s="1" t="s">
        <v>58</v>
      </c>
      <c r="G240" s="2">
        <v>26121.0</v>
      </c>
      <c r="H240" s="1" t="s">
        <v>2452</v>
      </c>
      <c r="I240" s="1">
        <v>94.0</v>
      </c>
      <c r="J240" s="1" t="s">
        <v>642</v>
      </c>
      <c r="K240" s="1">
        <v>11.0</v>
      </c>
      <c r="L240" s="2">
        <v>42907.0</v>
      </c>
      <c r="O240" s="1">
        <v>0.0</v>
      </c>
      <c r="P240" s="1" t="s">
        <v>75</v>
      </c>
      <c r="Q240" s="1" t="s">
        <v>76</v>
      </c>
      <c r="R240" s="1" t="s">
        <v>2453</v>
      </c>
      <c r="U240" s="1" t="s">
        <v>2454</v>
      </c>
      <c r="V240" s="1">
        <v>216.0</v>
      </c>
      <c r="W240" s="3" t="s">
        <v>2455</v>
      </c>
      <c r="X240" s="1">
        <v>721246.0</v>
      </c>
      <c r="Y240" s="1" t="s">
        <v>2456</v>
      </c>
      <c r="Z240" s="3" t="s">
        <v>2457</v>
      </c>
      <c r="AA240" s="3" t="s">
        <v>2458</v>
      </c>
      <c r="AB240" s="1">
        <v>1.0</v>
      </c>
      <c r="AC240" s="1" t="s">
        <v>2459</v>
      </c>
      <c r="AD240" s="1">
        <v>21.0</v>
      </c>
      <c r="AE240" s="1">
        <f t="shared" si="5"/>
        <v>431</v>
      </c>
      <c r="AF240" s="1">
        <v>51.0</v>
      </c>
      <c r="AG240" s="1">
        <v>13.0</v>
      </c>
      <c r="AH240" s="1">
        <v>7.0</v>
      </c>
      <c r="AI240" s="1">
        <v>2.0</v>
      </c>
      <c r="AJ240" s="1">
        <v>0.0</v>
      </c>
      <c r="AK240" s="1">
        <v>60.0</v>
      </c>
      <c r="AL240" s="1">
        <v>27.0</v>
      </c>
      <c r="AM240" s="1">
        <v>1.0</v>
      </c>
      <c r="AN240" s="1">
        <v>0.0</v>
      </c>
      <c r="AO240" s="1">
        <v>5.0</v>
      </c>
      <c r="AP240" s="1">
        <v>4.0</v>
      </c>
      <c r="AQ240" s="1">
        <v>0.0</v>
      </c>
    </row>
    <row r="241">
      <c r="A241" s="1"/>
      <c r="B241" s="1">
        <v>475.0</v>
      </c>
      <c r="C241" s="1" t="s">
        <v>2460</v>
      </c>
      <c r="D241" s="1" t="s">
        <v>2461</v>
      </c>
      <c r="E241" s="1" t="s">
        <v>2155</v>
      </c>
      <c r="F241" s="1" t="s">
        <v>58</v>
      </c>
      <c r="G241" s="2">
        <v>20705.0</v>
      </c>
      <c r="H241" s="1" t="s">
        <v>2462</v>
      </c>
      <c r="I241" s="1">
        <v>25.0</v>
      </c>
      <c r="J241" s="1" t="s">
        <v>149</v>
      </c>
      <c r="K241" s="1">
        <v>5.0</v>
      </c>
      <c r="L241" s="2">
        <v>42907.0</v>
      </c>
      <c r="O241" s="1">
        <v>0.0</v>
      </c>
      <c r="P241" s="1" t="s">
        <v>61</v>
      </c>
      <c r="Q241" s="1" t="s">
        <v>62</v>
      </c>
      <c r="R241" s="1" t="s">
        <v>2463</v>
      </c>
      <c r="U241" s="1" t="s">
        <v>1979</v>
      </c>
      <c r="V241" s="1">
        <v>90.0</v>
      </c>
      <c r="W241" s="3" t="s">
        <v>2464</v>
      </c>
      <c r="X241" s="1">
        <v>605991.0</v>
      </c>
      <c r="Y241" s="1" t="s">
        <v>2465</v>
      </c>
      <c r="Z241" s="3" t="s">
        <v>2466</v>
      </c>
      <c r="AA241" s="3" t="s">
        <v>2467</v>
      </c>
      <c r="AB241" s="1">
        <v>2.0</v>
      </c>
      <c r="AC241" s="1" t="s">
        <v>2468</v>
      </c>
      <c r="AD241" s="1">
        <v>21.0</v>
      </c>
      <c r="AE241" s="1">
        <f t="shared" si="5"/>
        <v>431</v>
      </c>
      <c r="AF241" s="1">
        <v>30.0</v>
      </c>
      <c r="AG241" s="1">
        <v>25.0</v>
      </c>
      <c r="AH241" s="1">
        <v>383.0</v>
      </c>
      <c r="AI241" s="1">
        <v>1772.0</v>
      </c>
      <c r="AJ241" s="1">
        <v>66.0</v>
      </c>
      <c r="AK241" s="1">
        <v>780.0</v>
      </c>
      <c r="AL241" s="1">
        <v>32.0</v>
      </c>
      <c r="AM241" s="1">
        <v>0.0</v>
      </c>
      <c r="AN241" s="1">
        <v>5.0</v>
      </c>
      <c r="AO241" s="1">
        <v>77.0</v>
      </c>
      <c r="AP241" s="1">
        <v>12.0</v>
      </c>
      <c r="AQ241" s="1">
        <v>1.0</v>
      </c>
    </row>
    <row r="242">
      <c r="A242" s="1"/>
      <c r="B242" s="1">
        <v>47.0</v>
      </c>
      <c r="C242" s="1" t="s">
        <v>2469</v>
      </c>
      <c r="D242" s="1" t="s">
        <v>2470</v>
      </c>
      <c r="E242" s="1" t="s">
        <v>42</v>
      </c>
      <c r="F242" s="1" t="s">
        <v>43</v>
      </c>
      <c r="G242" s="2">
        <v>24403.0</v>
      </c>
      <c r="H242" s="1" t="s">
        <v>2471</v>
      </c>
      <c r="I242" s="1">
        <v>50.0</v>
      </c>
      <c r="J242" s="1" t="s">
        <v>2472</v>
      </c>
      <c r="K242" s="1">
        <v>1.0</v>
      </c>
      <c r="L242" s="2">
        <v>42907.0</v>
      </c>
      <c r="O242" s="1">
        <v>0.0</v>
      </c>
      <c r="P242" s="1" t="s">
        <v>61</v>
      </c>
      <c r="Q242" s="1" t="s">
        <v>62</v>
      </c>
      <c r="R242" s="1" t="s">
        <v>2473</v>
      </c>
      <c r="U242" s="1" t="s">
        <v>2474</v>
      </c>
      <c r="V242" s="1">
        <v>27.0</v>
      </c>
      <c r="W242" s="3" t="s">
        <v>2475</v>
      </c>
      <c r="X242" s="1">
        <v>266797.0</v>
      </c>
      <c r="Y242" s="1" t="s">
        <v>2476</v>
      </c>
      <c r="Z242" s="3" t="s">
        <v>2477</v>
      </c>
      <c r="AA242" s="3" t="s">
        <v>2478</v>
      </c>
      <c r="AB242" s="1">
        <v>2.0</v>
      </c>
      <c r="AC242" s="1" t="s">
        <v>2479</v>
      </c>
      <c r="AD242" s="1">
        <v>21.0</v>
      </c>
      <c r="AE242" s="1">
        <f t="shared" si="5"/>
        <v>431</v>
      </c>
      <c r="AF242" s="1">
        <v>40.0</v>
      </c>
      <c r="AG242" s="1">
        <v>109.0</v>
      </c>
      <c r="AH242" s="1">
        <v>150.0</v>
      </c>
      <c r="AI242" s="1">
        <v>392.0</v>
      </c>
      <c r="AJ242" s="1">
        <v>143.0</v>
      </c>
      <c r="AK242" s="1">
        <v>1176.0</v>
      </c>
      <c r="AL242" s="1">
        <v>50.0</v>
      </c>
      <c r="AM242" s="1">
        <v>0.0</v>
      </c>
      <c r="AN242" s="1">
        <v>2.0</v>
      </c>
      <c r="AO242" s="1">
        <v>60.0</v>
      </c>
      <c r="AP242" s="1">
        <v>15.0</v>
      </c>
      <c r="AQ242" s="1">
        <v>1.0</v>
      </c>
    </row>
    <row r="243">
      <c r="A243" s="1"/>
      <c r="B243" s="1">
        <v>388.0</v>
      </c>
      <c r="C243" s="1" t="s">
        <v>2480</v>
      </c>
      <c r="D243" s="1" t="s">
        <v>2481</v>
      </c>
      <c r="E243" s="1" t="s">
        <v>2482</v>
      </c>
      <c r="F243" s="1" t="s">
        <v>58</v>
      </c>
      <c r="G243" s="2">
        <v>28763.0</v>
      </c>
      <c r="H243" s="1" t="s">
        <v>207</v>
      </c>
      <c r="I243" s="1">
        <v>75.0</v>
      </c>
      <c r="J243" s="1" t="s">
        <v>232</v>
      </c>
      <c r="K243" s="1">
        <v>12.0</v>
      </c>
      <c r="L243" s="2">
        <v>42907.0</v>
      </c>
      <c r="O243" s="1">
        <v>0.0</v>
      </c>
      <c r="P243" s="1" t="s">
        <v>75</v>
      </c>
      <c r="Q243" s="1" t="s">
        <v>76</v>
      </c>
      <c r="R243" s="1" t="s">
        <v>2483</v>
      </c>
      <c r="U243" s="1" t="s">
        <v>2484</v>
      </c>
      <c r="V243" s="1">
        <v>284.0</v>
      </c>
      <c r="W243" s="3" t="s">
        <v>2485</v>
      </c>
      <c r="X243" s="1">
        <v>721764.0</v>
      </c>
      <c r="Y243" s="1" t="s">
        <v>2486</v>
      </c>
      <c r="Z243" s="3" t="s">
        <v>2487</v>
      </c>
      <c r="AA243" s="3" t="s">
        <v>2488</v>
      </c>
      <c r="AB243" s="1">
        <v>1.0</v>
      </c>
      <c r="AC243" s="1" t="s">
        <v>2489</v>
      </c>
      <c r="AD243" s="1">
        <v>21.0</v>
      </c>
      <c r="AE243" s="1">
        <f t="shared" si="5"/>
        <v>431</v>
      </c>
      <c r="AF243" s="1">
        <v>47.0</v>
      </c>
      <c r="AG243" s="1">
        <v>14.0</v>
      </c>
      <c r="AH243" s="1">
        <v>52.0</v>
      </c>
      <c r="AI243" s="1">
        <v>25.0</v>
      </c>
      <c r="AJ243" s="1">
        <v>4.0</v>
      </c>
      <c r="AK243" s="1">
        <v>168.0</v>
      </c>
      <c r="AL243" s="1">
        <v>111.0</v>
      </c>
      <c r="AM243" s="1">
        <v>1.0</v>
      </c>
      <c r="AN243" s="1">
        <v>0.0</v>
      </c>
      <c r="AO243" s="1">
        <v>6.0</v>
      </c>
      <c r="AP243" s="1">
        <v>1.0</v>
      </c>
      <c r="AQ243" s="1">
        <v>0.0</v>
      </c>
    </row>
    <row r="244">
      <c r="A244" s="1"/>
      <c r="B244" s="1">
        <v>146.0</v>
      </c>
      <c r="C244" s="1" t="s">
        <v>2490</v>
      </c>
      <c r="D244" s="1" t="s">
        <v>2491</v>
      </c>
      <c r="E244" s="1" t="s">
        <v>2492</v>
      </c>
      <c r="F244" s="1" t="s">
        <v>43</v>
      </c>
      <c r="G244" s="2">
        <v>24181.0</v>
      </c>
      <c r="H244" s="1" t="s">
        <v>2493</v>
      </c>
      <c r="I244" s="1">
        <v>72.0</v>
      </c>
      <c r="J244" s="1" t="s">
        <v>2494</v>
      </c>
      <c r="K244" s="1">
        <v>5.0</v>
      </c>
      <c r="L244" s="2">
        <v>42907.0</v>
      </c>
      <c r="O244" s="1">
        <v>0.0</v>
      </c>
      <c r="P244" s="1" t="s">
        <v>61</v>
      </c>
      <c r="Q244" s="1" t="s">
        <v>62</v>
      </c>
      <c r="R244" s="1" t="s">
        <v>2495</v>
      </c>
      <c r="U244" s="1" t="s">
        <v>304</v>
      </c>
      <c r="V244" s="1">
        <v>71.0</v>
      </c>
      <c r="W244" s="3" t="s">
        <v>2496</v>
      </c>
      <c r="X244" s="1">
        <v>267318.0</v>
      </c>
      <c r="Y244" s="1" t="s">
        <v>2497</v>
      </c>
      <c r="Z244" s="3" t="s">
        <v>2498</v>
      </c>
      <c r="AA244" s="3" t="s">
        <v>2499</v>
      </c>
      <c r="AB244" s="1">
        <v>1.0</v>
      </c>
      <c r="AC244" s="1" t="s">
        <v>2500</v>
      </c>
      <c r="AD244" s="1">
        <v>21.0</v>
      </c>
      <c r="AE244" s="1">
        <f t="shared" si="5"/>
        <v>431</v>
      </c>
      <c r="AF244" s="1">
        <v>32.0</v>
      </c>
      <c r="AG244" s="1">
        <v>14.0</v>
      </c>
      <c r="AH244" s="1">
        <v>22.0</v>
      </c>
      <c r="AI244" s="1">
        <v>3.0</v>
      </c>
      <c r="AJ244" s="1">
        <v>11.0</v>
      </c>
      <c r="AK244" s="1">
        <v>696.0</v>
      </c>
      <c r="AL244" s="1">
        <v>29.0</v>
      </c>
      <c r="AM244" s="1">
        <v>0.0</v>
      </c>
      <c r="AN244" s="1">
        <v>2.0</v>
      </c>
      <c r="AO244" s="1">
        <v>61.0</v>
      </c>
      <c r="AP244" s="1">
        <v>19.0</v>
      </c>
      <c r="AQ244" s="1">
        <v>0.0</v>
      </c>
    </row>
    <row r="245">
      <c r="A245" s="1"/>
      <c r="B245" s="1">
        <v>229.0</v>
      </c>
      <c r="C245" s="1" t="s">
        <v>2501</v>
      </c>
      <c r="D245" s="1" t="s">
        <v>2502</v>
      </c>
      <c r="E245" s="1" t="s">
        <v>2503</v>
      </c>
      <c r="F245" s="1" t="s">
        <v>58</v>
      </c>
      <c r="G245" s="2">
        <v>28066.0</v>
      </c>
      <c r="H245" s="1" t="s">
        <v>1731</v>
      </c>
      <c r="I245" s="1">
        <v>91.0</v>
      </c>
      <c r="J245" s="1" t="s">
        <v>610</v>
      </c>
      <c r="K245" s="1">
        <v>9.0</v>
      </c>
      <c r="L245" s="2">
        <v>42907.0</v>
      </c>
      <c r="O245" s="1">
        <v>0.0</v>
      </c>
      <c r="P245" s="1" t="s">
        <v>75</v>
      </c>
      <c r="Q245" s="1" t="s">
        <v>76</v>
      </c>
      <c r="R245" s="1" t="s">
        <v>2504</v>
      </c>
      <c r="U245" s="1" t="s">
        <v>2505</v>
      </c>
      <c r="V245" s="1">
        <v>307.0</v>
      </c>
      <c r="W245" s="3" t="s">
        <v>2506</v>
      </c>
      <c r="X245" s="1">
        <v>721880.0</v>
      </c>
      <c r="Y245" s="1" t="s">
        <v>2507</v>
      </c>
      <c r="Z245" s="3" t="s">
        <v>2508</v>
      </c>
      <c r="AA245" s="3" t="s">
        <v>2509</v>
      </c>
      <c r="AB245" s="1">
        <v>1.0</v>
      </c>
      <c r="AC245" s="1" t="s">
        <v>2510</v>
      </c>
      <c r="AD245" s="1">
        <v>21.0</v>
      </c>
      <c r="AE245" s="1">
        <f t="shared" si="5"/>
        <v>431</v>
      </c>
      <c r="AF245" s="1">
        <v>33.0</v>
      </c>
      <c r="AG245" s="1">
        <v>17.0</v>
      </c>
      <c r="AH245" s="1">
        <v>47.0</v>
      </c>
      <c r="AI245" s="1">
        <v>9.0</v>
      </c>
      <c r="AJ245" s="1">
        <v>12.0</v>
      </c>
      <c r="AK245" s="1">
        <v>76.0</v>
      </c>
      <c r="AL245" s="1">
        <v>30.0</v>
      </c>
      <c r="AM245" s="1">
        <v>0.0</v>
      </c>
      <c r="AN245" s="1">
        <v>0.0</v>
      </c>
      <c r="AO245" s="1">
        <v>5.0</v>
      </c>
      <c r="AP245" s="1">
        <v>3.0</v>
      </c>
      <c r="AQ245" s="1">
        <v>2.0</v>
      </c>
    </row>
    <row r="246">
      <c r="A246" s="1"/>
      <c r="B246" s="1">
        <v>104.0</v>
      </c>
      <c r="C246" s="1" t="s">
        <v>2511</v>
      </c>
      <c r="D246" s="1" t="s">
        <v>2512</v>
      </c>
      <c r="E246" s="1" t="s">
        <v>112</v>
      </c>
      <c r="F246" s="1" t="s">
        <v>58</v>
      </c>
      <c r="G246" s="2">
        <v>20324.0</v>
      </c>
      <c r="H246" s="1" t="s">
        <v>2513</v>
      </c>
      <c r="I246" s="1">
        <v>92.0</v>
      </c>
      <c r="J246" s="1" t="s">
        <v>781</v>
      </c>
      <c r="K246" s="1">
        <v>3.0</v>
      </c>
      <c r="L246" s="2">
        <v>42907.0</v>
      </c>
      <c r="O246" s="1">
        <v>0.0</v>
      </c>
      <c r="P246" s="1" t="s">
        <v>75</v>
      </c>
      <c r="Q246" s="1" t="s">
        <v>76</v>
      </c>
      <c r="R246" s="1" t="s">
        <v>2514</v>
      </c>
      <c r="U246" s="1" t="s">
        <v>234</v>
      </c>
      <c r="V246" s="1">
        <v>239.0</v>
      </c>
      <c r="W246" s="3" t="s">
        <v>2515</v>
      </c>
      <c r="X246" s="1">
        <v>722094.0</v>
      </c>
      <c r="Y246" s="1" t="s">
        <v>2516</v>
      </c>
      <c r="Z246" s="3" t="s">
        <v>2517</v>
      </c>
      <c r="AA246" s="3" t="s">
        <v>2518</v>
      </c>
      <c r="AB246" s="1">
        <v>1.0</v>
      </c>
      <c r="AC246" s="1" t="s">
        <v>2519</v>
      </c>
      <c r="AD246" s="1">
        <v>21.0</v>
      </c>
      <c r="AE246" s="1">
        <f t="shared" si="5"/>
        <v>431</v>
      </c>
      <c r="AF246" s="1">
        <v>51.0</v>
      </c>
      <c r="AG246" s="1">
        <v>24.0</v>
      </c>
      <c r="AH246" s="1">
        <v>13.0</v>
      </c>
      <c r="AI246" s="1">
        <v>5.0</v>
      </c>
      <c r="AJ246" s="1">
        <v>6.0</v>
      </c>
      <c r="AK246" s="1">
        <v>61.0</v>
      </c>
      <c r="AL246" s="1">
        <v>28.0</v>
      </c>
      <c r="AM246" s="1">
        <v>2.0</v>
      </c>
      <c r="AN246" s="1">
        <v>0.0</v>
      </c>
      <c r="AO246" s="1">
        <v>5.0</v>
      </c>
      <c r="AP246" s="1">
        <v>2.0</v>
      </c>
      <c r="AQ246" s="1">
        <v>0.0</v>
      </c>
    </row>
    <row r="247">
      <c r="A247" s="1"/>
      <c r="B247" s="1">
        <v>507.0</v>
      </c>
      <c r="C247" s="1" t="s">
        <v>2520</v>
      </c>
      <c r="D247" s="1" t="s">
        <v>2521</v>
      </c>
      <c r="E247" s="1" t="s">
        <v>2522</v>
      </c>
      <c r="F247" s="1" t="s">
        <v>43</v>
      </c>
      <c r="G247" s="2">
        <v>33281.0</v>
      </c>
      <c r="H247" s="1" t="s">
        <v>2513</v>
      </c>
      <c r="I247" s="1">
        <v>59.0</v>
      </c>
      <c r="J247" s="1" t="s">
        <v>172</v>
      </c>
      <c r="K247" s="1">
        <v>17.0</v>
      </c>
      <c r="L247" s="2">
        <v>42907.0</v>
      </c>
      <c r="O247" s="1">
        <v>0.0</v>
      </c>
      <c r="P247" s="1" t="s">
        <v>75</v>
      </c>
      <c r="Q247" s="1" t="s">
        <v>76</v>
      </c>
      <c r="R247" s="1" t="s">
        <v>2523</v>
      </c>
      <c r="U247" s="1" t="s">
        <v>1386</v>
      </c>
      <c r="V247" s="1">
        <v>406.0</v>
      </c>
      <c r="W247" s="3" t="s">
        <v>2524</v>
      </c>
      <c r="X247" s="1">
        <v>720454.0</v>
      </c>
      <c r="Y247" s="1" t="s">
        <v>2525</v>
      </c>
      <c r="Z247" s="3" t="s">
        <v>2526</v>
      </c>
      <c r="AA247" s="3" t="s">
        <v>2527</v>
      </c>
      <c r="AB247" s="1">
        <v>1.0</v>
      </c>
      <c r="AC247" s="1" t="s">
        <v>2528</v>
      </c>
      <c r="AD247" s="1">
        <v>21.0</v>
      </c>
      <c r="AE247" s="1">
        <f t="shared" si="5"/>
        <v>431</v>
      </c>
      <c r="AF247" s="1">
        <v>33.0</v>
      </c>
      <c r="AG247" s="1">
        <v>4.0</v>
      </c>
      <c r="AH247" s="1">
        <v>8.0</v>
      </c>
      <c r="AI247" s="1">
        <v>2.0</v>
      </c>
      <c r="AJ247" s="1">
        <v>0.0</v>
      </c>
      <c r="AK247" s="1">
        <v>63.0</v>
      </c>
      <c r="AL247" s="1">
        <v>25.0</v>
      </c>
      <c r="AM247" s="1">
        <v>0.0</v>
      </c>
      <c r="AN247" s="1">
        <v>0.0</v>
      </c>
      <c r="AO247" s="1">
        <v>7.0</v>
      </c>
      <c r="AP247" s="1">
        <v>14.0</v>
      </c>
      <c r="AQ247" s="1">
        <v>0.0</v>
      </c>
    </row>
    <row r="248">
      <c r="A248" s="1"/>
      <c r="B248" s="1">
        <v>243.0</v>
      </c>
      <c r="C248" s="1" t="s">
        <v>2529</v>
      </c>
      <c r="D248" s="1" t="s">
        <v>2530</v>
      </c>
      <c r="E248" s="1" t="s">
        <v>380</v>
      </c>
      <c r="F248" s="1" t="s">
        <v>58</v>
      </c>
      <c r="G248" s="2">
        <v>30019.0</v>
      </c>
      <c r="H248" s="1" t="s">
        <v>1291</v>
      </c>
      <c r="I248" s="1">
        <v>45.0</v>
      </c>
      <c r="J248" s="1" t="s">
        <v>2531</v>
      </c>
      <c r="K248" s="1">
        <v>2.0</v>
      </c>
      <c r="L248" s="2">
        <v>42907.0</v>
      </c>
      <c r="O248" s="1">
        <v>0.0</v>
      </c>
      <c r="P248" s="1" t="s">
        <v>75</v>
      </c>
      <c r="Q248" s="1" t="s">
        <v>76</v>
      </c>
      <c r="R248" s="1" t="s">
        <v>2532</v>
      </c>
      <c r="U248" s="1" t="s">
        <v>162</v>
      </c>
      <c r="V248" s="1">
        <v>277.0</v>
      </c>
      <c r="W248" s="3" t="s">
        <v>2533</v>
      </c>
      <c r="X248" s="1">
        <v>720074.0</v>
      </c>
      <c r="Y248" s="1" t="s">
        <v>2534</v>
      </c>
      <c r="Z248" s="3" t="s">
        <v>2535</v>
      </c>
      <c r="AA248" s="3" t="s">
        <v>2536</v>
      </c>
      <c r="AB248" s="1">
        <v>1.0</v>
      </c>
      <c r="AC248" s="1" t="s">
        <v>2537</v>
      </c>
      <c r="AD248" s="1">
        <v>21.0</v>
      </c>
      <c r="AE248" s="1">
        <f t="shared" si="5"/>
        <v>431</v>
      </c>
      <c r="AF248" s="1">
        <v>39.0</v>
      </c>
      <c r="AG248" s="1">
        <v>10.0</v>
      </c>
      <c r="AH248" s="1">
        <v>15.0</v>
      </c>
      <c r="AI248" s="1">
        <v>3.0</v>
      </c>
      <c r="AJ248" s="1">
        <v>3.0</v>
      </c>
      <c r="AK248" s="1">
        <v>65.0</v>
      </c>
      <c r="AL248" s="1">
        <v>26.0</v>
      </c>
      <c r="AM248" s="1">
        <v>0.0</v>
      </c>
      <c r="AN248" s="1">
        <v>0.0</v>
      </c>
      <c r="AO248" s="1">
        <v>5.0</v>
      </c>
      <c r="AP248" s="1">
        <v>18.0</v>
      </c>
      <c r="AQ248" s="1">
        <v>0.0</v>
      </c>
    </row>
    <row r="249">
      <c r="A249" s="1"/>
      <c r="B249" s="1">
        <v>51.0</v>
      </c>
      <c r="C249" s="1" t="s">
        <v>2538</v>
      </c>
      <c r="D249" s="1" t="s">
        <v>2539</v>
      </c>
      <c r="E249" s="1" t="s">
        <v>2540</v>
      </c>
      <c r="F249" s="1" t="s">
        <v>58</v>
      </c>
      <c r="G249" s="2">
        <v>23729.0</v>
      </c>
      <c r="H249" s="1" t="s">
        <v>2541</v>
      </c>
      <c r="I249" s="1">
        <v>72.0</v>
      </c>
      <c r="J249" s="1" t="s">
        <v>2494</v>
      </c>
      <c r="K249" s="1">
        <v>2.0</v>
      </c>
      <c r="L249" s="2">
        <v>42907.0</v>
      </c>
      <c r="O249" s="1">
        <v>0.0</v>
      </c>
      <c r="P249" s="1" t="s">
        <v>115</v>
      </c>
      <c r="Q249" s="1" t="s">
        <v>116</v>
      </c>
      <c r="R249" s="1" t="s">
        <v>2542</v>
      </c>
      <c r="U249" s="1" t="s">
        <v>2543</v>
      </c>
      <c r="V249" s="1">
        <v>502.0</v>
      </c>
      <c r="W249" s="3" t="s">
        <v>2544</v>
      </c>
      <c r="X249" s="1">
        <v>335054.0</v>
      </c>
      <c r="Y249" s="1" t="s">
        <v>2545</v>
      </c>
      <c r="Z249" s="3" t="s">
        <v>2546</v>
      </c>
      <c r="AA249" s="3" t="s">
        <v>2547</v>
      </c>
      <c r="AB249" s="1">
        <v>2.0</v>
      </c>
      <c r="AC249" s="1" t="s">
        <v>2548</v>
      </c>
      <c r="AD249" s="1">
        <v>21.0</v>
      </c>
      <c r="AE249" s="1">
        <f t="shared" si="5"/>
        <v>431</v>
      </c>
      <c r="AF249" s="1">
        <v>43.0</v>
      </c>
      <c r="AG249" s="1">
        <v>53.0</v>
      </c>
      <c r="AH249" s="1">
        <v>57.0</v>
      </c>
      <c r="AI249" s="1">
        <v>19.0</v>
      </c>
      <c r="AJ249" s="1">
        <v>53.0</v>
      </c>
      <c r="AK249" s="1">
        <v>1162.0</v>
      </c>
      <c r="AL249" s="1">
        <v>80.0</v>
      </c>
      <c r="AM249" s="1">
        <v>0.0</v>
      </c>
      <c r="AN249" s="1">
        <v>0.0</v>
      </c>
      <c r="AO249" s="1">
        <v>5.0</v>
      </c>
      <c r="AP249" s="1">
        <v>24.0</v>
      </c>
      <c r="AQ249" s="1">
        <v>4.0</v>
      </c>
    </row>
    <row r="250">
      <c r="A250" s="1"/>
      <c r="B250" s="1">
        <v>49.0</v>
      </c>
      <c r="C250" s="1" t="s">
        <v>2549</v>
      </c>
      <c r="D250" s="1" t="s">
        <v>2550</v>
      </c>
      <c r="E250" s="1" t="s">
        <v>2551</v>
      </c>
      <c r="F250" s="1" t="s">
        <v>43</v>
      </c>
      <c r="G250" s="2">
        <v>27096.0</v>
      </c>
      <c r="H250" s="1" t="s">
        <v>2552</v>
      </c>
      <c r="I250" s="1">
        <v>77.0</v>
      </c>
      <c r="J250" s="1" t="s">
        <v>503</v>
      </c>
      <c r="K250" s="1">
        <v>7.0</v>
      </c>
      <c r="L250" s="2">
        <v>42907.0</v>
      </c>
      <c r="O250" s="1">
        <v>0.0</v>
      </c>
      <c r="P250" s="1" t="s">
        <v>75</v>
      </c>
      <c r="Q250" s="1" t="s">
        <v>76</v>
      </c>
      <c r="R250" s="1" t="s">
        <v>2553</v>
      </c>
      <c r="U250" s="1" t="s">
        <v>162</v>
      </c>
      <c r="V250" s="1">
        <v>245.0</v>
      </c>
      <c r="W250" s="3" t="s">
        <v>2554</v>
      </c>
      <c r="X250" s="1">
        <v>721644.0</v>
      </c>
      <c r="Y250" s="1" t="s">
        <v>2555</v>
      </c>
      <c r="Z250" s="3" t="s">
        <v>2556</v>
      </c>
      <c r="AA250" s="3" t="s">
        <v>2557</v>
      </c>
      <c r="AB250" s="1">
        <v>1.0</v>
      </c>
      <c r="AC250" s="1" t="s">
        <v>2558</v>
      </c>
      <c r="AD250" s="1">
        <v>21.0</v>
      </c>
      <c r="AE250" s="1">
        <f t="shared" si="5"/>
        <v>431</v>
      </c>
      <c r="AF250" s="1">
        <v>40.0</v>
      </c>
      <c r="AG250" s="1">
        <v>6.0</v>
      </c>
      <c r="AH250" s="1">
        <v>2.0</v>
      </c>
      <c r="AI250" s="1">
        <v>0.0</v>
      </c>
      <c r="AJ250" s="1">
        <v>0.0</v>
      </c>
      <c r="AK250" s="1">
        <v>38.0</v>
      </c>
      <c r="AL250" s="1">
        <v>11.0</v>
      </c>
      <c r="AM250" s="1">
        <v>0.0</v>
      </c>
      <c r="AN250" s="1">
        <v>0.0</v>
      </c>
      <c r="AO250" s="1">
        <v>5.0</v>
      </c>
      <c r="AP250" s="1">
        <v>6.0</v>
      </c>
      <c r="AQ250" s="1">
        <v>0.0</v>
      </c>
    </row>
    <row r="251">
      <c r="A251" s="1"/>
      <c r="B251" s="1">
        <v>333.0</v>
      </c>
      <c r="C251" s="1" t="s">
        <v>2559</v>
      </c>
      <c r="D251" s="1" t="s">
        <v>2560</v>
      </c>
      <c r="E251" s="1" t="s">
        <v>2561</v>
      </c>
      <c r="F251" s="1" t="s">
        <v>58</v>
      </c>
      <c r="G251" s="2">
        <v>31912.0</v>
      </c>
      <c r="H251" s="1" t="s">
        <v>2176</v>
      </c>
      <c r="I251" s="1">
        <v>51.0</v>
      </c>
      <c r="J251" s="1" t="s">
        <v>208</v>
      </c>
      <c r="K251" s="1">
        <v>2.0</v>
      </c>
      <c r="L251" s="2">
        <v>42907.0</v>
      </c>
      <c r="O251" s="1">
        <v>0.0</v>
      </c>
      <c r="P251" s="1" t="s">
        <v>75</v>
      </c>
      <c r="Q251" s="1" t="s">
        <v>76</v>
      </c>
      <c r="R251" s="1" t="s">
        <v>2562</v>
      </c>
      <c r="U251" s="1" t="s">
        <v>2563</v>
      </c>
      <c r="V251" s="1">
        <v>643.0</v>
      </c>
      <c r="W251" s="3" t="s">
        <v>2564</v>
      </c>
      <c r="X251" s="1">
        <v>720214.0</v>
      </c>
      <c r="Y251" s="1" t="s">
        <v>2565</v>
      </c>
      <c r="Z251" s="3" t="s">
        <v>2566</v>
      </c>
      <c r="AA251" s="3" t="s">
        <v>2567</v>
      </c>
      <c r="AB251" s="1">
        <v>1.0</v>
      </c>
      <c r="AC251" s="1" t="s">
        <v>2568</v>
      </c>
      <c r="AD251" s="1">
        <v>21.0</v>
      </c>
      <c r="AE251" s="1">
        <f t="shared" si="5"/>
        <v>431</v>
      </c>
      <c r="AF251" s="1">
        <v>38.0</v>
      </c>
      <c r="AG251" s="1">
        <v>3.0</v>
      </c>
      <c r="AH251" s="1">
        <v>8.0</v>
      </c>
      <c r="AI251" s="1">
        <v>3.0</v>
      </c>
      <c r="AJ251" s="1">
        <v>0.0</v>
      </c>
      <c r="AK251" s="1">
        <v>155.0</v>
      </c>
      <c r="AL251" s="1">
        <v>103.0</v>
      </c>
      <c r="AM251" s="1">
        <v>1.0</v>
      </c>
      <c r="AN251" s="1">
        <v>0.0</v>
      </c>
      <c r="AO251" s="1">
        <v>5.0</v>
      </c>
      <c r="AP251" s="1">
        <v>10.0</v>
      </c>
      <c r="AQ251" s="1">
        <v>0.0</v>
      </c>
    </row>
    <row r="252">
      <c r="A252" s="1"/>
      <c r="B252" s="1">
        <v>163.0</v>
      </c>
      <c r="C252" s="1" t="s">
        <v>2569</v>
      </c>
      <c r="D252" s="1" t="s">
        <v>2570</v>
      </c>
      <c r="E252" s="1" t="s">
        <v>2503</v>
      </c>
      <c r="F252" s="1" t="s">
        <v>58</v>
      </c>
      <c r="G252" s="2">
        <v>33224.0</v>
      </c>
      <c r="H252" s="1" t="s">
        <v>2571</v>
      </c>
      <c r="I252" s="1">
        <v>78.0</v>
      </c>
      <c r="J252" s="1" t="s">
        <v>74</v>
      </c>
      <c r="K252" s="1">
        <v>4.0</v>
      </c>
      <c r="L252" s="2">
        <v>42907.0</v>
      </c>
      <c r="O252" s="1">
        <v>0.0</v>
      </c>
      <c r="P252" s="1" t="s">
        <v>75</v>
      </c>
      <c r="Q252" s="1" t="s">
        <v>76</v>
      </c>
      <c r="R252" s="1" t="s">
        <v>2572</v>
      </c>
      <c r="U252" s="1" t="s">
        <v>2573</v>
      </c>
      <c r="V252" s="1">
        <v>338.0</v>
      </c>
      <c r="W252" s="3" t="s">
        <v>2574</v>
      </c>
      <c r="X252" s="1">
        <v>721852.0</v>
      </c>
      <c r="Y252" s="1" t="s">
        <v>2575</v>
      </c>
      <c r="Z252" s="3" t="s">
        <v>2576</v>
      </c>
      <c r="AA252" s="3" t="s">
        <v>2577</v>
      </c>
      <c r="AB252" s="1">
        <v>1.0</v>
      </c>
      <c r="AC252" s="1" t="s">
        <v>2578</v>
      </c>
      <c r="AD252" s="1">
        <v>21.0</v>
      </c>
      <c r="AE252" s="1">
        <f t="shared" si="5"/>
        <v>431</v>
      </c>
      <c r="AF252" s="1">
        <v>44.0</v>
      </c>
      <c r="AG252" s="1">
        <v>12.0</v>
      </c>
      <c r="AH252" s="1">
        <v>4.0</v>
      </c>
      <c r="AI252" s="1">
        <v>2.0</v>
      </c>
      <c r="AJ252" s="1">
        <v>0.0</v>
      </c>
      <c r="AK252" s="1">
        <v>51.0</v>
      </c>
      <c r="AL252" s="1">
        <v>26.0</v>
      </c>
      <c r="AM252" s="1">
        <v>1.0</v>
      </c>
      <c r="AN252" s="1">
        <v>0.0</v>
      </c>
      <c r="AO252" s="1">
        <v>5.0</v>
      </c>
      <c r="AP252" s="1">
        <v>0.0</v>
      </c>
      <c r="AQ252" s="1">
        <v>1.0</v>
      </c>
    </row>
    <row r="253">
      <c r="A253" s="1"/>
      <c r="B253" s="1">
        <v>283.0</v>
      </c>
      <c r="C253" s="1" t="s">
        <v>2579</v>
      </c>
      <c r="D253" s="1" t="s">
        <v>2580</v>
      </c>
      <c r="E253" s="1" t="s">
        <v>1453</v>
      </c>
      <c r="F253" s="1" t="s">
        <v>58</v>
      </c>
      <c r="G253" s="2">
        <v>24702.0</v>
      </c>
      <c r="H253" s="1" t="s">
        <v>2581</v>
      </c>
      <c r="I253" s="1">
        <v>77.0</v>
      </c>
      <c r="J253" s="1" t="s">
        <v>503</v>
      </c>
      <c r="K253" s="1">
        <v>1.0</v>
      </c>
      <c r="L253" s="2">
        <v>42907.0</v>
      </c>
      <c r="O253" s="1">
        <v>0.0</v>
      </c>
      <c r="P253" s="1" t="s">
        <v>280</v>
      </c>
      <c r="Q253" s="1" t="s">
        <v>281</v>
      </c>
      <c r="R253" s="1" t="s">
        <v>2582</v>
      </c>
      <c r="U253" s="1" t="s">
        <v>440</v>
      </c>
      <c r="V253" s="1">
        <v>254.0</v>
      </c>
      <c r="W253" s="3" t="s">
        <v>2583</v>
      </c>
      <c r="X253" s="1">
        <v>721530.0</v>
      </c>
      <c r="Y253" s="1" t="s">
        <v>2584</v>
      </c>
      <c r="Z253" s="3" t="s">
        <v>2585</v>
      </c>
      <c r="AA253" s="3" t="s">
        <v>2586</v>
      </c>
      <c r="AB253" s="1">
        <v>1.0</v>
      </c>
      <c r="AC253" s="1" t="s">
        <v>2587</v>
      </c>
      <c r="AD253" s="1">
        <v>21.0</v>
      </c>
      <c r="AE253" s="1">
        <f t="shared" si="5"/>
        <v>431</v>
      </c>
      <c r="AF253" s="1">
        <v>31.0</v>
      </c>
      <c r="AG253" s="1">
        <v>12.0</v>
      </c>
      <c r="AH253" s="1">
        <v>6.0</v>
      </c>
      <c r="AI253" s="1">
        <v>1.0</v>
      </c>
      <c r="AJ253" s="1">
        <v>1.0</v>
      </c>
      <c r="AK253" s="1">
        <v>207.0</v>
      </c>
      <c r="AL253" s="1">
        <v>22.0</v>
      </c>
      <c r="AM253" s="1">
        <v>1.0</v>
      </c>
      <c r="AN253" s="1">
        <v>0.0</v>
      </c>
      <c r="AO253" s="1">
        <v>4.0</v>
      </c>
      <c r="AP253" s="1">
        <v>3.0</v>
      </c>
      <c r="AQ253" s="1">
        <v>3.0</v>
      </c>
    </row>
    <row r="254">
      <c r="A254" s="1"/>
      <c r="B254" s="1">
        <v>489.0</v>
      </c>
      <c r="C254" s="1" t="s">
        <v>2588</v>
      </c>
      <c r="D254" s="1" t="s">
        <v>2589</v>
      </c>
      <c r="E254" s="1" t="s">
        <v>694</v>
      </c>
      <c r="F254" s="1" t="s">
        <v>58</v>
      </c>
      <c r="G254" s="2">
        <v>24567.0</v>
      </c>
      <c r="H254" s="1" t="s">
        <v>207</v>
      </c>
      <c r="I254" s="1">
        <v>35.0</v>
      </c>
      <c r="J254" s="1" t="s">
        <v>415</v>
      </c>
      <c r="K254" s="1">
        <v>2.0</v>
      </c>
      <c r="L254" s="2">
        <v>42907.0</v>
      </c>
      <c r="O254" s="1">
        <v>0.0</v>
      </c>
      <c r="P254" s="1" t="s">
        <v>75</v>
      </c>
      <c r="Q254" s="1" t="s">
        <v>76</v>
      </c>
      <c r="R254" s="1" t="s">
        <v>2590</v>
      </c>
      <c r="U254" s="1" t="s">
        <v>2591</v>
      </c>
      <c r="V254" s="1">
        <v>569.0</v>
      </c>
      <c r="W254" s="3" t="s">
        <v>2592</v>
      </c>
      <c r="X254" s="1">
        <v>719718.0</v>
      </c>
      <c r="Y254" s="1" t="s">
        <v>2593</v>
      </c>
      <c r="Z254" s="3" t="s">
        <v>2594</v>
      </c>
      <c r="AA254" s="3" t="s">
        <v>2595</v>
      </c>
      <c r="AB254" s="1">
        <v>1.0</v>
      </c>
      <c r="AC254" s="1" t="s">
        <v>2596</v>
      </c>
      <c r="AD254" s="1">
        <v>21.0</v>
      </c>
      <c r="AE254" s="1">
        <f t="shared" si="5"/>
        <v>431</v>
      </c>
      <c r="AF254" s="1">
        <v>33.0</v>
      </c>
      <c r="AG254" s="1">
        <v>5.0</v>
      </c>
      <c r="AH254" s="1">
        <v>1.0</v>
      </c>
      <c r="AI254" s="1">
        <v>1.0</v>
      </c>
      <c r="AJ254" s="1">
        <v>0.0</v>
      </c>
      <c r="AK254" s="1">
        <v>102.0</v>
      </c>
      <c r="AL254" s="1">
        <v>48.0</v>
      </c>
      <c r="AM254" s="1">
        <v>0.0</v>
      </c>
      <c r="AN254" s="1">
        <v>0.0</v>
      </c>
      <c r="AO254" s="1">
        <v>5.0</v>
      </c>
      <c r="AP254" s="1">
        <v>6.0</v>
      </c>
      <c r="AQ254" s="1">
        <v>1.0</v>
      </c>
    </row>
    <row r="255">
      <c r="A255" s="1"/>
      <c r="B255" s="1">
        <v>157.0</v>
      </c>
      <c r="C255" s="1" t="s">
        <v>2597</v>
      </c>
      <c r="D255" s="1" t="s">
        <v>2598</v>
      </c>
      <c r="E255" s="1" t="s">
        <v>1801</v>
      </c>
      <c r="F255" s="1" t="s">
        <v>43</v>
      </c>
      <c r="G255" s="2">
        <v>21392.0</v>
      </c>
      <c r="H255" s="1" t="s">
        <v>2599</v>
      </c>
      <c r="I255" s="1">
        <v>92.0</v>
      </c>
      <c r="J255" s="1" t="s">
        <v>781</v>
      </c>
      <c r="K255" s="1">
        <v>7.0</v>
      </c>
      <c r="L255" s="2">
        <v>42907.0</v>
      </c>
      <c r="O255" s="1">
        <v>0.0</v>
      </c>
      <c r="P255" s="1" t="s">
        <v>75</v>
      </c>
      <c r="Q255" s="1" t="s">
        <v>76</v>
      </c>
      <c r="R255" s="1" t="s">
        <v>2600</v>
      </c>
      <c r="U255" s="1" t="s">
        <v>234</v>
      </c>
      <c r="V255" s="1">
        <v>483.0</v>
      </c>
      <c r="W255" s="3" t="s">
        <v>2601</v>
      </c>
      <c r="X255" s="1">
        <v>721946.0</v>
      </c>
      <c r="Y255" s="1" t="s">
        <v>2602</v>
      </c>
      <c r="Z255" s="3" t="s">
        <v>2603</v>
      </c>
      <c r="AA255" s="3" t="s">
        <v>2604</v>
      </c>
      <c r="AB255" s="1">
        <v>1.0</v>
      </c>
      <c r="AC255" s="1" t="s">
        <v>2605</v>
      </c>
      <c r="AD255" s="1">
        <v>21.0</v>
      </c>
      <c r="AE255" s="1">
        <f t="shared" si="5"/>
        <v>431</v>
      </c>
      <c r="AF255" s="1">
        <v>44.0</v>
      </c>
      <c r="AG255" s="1">
        <v>29.0</v>
      </c>
      <c r="AH255" s="1">
        <v>14.0</v>
      </c>
      <c r="AI255" s="1">
        <v>32.0</v>
      </c>
      <c r="AJ255" s="1">
        <v>0.0</v>
      </c>
      <c r="AK255" s="1">
        <v>15.0</v>
      </c>
      <c r="AL255" s="1">
        <v>3.0</v>
      </c>
      <c r="AM255" s="1">
        <v>1.0</v>
      </c>
      <c r="AN255" s="1">
        <v>0.0</v>
      </c>
      <c r="AO255" s="1">
        <v>5.0</v>
      </c>
      <c r="AP255" s="1">
        <v>29.0</v>
      </c>
      <c r="AQ255" s="1">
        <v>0.0</v>
      </c>
    </row>
    <row r="256">
      <c r="A256" s="1"/>
      <c r="B256" s="1">
        <v>131.0</v>
      </c>
      <c r="C256" s="1" t="s">
        <v>2606</v>
      </c>
      <c r="D256" s="1" t="s">
        <v>2607</v>
      </c>
      <c r="E256" s="1" t="s">
        <v>2608</v>
      </c>
      <c r="F256" s="1" t="s">
        <v>58</v>
      </c>
      <c r="G256" s="2">
        <v>22012.0</v>
      </c>
      <c r="H256" s="1" t="s">
        <v>2609</v>
      </c>
      <c r="I256" s="1">
        <v>29.0</v>
      </c>
      <c r="J256" s="1" t="s">
        <v>393</v>
      </c>
      <c r="K256" s="1">
        <v>5.0</v>
      </c>
      <c r="L256" s="2">
        <v>42907.0</v>
      </c>
      <c r="O256" s="1">
        <v>0.0</v>
      </c>
      <c r="P256" s="1" t="s">
        <v>75</v>
      </c>
      <c r="Q256" s="1" t="s">
        <v>76</v>
      </c>
      <c r="R256" s="1" t="s">
        <v>2610</v>
      </c>
      <c r="U256" s="1" t="s">
        <v>2611</v>
      </c>
      <c r="V256" s="1">
        <v>231.0</v>
      </c>
      <c r="W256" s="3" t="s">
        <v>2612</v>
      </c>
      <c r="X256" s="1">
        <v>719338.0</v>
      </c>
      <c r="Y256" s="1" t="s">
        <v>2613</v>
      </c>
      <c r="Z256" s="3" t="s">
        <v>2614</v>
      </c>
      <c r="AA256" s="3" t="s">
        <v>2615</v>
      </c>
      <c r="AB256" s="1">
        <v>1.0</v>
      </c>
      <c r="AC256" s="1" t="s">
        <v>2616</v>
      </c>
      <c r="AD256" s="1">
        <v>21.0</v>
      </c>
      <c r="AE256" s="1">
        <f t="shared" si="5"/>
        <v>431</v>
      </c>
      <c r="AF256" s="1">
        <v>38.0</v>
      </c>
      <c r="AG256" s="1">
        <v>6.0</v>
      </c>
      <c r="AH256" s="1">
        <v>1.0</v>
      </c>
      <c r="AI256" s="1">
        <v>0.0</v>
      </c>
      <c r="AJ256" s="1">
        <v>0.0</v>
      </c>
      <c r="AK256" s="1">
        <v>62.0</v>
      </c>
      <c r="AL256" s="1">
        <v>27.0</v>
      </c>
      <c r="AM256" s="1">
        <v>0.0</v>
      </c>
      <c r="AN256" s="1">
        <v>0.0</v>
      </c>
      <c r="AO256" s="1">
        <v>5.0</v>
      </c>
      <c r="AP256" s="1">
        <v>13.0</v>
      </c>
      <c r="AQ256" s="1">
        <v>0.0</v>
      </c>
    </row>
    <row r="257">
      <c r="A257" s="1"/>
      <c r="B257" s="1">
        <v>425.0</v>
      </c>
      <c r="C257" s="1" t="s">
        <v>2617</v>
      </c>
      <c r="D257" s="1" t="s">
        <v>2618</v>
      </c>
      <c r="E257" s="1" t="s">
        <v>2619</v>
      </c>
      <c r="F257" s="1" t="s">
        <v>43</v>
      </c>
      <c r="G257" s="2">
        <v>31978.0</v>
      </c>
      <c r="H257" s="1" t="s">
        <v>2620</v>
      </c>
      <c r="I257" s="1">
        <v>60.0</v>
      </c>
      <c r="J257" s="1" t="s">
        <v>769</v>
      </c>
      <c r="K257" s="1">
        <v>7.0</v>
      </c>
      <c r="L257" s="2">
        <v>42907.0</v>
      </c>
      <c r="O257" s="1">
        <v>0.0</v>
      </c>
      <c r="P257" s="1" t="s">
        <v>61</v>
      </c>
      <c r="Q257" s="1" t="s">
        <v>62</v>
      </c>
      <c r="R257" s="1" t="s">
        <v>2621</v>
      </c>
      <c r="U257" s="1" t="s">
        <v>967</v>
      </c>
      <c r="V257" s="1">
        <v>17.0</v>
      </c>
      <c r="W257" s="3" t="s">
        <v>2622</v>
      </c>
      <c r="X257" s="1">
        <v>720630.0</v>
      </c>
      <c r="Y257" s="1" t="s">
        <v>2623</v>
      </c>
      <c r="Z257" s="3" t="s">
        <v>2624</v>
      </c>
      <c r="AA257" s="3" t="s">
        <v>2625</v>
      </c>
      <c r="AB257" s="1">
        <v>1.0</v>
      </c>
      <c r="AC257" s="1" t="s">
        <v>2626</v>
      </c>
      <c r="AD257" s="1">
        <v>21.0</v>
      </c>
      <c r="AE257" s="1">
        <f t="shared" si="5"/>
        <v>431</v>
      </c>
      <c r="AF257" s="1">
        <v>31.0</v>
      </c>
      <c r="AG257" s="1">
        <v>23.0</v>
      </c>
      <c r="AH257" s="1">
        <v>27.0</v>
      </c>
      <c r="AI257" s="1">
        <v>38.0</v>
      </c>
      <c r="AJ257" s="1">
        <v>23.0</v>
      </c>
      <c r="AK257" s="1">
        <v>534.0</v>
      </c>
      <c r="AL257" s="1">
        <v>21.0</v>
      </c>
      <c r="AM257" s="1">
        <v>1.0</v>
      </c>
      <c r="AN257" s="1">
        <v>0.0</v>
      </c>
      <c r="AO257" s="1">
        <v>38.0</v>
      </c>
      <c r="AP257" s="1">
        <v>10.0</v>
      </c>
      <c r="AQ257" s="1">
        <v>2.0</v>
      </c>
    </row>
    <row r="258">
      <c r="A258" s="1"/>
      <c r="B258" s="1">
        <v>423.0</v>
      </c>
      <c r="C258" s="1" t="s">
        <v>2627</v>
      </c>
      <c r="D258" s="1" t="s">
        <v>2628</v>
      </c>
      <c r="E258" s="1" t="s">
        <v>866</v>
      </c>
      <c r="F258" s="1" t="s">
        <v>43</v>
      </c>
      <c r="G258" s="2">
        <v>21540.0</v>
      </c>
      <c r="H258" s="1" t="s">
        <v>1273</v>
      </c>
      <c r="I258" s="1">
        <v>48.0</v>
      </c>
      <c r="J258" s="1" t="s">
        <v>2629</v>
      </c>
      <c r="K258" s="1">
        <v>1.0</v>
      </c>
      <c r="L258" s="2">
        <v>42907.0</v>
      </c>
      <c r="O258" s="1">
        <v>0.0</v>
      </c>
      <c r="P258" s="1" t="s">
        <v>46</v>
      </c>
      <c r="Q258" s="1" t="s">
        <v>62</v>
      </c>
      <c r="R258" s="1" t="s">
        <v>2630</v>
      </c>
      <c r="U258" s="1" t="s">
        <v>304</v>
      </c>
      <c r="V258" s="1">
        <v>105.0</v>
      </c>
      <c r="W258" s="3" t="s">
        <v>2631</v>
      </c>
      <c r="X258" s="1">
        <v>266788.0</v>
      </c>
      <c r="Y258" s="1" t="s">
        <v>2632</v>
      </c>
      <c r="Z258" s="3" t="s">
        <v>2633</v>
      </c>
      <c r="AA258" s="3" t="s">
        <v>2634</v>
      </c>
      <c r="AB258" s="1">
        <v>2.0</v>
      </c>
      <c r="AC258" s="1" t="s">
        <v>2635</v>
      </c>
      <c r="AD258" s="1">
        <v>21.0</v>
      </c>
      <c r="AE258" s="1">
        <f t="shared" si="5"/>
        <v>431</v>
      </c>
      <c r="AF258" s="1">
        <v>37.0</v>
      </c>
      <c r="AG258" s="1">
        <v>17.0</v>
      </c>
      <c r="AH258" s="1">
        <v>18.0</v>
      </c>
      <c r="AI258" s="1">
        <v>6.0</v>
      </c>
      <c r="AJ258" s="1">
        <v>9.0</v>
      </c>
      <c r="AK258" s="1">
        <v>631.0</v>
      </c>
      <c r="AL258" s="1">
        <v>29.0</v>
      </c>
      <c r="AM258" s="1">
        <v>0.0</v>
      </c>
      <c r="AN258" s="1">
        <v>22.0</v>
      </c>
      <c r="AO258" s="1">
        <v>43.0</v>
      </c>
      <c r="AP258" s="1">
        <v>10.0</v>
      </c>
      <c r="AQ258" s="1">
        <v>2.0</v>
      </c>
    </row>
    <row r="259">
      <c r="A259" s="1"/>
      <c r="B259" s="1">
        <v>227.0</v>
      </c>
      <c r="C259" s="1" t="s">
        <v>2636</v>
      </c>
      <c r="D259" s="1" t="s">
        <v>2637</v>
      </c>
      <c r="E259" s="1" t="s">
        <v>2638</v>
      </c>
      <c r="F259" s="1" t="s">
        <v>43</v>
      </c>
      <c r="G259" s="2">
        <v>34291.0</v>
      </c>
      <c r="H259" s="1" t="s">
        <v>2639</v>
      </c>
      <c r="I259" s="1">
        <v>62.0</v>
      </c>
      <c r="J259" s="1" t="s">
        <v>427</v>
      </c>
      <c r="K259" s="1">
        <v>10.0</v>
      </c>
      <c r="L259" s="2">
        <v>42907.0</v>
      </c>
      <c r="O259" s="1">
        <v>0.0</v>
      </c>
      <c r="P259" s="1" t="s">
        <v>814</v>
      </c>
      <c r="Q259" s="1" t="s">
        <v>837</v>
      </c>
      <c r="R259" s="1" t="s">
        <v>2640</v>
      </c>
      <c r="U259" s="1">
        <v>0.0</v>
      </c>
      <c r="V259" s="1">
        <v>56.0</v>
      </c>
      <c r="W259" s="3" t="s">
        <v>2641</v>
      </c>
      <c r="X259" s="1">
        <v>720606.0</v>
      </c>
      <c r="Y259" s="1" t="s">
        <v>2642</v>
      </c>
      <c r="Z259" s="3" t="s">
        <v>2643</v>
      </c>
      <c r="AA259" s="3" t="s">
        <v>2644</v>
      </c>
      <c r="AB259" s="1">
        <v>1.0</v>
      </c>
      <c r="AC259" s="1" t="s">
        <v>2645</v>
      </c>
      <c r="AD259" s="1">
        <v>21.0</v>
      </c>
      <c r="AE259" s="1">
        <f t="shared" si="5"/>
        <v>431</v>
      </c>
      <c r="AF259" s="1">
        <v>23.0</v>
      </c>
      <c r="AG259" s="1">
        <v>8.0</v>
      </c>
      <c r="AH259" s="1">
        <v>56.0</v>
      </c>
      <c r="AI259" s="1">
        <v>43.0</v>
      </c>
      <c r="AJ259" s="1">
        <v>45.0</v>
      </c>
      <c r="AK259" s="1">
        <v>258.0</v>
      </c>
      <c r="AL259" s="1">
        <v>0.0</v>
      </c>
      <c r="AM259" s="1">
        <v>0.0</v>
      </c>
      <c r="AN259" s="1">
        <v>1.0</v>
      </c>
      <c r="AO259" s="1">
        <v>7.0</v>
      </c>
      <c r="AP259" s="1">
        <v>23.0</v>
      </c>
      <c r="AQ259" s="1">
        <v>1.0</v>
      </c>
    </row>
    <row r="260">
      <c r="A260" s="1"/>
      <c r="B260" s="1">
        <v>529.0</v>
      </c>
      <c r="C260" s="1" t="s">
        <v>2646</v>
      </c>
      <c r="D260" s="1" t="s">
        <v>2647</v>
      </c>
      <c r="E260" s="1" t="s">
        <v>2648</v>
      </c>
      <c r="F260" s="1" t="s">
        <v>58</v>
      </c>
      <c r="G260" s="2">
        <v>31069.0</v>
      </c>
      <c r="H260" s="1" t="s">
        <v>2649</v>
      </c>
      <c r="I260" s="1">
        <v>95.0</v>
      </c>
      <c r="J260" s="1" t="s">
        <v>302</v>
      </c>
      <c r="K260" s="1">
        <v>9.0</v>
      </c>
      <c r="L260" s="2">
        <v>42907.0</v>
      </c>
      <c r="O260" s="1">
        <v>0.0</v>
      </c>
      <c r="P260" s="1" t="s">
        <v>75</v>
      </c>
      <c r="Q260" s="1" t="s">
        <v>76</v>
      </c>
      <c r="R260" s="1" t="s">
        <v>2650</v>
      </c>
      <c r="U260" s="1" t="s">
        <v>162</v>
      </c>
      <c r="V260" s="1">
        <v>204.0</v>
      </c>
      <c r="W260" s="3" t="s">
        <v>2651</v>
      </c>
      <c r="X260" s="1">
        <v>720944.0</v>
      </c>
      <c r="Y260" s="1" t="s">
        <v>2652</v>
      </c>
      <c r="Z260" s="3" t="s">
        <v>2653</v>
      </c>
      <c r="AA260" s="3" t="s">
        <v>2654</v>
      </c>
      <c r="AB260" s="1">
        <v>1.0</v>
      </c>
      <c r="AC260" s="1" t="s">
        <v>2655</v>
      </c>
      <c r="AD260" s="1">
        <v>21.0</v>
      </c>
      <c r="AE260" s="1">
        <f t="shared" si="5"/>
        <v>431</v>
      </c>
      <c r="AF260" s="1">
        <v>29.0</v>
      </c>
      <c r="AG260" s="1">
        <v>5.0</v>
      </c>
      <c r="AH260" s="1">
        <v>4.0</v>
      </c>
      <c r="AI260" s="1">
        <v>0.0</v>
      </c>
      <c r="AJ260" s="1">
        <v>0.0</v>
      </c>
      <c r="AK260" s="1">
        <v>92.0</v>
      </c>
      <c r="AL260" s="1">
        <v>45.0</v>
      </c>
      <c r="AM260" s="1">
        <v>1.0</v>
      </c>
      <c r="AN260" s="1">
        <v>0.0</v>
      </c>
      <c r="AO260" s="1">
        <v>5.0</v>
      </c>
      <c r="AP260" s="1">
        <v>0.0</v>
      </c>
      <c r="AQ260" s="1">
        <v>1.0</v>
      </c>
    </row>
    <row r="261">
      <c r="A261" s="1"/>
      <c r="B261" s="1">
        <v>170.0</v>
      </c>
      <c r="C261" s="1" t="s">
        <v>2656</v>
      </c>
      <c r="D261" s="1" t="s">
        <v>2657</v>
      </c>
      <c r="E261" s="1" t="s">
        <v>866</v>
      </c>
      <c r="F261" s="1" t="s">
        <v>43</v>
      </c>
      <c r="G261" s="2">
        <v>32530.0</v>
      </c>
      <c r="H261" s="1" t="s">
        <v>73</v>
      </c>
      <c r="I261" s="1">
        <v>75.0</v>
      </c>
      <c r="J261" s="1" t="s">
        <v>232</v>
      </c>
      <c r="K261" s="1">
        <v>6.0</v>
      </c>
      <c r="L261" s="2">
        <v>42907.0</v>
      </c>
      <c r="O261" s="1">
        <v>0.0</v>
      </c>
      <c r="P261" s="1" t="s">
        <v>75</v>
      </c>
      <c r="Q261" s="1" t="s">
        <v>76</v>
      </c>
      <c r="R261" s="1" t="s">
        <v>2658</v>
      </c>
      <c r="U261" s="1" t="s">
        <v>162</v>
      </c>
      <c r="V261" s="1">
        <v>558.0</v>
      </c>
      <c r="W261" s="3" t="s">
        <v>2659</v>
      </c>
      <c r="X261" s="1">
        <v>721568.0</v>
      </c>
      <c r="Y261" s="1" t="s">
        <v>2660</v>
      </c>
      <c r="Z261" s="3" t="s">
        <v>2661</v>
      </c>
      <c r="AA261" s="3" t="s">
        <v>2662</v>
      </c>
      <c r="AB261" s="1">
        <v>1.0</v>
      </c>
      <c r="AC261" s="1" t="s">
        <v>2663</v>
      </c>
      <c r="AD261" s="1">
        <v>21.0</v>
      </c>
      <c r="AE261" s="1">
        <f t="shared" si="5"/>
        <v>431</v>
      </c>
      <c r="AF261" s="1">
        <v>37.0</v>
      </c>
      <c r="AG261" s="1">
        <v>3.0</v>
      </c>
      <c r="AH261" s="1">
        <v>17.0</v>
      </c>
      <c r="AI261" s="1">
        <v>6.0</v>
      </c>
      <c r="AJ261" s="1">
        <v>0.0</v>
      </c>
      <c r="AK261" s="1">
        <v>152.0</v>
      </c>
      <c r="AL261" s="1">
        <v>104.0</v>
      </c>
      <c r="AM261" s="1">
        <v>1.0</v>
      </c>
      <c r="AN261" s="1">
        <v>0.0</v>
      </c>
      <c r="AO261" s="1">
        <v>5.0</v>
      </c>
      <c r="AP261" s="1">
        <v>0.0</v>
      </c>
      <c r="AQ261" s="1">
        <v>0.0</v>
      </c>
    </row>
    <row r="262">
      <c r="A262" s="1"/>
      <c r="B262" s="1">
        <v>325.0</v>
      </c>
      <c r="C262" s="1" t="s">
        <v>2664</v>
      </c>
      <c r="D262" s="1" t="s">
        <v>2665</v>
      </c>
      <c r="E262" s="1" t="s">
        <v>1540</v>
      </c>
      <c r="F262" s="1" t="s">
        <v>43</v>
      </c>
      <c r="G262" s="2">
        <v>22851.0</v>
      </c>
      <c r="H262" s="1" t="s">
        <v>2666</v>
      </c>
      <c r="I262" s="1">
        <v>93.0</v>
      </c>
      <c r="J262" s="1" t="s">
        <v>196</v>
      </c>
      <c r="K262" s="1">
        <v>2.0</v>
      </c>
      <c r="L262" s="2">
        <v>42907.0</v>
      </c>
      <c r="O262" s="1">
        <v>0.0</v>
      </c>
      <c r="P262" s="1" t="s">
        <v>101</v>
      </c>
      <c r="Q262" s="1" t="s">
        <v>102</v>
      </c>
      <c r="R262" s="1" t="s">
        <v>2667</v>
      </c>
      <c r="U262" s="1" t="s">
        <v>2668</v>
      </c>
      <c r="V262" s="1">
        <v>589.0</v>
      </c>
      <c r="W262" s="3" t="s">
        <v>2669</v>
      </c>
      <c r="X262" s="1">
        <v>721270.0</v>
      </c>
      <c r="Y262" s="1" t="s">
        <v>2670</v>
      </c>
      <c r="Z262" s="3" t="s">
        <v>2671</v>
      </c>
      <c r="AA262" s="3" t="s">
        <v>2672</v>
      </c>
      <c r="AB262" s="1">
        <v>2.0</v>
      </c>
      <c r="AC262" s="1" t="s">
        <v>2673</v>
      </c>
      <c r="AD262" s="1">
        <v>21.0</v>
      </c>
      <c r="AE262" s="1">
        <f t="shared" si="5"/>
        <v>431</v>
      </c>
      <c r="AF262" s="1">
        <v>29.0</v>
      </c>
      <c r="AG262" s="1">
        <v>25.0</v>
      </c>
      <c r="AH262" s="1">
        <v>180.0</v>
      </c>
      <c r="AI262" s="1">
        <v>118.0</v>
      </c>
      <c r="AJ262" s="1">
        <v>63.0</v>
      </c>
      <c r="AK262" s="1">
        <v>672.0</v>
      </c>
      <c r="AL262" s="1">
        <v>22.0</v>
      </c>
      <c r="AM262" s="1">
        <v>0.0</v>
      </c>
      <c r="AN262" s="1">
        <v>2.0</v>
      </c>
      <c r="AO262" s="1">
        <v>19.0</v>
      </c>
      <c r="AP262" s="1">
        <v>14.0</v>
      </c>
      <c r="AQ262" s="1">
        <v>5.0</v>
      </c>
    </row>
    <row r="263">
      <c r="A263" s="1"/>
      <c r="B263" s="1">
        <v>327.0</v>
      </c>
      <c r="C263" s="1" t="s">
        <v>2674</v>
      </c>
      <c r="D263" s="1" t="s">
        <v>2675</v>
      </c>
      <c r="E263" s="1" t="s">
        <v>2676</v>
      </c>
      <c r="F263" s="1" t="s">
        <v>58</v>
      </c>
      <c r="G263" s="2">
        <v>27558.0</v>
      </c>
      <c r="H263" s="1" t="s">
        <v>2677</v>
      </c>
      <c r="I263" s="1">
        <v>80.0</v>
      </c>
      <c r="J263" s="1" t="s">
        <v>1148</v>
      </c>
      <c r="K263" s="1">
        <v>2.0</v>
      </c>
      <c r="L263" s="2">
        <v>42907.0</v>
      </c>
      <c r="O263" s="1">
        <v>0.0</v>
      </c>
      <c r="P263" s="1" t="s">
        <v>75</v>
      </c>
      <c r="Q263" s="1" t="s">
        <v>76</v>
      </c>
      <c r="R263" s="1" t="s">
        <v>2678</v>
      </c>
      <c r="U263" s="1" t="s">
        <v>2679</v>
      </c>
      <c r="V263" s="1">
        <v>348.0</v>
      </c>
      <c r="W263" s="3" t="s">
        <v>2680</v>
      </c>
      <c r="X263" s="1">
        <v>609520.0</v>
      </c>
      <c r="Y263" s="1" t="s">
        <v>2681</v>
      </c>
      <c r="Z263" s="3" t="s">
        <v>2682</v>
      </c>
      <c r="AA263" s="3" t="s">
        <v>2683</v>
      </c>
      <c r="AB263" s="1">
        <v>1.0</v>
      </c>
      <c r="AC263" s="1" t="s">
        <v>2684</v>
      </c>
      <c r="AD263" s="1">
        <v>21.0</v>
      </c>
      <c r="AE263" s="1">
        <f t="shared" si="5"/>
        <v>431</v>
      </c>
      <c r="AF263" s="1">
        <v>39.0</v>
      </c>
      <c r="AG263" s="1">
        <v>140.0</v>
      </c>
      <c r="AH263" s="1">
        <v>33.0</v>
      </c>
      <c r="AI263" s="1">
        <v>26.0</v>
      </c>
      <c r="AJ263" s="1">
        <v>1.0</v>
      </c>
      <c r="AK263" s="1">
        <v>95.0</v>
      </c>
      <c r="AL263" s="1">
        <v>47.0</v>
      </c>
      <c r="AM263" s="1">
        <v>1.0</v>
      </c>
      <c r="AN263" s="1">
        <v>1.0</v>
      </c>
      <c r="AO263" s="1">
        <v>5.0</v>
      </c>
      <c r="AP263" s="1">
        <v>18.0</v>
      </c>
      <c r="AQ263" s="1">
        <v>1.0</v>
      </c>
    </row>
    <row r="264">
      <c r="A264" s="1"/>
      <c r="B264" s="1">
        <v>379.0</v>
      </c>
      <c r="C264" s="1" t="s">
        <v>2685</v>
      </c>
      <c r="D264" s="1" t="s">
        <v>2686</v>
      </c>
      <c r="E264" s="1" t="s">
        <v>346</v>
      </c>
      <c r="F264" s="1" t="s">
        <v>43</v>
      </c>
      <c r="G264" s="2">
        <v>24676.0</v>
      </c>
      <c r="H264" s="1" t="s">
        <v>2687</v>
      </c>
      <c r="I264" s="1">
        <v>62.0</v>
      </c>
      <c r="J264" s="1" t="s">
        <v>427</v>
      </c>
      <c r="K264" s="1">
        <v>8.0</v>
      </c>
      <c r="L264" s="2">
        <v>42907.0</v>
      </c>
      <c r="O264" s="1">
        <v>0.0</v>
      </c>
      <c r="P264" s="1" t="s">
        <v>75</v>
      </c>
      <c r="Q264" s="1" t="s">
        <v>76</v>
      </c>
      <c r="R264" s="1" t="s">
        <v>2688</v>
      </c>
      <c r="U264" s="1" t="s">
        <v>2689</v>
      </c>
      <c r="V264" s="1">
        <v>198.0</v>
      </c>
      <c r="W264" s="3" t="s">
        <v>2690</v>
      </c>
      <c r="X264" s="1">
        <v>720590.0</v>
      </c>
      <c r="Y264" s="1" t="s">
        <v>2691</v>
      </c>
      <c r="Z264" s="3" t="s">
        <v>2692</v>
      </c>
      <c r="AA264" s="3" t="s">
        <v>2693</v>
      </c>
      <c r="AB264" s="1">
        <v>1.0</v>
      </c>
      <c r="AC264" s="1" t="s">
        <v>2694</v>
      </c>
      <c r="AD264" s="1">
        <v>21.0</v>
      </c>
      <c r="AE264" s="1">
        <f t="shared" si="5"/>
        <v>431</v>
      </c>
      <c r="AF264" s="1">
        <v>46.0</v>
      </c>
      <c r="AG264" s="1">
        <v>4.0</v>
      </c>
      <c r="AH264" s="1">
        <v>2.0</v>
      </c>
      <c r="AI264" s="1">
        <v>0.0</v>
      </c>
      <c r="AJ264" s="1">
        <v>0.0</v>
      </c>
      <c r="AK264" s="1">
        <v>116.0</v>
      </c>
      <c r="AL264" s="1">
        <v>58.0</v>
      </c>
      <c r="AM264" s="1">
        <v>0.0</v>
      </c>
      <c r="AN264" s="1">
        <v>0.0</v>
      </c>
      <c r="AO264" s="1">
        <v>8.0</v>
      </c>
      <c r="AP264" s="1">
        <v>2.0</v>
      </c>
      <c r="AQ264" s="1">
        <v>0.0</v>
      </c>
    </row>
    <row r="265">
      <c r="A265" s="1"/>
      <c r="B265" s="1">
        <v>40.0</v>
      </c>
      <c r="C265" s="1" t="s">
        <v>2695</v>
      </c>
      <c r="D265" s="1" t="s">
        <v>2696</v>
      </c>
      <c r="E265" s="1" t="s">
        <v>589</v>
      </c>
      <c r="F265" s="1" t="s">
        <v>43</v>
      </c>
      <c r="G265" s="2">
        <v>24462.0</v>
      </c>
      <c r="H265" s="1" t="s">
        <v>2697</v>
      </c>
      <c r="I265" s="1">
        <v>27.0</v>
      </c>
      <c r="J265" s="1" t="s">
        <v>2698</v>
      </c>
      <c r="K265" s="1">
        <v>4.0</v>
      </c>
      <c r="L265" s="2">
        <v>42907.0</v>
      </c>
      <c r="O265" s="1">
        <v>0.0</v>
      </c>
      <c r="P265" s="1" t="s">
        <v>75</v>
      </c>
      <c r="Q265" s="1" t="s">
        <v>76</v>
      </c>
      <c r="R265" s="1" t="s">
        <v>2699</v>
      </c>
      <c r="U265" s="1" t="s">
        <v>304</v>
      </c>
      <c r="V265" s="1">
        <v>383.0</v>
      </c>
      <c r="W265" s="3" t="s">
        <v>2700</v>
      </c>
      <c r="X265" s="1">
        <v>643127.0</v>
      </c>
      <c r="Y265" s="1" t="s">
        <v>2701</v>
      </c>
      <c r="Z265" s="3" t="s">
        <v>2702</v>
      </c>
      <c r="AA265" s="3" t="s">
        <v>2703</v>
      </c>
      <c r="AB265" s="1">
        <v>1.0</v>
      </c>
      <c r="AC265" s="1" t="s">
        <v>2704</v>
      </c>
      <c r="AD265" s="1">
        <v>21.0</v>
      </c>
      <c r="AE265" s="1">
        <f t="shared" si="5"/>
        <v>431</v>
      </c>
      <c r="AF265" s="1">
        <v>38.0</v>
      </c>
      <c r="AG265" s="1">
        <v>21.0</v>
      </c>
      <c r="AH265" s="1">
        <v>42.0</v>
      </c>
      <c r="AI265" s="1">
        <v>26.0</v>
      </c>
      <c r="AJ265" s="1">
        <v>0.0</v>
      </c>
      <c r="AK265" s="1">
        <v>138.0</v>
      </c>
      <c r="AL265" s="1">
        <v>58.0</v>
      </c>
      <c r="AM265" s="1">
        <v>1.0</v>
      </c>
      <c r="AN265" s="1">
        <v>0.0</v>
      </c>
      <c r="AO265" s="1">
        <v>5.0</v>
      </c>
      <c r="AP265" s="1">
        <v>7.0</v>
      </c>
      <c r="AQ265" s="1">
        <v>2.0</v>
      </c>
    </row>
    <row r="266">
      <c r="A266" s="1"/>
      <c r="B266" s="1">
        <v>70.0</v>
      </c>
      <c r="C266" s="1" t="s">
        <v>2705</v>
      </c>
      <c r="D266" s="1" t="s">
        <v>2706</v>
      </c>
      <c r="E266" s="1" t="s">
        <v>2707</v>
      </c>
      <c r="F266" s="1" t="s">
        <v>43</v>
      </c>
      <c r="G266" s="2">
        <v>24920.0</v>
      </c>
      <c r="H266" s="1" t="s">
        <v>2708</v>
      </c>
      <c r="I266" s="1">
        <v>45.0</v>
      </c>
      <c r="J266" s="1" t="s">
        <v>2531</v>
      </c>
      <c r="K266" s="1">
        <v>6.0</v>
      </c>
      <c r="L266" s="2">
        <v>42907.0</v>
      </c>
      <c r="O266" s="1">
        <v>0.0</v>
      </c>
      <c r="P266" s="1" t="s">
        <v>280</v>
      </c>
      <c r="Q266" s="1" t="s">
        <v>281</v>
      </c>
      <c r="U266" s="1" t="s">
        <v>162</v>
      </c>
      <c r="V266" s="1">
        <v>264.0</v>
      </c>
      <c r="W266" s="3" t="s">
        <v>2709</v>
      </c>
      <c r="X266" s="1">
        <v>720092.0</v>
      </c>
      <c r="Y266" s="1" t="s">
        <v>2710</v>
      </c>
      <c r="Z266" s="3" t="s">
        <v>2711</v>
      </c>
      <c r="AA266" s="3" t="s">
        <v>2712</v>
      </c>
      <c r="AB266" s="1">
        <v>2.0</v>
      </c>
      <c r="AD266" s="1">
        <v>21.0</v>
      </c>
      <c r="AE266" s="1">
        <f t="shared" si="5"/>
        <v>431</v>
      </c>
      <c r="AF266" s="1">
        <v>32.0</v>
      </c>
      <c r="AG266" s="1">
        <v>38.0</v>
      </c>
      <c r="AH266" s="1">
        <v>12.0</v>
      </c>
      <c r="AI266" s="1">
        <v>4.0</v>
      </c>
      <c r="AJ266" s="1">
        <v>2.0</v>
      </c>
      <c r="AK266" s="1">
        <v>187.0</v>
      </c>
      <c r="AL266" s="1">
        <v>16.0</v>
      </c>
      <c r="AM266" s="1">
        <v>0.0</v>
      </c>
      <c r="AN266" s="1">
        <v>0.0</v>
      </c>
      <c r="AO266" s="1">
        <v>5.0</v>
      </c>
      <c r="AP266" s="1">
        <v>3.0</v>
      </c>
      <c r="AQ266" s="1">
        <v>2.0</v>
      </c>
    </row>
    <row r="267">
      <c r="A267" s="1"/>
      <c r="B267" s="1">
        <v>436.0</v>
      </c>
      <c r="C267" s="1" t="s">
        <v>2713</v>
      </c>
      <c r="D267" s="1" t="s">
        <v>2714</v>
      </c>
      <c r="E267" s="1" t="s">
        <v>2715</v>
      </c>
      <c r="F267" s="1" t="s">
        <v>43</v>
      </c>
      <c r="G267" s="2">
        <v>24648.0</v>
      </c>
      <c r="H267" s="1" t="s">
        <v>2716</v>
      </c>
      <c r="I267" s="1">
        <v>974.0</v>
      </c>
      <c r="J267" s="1" t="s">
        <v>2717</v>
      </c>
      <c r="K267" s="1">
        <v>5.0</v>
      </c>
      <c r="L267" s="2">
        <v>42907.0</v>
      </c>
      <c r="O267" s="1">
        <v>0.0</v>
      </c>
      <c r="P267" s="1" t="s">
        <v>173</v>
      </c>
      <c r="Q267" s="1" t="s">
        <v>174</v>
      </c>
      <c r="R267" s="3" t="s">
        <v>2718</v>
      </c>
      <c r="U267" s="1" t="s">
        <v>967</v>
      </c>
      <c r="V267" s="1">
        <v>619.0</v>
      </c>
      <c r="W267" s="3" t="s">
        <v>2719</v>
      </c>
      <c r="X267" s="1">
        <v>721062.0</v>
      </c>
      <c r="Y267" s="1" t="s">
        <v>2720</v>
      </c>
      <c r="Z267" s="3" t="s">
        <v>2721</v>
      </c>
      <c r="AA267" s="3" t="s">
        <v>2722</v>
      </c>
      <c r="AB267" s="1">
        <v>1.0</v>
      </c>
      <c r="AC267" s="1" t="s">
        <v>2723</v>
      </c>
      <c r="AD267" s="1">
        <v>21.0</v>
      </c>
      <c r="AE267" s="1">
        <f t="shared" si="5"/>
        <v>431</v>
      </c>
      <c r="AF267" s="1">
        <v>41.0</v>
      </c>
      <c r="AG267" s="1">
        <v>51.0</v>
      </c>
      <c r="AH267" s="1">
        <v>139.0</v>
      </c>
      <c r="AI267" s="1">
        <v>58.0</v>
      </c>
      <c r="AJ267" s="1">
        <v>156.0</v>
      </c>
      <c r="AK267" s="1">
        <v>2065.0</v>
      </c>
      <c r="AL267" s="1">
        <v>32.0</v>
      </c>
      <c r="AM267" s="1">
        <v>0.0</v>
      </c>
      <c r="AN267" s="1">
        <v>0.0</v>
      </c>
      <c r="AO267" s="1">
        <v>12.0</v>
      </c>
      <c r="AP267" s="1">
        <v>20.0</v>
      </c>
      <c r="AQ267" s="1">
        <v>4.0</v>
      </c>
    </row>
    <row r="268">
      <c r="A268" s="1"/>
      <c r="B268" s="1">
        <v>161.0</v>
      </c>
      <c r="C268" s="1" t="s">
        <v>2724</v>
      </c>
      <c r="D268" s="1" t="s">
        <v>2725</v>
      </c>
      <c r="E268" s="1" t="s">
        <v>2726</v>
      </c>
      <c r="F268" s="1" t="s">
        <v>43</v>
      </c>
      <c r="G268" s="2">
        <v>33368.0</v>
      </c>
      <c r="H268" s="1" t="s">
        <v>2727</v>
      </c>
      <c r="I268" s="1">
        <v>91.0</v>
      </c>
      <c r="J268" s="1" t="s">
        <v>610</v>
      </c>
      <c r="K268" s="1">
        <v>7.0</v>
      </c>
      <c r="L268" s="2">
        <v>42907.0</v>
      </c>
      <c r="O268" s="1">
        <v>0.0</v>
      </c>
      <c r="P268" s="1" t="s">
        <v>61</v>
      </c>
      <c r="Q268" s="1" t="s">
        <v>62</v>
      </c>
      <c r="R268" s="1" t="s">
        <v>2728</v>
      </c>
      <c r="U268" s="1" t="s">
        <v>2729</v>
      </c>
      <c r="V268" s="1">
        <v>47.0</v>
      </c>
      <c r="W268" s="3" t="s">
        <v>2730</v>
      </c>
      <c r="X268" s="1">
        <v>721678.0</v>
      </c>
      <c r="Y268" s="1" t="s">
        <v>2731</v>
      </c>
      <c r="Z268" s="3" t="s">
        <v>2732</v>
      </c>
      <c r="AA268" s="3" t="s">
        <v>2733</v>
      </c>
      <c r="AB268" s="1">
        <v>3.0</v>
      </c>
      <c r="AC268" s="1" t="s">
        <v>2734</v>
      </c>
      <c r="AD268" s="1">
        <v>21.0</v>
      </c>
      <c r="AE268" s="1">
        <f t="shared" si="5"/>
        <v>431</v>
      </c>
      <c r="AF268" s="1">
        <v>30.0</v>
      </c>
      <c r="AG268" s="1">
        <v>14.0</v>
      </c>
      <c r="AH268" s="1">
        <v>26.0</v>
      </c>
      <c r="AI268" s="1">
        <v>14.0</v>
      </c>
      <c r="AJ268" s="1">
        <v>9.0</v>
      </c>
      <c r="AK268" s="1">
        <v>471.0</v>
      </c>
      <c r="AL268" s="1">
        <v>21.0</v>
      </c>
      <c r="AM268" s="1">
        <v>1.0</v>
      </c>
      <c r="AN268" s="1">
        <v>0.0</v>
      </c>
      <c r="AO268" s="1">
        <v>25.0</v>
      </c>
      <c r="AP268" s="1">
        <v>3.0</v>
      </c>
      <c r="AQ268" s="1">
        <v>2.0</v>
      </c>
    </row>
    <row r="269">
      <c r="A269" s="1"/>
      <c r="B269" s="1">
        <v>469.0</v>
      </c>
      <c r="C269" s="1" t="s">
        <v>2735</v>
      </c>
      <c r="D269" s="1" t="s">
        <v>2736</v>
      </c>
      <c r="E269" s="1" t="s">
        <v>705</v>
      </c>
      <c r="F269" s="1" t="s">
        <v>43</v>
      </c>
      <c r="G269" s="2">
        <v>18991.0</v>
      </c>
      <c r="H269" s="1" t="s">
        <v>2737</v>
      </c>
      <c r="I269" s="1">
        <v>68.0</v>
      </c>
      <c r="J269" s="1" t="s">
        <v>1501</v>
      </c>
      <c r="K269" s="1">
        <v>3.0</v>
      </c>
      <c r="L269" s="2">
        <v>42907.0</v>
      </c>
      <c r="O269" s="1">
        <v>0.0</v>
      </c>
      <c r="P269" s="1" t="s">
        <v>61</v>
      </c>
      <c r="Q269" s="1" t="s">
        <v>62</v>
      </c>
      <c r="R269" s="1" t="s">
        <v>2738</v>
      </c>
      <c r="U269" s="1" t="s">
        <v>2739</v>
      </c>
      <c r="V269" s="1">
        <v>75.0</v>
      </c>
      <c r="W269" s="3" t="s">
        <v>2740</v>
      </c>
      <c r="X269" s="1">
        <v>2529.0</v>
      </c>
      <c r="Y269" s="1" t="s">
        <v>2741</v>
      </c>
      <c r="Z269" s="3" t="s">
        <v>2742</v>
      </c>
      <c r="AA269" s="3" t="s">
        <v>2743</v>
      </c>
      <c r="AB269" s="1">
        <v>2.0</v>
      </c>
      <c r="AC269" s="1" t="s">
        <v>2744</v>
      </c>
      <c r="AD269" s="1">
        <v>21.0</v>
      </c>
      <c r="AE269" s="1">
        <f t="shared" si="5"/>
        <v>431</v>
      </c>
      <c r="AF269" s="1">
        <v>19.0</v>
      </c>
      <c r="AG269" s="1">
        <v>6.0</v>
      </c>
      <c r="AH269" s="1">
        <v>26.0</v>
      </c>
      <c r="AI269" s="1">
        <v>183.0</v>
      </c>
      <c r="AJ269" s="1">
        <v>1.0</v>
      </c>
      <c r="AK269" s="1">
        <v>333.0</v>
      </c>
      <c r="AL269" s="1">
        <v>19.0</v>
      </c>
      <c r="AM269" s="1">
        <v>1.0</v>
      </c>
      <c r="AN269" s="1">
        <v>0.0</v>
      </c>
      <c r="AO269" s="1">
        <v>101.0</v>
      </c>
      <c r="AP269" s="1">
        <v>8.0</v>
      </c>
      <c r="AQ269" s="1">
        <v>0.0</v>
      </c>
    </row>
    <row r="270">
      <c r="A270" s="1"/>
      <c r="B270" s="1">
        <v>50.0</v>
      </c>
      <c r="C270" s="1" t="s">
        <v>2745</v>
      </c>
      <c r="D270" s="1" t="s">
        <v>2746</v>
      </c>
      <c r="E270" s="1" t="s">
        <v>651</v>
      </c>
      <c r="F270" s="1" t="s">
        <v>58</v>
      </c>
      <c r="G270" s="2">
        <v>27140.0</v>
      </c>
      <c r="H270" s="1" t="s">
        <v>2747</v>
      </c>
      <c r="I270" s="1">
        <v>95.0</v>
      </c>
      <c r="J270" s="1" t="s">
        <v>302</v>
      </c>
      <c r="K270" s="1">
        <v>3.0</v>
      </c>
      <c r="L270" s="2">
        <v>42907.0</v>
      </c>
      <c r="O270" s="1">
        <v>0.0</v>
      </c>
      <c r="P270" s="1" t="s">
        <v>75</v>
      </c>
      <c r="Q270" s="1" t="s">
        <v>76</v>
      </c>
      <c r="R270" s="3" t="s">
        <v>2748</v>
      </c>
      <c r="U270" s="1" t="s">
        <v>373</v>
      </c>
      <c r="V270" s="1">
        <v>344.0</v>
      </c>
      <c r="W270" s="3" t="s">
        <v>2749</v>
      </c>
      <c r="X270" s="1">
        <v>720900.0</v>
      </c>
      <c r="Y270" s="1" t="s">
        <v>2750</v>
      </c>
      <c r="Z270" s="3" t="s">
        <v>2751</v>
      </c>
      <c r="AA270" s="3" t="s">
        <v>2752</v>
      </c>
      <c r="AB270" s="1">
        <v>1.0</v>
      </c>
      <c r="AC270" s="1" t="s">
        <v>2753</v>
      </c>
      <c r="AD270" s="1">
        <v>21.0</v>
      </c>
      <c r="AE270" s="1">
        <f t="shared" si="5"/>
        <v>431</v>
      </c>
      <c r="AF270" s="1">
        <v>33.0</v>
      </c>
      <c r="AG270" s="1">
        <v>20.0</v>
      </c>
      <c r="AH270" s="1">
        <v>26.0</v>
      </c>
      <c r="AI270" s="1">
        <v>1.0</v>
      </c>
      <c r="AJ270" s="1">
        <v>1.0</v>
      </c>
      <c r="AK270" s="1">
        <v>80.0</v>
      </c>
      <c r="AL270" s="1">
        <v>20.0</v>
      </c>
      <c r="AM270" s="1">
        <v>0.0</v>
      </c>
      <c r="AN270" s="1">
        <v>0.0</v>
      </c>
      <c r="AO270" s="1">
        <v>6.0</v>
      </c>
      <c r="AP270" s="1">
        <v>7.0</v>
      </c>
      <c r="AQ270" s="1">
        <v>1.0</v>
      </c>
    </row>
    <row r="271">
      <c r="A271" s="1"/>
      <c r="B271" s="1">
        <v>86.0</v>
      </c>
      <c r="C271" s="1" t="s">
        <v>2754</v>
      </c>
      <c r="D271" s="1" t="s">
        <v>2755</v>
      </c>
      <c r="E271" s="1" t="s">
        <v>2756</v>
      </c>
      <c r="F271" s="1" t="s">
        <v>58</v>
      </c>
      <c r="G271" s="2">
        <v>28143.0</v>
      </c>
      <c r="H271" s="1" t="s">
        <v>2757</v>
      </c>
      <c r="I271" s="1">
        <v>91.0</v>
      </c>
      <c r="J271" s="1" t="s">
        <v>610</v>
      </c>
      <c r="K271" s="1">
        <v>4.0</v>
      </c>
      <c r="L271" s="2">
        <v>42907.0</v>
      </c>
      <c r="O271" s="1">
        <v>0.0</v>
      </c>
      <c r="P271" s="1" t="s">
        <v>75</v>
      </c>
      <c r="Q271" s="1" t="s">
        <v>76</v>
      </c>
      <c r="R271" s="3" t="s">
        <v>2758</v>
      </c>
      <c r="U271" s="1" t="s">
        <v>2759</v>
      </c>
      <c r="V271" s="1">
        <v>475.0</v>
      </c>
      <c r="W271" s="3" t="s">
        <v>2760</v>
      </c>
      <c r="X271" s="1">
        <v>722252.0</v>
      </c>
      <c r="Y271" s="1" t="s">
        <v>2761</v>
      </c>
      <c r="Z271" s="3" t="s">
        <v>2762</v>
      </c>
      <c r="AA271" s="3" t="s">
        <v>2763</v>
      </c>
      <c r="AB271" s="1">
        <v>1.0</v>
      </c>
      <c r="AC271" s="1" t="s">
        <v>2764</v>
      </c>
      <c r="AD271" s="1">
        <v>21.0</v>
      </c>
      <c r="AE271" s="1">
        <f t="shared" si="5"/>
        <v>431</v>
      </c>
      <c r="AF271" s="1">
        <v>43.0</v>
      </c>
      <c r="AG271" s="1">
        <v>57.0</v>
      </c>
      <c r="AH271" s="1">
        <v>13.0</v>
      </c>
      <c r="AI271" s="1">
        <v>6.0</v>
      </c>
      <c r="AJ271" s="1">
        <v>6.0</v>
      </c>
      <c r="AK271" s="1">
        <v>56.0</v>
      </c>
      <c r="AL271" s="1">
        <v>17.0</v>
      </c>
      <c r="AM271" s="1">
        <v>0.0</v>
      </c>
      <c r="AN271" s="1">
        <v>0.0</v>
      </c>
      <c r="AO271" s="1">
        <v>5.0</v>
      </c>
      <c r="AP271" s="1">
        <v>3.0</v>
      </c>
      <c r="AQ271" s="1">
        <v>2.0</v>
      </c>
    </row>
    <row r="272">
      <c r="A272" s="1"/>
      <c r="B272" s="1">
        <v>80.0</v>
      </c>
      <c r="C272" s="1" t="s">
        <v>2765</v>
      </c>
      <c r="D272" s="1" t="s">
        <v>2766</v>
      </c>
      <c r="E272" s="1" t="s">
        <v>2767</v>
      </c>
      <c r="F272" s="1" t="s">
        <v>58</v>
      </c>
      <c r="G272" s="2">
        <v>29601.0</v>
      </c>
      <c r="H272" s="1" t="s">
        <v>2768</v>
      </c>
      <c r="I272" s="1">
        <v>91.0</v>
      </c>
      <c r="J272" s="1" t="s">
        <v>610</v>
      </c>
      <c r="K272" s="1">
        <v>3.0</v>
      </c>
      <c r="L272" s="2">
        <v>42907.0</v>
      </c>
      <c r="O272" s="1">
        <v>0.0</v>
      </c>
      <c r="P272" s="1" t="s">
        <v>75</v>
      </c>
      <c r="Q272" s="1" t="s">
        <v>76</v>
      </c>
      <c r="R272" s="1" t="s">
        <v>2769</v>
      </c>
      <c r="U272" s="1" t="s">
        <v>936</v>
      </c>
      <c r="V272" s="1">
        <v>642.0</v>
      </c>
      <c r="W272" s="3" t="s">
        <v>2770</v>
      </c>
      <c r="X272" s="1">
        <v>722022.0</v>
      </c>
      <c r="Y272" s="1" t="s">
        <v>2771</v>
      </c>
      <c r="Z272" s="3" t="s">
        <v>2772</v>
      </c>
      <c r="AA272" s="3" t="s">
        <v>2773</v>
      </c>
      <c r="AB272" s="1">
        <v>1.0</v>
      </c>
      <c r="AC272" s="1" t="s">
        <v>2774</v>
      </c>
      <c r="AD272" s="1">
        <v>21.0</v>
      </c>
      <c r="AE272" s="1">
        <f t="shared" si="5"/>
        <v>431</v>
      </c>
      <c r="AF272" s="1">
        <v>38.0</v>
      </c>
      <c r="AG272" s="1">
        <v>8.0</v>
      </c>
      <c r="AH272" s="1">
        <v>4.0</v>
      </c>
      <c r="AI272" s="1">
        <v>0.0</v>
      </c>
      <c r="AJ272" s="1">
        <v>0.0</v>
      </c>
      <c r="AK272" s="1">
        <v>64.0</v>
      </c>
      <c r="AL272" s="1">
        <v>27.0</v>
      </c>
      <c r="AM272" s="1">
        <v>0.0</v>
      </c>
      <c r="AN272" s="1">
        <v>0.0</v>
      </c>
      <c r="AO272" s="1">
        <v>5.0</v>
      </c>
      <c r="AP272" s="1">
        <v>2.0</v>
      </c>
      <c r="AQ272" s="1">
        <v>1.0</v>
      </c>
    </row>
    <row r="273">
      <c r="A273" s="1"/>
      <c r="B273" s="1">
        <v>1.0</v>
      </c>
      <c r="C273" s="1" t="s">
        <v>2775</v>
      </c>
      <c r="D273" s="1" t="s">
        <v>2073</v>
      </c>
      <c r="E273" s="1" t="s">
        <v>2776</v>
      </c>
      <c r="F273" s="1" t="s">
        <v>43</v>
      </c>
      <c r="G273" s="2">
        <v>26582.0</v>
      </c>
      <c r="H273" s="1" t="s">
        <v>2609</v>
      </c>
      <c r="I273" s="1">
        <v>6.0</v>
      </c>
      <c r="J273" s="1" t="s">
        <v>438</v>
      </c>
      <c r="K273" s="1">
        <v>3.0</v>
      </c>
      <c r="L273" s="2">
        <v>42907.0</v>
      </c>
      <c r="O273" s="1">
        <v>0.0</v>
      </c>
      <c r="P273" s="1" t="s">
        <v>75</v>
      </c>
      <c r="Q273" s="1" t="s">
        <v>76</v>
      </c>
      <c r="R273" s="1" t="s">
        <v>2777</v>
      </c>
      <c r="U273" s="1" t="s">
        <v>2778</v>
      </c>
      <c r="V273" s="1">
        <v>309.0</v>
      </c>
      <c r="W273" s="3" t="s">
        <v>2779</v>
      </c>
      <c r="X273" s="1">
        <v>718902.0</v>
      </c>
      <c r="Y273" s="1" t="s">
        <v>2780</v>
      </c>
      <c r="Z273" s="3" t="s">
        <v>2781</v>
      </c>
      <c r="AA273" s="3" t="s">
        <v>2782</v>
      </c>
      <c r="AB273" s="1">
        <v>1.0</v>
      </c>
      <c r="AC273" s="1" t="s">
        <v>2783</v>
      </c>
      <c r="AD273" s="1">
        <v>21.0</v>
      </c>
      <c r="AE273" s="1">
        <f t="shared" si="5"/>
        <v>431</v>
      </c>
      <c r="AF273" s="1">
        <v>42.0</v>
      </c>
      <c r="AG273" s="1">
        <v>18.0</v>
      </c>
      <c r="AH273" s="1">
        <v>16.0</v>
      </c>
      <c r="AI273" s="1">
        <v>6.0</v>
      </c>
      <c r="AJ273" s="1">
        <v>2.0</v>
      </c>
      <c r="AK273" s="1">
        <v>103.0</v>
      </c>
      <c r="AL273" s="1">
        <v>45.0</v>
      </c>
      <c r="AM273" s="1">
        <v>0.0</v>
      </c>
      <c r="AN273" s="1">
        <v>0.0</v>
      </c>
      <c r="AO273" s="1">
        <v>6.0</v>
      </c>
      <c r="AP273" s="1">
        <v>0.0</v>
      </c>
      <c r="AQ273" s="1">
        <v>1.0</v>
      </c>
    </row>
    <row r="274">
      <c r="A274" s="1"/>
      <c r="B274" s="1">
        <v>255.0</v>
      </c>
      <c r="C274" s="1" t="s">
        <v>2784</v>
      </c>
      <c r="D274" s="1" t="s">
        <v>2785</v>
      </c>
      <c r="E274" s="1" t="s">
        <v>1490</v>
      </c>
      <c r="F274" s="1" t="s">
        <v>43</v>
      </c>
      <c r="G274" s="2">
        <v>27685.0</v>
      </c>
      <c r="H274" s="1" t="s">
        <v>2687</v>
      </c>
      <c r="I274" s="1">
        <v>80.0</v>
      </c>
      <c r="J274" s="1" t="s">
        <v>1148</v>
      </c>
      <c r="K274" s="1">
        <v>1.0</v>
      </c>
      <c r="L274" s="2">
        <v>42907.0</v>
      </c>
      <c r="O274" s="1">
        <v>0.0</v>
      </c>
      <c r="P274" s="1" t="s">
        <v>173</v>
      </c>
      <c r="Q274" s="1" t="s">
        <v>174</v>
      </c>
      <c r="R274" s="1" t="s">
        <v>2786</v>
      </c>
      <c r="U274" s="1" t="s">
        <v>2787</v>
      </c>
      <c r="V274" s="1">
        <v>627.0</v>
      </c>
      <c r="W274" s="3" t="s">
        <v>2788</v>
      </c>
      <c r="X274" s="1">
        <v>722142.0</v>
      </c>
      <c r="Y274" s="1" t="s">
        <v>2789</v>
      </c>
      <c r="Z274" s="3" t="s">
        <v>2790</v>
      </c>
      <c r="AA274" s="3" t="s">
        <v>2791</v>
      </c>
      <c r="AB274" s="1">
        <v>1.0</v>
      </c>
      <c r="AC274" s="1" t="s">
        <v>2792</v>
      </c>
      <c r="AD274" s="1">
        <v>21.0</v>
      </c>
      <c r="AE274" s="1">
        <f t="shared" si="5"/>
        <v>431</v>
      </c>
      <c r="AF274" s="1">
        <v>28.0</v>
      </c>
      <c r="AG274" s="1">
        <v>76.0</v>
      </c>
      <c r="AH274" s="1">
        <v>276.0</v>
      </c>
      <c r="AI274" s="1">
        <v>103.0</v>
      </c>
      <c r="AJ274" s="1">
        <v>67.0</v>
      </c>
      <c r="AK274" s="1">
        <v>2066.0</v>
      </c>
      <c r="AL274" s="1">
        <v>32.0</v>
      </c>
      <c r="AM274" s="1">
        <v>1.0</v>
      </c>
      <c r="AN274" s="1">
        <v>3.0</v>
      </c>
      <c r="AO274" s="1">
        <v>17.0</v>
      </c>
      <c r="AP274" s="1">
        <v>8.0</v>
      </c>
      <c r="AQ274" s="1">
        <v>3.0</v>
      </c>
    </row>
    <row r="275">
      <c r="A275" s="1"/>
      <c r="B275" s="1">
        <v>186.0</v>
      </c>
      <c r="C275" s="1" t="s">
        <v>2793</v>
      </c>
      <c r="D275" s="1" t="s">
        <v>2794</v>
      </c>
      <c r="E275" s="1" t="s">
        <v>2795</v>
      </c>
      <c r="F275" s="1" t="s">
        <v>43</v>
      </c>
      <c r="G275" s="2">
        <v>31072.0</v>
      </c>
      <c r="H275" s="1" t="s">
        <v>2796</v>
      </c>
      <c r="I275" s="1">
        <v>75.0</v>
      </c>
      <c r="J275" s="1" t="s">
        <v>232</v>
      </c>
      <c r="K275" s="1">
        <v>7.0</v>
      </c>
      <c r="L275" s="2">
        <v>42907.0</v>
      </c>
      <c r="O275" s="1">
        <v>0.0</v>
      </c>
      <c r="P275" s="1" t="s">
        <v>75</v>
      </c>
      <c r="Q275" s="1" t="s">
        <v>76</v>
      </c>
      <c r="R275" s="1" t="s">
        <v>2797</v>
      </c>
      <c r="U275" s="1" t="s">
        <v>2798</v>
      </c>
      <c r="V275" s="1">
        <v>423.0</v>
      </c>
      <c r="W275" s="3" t="s">
        <v>2799</v>
      </c>
      <c r="X275" s="1">
        <v>721616.0</v>
      </c>
      <c r="Y275" s="1" t="s">
        <v>2800</v>
      </c>
      <c r="Z275" s="3" t="s">
        <v>2801</v>
      </c>
      <c r="AA275" s="3" t="s">
        <v>2802</v>
      </c>
      <c r="AB275" s="1">
        <v>1.0</v>
      </c>
      <c r="AC275" s="1" t="s">
        <v>2803</v>
      </c>
      <c r="AD275" s="1">
        <v>21.0</v>
      </c>
      <c r="AE275" s="1">
        <f t="shared" si="5"/>
        <v>431</v>
      </c>
      <c r="AF275" s="1">
        <v>35.0</v>
      </c>
      <c r="AG275" s="1">
        <v>11.0</v>
      </c>
      <c r="AH275" s="1">
        <v>28.0</v>
      </c>
      <c r="AI275" s="1">
        <v>28.0</v>
      </c>
      <c r="AJ275" s="1">
        <v>3.0</v>
      </c>
      <c r="AK275" s="1">
        <v>60.0</v>
      </c>
      <c r="AL275" s="1">
        <v>26.0</v>
      </c>
      <c r="AM275" s="1">
        <v>0.0</v>
      </c>
      <c r="AN275" s="1">
        <v>0.0</v>
      </c>
      <c r="AO275" s="1">
        <v>5.0</v>
      </c>
      <c r="AP275" s="1">
        <v>1.0</v>
      </c>
      <c r="AQ275" s="1">
        <v>1.0</v>
      </c>
    </row>
    <row r="276">
      <c r="A276" s="1"/>
      <c r="B276" s="1">
        <v>546.0</v>
      </c>
      <c r="C276" s="1" t="s">
        <v>2804</v>
      </c>
      <c r="D276" s="1" t="s">
        <v>2805</v>
      </c>
      <c r="E276" s="1" t="s">
        <v>2806</v>
      </c>
      <c r="F276" s="1" t="s">
        <v>58</v>
      </c>
      <c r="G276" s="2">
        <v>24543.0</v>
      </c>
      <c r="H276" s="1" t="s">
        <v>2807</v>
      </c>
      <c r="I276" s="1">
        <v>29.0</v>
      </c>
      <c r="J276" s="1" t="s">
        <v>393</v>
      </c>
      <c r="K276" s="1">
        <v>7.0</v>
      </c>
      <c r="L276" s="2">
        <v>42907.0</v>
      </c>
      <c r="O276" s="1">
        <v>0.0</v>
      </c>
      <c r="P276" s="1" t="s">
        <v>75</v>
      </c>
      <c r="Q276" s="1" t="s">
        <v>76</v>
      </c>
      <c r="R276" s="1" t="s">
        <v>2808</v>
      </c>
      <c r="U276" s="1" t="s">
        <v>118</v>
      </c>
      <c r="V276" s="1">
        <v>398.0</v>
      </c>
      <c r="W276" s="3" t="s">
        <v>2809</v>
      </c>
      <c r="X276" s="1">
        <v>719550.0</v>
      </c>
      <c r="Y276" s="1" t="s">
        <v>2810</v>
      </c>
      <c r="Z276" s="3" t="s">
        <v>2811</v>
      </c>
      <c r="AA276" s="3" t="s">
        <v>2812</v>
      </c>
      <c r="AB276" s="1">
        <v>2.0</v>
      </c>
      <c r="AC276" s="1" t="s">
        <v>2813</v>
      </c>
      <c r="AD276" s="1">
        <v>21.0</v>
      </c>
      <c r="AE276" s="1">
        <f t="shared" si="5"/>
        <v>431</v>
      </c>
      <c r="AF276" s="1">
        <v>55.0</v>
      </c>
      <c r="AG276" s="1">
        <v>20.0</v>
      </c>
      <c r="AH276" s="1">
        <v>3.0</v>
      </c>
      <c r="AI276" s="1">
        <v>1.0</v>
      </c>
      <c r="AJ276" s="1">
        <v>0.0</v>
      </c>
      <c r="AK276" s="1">
        <v>21.0</v>
      </c>
      <c r="AL276" s="1">
        <v>10.0</v>
      </c>
      <c r="AM276" s="1">
        <v>0.0</v>
      </c>
      <c r="AN276" s="1">
        <v>0.0</v>
      </c>
      <c r="AO276" s="1">
        <v>5.0</v>
      </c>
      <c r="AP276" s="1">
        <v>2.0</v>
      </c>
      <c r="AQ276" s="1">
        <v>0.0</v>
      </c>
    </row>
    <row r="277">
      <c r="A277" s="1"/>
      <c r="B277" s="1">
        <v>182.0</v>
      </c>
      <c r="C277" s="1" t="s">
        <v>2814</v>
      </c>
      <c r="D277" s="1" t="s">
        <v>2815</v>
      </c>
      <c r="E277" s="1" t="s">
        <v>2816</v>
      </c>
      <c r="F277" s="1" t="s">
        <v>43</v>
      </c>
      <c r="G277" s="2">
        <v>28186.0</v>
      </c>
      <c r="H277" s="1" t="s">
        <v>1761</v>
      </c>
      <c r="I277" s="1">
        <v>81.0</v>
      </c>
      <c r="J277" s="1" t="s">
        <v>673</v>
      </c>
      <c r="K277" s="1">
        <v>3.0</v>
      </c>
      <c r="L277" s="2">
        <v>42907.0</v>
      </c>
      <c r="O277" s="1">
        <v>0.0</v>
      </c>
      <c r="P277" s="1" t="s">
        <v>75</v>
      </c>
      <c r="Q277" s="1" t="s">
        <v>76</v>
      </c>
      <c r="R277" s="1" t="s">
        <v>2817</v>
      </c>
      <c r="U277" s="1" t="s">
        <v>304</v>
      </c>
      <c r="V277" s="1">
        <v>457.0</v>
      </c>
      <c r="W277" s="3" t="s">
        <v>2818</v>
      </c>
      <c r="X277" s="1">
        <v>721584.0</v>
      </c>
      <c r="Y277" s="1" t="s">
        <v>2819</v>
      </c>
      <c r="Z277" s="3" t="s">
        <v>2820</v>
      </c>
      <c r="AA277" s="3" t="s">
        <v>2821</v>
      </c>
      <c r="AB277" s="1">
        <v>1.0</v>
      </c>
      <c r="AC277" s="1" t="s">
        <v>2822</v>
      </c>
      <c r="AD277" s="1">
        <v>21.0</v>
      </c>
      <c r="AE277" s="1">
        <f t="shared" si="5"/>
        <v>431</v>
      </c>
      <c r="AF277" s="1">
        <v>53.0</v>
      </c>
      <c r="AG277" s="1">
        <v>19.0</v>
      </c>
      <c r="AH277" s="1">
        <v>21.0</v>
      </c>
      <c r="AI277" s="1">
        <v>5.0</v>
      </c>
      <c r="AJ277" s="1">
        <v>5.0</v>
      </c>
      <c r="AK277" s="1">
        <v>138.0</v>
      </c>
      <c r="AL277" s="1">
        <v>58.0</v>
      </c>
      <c r="AM277" s="1">
        <v>0.0</v>
      </c>
      <c r="AN277" s="1">
        <v>0.0</v>
      </c>
      <c r="AO277" s="1">
        <v>6.0</v>
      </c>
      <c r="AP277" s="1">
        <v>2.0</v>
      </c>
      <c r="AQ277" s="1">
        <v>1.0</v>
      </c>
    </row>
    <row r="278">
      <c r="A278" s="1"/>
      <c r="B278" s="1">
        <v>180.0</v>
      </c>
      <c r="C278" s="1" t="s">
        <v>2823</v>
      </c>
      <c r="D278" s="1" t="s">
        <v>2824</v>
      </c>
      <c r="E278" s="1" t="s">
        <v>2825</v>
      </c>
      <c r="F278" s="1" t="s">
        <v>58</v>
      </c>
      <c r="G278" s="2">
        <v>23530.0</v>
      </c>
      <c r="H278" s="1" t="s">
        <v>2826</v>
      </c>
      <c r="I278" s="1">
        <v>60.0</v>
      </c>
      <c r="J278" s="1" t="s">
        <v>769</v>
      </c>
      <c r="K278" s="1">
        <v>2.0</v>
      </c>
      <c r="L278" s="2">
        <v>42907.0</v>
      </c>
      <c r="O278" s="1">
        <v>0.0</v>
      </c>
      <c r="P278" s="1" t="s">
        <v>75</v>
      </c>
      <c r="Q278" s="1" t="s">
        <v>76</v>
      </c>
      <c r="R278" s="3" t="s">
        <v>2827</v>
      </c>
      <c r="U278" s="1" t="s">
        <v>2828</v>
      </c>
      <c r="V278" s="1">
        <v>221.0</v>
      </c>
      <c r="W278" s="3" t="s">
        <v>2829</v>
      </c>
      <c r="X278" s="1">
        <v>720568.0</v>
      </c>
      <c r="Y278" s="1" t="s">
        <v>2830</v>
      </c>
      <c r="Z278" s="3" t="s">
        <v>2831</v>
      </c>
      <c r="AA278" s="3" t="s">
        <v>2832</v>
      </c>
      <c r="AB278" s="1">
        <v>1.0</v>
      </c>
      <c r="AC278" s="1" t="s">
        <v>2833</v>
      </c>
      <c r="AD278" s="1">
        <v>21.0</v>
      </c>
      <c r="AE278" s="1">
        <f t="shared" si="5"/>
        <v>431</v>
      </c>
      <c r="AF278" s="1">
        <v>41.0</v>
      </c>
      <c r="AG278" s="1">
        <v>13.0</v>
      </c>
      <c r="AH278" s="1">
        <v>3.0</v>
      </c>
      <c r="AI278" s="1">
        <v>13.0</v>
      </c>
      <c r="AJ278" s="1">
        <v>0.0</v>
      </c>
      <c r="AK278" s="1">
        <v>53.0</v>
      </c>
      <c r="AL278" s="1">
        <v>14.0</v>
      </c>
      <c r="AM278" s="1">
        <v>0.0</v>
      </c>
      <c r="AN278" s="1">
        <v>0.0</v>
      </c>
      <c r="AO278" s="1">
        <v>5.0</v>
      </c>
      <c r="AP278" s="1">
        <v>8.0</v>
      </c>
      <c r="AQ278" s="1">
        <v>2.0</v>
      </c>
    </row>
    <row r="279">
      <c r="A279" s="1"/>
      <c r="B279" s="1">
        <v>302.0</v>
      </c>
      <c r="C279" s="1" t="s">
        <v>2834</v>
      </c>
      <c r="D279" s="1" t="s">
        <v>2835</v>
      </c>
      <c r="E279" s="1" t="s">
        <v>1473</v>
      </c>
      <c r="F279" s="1" t="s">
        <v>58</v>
      </c>
      <c r="G279" s="2">
        <v>21688.0</v>
      </c>
      <c r="H279" s="1" t="s">
        <v>2836</v>
      </c>
      <c r="I279" s="1">
        <v>37.0</v>
      </c>
      <c r="J279" s="1" t="s">
        <v>547</v>
      </c>
      <c r="K279" s="1">
        <v>5.0</v>
      </c>
      <c r="L279" s="2">
        <v>42907.0</v>
      </c>
      <c r="O279" s="1">
        <v>0.0</v>
      </c>
      <c r="P279" s="1" t="s">
        <v>75</v>
      </c>
      <c r="Q279" s="1" t="s">
        <v>76</v>
      </c>
      <c r="R279" s="1" t="s">
        <v>2837</v>
      </c>
      <c r="U279" s="1" t="s">
        <v>2484</v>
      </c>
      <c r="V279" s="1">
        <v>222.0</v>
      </c>
      <c r="W279" s="3" t="s">
        <v>2838</v>
      </c>
      <c r="X279" s="1">
        <v>719822.0</v>
      </c>
      <c r="Y279" s="1" t="s">
        <v>2839</v>
      </c>
      <c r="Z279" s="3" t="s">
        <v>2840</v>
      </c>
      <c r="AA279" s="3" t="s">
        <v>2841</v>
      </c>
      <c r="AB279" s="1">
        <v>1.0</v>
      </c>
      <c r="AC279" s="1" t="s">
        <v>2842</v>
      </c>
      <c r="AD279" s="1">
        <v>21.0</v>
      </c>
      <c r="AE279" s="1">
        <f t="shared" si="5"/>
        <v>431</v>
      </c>
      <c r="AF279" s="1">
        <v>46.0</v>
      </c>
      <c r="AG279" s="1">
        <v>102.0</v>
      </c>
      <c r="AH279" s="1">
        <v>19.0</v>
      </c>
      <c r="AI279" s="1">
        <v>0.0</v>
      </c>
      <c r="AJ279" s="1">
        <v>0.0</v>
      </c>
      <c r="AK279" s="1">
        <v>4.0</v>
      </c>
      <c r="AL279" s="1">
        <v>1.0</v>
      </c>
      <c r="AM279" s="1">
        <v>0.0</v>
      </c>
      <c r="AN279" s="1">
        <v>0.0</v>
      </c>
      <c r="AO279" s="1">
        <v>7.0</v>
      </c>
      <c r="AP279" s="1">
        <v>4.0</v>
      </c>
      <c r="AQ279" s="1">
        <v>1.0</v>
      </c>
    </row>
    <row r="280">
      <c r="A280" s="1"/>
      <c r="B280" s="1">
        <v>304.0</v>
      </c>
      <c r="C280" s="1" t="s">
        <v>2843</v>
      </c>
      <c r="D280" s="1" t="s">
        <v>2844</v>
      </c>
      <c r="E280" s="1" t="s">
        <v>694</v>
      </c>
      <c r="F280" s="1" t="s">
        <v>58</v>
      </c>
      <c r="G280" s="2">
        <v>26364.0</v>
      </c>
      <c r="H280" s="1" t="s">
        <v>2845</v>
      </c>
      <c r="I280" s="1">
        <v>6.0</v>
      </c>
      <c r="J280" s="1" t="s">
        <v>438</v>
      </c>
      <c r="K280" s="1">
        <v>6.0</v>
      </c>
      <c r="L280" s="2">
        <v>42907.0</v>
      </c>
      <c r="O280" s="1">
        <v>0.0</v>
      </c>
      <c r="P280" s="1" t="s">
        <v>61</v>
      </c>
      <c r="Q280" s="1" t="s">
        <v>62</v>
      </c>
      <c r="R280" s="1" t="s">
        <v>2846</v>
      </c>
      <c r="U280" s="1" t="s">
        <v>2847</v>
      </c>
      <c r="V280" s="1">
        <v>151.0</v>
      </c>
      <c r="W280" s="3" t="s">
        <v>2848</v>
      </c>
      <c r="X280" s="1">
        <v>718780.0</v>
      </c>
      <c r="Y280" s="1" t="s">
        <v>2849</v>
      </c>
      <c r="Z280" s="3" t="s">
        <v>2850</v>
      </c>
      <c r="AA280" s="3" t="s">
        <v>2851</v>
      </c>
      <c r="AB280" s="1">
        <v>1.0</v>
      </c>
      <c r="AC280" s="1" t="s">
        <v>2852</v>
      </c>
      <c r="AD280" s="1">
        <v>21.0</v>
      </c>
      <c r="AE280" s="1">
        <f t="shared" si="5"/>
        <v>431</v>
      </c>
      <c r="AF280" s="1">
        <v>46.0</v>
      </c>
      <c r="AG280" s="1">
        <v>24.0</v>
      </c>
      <c r="AH280" s="1">
        <v>15.0</v>
      </c>
      <c r="AI280" s="1">
        <v>7.0</v>
      </c>
      <c r="AJ280" s="1">
        <v>47.0</v>
      </c>
      <c r="AK280" s="1">
        <v>719.0</v>
      </c>
      <c r="AL280" s="1">
        <v>24.0</v>
      </c>
      <c r="AM280" s="1">
        <v>0.0</v>
      </c>
      <c r="AN280" s="1">
        <v>2.0</v>
      </c>
      <c r="AO280" s="1">
        <v>67.0</v>
      </c>
      <c r="AP280" s="1">
        <v>9.0</v>
      </c>
      <c r="AQ280" s="1">
        <v>3.0</v>
      </c>
    </row>
    <row r="281">
      <c r="A281" s="1"/>
      <c r="B281" s="1">
        <v>7.0</v>
      </c>
      <c r="C281" s="1" t="s">
        <v>2853</v>
      </c>
      <c r="D281" s="1" t="s">
        <v>2854</v>
      </c>
      <c r="E281" s="1" t="s">
        <v>1822</v>
      </c>
      <c r="F281" s="1" t="s">
        <v>43</v>
      </c>
      <c r="G281" s="2">
        <v>24643.0</v>
      </c>
      <c r="H281" s="1" t="s">
        <v>836</v>
      </c>
      <c r="I281" s="1">
        <v>95.0</v>
      </c>
      <c r="J281" s="1" t="s">
        <v>302</v>
      </c>
      <c r="K281" s="1">
        <v>2.0</v>
      </c>
      <c r="L281" s="2">
        <v>42907.0</v>
      </c>
      <c r="O281" s="1">
        <v>0.0</v>
      </c>
      <c r="P281" s="1" t="s">
        <v>75</v>
      </c>
      <c r="Q281" s="1" t="s">
        <v>76</v>
      </c>
      <c r="R281" s="1" t="s">
        <v>2855</v>
      </c>
      <c r="U281" s="1" t="s">
        <v>234</v>
      </c>
      <c r="V281" s="1">
        <v>373.0</v>
      </c>
      <c r="W281" s="3" t="s">
        <v>2856</v>
      </c>
      <c r="X281" s="1">
        <v>721262.0</v>
      </c>
      <c r="Y281" s="1" t="s">
        <v>2857</v>
      </c>
      <c r="Z281" s="3" t="s">
        <v>2858</v>
      </c>
      <c r="AA281" s="3" t="s">
        <v>2859</v>
      </c>
      <c r="AB281" s="1">
        <v>1.0</v>
      </c>
      <c r="AC281" s="1" t="s">
        <v>2860</v>
      </c>
      <c r="AD281" s="1">
        <v>21.0</v>
      </c>
      <c r="AE281" s="1">
        <f t="shared" si="5"/>
        <v>431</v>
      </c>
      <c r="AF281" s="1">
        <v>37.0</v>
      </c>
      <c r="AG281" s="1">
        <v>17.0</v>
      </c>
      <c r="AH281" s="1">
        <v>28.0</v>
      </c>
      <c r="AI281" s="1">
        <v>7.0</v>
      </c>
      <c r="AJ281" s="1">
        <v>5.0</v>
      </c>
      <c r="AK281" s="1">
        <v>68.0</v>
      </c>
      <c r="AL281" s="1">
        <v>26.0</v>
      </c>
      <c r="AM281" s="1">
        <v>1.0</v>
      </c>
      <c r="AN281" s="1">
        <v>0.0</v>
      </c>
      <c r="AO281" s="1">
        <v>5.0</v>
      </c>
      <c r="AP281" s="1">
        <v>4.0</v>
      </c>
      <c r="AQ281" s="1">
        <v>2.0</v>
      </c>
    </row>
    <row r="282">
      <c r="A282" s="1"/>
      <c r="B282" s="1">
        <v>234.0</v>
      </c>
      <c r="C282" s="1" t="s">
        <v>2861</v>
      </c>
      <c r="D282" s="1" t="s">
        <v>2862</v>
      </c>
      <c r="E282" s="1" t="s">
        <v>1561</v>
      </c>
      <c r="F282" s="1" t="s">
        <v>43</v>
      </c>
      <c r="G282" s="2">
        <v>32687.0</v>
      </c>
      <c r="H282" s="1" t="s">
        <v>1095</v>
      </c>
      <c r="I282" s="1">
        <v>76.0</v>
      </c>
      <c r="J282" s="1" t="s">
        <v>371</v>
      </c>
      <c r="K282" s="1">
        <v>1.0</v>
      </c>
      <c r="L282" s="2">
        <v>42907.0</v>
      </c>
      <c r="O282" s="1">
        <v>0.0</v>
      </c>
      <c r="P282" s="1" t="s">
        <v>75</v>
      </c>
      <c r="Q282" s="1" t="s">
        <v>76</v>
      </c>
      <c r="R282" s="1" t="s">
        <v>2863</v>
      </c>
      <c r="U282" s="1" t="s">
        <v>234</v>
      </c>
      <c r="V282" s="1">
        <v>319.0</v>
      </c>
      <c r="W282" s="3" t="s">
        <v>2864</v>
      </c>
      <c r="X282" s="1">
        <v>722038.0</v>
      </c>
      <c r="Y282" s="1" t="s">
        <v>2865</v>
      </c>
      <c r="Z282" s="3" t="s">
        <v>2866</v>
      </c>
      <c r="AA282" s="3" t="s">
        <v>2867</v>
      </c>
      <c r="AB282" s="1">
        <v>1.0</v>
      </c>
      <c r="AC282" s="1" t="s">
        <v>2868</v>
      </c>
      <c r="AD282" s="1">
        <v>20.0</v>
      </c>
      <c r="AE282" s="1">
        <f t="shared" si="5"/>
        <v>432</v>
      </c>
      <c r="AF282" s="1">
        <v>46.0</v>
      </c>
      <c r="AG282" s="1">
        <v>34.0</v>
      </c>
      <c r="AH282" s="1">
        <v>11.0</v>
      </c>
      <c r="AI282" s="1">
        <v>1.0</v>
      </c>
      <c r="AJ282" s="1">
        <v>2.0</v>
      </c>
      <c r="AK282" s="1">
        <v>62.0</v>
      </c>
      <c r="AL282" s="1">
        <v>35.0</v>
      </c>
      <c r="AM282" s="1">
        <v>0.0</v>
      </c>
      <c r="AN282" s="1">
        <v>0.0</v>
      </c>
      <c r="AO282" s="1">
        <v>5.0</v>
      </c>
      <c r="AP282" s="1">
        <v>19.0</v>
      </c>
      <c r="AQ282" s="1">
        <v>1.0</v>
      </c>
    </row>
    <row r="283">
      <c r="A283" s="1"/>
      <c r="B283" s="1">
        <v>413.0</v>
      </c>
      <c r="C283" s="1" t="s">
        <v>2869</v>
      </c>
      <c r="D283" s="1" t="s">
        <v>2870</v>
      </c>
      <c r="E283" s="1" t="s">
        <v>1932</v>
      </c>
      <c r="F283" s="1" t="s">
        <v>43</v>
      </c>
      <c r="G283" s="2">
        <v>25450.0</v>
      </c>
      <c r="H283" s="1" t="s">
        <v>404</v>
      </c>
      <c r="I283" s="1">
        <v>66.0</v>
      </c>
      <c r="J283" s="1" t="s">
        <v>1773</v>
      </c>
      <c r="K283" s="1">
        <v>2.0</v>
      </c>
      <c r="L283" s="2">
        <v>42907.0</v>
      </c>
      <c r="O283" s="1">
        <v>0.0</v>
      </c>
      <c r="P283" s="1" t="s">
        <v>814</v>
      </c>
      <c r="Q283" s="1" t="s">
        <v>837</v>
      </c>
      <c r="R283" s="1" t="s">
        <v>2871</v>
      </c>
      <c r="U283" s="1" t="s">
        <v>440</v>
      </c>
      <c r="V283" s="1">
        <v>59.0</v>
      </c>
      <c r="W283" s="3" t="s">
        <v>2872</v>
      </c>
      <c r="X283" s="1">
        <v>720798.0</v>
      </c>
      <c r="Y283" s="1" t="s">
        <v>2873</v>
      </c>
      <c r="Z283" s="3" t="s">
        <v>2874</v>
      </c>
      <c r="AA283" s="3" t="s">
        <v>2875</v>
      </c>
      <c r="AB283" s="1">
        <v>2.0</v>
      </c>
      <c r="AC283" s="1" t="s">
        <v>2876</v>
      </c>
      <c r="AD283" s="1">
        <v>20.0</v>
      </c>
      <c r="AE283" s="1">
        <f t="shared" si="5"/>
        <v>432</v>
      </c>
      <c r="AF283" s="1">
        <v>26.0</v>
      </c>
      <c r="AG283" s="1">
        <v>19.0</v>
      </c>
      <c r="AH283" s="1">
        <v>19.0</v>
      </c>
      <c r="AI283" s="1">
        <v>15.0</v>
      </c>
      <c r="AJ283" s="1">
        <v>19.0</v>
      </c>
      <c r="AK283" s="1">
        <v>265.0</v>
      </c>
      <c r="AL283" s="1">
        <v>0.0</v>
      </c>
      <c r="AM283" s="1">
        <v>0.0</v>
      </c>
      <c r="AN283" s="1">
        <v>0.0</v>
      </c>
      <c r="AO283" s="1">
        <v>14.0</v>
      </c>
      <c r="AP283" s="1">
        <v>12.0</v>
      </c>
      <c r="AQ283" s="1">
        <v>0.0</v>
      </c>
    </row>
    <row r="284">
      <c r="A284" s="1"/>
      <c r="B284" s="1">
        <v>220.0</v>
      </c>
      <c r="C284" s="1" t="s">
        <v>2877</v>
      </c>
      <c r="D284" s="1" t="s">
        <v>2878</v>
      </c>
      <c r="E284" s="1" t="s">
        <v>522</v>
      </c>
      <c r="F284" s="1" t="s">
        <v>43</v>
      </c>
      <c r="G284" s="2">
        <v>27618.0</v>
      </c>
      <c r="H284" s="1" t="s">
        <v>2879</v>
      </c>
      <c r="I284" s="1">
        <v>57.0</v>
      </c>
      <c r="J284" s="1" t="s">
        <v>471</v>
      </c>
      <c r="K284" s="1">
        <v>6.0</v>
      </c>
      <c r="L284" s="2">
        <v>42907.0</v>
      </c>
      <c r="O284" s="1">
        <v>0.0</v>
      </c>
      <c r="P284" s="1" t="s">
        <v>75</v>
      </c>
      <c r="Q284" s="1" t="s">
        <v>76</v>
      </c>
      <c r="R284" s="1" t="s">
        <v>2880</v>
      </c>
      <c r="U284" s="1" t="s">
        <v>2881</v>
      </c>
      <c r="V284" s="1">
        <v>439.0</v>
      </c>
      <c r="W284" s="3" t="s">
        <v>2882</v>
      </c>
      <c r="X284" s="1">
        <v>720310.0</v>
      </c>
      <c r="Y284" s="1" t="s">
        <v>2883</v>
      </c>
      <c r="Z284" s="3" t="s">
        <v>2884</v>
      </c>
      <c r="AA284" s="3" t="s">
        <v>2885</v>
      </c>
      <c r="AB284" s="1">
        <v>1.0</v>
      </c>
      <c r="AC284" s="1" t="s">
        <v>2886</v>
      </c>
      <c r="AD284" s="1">
        <v>20.0</v>
      </c>
      <c r="AE284" s="1">
        <f t="shared" si="5"/>
        <v>432</v>
      </c>
      <c r="AF284" s="1">
        <v>30.0</v>
      </c>
      <c r="AG284" s="1">
        <v>7.0</v>
      </c>
      <c r="AH284" s="1">
        <v>12.0</v>
      </c>
      <c r="AI284" s="1">
        <v>1.0</v>
      </c>
      <c r="AJ284" s="1">
        <v>0.0</v>
      </c>
      <c r="AK284" s="1">
        <v>91.0</v>
      </c>
      <c r="AL284" s="1">
        <v>44.0</v>
      </c>
      <c r="AM284" s="1">
        <v>0.0</v>
      </c>
      <c r="AN284" s="1">
        <v>0.0</v>
      </c>
      <c r="AO284" s="1">
        <v>6.0</v>
      </c>
      <c r="AP284" s="1">
        <v>5.0</v>
      </c>
      <c r="AQ284" s="1">
        <v>2.0</v>
      </c>
    </row>
    <row r="285">
      <c r="A285" s="1"/>
      <c r="B285" s="1">
        <v>310.0</v>
      </c>
      <c r="C285" s="1" t="s">
        <v>2887</v>
      </c>
      <c r="D285" s="1" t="s">
        <v>2888</v>
      </c>
      <c r="E285" s="1" t="s">
        <v>2889</v>
      </c>
      <c r="F285" s="1" t="s">
        <v>43</v>
      </c>
      <c r="G285" s="2">
        <v>32583.0</v>
      </c>
      <c r="H285" s="1" t="s">
        <v>1872</v>
      </c>
      <c r="I285" s="1">
        <v>92.0</v>
      </c>
      <c r="J285" s="1" t="s">
        <v>781</v>
      </c>
      <c r="K285" s="1">
        <v>10.0</v>
      </c>
      <c r="L285" s="2">
        <v>42907.0</v>
      </c>
      <c r="O285" s="1">
        <v>0.0</v>
      </c>
      <c r="P285" s="1" t="s">
        <v>75</v>
      </c>
      <c r="Q285" s="1" t="s">
        <v>76</v>
      </c>
      <c r="R285" s="1" t="s">
        <v>2890</v>
      </c>
      <c r="U285" s="1" t="s">
        <v>2208</v>
      </c>
      <c r="V285" s="1">
        <v>453.0</v>
      </c>
      <c r="W285" s="3" t="s">
        <v>2891</v>
      </c>
      <c r="X285" s="1">
        <v>722190.0</v>
      </c>
      <c r="Y285" s="1" t="s">
        <v>2892</v>
      </c>
      <c r="Z285" s="3" t="s">
        <v>2893</v>
      </c>
      <c r="AA285" s="3" t="s">
        <v>2894</v>
      </c>
      <c r="AB285" s="1">
        <v>1.0</v>
      </c>
      <c r="AC285" s="1" t="s">
        <v>2895</v>
      </c>
      <c r="AD285" s="1">
        <v>20.0</v>
      </c>
      <c r="AE285" s="1">
        <f t="shared" si="5"/>
        <v>432</v>
      </c>
      <c r="AF285" s="1">
        <v>43.0</v>
      </c>
      <c r="AG285" s="1">
        <v>132.0</v>
      </c>
      <c r="AH285" s="1">
        <v>179.0</v>
      </c>
      <c r="AI285" s="1">
        <v>52.0</v>
      </c>
      <c r="AJ285" s="1">
        <v>41.0</v>
      </c>
      <c r="AK285" s="1">
        <v>76.0</v>
      </c>
      <c r="AL285" s="1">
        <v>49.0</v>
      </c>
      <c r="AM285" s="1">
        <v>1.0</v>
      </c>
      <c r="AN285" s="1">
        <v>0.0</v>
      </c>
      <c r="AO285" s="1">
        <v>5.0</v>
      </c>
      <c r="AP285" s="1">
        <v>1.0</v>
      </c>
      <c r="AQ285" s="1">
        <v>1.0</v>
      </c>
    </row>
    <row r="286">
      <c r="A286" s="1"/>
      <c r="B286" s="1">
        <v>41.0</v>
      </c>
      <c r="C286" s="1" t="s">
        <v>2896</v>
      </c>
      <c r="D286" s="1" t="s">
        <v>2897</v>
      </c>
      <c r="E286" s="1" t="s">
        <v>2898</v>
      </c>
      <c r="F286" s="1" t="s">
        <v>58</v>
      </c>
      <c r="G286" s="2">
        <v>29181.0</v>
      </c>
      <c r="H286" s="1" t="s">
        <v>2899</v>
      </c>
      <c r="I286" s="1">
        <v>53.0</v>
      </c>
      <c r="J286" s="1" t="s">
        <v>2900</v>
      </c>
      <c r="K286" s="1">
        <v>2.0</v>
      </c>
      <c r="L286" s="2">
        <v>42907.0</v>
      </c>
      <c r="O286" s="1">
        <v>0.0</v>
      </c>
      <c r="P286" s="1" t="s">
        <v>280</v>
      </c>
      <c r="Q286" s="1" t="s">
        <v>281</v>
      </c>
      <c r="R286" s="1" t="s">
        <v>2901</v>
      </c>
      <c r="U286" s="1" t="s">
        <v>269</v>
      </c>
      <c r="V286" s="1">
        <v>163.0</v>
      </c>
      <c r="W286" s="3" t="s">
        <v>2902</v>
      </c>
      <c r="X286" s="1">
        <v>720256.0</v>
      </c>
      <c r="Y286" s="1" t="s">
        <v>2903</v>
      </c>
      <c r="Z286" s="3" t="s">
        <v>2904</v>
      </c>
      <c r="AA286" s="3" t="s">
        <v>2905</v>
      </c>
      <c r="AB286" s="1">
        <v>1.0</v>
      </c>
      <c r="AC286" s="1" t="s">
        <v>2906</v>
      </c>
      <c r="AD286" s="1">
        <v>20.0</v>
      </c>
      <c r="AE286" s="1">
        <f t="shared" si="5"/>
        <v>432</v>
      </c>
      <c r="AF286" s="1">
        <v>37.0</v>
      </c>
      <c r="AG286" s="1">
        <v>20.0</v>
      </c>
      <c r="AH286" s="1">
        <v>18.0</v>
      </c>
      <c r="AI286" s="1">
        <v>2.0</v>
      </c>
      <c r="AJ286" s="1">
        <v>3.0</v>
      </c>
      <c r="AK286" s="1">
        <v>192.0</v>
      </c>
      <c r="AL286" s="1">
        <v>16.0</v>
      </c>
      <c r="AM286" s="1">
        <v>0.0</v>
      </c>
      <c r="AN286" s="1">
        <v>0.0</v>
      </c>
      <c r="AO286" s="1">
        <v>4.0</v>
      </c>
      <c r="AP286" s="1">
        <v>8.0</v>
      </c>
      <c r="AQ286" s="1">
        <v>4.0</v>
      </c>
    </row>
    <row r="287">
      <c r="A287" s="1"/>
      <c r="B287" s="1">
        <v>23.0</v>
      </c>
      <c r="C287" s="1" t="s">
        <v>2907</v>
      </c>
      <c r="D287" s="1" t="s">
        <v>2908</v>
      </c>
      <c r="E287" s="1" t="s">
        <v>2909</v>
      </c>
      <c r="F287" s="1" t="s">
        <v>58</v>
      </c>
      <c r="G287" s="2">
        <v>31729.0</v>
      </c>
      <c r="H287" s="1" t="s">
        <v>207</v>
      </c>
      <c r="I287" s="1">
        <v>78.0</v>
      </c>
      <c r="J287" s="1" t="s">
        <v>74</v>
      </c>
      <c r="K287" s="1">
        <v>10.0</v>
      </c>
      <c r="L287" s="2">
        <v>42907.0</v>
      </c>
      <c r="O287" s="1">
        <v>0.0</v>
      </c>
      <c r="P287" s="1" t="s">
        <v>75</v>
      </c>
      <c r="Q287" s="1" t="s">
        <v>76</v>
      </c>
      <c r="R287" s="1" t="s">
        <v>2910</v>
      </c>
      <c r="U287" s="1" t="s">
        <v>234</v>
      </c>
      <c r="V287" s="1">
        <v>462.0</v>
      </c>
      <c r="W287" s="3" t="s">
        <v>2911</v>
      </c>
      <c r="X287" s="1">
        <v>722046.0</v>
      </c>
      <c r="Y287" s="1" t="s">
        <v>2912</v>
      </c>
      <c r="Z287" s="3" t="s">
        <v>2913</v>
      </c>
      <c r="AA287" s="3" t="s">
        <v>2914</v>
      </c>
      <c r="AB287" s="1">
        <v>2.0</v>
      </c>
      <c r="AC287" s="1" t="s">
        <v>2915</v>
      </c>
      <c r="AD287" s="1">
        <v>20.0</v>
      </c>
      <c r="AE287" s="1">
        <f t="shared" si="5"/>
        <v>432</v>
      </c>
      <c r="AF287" s="1">
        <v>35.0</v>
      </c>
      <c r="AG287" s="1">
        <v>18.0</v>
      </c>
      <c r="AH287" s="1">
        <v>43.0</v>
      </c>
      <c r="AI287" s="1">
        <v>11.0</v>
      </c>
      <c r="AJ287" s="1">
        <v>5.0</v>
      </c>
      <c r="AK287" s="1">
        <v>69.0</v>
      </c>
      <c r="AL287" s="1">
        <v>17.0</v>
      </c>
      <c r="AM287" s="1">
        <v>0.0</v>
      </c>
      <c r="AN287" s="1">
        <v>0.0</v>
      </c>
      <c r="AO287" s="1">
        <v>5.0</v>
      </c>
      <c r="AP287" s="1">
        <v>4.0</v>
      </c>
      <c r="AQ287" s="1">
        <v>1.0</v>
      </c>
    </row>
    <row r="288">
      <c r="A288" s="1"/>
      <c r="B288" s="1">
        <v>268.0</v>
      </c>
      <c r="C288" s="1" t="s">
        <v>2916</v>
      </c>
      <c r="D288" s="1" t="s">
        <v>2917</v>
      </c>
      <c r="E288" s="1" t="s">
        <v>42</v>
      </c>
      <c r="F288" s="1" t="s">
        <v>43</v>
      </c>
      <c r="G288" s="2">
        <v>22017.0</v>
      </c>
      <c r="H288" s="1" t="s">
        <v>2918</v>
      </c>
      <c r="I288" s="1">
        <v>30.0</v>
      </c>
      <c r="J288" s="1" t="s">
        <v>1751</v>
      </c>
      <c r="K288" s="1">
        <v>6.0</v>
      </c>
      <c r="L288" s="2">
        <v>42907.0</v>
      </c>
      <c r="O288" s="1">
        <v>0.0</v>
      </c>
      <c r="P288" s="1" t="s">
        <v>280</v>
      </c>
      <c r="Q288" s="1" t="s">
        <v>281</v>
      </c>
      <c r="R288" s="1" t="s">
        <v>2919</v>
      </c>
      <c r="U288" s="1" t="s">
        <v>1592</v>
      </c>
      <c r="V288" s="1">
        <v>164.0</v>
      </c>
      <c r="W288" s="3" t="s">
        <v>2920</v>
      </c>
      <c r="X288" s="1">
        <v>719488.0</v>
      </c>
      <c r="Y288" s="1" t="s">
        <v>2921</v>
      </c>
      <c r="Z288" s="3" t="s">
        <v>2922</v>
      </c>
      <c r="AA288" s="3" t="s">
        <v>2923</v>
      </c>
      <c r="AB288" s="1">
        <v>1.0</v>
      </c>
      <c r="AC288" s="1" t="s">
        <v>2924</v>
      </c>
      <c r="AD288" s="1">
        <v>20.0</v>
      </c>
      <c r="AE288" s="1">
        <f t="shared" si="5"/>
        <v>432</v>
      </c>
      <c r="AF288" s="1">
        <v>41.0</v>
      </c>
      <c r="AG288" s="1">
        <v>40.0</v>
      </c>
      <c r="AH288" s="1">
        <v>31.0</v>
      </c>
      <c r="AI288" s="1">
        <v>15.0</v>
      </c>
      <c r="AJ288" s="1">
        <v>23.0</v>
      </c>
      <c r="AK288" s="1">
        <v>217.0</v>
      </c>
      <c r="AL288" s="1">
        <v>20.0</v>
      </c>
      <c r="AM288" s="1">
        <v>1.0</v>
      </c>
      <c r="AN288" s="1">
        <v>1.0</v>
      </c>
      <c r="AO288" s="1">
        <v>6.0</v>
      </c>
      <c r="AP288" s="1">
        <v>14.0</v>
      </c>
      <c r="AQ288" s="1">
        <v>3.0</v>
      </c>
    </row>
    <row r="289">
      <c r="A289" s="1"/>
      <c r="B289" s="1">
        <v>99.0</v>
      </c>
      <c r="C289" s="1" t="s">
        <v>2925</v>
      </c>
      <c r="D289" s="1" t="s">
        <v>2926</v>
      </c>
      <c r="E289" s="1" t="s">
        <v>2927</v>
      </c>
      <c r="F289" s="1" t="s">
        <v>43</v>
      </c>
      <c r="G289" s="2">
        <v>30139.0</v>
      </c>
      <c r="H289" s="1" t="s">
        <v>2928</v>
      </c>
      <c r="I289" s="1">
        <v>10.0</v>
      </c>
      <c r="J289" s="1" t="s">
        <v>1970</v>
      </c>
      <c r="K289" s="1">
        <v>1.0</v>
      </c>
      <c r="L289" s="2">
        <v>42907.0</v>
      </c>
      <c r="O289" s="1">
        <v>0.0</v>
      </c>
      <c r="P289" s="1" t="s">
        <v>75</v>
      </c>
      <c r="Q289" s="1" t="s">
        <v>76</v>
      </c>
      <c r="R289" s="1" t="s">
        <v>2929</v>
      </c>
      <c r="U289" s="1" t="s">
        <v>2930</v>
      </c>
      <c r="V289" s="1">
        <v>482.0</v>
      </c>
      <c r="W289" s="3" t="s">
        <v>2931</v>
      </c>
      <c r="X289" s="1">
        <v>718876.0</v>
      </c>
      <c r="Y289" s="1" t="s">
        <v>2932</v>
      </c>
      <c r="Z289" s="3" t="s">
        <v>2933</v>
      </c>
      <c r="AA289" s="3" t="s">
        <v>2934</v>
      </c>
      <c r="AB289" s="1">
        <v>1.0</v>
      </c>
      <c r="AC289" s="1" t="s">
        <v>2935</v>
      </c>
      <c r="AD289" s="1">
        <v>20.0</v>
      </c>
      <c r="AE289" s="1">
        <f t="shared" si="5"/>
        <v>432</v>
      </c>
      <c r="AF289" s="1">
        <v>33.0</v>
      </c>
      <c r="AG289" s="1">
        <v>8.0</v>
      </c>
      <c r="AH289" s="1">
        <v>3.0</v>
      </c>
      <c r="AI289" s="1">
        <v>7.0</v>
      </c>
      <c r="AJ289" s="1">
        <v>3.0</v>
      </c>
      <c r="AK289" s="1">
        <v>148.0</v>
      </c>
      <c r="AL289" s="1">
        <v>59.0</v>
      </c>
      <c r="AM289" s="1">
        <v>0.0</v>
      </c>
      <c r="AN289" s="1">
        <v>0.0</v>
      </c>
      <c r="AO289" s="1">
        <v>6.0</v>
      </c>
      <c r="AP289" s="1">
        <v>36.0</v>
      </c>
      <c r="AQ289" s="1">
        <v>1.0</v>
      </c>
    </row>
    <row r="290">
      <c r="A290" s="1"/>
      <c r="B290" s="1">
        <v>16.0</v>
      </c>
      <c r="C290" s="1" t="s">
        <v>2936</v>
      </c>
      <c r="D290" s="1" t="s">
        <v>2937</v>
      </c>
      <c r="E290" s="1" t="s">
        <v>2676</v>
      </c>
      <c r="F290" s="1" t="s">
        <v>58</v>
      </c>
      <c r="G290" s="2">
        <v>26402.0</v>
      </c>
      <c r="H290" s="1" t="s">
        <v>2918</v>
      </c>
      <c r="I290" s="1">
        <v>70.0</v>
      </c>
      <c r="J290" s="1" t="s">
        <v>2938</v>
      </c>
      <c r="K290" s="1">
        <v>1.0</v>
      </c>
      <c r="L290" s="2">
        <v>42907.0</v>
      </c>
      <c r="O290" s="1">
        <v>0.0</v>
      </c>
      <c r="P290" s="1" t="s">
        <v>75</v>
      </c>
      <c r="Q290" s="1" t="s">
        <v>76</v>
      </c>
      <c r="R290" s="1" t="s">
        <v>2939</v>
      </c>
      <c r="U290" s="1" t="s">
        <v>2940</v>
      </c>
      <c r="V290" s="1">
        <v>268.0</v>
      </c>
      <c r="W290" s="3" t="s">
        <v>2941</v>
      </c>
      <c r="X290" s="1">
        <v>722312.0</v>
      </c>
      <c r="Y290" s="1" t="s">
        <v>2942</v>
      </c>
      <c r="Z290" s="3" t="s">
        <v>2943</v>
      </c>
      <c r="AA290" s="3" t="s">
        <v>2944</v>
      </c>
      <c r="AB290" s="1">
        <v>1.0</v>
      </c>
      <c r="AC290" s="1" t="s">
        <v>2945</v>
      </c>
      <c r="AD290" s="1">
        <v>20.0</v>
      </c>
      <c r="AE290" s="1">
        <f t="shared" si="5"/>
        <v>432</v>
      </c>
      <c r="AF290" s="1">
        <v>33.0</v>
      </c>
      <c r="AG290" s="1">
        <v>26.0</v>
      </c>
      <c r="AH290" s="1">
        <v>11.0</v>
      </c>
      <c r="AI290" s="1">
        <v>3.0</v>
      </c>
      <c r="AJ290" s="1">
        <v>2.0</v>
      </c>
      <c r="AK290" s="1">
        <v>62.0</v>
      </c>
      <c r="AL290" s="1">
        <v>25.0</v>
      </c>
      <c r="AM290" s="1">
        <v>0.0</v>
      </c>
      <c r="AN290" s="1">
        <v>0.0</v>
      </c>
      <c r="AO290" s="1">
        <v>10.0</v>
      </c>
      <c r="AP290" s="1">
        <v>16.0</v>
      </c>
      <c r="AQ290" s="1">
        <v>2.0</v>
      </c>
    </row>
    <row r="291">
      <c r="A291" s="1"/>
      <c r="B291" s="1">
        <v>314.0</v>
      </c>
      <c r="C291" s="1" t="s">
        <v>2946</v>
      </c>
      <c r="D291" s="1" t="s">
        <v>2947</v>
      </c>
      <c r="E291" s="1" t="s">
        <v>589</v>
      </c>
      <c r="F291" s="1" t="s">
        <v>43</v>
      </c>
      <c r="G291" s="2">
        <v>28025.0</v>
      </c>
      <c r="H291" s="1" t="s">
        <v>2948</v>
      </c>
      <c r="I291" s="1">
        <v>62.0</v>
      </c>
      <c r="J291" s="1" t="s">
        <v>427</v>
      </c>
      <c r="K291" s="1">
        <v>12.0</v>
      </c>
      <c r="L291" s="2">
        <v>42907.0</v>
      </c>
      <c r="O291" s="1">
        <v>0.0</v>
      </c>
      <c r="P291" s="1" t="s">
        <v>814</v>
      </c>
      <c r="Q291" s="1" t="s">
        <v>837</v>
      </c>
      <c r="R291" s="1" t="s">
        <v>2949</v>
      </c>
      <c r="U291" s="1" t="s">
        <v>936</v>
      </c>
      <c r="V291" s="1">
        <v>66.0</v>
      </c>
      <c r="W291" s="3" t="s">
        <v>2950</v>
      </c>
      <c r="X291" s="1">
        <v>720822.0</v>
      </c>
      <c r="Y291" s="1" t="s">
        <v>2951</v>
      </c>
      <c r="Z291" s="3" t="s">
        <v>2952</v>
      </c>
      <c r="AA291" s="3" t="s">
        <v>2953</v>
      </c>
      <c r="AB291" s="1">
        <v>2.0</v>
      </c>
      <c r="AC291" s="1" t="s">
        <v>2954</v>
      </c>
      <c r="AD291" s="1">
        <v>20.0</v>
      </c>
      <c r="AE291" s="1">
        <f t="shared" si="5"/>
        <v>432</v>
      </c>
      <c r="AF291" s="1">
        <v>30.0</v>
      </c>
      <c r="AG291" s="1">
        <v>3.0</v>
      </c>
      <c r="AH291" s="1">
        <v>47.0</v>
      </c>
      <c r="AI291" s="1">
        <v>49.0</v>
      </c>
      <c r="AJ291" s="1">
        <v>57.0</v>
      </c>
      <c r="AK291" s="1">
        <v>254.0</v>
      </c>
      <c r="AL291" s="1">
        <v>0.0</v>
      </c>
      <c r="AM291" s="1">
        <v>0.0</v>
      </c>
      <c r="AN291" s="1">
        <v>2.0</v>
      </c>
      <c r="AO291" s="1">
        <v>11.0</v>
      </c>
      <c r="AP291" s="1">
        <v>12.0</v>
      </c>
      <c r="AQ291" s="1">
        <v>0.0</v>
      </c>
    </row>
    <row r="292">
      <c r="A292" s="1"/>
      <c r="B292" s="1">
        <v>505.0</v>
      </c>
      <c r="C292" s="1" t="s">
        <v>2955</v>
      </c>
      <c r="D292" s="1" t="s">
        <v>2956</v>
      </c>
      <c r="E292" s="1" t="s">
        <v>1652</v>
      </c>
      <c r="F292" s="1" t="s">
        <v>43</v>
      </c>
      <c r="G292" s="2">
        <v>20009.0</v>
      </c>
      <c r="H292" s="1" t="s">
        <v>739</v>
      </c>
      <c r="I292" s="1">
        <v>69.0</v>
      </c>
      <c r="J292" s="1" t="s">
        <v>1363</v>
      </c>
      <c r="K292" s="1">
        <v>14.0</v>
      </c>
      <c r="L292" s="2">
        <v>42907.0</v>
      </c>
      <c r="O292" s="1">
        <v>0.0</v>
      </c>
      <c r="P292" s="1" t="s">
        <v>75</v>
      </c>
      <c r="Q292" s="1" t="s">
        <v>76</v>
      </c>
      <c r="R292" s="1" t="s">
        <v>2957</v>
      </c>
      <c r="U292" s="1" t="s">
        <v>570</v>
      </c>
      <c r="V292" s="1">
        <v>421.0</v>
      </c>
      <c r="W292" s="3" t="s">
        <v>2958</v>
      </c>
      <c r="X292" s="1">
        <v>608641.0</v>
      </c>
      <c r="Y292" s="1" t="s">
        <v>2959</v>
      </c>
      <c r="Z292" s="3" t="s">
        <v>2960</v>
      </c>
      <c r="AA292" s="3" t="s">
        <v>2961</v>
      </c>
      <c r="AB292" s="1">
        <v>1.0</v>
      </c>
      <c r="AC292" s="1" t="s">
        <v>2962</v>
      </c>
      <c r="AD292" s="1">
        <v>20.0</v>
      </c>
      <c r="AE292" s="1">
        <f t="shared" si="5"/>
        <v>432</v>
      </c>
      <c r="AF292" s="1">
        <v>31.0</v>
      </c>
      <c r="AG292" s="1">
        <v>3.0</v>
      </c>
      <c r="AH292" s="1">
        <v>10.0</v>
      </c>
      <c r="AI292" s="1">
        <v>1.0</v>
      </c>
      <c r="AJ292" s="1">
        <v>3.0</v>
      </c>
      <c r="AK292" s="1">
        <v>114.0</v>
      </c>
      <c r="AL292" s="1">
        <v>60.0</v>
      </c>
      <c r="AM292" s="1">
        <v>1.0</v>
      </c>
      <c r="AN292" s="1">
        <v>0.0</v>
      </c>
      <c r="AO292" s="1">
        <v>6.0</v>
      </c>
      <c r="AP292" s="1">
        <v>6.0</v>
      </c>
      <c r="AQ292" s="1">
        <v>1.0</v>
      </c>
    </row>
    <row r="293">
      <c r="A293" s="1"/>
      <c r="B293" s="1">
        <v>177.0</v>
      </c>
      <c r="C293" s="1" t="s">
        <v>2963</v>
      </c>
      <c r="D293" s="1" t="s">
        <v>2964</v>
      </c>
      <c r="E293" s="1" t="s">
        <v>1453</v>
      </c>
      <c r="F293" s="1" t="s">
        <v>58</v>
      </c>
      <c r="G293" s="2">
        <v>22861.0</v>
      </c>
      <c r="H293" s="1" t="s">
        <v>945</v>
      </c>
      <c r="I293" s="1">
        <v>2.0</v>
      </c>
      <c r="J293" s="1" t="s">
        <v>185</v>
      </c>
      <c r="K293" s="1">
        <v>1.0</v>
      </c>
      <c r="L293" s="2">
        <v>42907.0</v>
      </c>
      <c r="O293" s="1">
        <v>0.0</v>
      </c>
      <c r="P293" s="1" t="s">
        <v>75</v>
      </c>
      <c r="Q293" s="1" t="s">
        <v>76</v>
      </c>
      <c r="R293" s="1" t="s">
        <v>2965</v>
      </c>
      <c r="U293" s="1" t="s">
        <v>373</v>
      </c>
      <c r="V293" s="1">
        <v>287.0</v>
      </c>
      <c r="W293" s="3" t="s">
        <v>2966</v>
      </c>
      <c r="X293" s="1">
        <v>718756.0</v>
      </c>
      <c r="Y293" s="1" t="s">
        <v>2967</v>
      </c>
      <c r="Z293" s="3" t="s">
        <v>2968</v>
      </c>
      <c r="AA293" s="3" t="s">
        <v>2969</v>
      </c>
      <c r="AB293" s="1">
        <v>2.0</v>
      </c>
      <c r="AC293" s="1" t="s">
        <v>2970</v>
      </c>
      <c r="AD293" s="1">
        <v>20.0</v>
      </c>
      <c r="AE293" s="1">
        <f t="shared" si="5"/>
        <v>432</v>
      </c>
      <c r="AF293" s="1">
        <v>54.0</v>
      </c>
      <c r="AG293" s="1">
        <v>14.0</v>
      </c>
      <c r="AH293" s="1">
        <v>8.0</v>
      </c>
      <c r="AI293" s="1">
        <v>2.0</v>
      </c>
      <c r="AJ293" s="1">
        <v>0.0</v>
      </c>
      <c r="AK293" s="1">
        <v>8.0</v>
      </c>
      <c r="AL293" s="1">
        <v>2.0</v>
      </c>
      <c r="AM293" s="1">
        <v>1.0</v>
      </c>
      <c r="AN293" s="1">
        <v>0.0</v>
      </c>
      <c r="AO293" s="1">
        <v>5.0</v>
      </c>
      <c r="AP293" s="1">
        <v>11.0</v>
      </c>
      <c r="AQ293" s="1">
        <v>1.0</v>
      </c>
    </row>
    <row r="294">
      <c r="A294" s="1"/>
      <c r="B294" s="1">
        <v>274.0</v>
      </c>
      <c r="C294" s="1" t="s">
        <v>2971</v>
      </c>
      <c r="D294" s="1" t="s">
        <v>2972</v>
      </c>
      <c r="E294" s="1" t="s">
        <v>148</v>
      </c>
      <c r="F294" s="1" t="s">
        <v>43</v>
      </c>
      <c r="G294" s="2">
        <v>24400.0</v>
      </c>
      <c r="H294" s="1" t="s">
        <v>2973</v>
      </c>
      <c r="I294" s="1">
        <v>22.0</v>
      </c>
      <c r="J294" s="1" t="s">
        <v>1883</v>
      </c>
      <c r="K294" s="1">
        <v>5.0</v>
      </c>
      <c r="L294" s="2">
        <v>42907.0</v>
      </c>
      <c r="O294" s="1">
        <v>0.0</v>
      </c>
      <c r="P294" s="1" t="s">
        <v>75</v>
      </c>
      <c r="Q294" s="1" t="s">
        <v>76</v>
      </c>
      <c r="R294" s="1" t="s">
        <v>2974</v>
      </c>
      <c r="U294" s="1" t="s">
        <v>234</v>
      </c>
      <c r="V294" s="1">
        <v>554.0</v>
      </c>
      <c r="W294" s="3" t="s">
        <v>2975</v>
      </c>
      <c r="X294" s="1">
        <v>642695.0</v>
      </c>
      <c r="Y294" s="1" t="s">
        <v>2976</v>
      </c>
      <c r="Z294" s="3" t="s">
        <v>2977</v>
      </c>
      <c r="AA294" s="3" t="s">
        <v>2978</v>
      </c>
      <c r="AB294" s="1">
        <v>1.0</v>
      </c>
      <c r="AC294" s="1" t="s">
        <v>2979</v>
      </c>
      <c r="AD294" s="1">
        <v>20.0</v>
      </c>
      <c r="AE294" s="1">
        <f t="shared" si="5"/>
        <v>432</v>
      </c>
      <c r="AF294" s="1">
        <v>61.0</v>
      </c>
      <c r="AG294" s="1">
        <v>59.0</v>
      </c>
      <c r="AH294" s="1">
        <v>10.0</v>
      </c>
      <c r="AI294" s="1">
        <v>9.0</v>
      </c>
      <c r="AJ294" s="1">
        <v>36.0</v>
      </c>
      <c r="AK294" s="1">
        <v>171.0</v>
      </c>
      <c r="AL294" s="1">
        <v>64.0</v>
      </c>
      <c r="AM294" s="1">
        <v>2.0</v>
      </c>
      <c r="AN294" s="1">
        <v>1.0</v>
      </c>
      <c r="AO294" s="1">
        <v>7.0</v>
      </c>
      <c r="AP294" s="1">
        <v>4.0</v>
      </c>
      <c r="AQ294" s="1">
        <v>1.0</v>
      </c>
    </row>
    <row r="295">
      <c r="A295" s="1"/>
      <c r="B295" s="1">
        <v>181.0</v>
      </c>
      <c r="C295" s="1" t="s">
        <v>2980</v>
      </c>
      <c r="D295" s="1" t="s">
        <v>2981</v>
      </c>
      <c r="E295" s="1" t="s">
        <v>2982</v>
      </c>
      <c r="F295" s="1" t="s">
        <v>43</v>
      </c>
      <c r="G295" s="2">
        <v>25714.0</v>
      </c>
      <c r="H295" s="1" t="s">
        <v>2983</v>
      </c>
      <c r="I295" s="1">
        <v>14.0</v>
      </c>
      <c r="J295" s="1" t="s">
        <v>1137</v>
      </c>
      <c r="K295" s="1">
        <v>5.0</v>
      </c>
      <c r="L295" s="2">
        <v>42907.0</v>
      </c>
      <c r="O295" s="1">
        <v>0.0</v>
      </c>
      <c r="P295" s="1" t="s">
        <v>75</v>
      </c>
      <c r="Q295" s="1" t="s">
        <v>76</v>
      </c>
      <c r="R295" s="1" t="s">
        <v>2984</v>
      </c>
      <c r="U295" s="1" t="s">
        <v>1784</v>
      </c>
      <c r="V295" s="1">
        <v>210.0</v>
      </c>
      <c r="W295" s="3" t="s">
        <v>2985</v>
      </c>
      <c r="X295" s="1">
        <v>719032.0</v>
      </c>
      <c r="Y295" s="1" t="s">
        <v>2986</v>
      </c>
      <c r="Z295" s="3" t="s">
        <v>2987</v>
      </c>
      <c r="AA295" s="3" t="s">
        <v>2988</v>
      </c>
      <c r="AB295" s="1">
        <v>1.0</v>
      </c>
      <c r="AC295" s="1" t="s">
        <v>2989</v>
      </c>
      <c r="AD295" s="1">
        <v>20.0</v>
      </c>
      <c r="AE295" s="1">
        <f t="shared" si="5"/>
        <v>432</v>
      </c>
      <c r="AF295" s="1">
        <v>52.0</v>
      </c>
      <c r="AG295" s="1">
        <v>19.0</v>
      </c>
      <c r="AH295" s="1">
        <v>15.0</v>
      </c>
      <c r="AI295" s="1">
        <v>2.0</v>
      </c>
      <c r="AJ295" s="1">
        <v>2.0</v>
      </c>
      <c r="AK295" s="1">
        <v>38.0</v>
      </c>
      <c r="AL295" s="1">
        <v>8.0</v>
      </c>
      <c r="AM295" s="1">
        <v>0.0</v>
      </c>
      <c r="AN295" s="1">
        <v>0.0</v>
      </c>
      <c r="AO295" s="1">
        <v>5.0</v>
      </c>
      <c r="AP295" s="1">
        <v>3.0</v>
      </c>
      <c r="AQ295" s="1">
        <v>1.0</v>
      </c>
    </row>
    <row r="296">
      <c r="A296" s="1"/>
      <c r="B296" s="1">
        <v>198.0</v>
      </c>
      <c r="C296" s="1" t="s">
        <v>2990</v>
      </c>
      <c r="D296" s="1" t="s">
        <v>182</v>
      </c>
      <c r="E296" s="1" t="s">
        <v>2991</v>
      </c>
      <c r="F296" s="1" t="s">
        <v>43</v>
      </c>
      <c r="G296" s="2">
        <v>16120.0</v>
      </c>
      <c r="H296" s="1" t="s">
        <v>2992</v>
      </c>
      <c r="I296" s="1">
        <v>59.0</v>
      </c>
      <c r="J296" s="1" t="s">
        <v>172</v>
      </c>
      <c r="K296" s="1">
        <v>18.0</v>
      </c>
      <c r="L296" s="2">
        <v>42907.0</v>
      </c>
      <c r="O296" s="1">
        <v>0.0</v>
      </c>
      <c r="P296" s="1" t="s">
        <v>46</v>
      </c>
      <c r="Q296" s="1" t="s">
        <v>47</v>
      </c>
      <c r="R296" s="1" t="s">
        <v>2993</v>
      </c>
      <c r="U296" s="1" t="s">
        <v>1233</v>
      </c>
      <c r="V296" s="1">
        <v>140.0</v>
      </c>
      <c r="W296" s="3" t="s">
        <v>2994</v>
      </c>
      <c r="X296" s="1">
        <v>267766.0</v>
      </c>
      <c r="Y296" s="1" t="s">
        <v>2995</v>
      </c>
      <c r="Z296" s="3" t="s">
        <v>2996</v>
      </c>
      <c r="AA296" s="3" t="s">
        <v>2997</v>
      </c>
      <c r="AB296" s="1">
        <v>1.0</v>
      </c>
      <c r="AD296" s="1">
        <v>20.0</v>
      </c>
      <c r="AE296" s="1">
        <f t="shared" si="5"/>
        <v>432</v>
      </c>
      <c r="AF296" s="1">
        <v>38.0</v>
      </c>
      <c r="AG296" s="1">
        <v>27.0</v>
      </c>
      <c r="AH296" s="1">
        <v>33.0</v>
      </c>
      <c r="AI296" s="1">
        <v>10.0</v>
      </c>
      <c r="AJ296" s="1">
        <v>72.0</v>
      </c>
      <c r="AK296" s="1">
        <v>526.0</v>
      </c>
      <c r="AL296" s="1">
        <v>23.0</v>
      </c>
      <c r="AM296" s="1">
        <v>0.0</v>
      </c>
      <c r="AN296" s="1">
        <v>0.0</v>
      </c>
      <c r="AO296" s="1">
        <v>29.0</v>
      </c>
      <c r="AP296" s="1">
        <v>9.0</v>
      </c>
      <c r="AQ296" s="1">
        <v>3.0</v>
      </c>
    </row>
    <row r="297">
      <c r="A297" s="1"/>
      <c r="B297" s="1">
        <v>188.0</v>
      </c>
      <c r="C297" s="1" t="s">
        <v>2998</v>
      </c>
      <c r="D297" s="1" t="s">
        <v>2999</v>
      </c>
      <c r="E297" s="1" t="s">
        <v>835</v>
      </c>
      <c r="F297" s="1" t="s">
        <v>43</v>
      </c>
      <c r="G297" s="2">
        <v>28122.0</v>
      </c>
      <c r="H297" s="1" t="s">
        <v>1772</v>
      </c>
      <c r="I297" s="1">
        <v>66.0</v>
      </c>
      <c r="J297" s="1" t="s">
        <v>1773</v>
      </c>
      <c r="K297" s="1">
        <v>4.0</v>
      </c>
      <c r="L297" s="2">
        <v>42907.0</v>
      </c>
      <c r="O297" s="1">
        <v>0.0</v>
      </c>
      <c r="P297" s="1" t="s">
        <v>75</v>
      </c>
      <c r="Q297" s="1" t="s">
        <v>76</v>
      </c>
      <c r="R297" s="1" t="s">
        <v>3000</v>
      </c>
      <c r="U297" s="1" t="s">
        <v>538</v>
      </c>
      <c r="V297" s="1">
        <v>543.0</v>
      </c>
      <c r="W297" s="3" t="s">
        <v>3001</v>
      </c>
      <c r="X297" s="1">
        <v>720814.0</v>
      </c>
      <c r="Y297" s="1" t="s">
        <v>3002</v>
      </c>
      <c r="Z297" s="3" t="s">
        <v>3003</v>
      </c>
      <c r="AA297" s="3" t="s">
        <v>3004</v>
      </c>
      <c r="AB297" s="1">
        <v>1.0</v>
      </c>
      <c r="AC297" s="1" t="s">
        <v>3005</v>
      </c>
      <c r="AD297" s="1">
        <v>20.0</v>
      </c>
      <c r="AE297" s="1">
        <f t="shared" si="5"/>
        <v>432</v>
      </c>
      <c r="AF297" s="1">
        <v>31.0</v>
      </c>
      <c r="AG297" s="1">
        <v>8.0</v>
      </c>
      <c r="AH297" s="1">
        <v>1.0</v>
      </c>
      <c r="AI297" s="1">
        <v>0.0</v>
      </c>
      <c r="AJ297" s="1">
        <v>0.0</v>
      </c>
      <c r="AK297" s="1">
        <v>61.0</v>
      </c>
      <c r="AL297" s="1">
        <v>32.0</v>
      </c>
      <c r="AM297" s="1">
        <v>0.0</v>
      </c>
      <c r="AN297" s="1">
        <v>0.0</v>
      </c>
      <c r="AO297" s="1">
        <v>5.0</v>
      </c>
      <c r="AP297" s="1">
        <v>15.0</v>
      </c>
      <c r="AQ297" s="1">
        <v>0.0</v>
      </c>
    </row>
    <row r="298">
      <c r="A298" s="1"/>
      <c r="B298" s="1">
        <v>428.0</v>
      </c>
      <c r="C298" s="1" t="s">
        <v>3006</v>
      </c>
      <c r="D298" s="1" t="s">
        <v>3007</v>
      </c>
      <c r="E298" s="1" t="s">
        <v>57</v>
      </c>
      <c r="F298" s="1" t="s">
        <v>58</v>
      </c>
      <c r="G298" s="2">
        <v>28416.0</v>
      </c>
      <c r="H298" s="1" t="s">
        <v>3008</v>
      </c>
      <c r="I298" s="1">
        <v>38.0</v>
      </c>
      <c r="J298" s="1" t="s">
        <v>267</v>
      </c>
      <c r="K298" s="1">
        <v>3.0</v>
      </c>
      <c r="L298" s="2">
        <v>42907.0</v>
      </c>
      <c r="O298" s="1">
        <v>0.0</v>
      </c>
      <c r="P298" s="1" t="s">
        <v>75</v>
      </c>
      <c r="Q298" s="1" t="s">
        <v>76</v>
      </c>
      <c r="R298" s="1" t="s">
        <v>3009</v>
      </c>
      <c r="U298" s="1" t="s">
        <v>118</v>
      </c>
      <c r="V298" s="1">
        <v>485.0</v>
      </c>
      <c r="W298" s="3" t="s">
        <v>3010</v>
      </c>
      <c r="X298" s="1">
        <v>719748.0</v>
      </c>
      <c r="Y298" s="1" t="s">
        <v>3011</v>
      </c>
      <c r="Z298" s="3" t="s">
        <v>3012</v>
      </c>
      <c r="AA298" s="3" t="s">
        <v>3013</v>
      </c>
      <c r="AB298" s="1">
        <v>1.0</v>
      </c>
      <c r="AC298" s="1" t="s">
        <v>3014</v>
      </c>
      <c r="AD298" s="1">
        <v>20.0</v>
      </c>
      <c r="AE298" s="1">
        <f t="shared" si="5"/>
        <v>432</v>
      </c>
      <c r="AF298" s="1">
        <v>31.0</v>
      </c>
      <c r="AG298" s="1">
        <v>38.0</v>
      </c>
      <c r="AH298" s="1">
        <v>126.0</v>
      </c>
      <c r="AI298" s="1">
        <v>42.0</v>
      </c>
      <c r="AJ298" s="1">
        <v>8.0</v>
      </c>
      <c r="AK298" s="1">
        <v>70.0</v>
      </c>
      <c r="AL298" s="1">
        <v>30.0</v>
      </c>
      <c r="AM298" s="1">
        <v>2.0</v>
      </c>
      <c r="AN298" s="1">
        <v>0.0</v>
      </c>
      <c r="AO298" s="1">
        <v>5.0</v>
      </c>
      <c r="AP298" s="1">
        <v>0.0</v>
      </c>
      <c r="AQ298" s="1">
        <v>1.0</v>
      </c>
    </row>
    <row r="299">
      <c r="A299" s="1"/>
      <c r="B299" s="1">
        <v>85.0</v>
      </c>
      <c r="C299" s="1" t="s">
        <v>3015</v>
      </c>
      <c r="D299" s="1" t="s">
        <v>3016</v>
      </c>
      <c r="E299" s="1" t="s">
        <v>2155</v>
      </c>
      <c r="F299" s="1" t="s">
        <v>58</v>
      </c>
      <c r="G299" s="2">
        <v>24783.0</v>
      </c>
      <c r="H299" s="1" t="s">
        <v>3017</v>
      </c>
      <c r="I299" s="1">
        <v>30.0</v>
      </c>
      <c r="J299" s="1" t="s">
        <v>1751</v>
      </c>
      <c r="K299" s="1">
        <v>4.0</v>
      </c>
      <c r="L299" s="2">
        <v>42907.0</v>
      </c>
      <c r="O299" s="1">
        <v>0.0</v>
      </c>
      <c r="P299" s="1" t="s">
        <v>75</v>
      </c>
      <c r="Q299" s="1" t="s">
        <v>76</v>
      </c>
      <c r="R299" s="1" t="s">
        <v>3018</v>
      </c>
      <c r="U299" s="1" t="s">
        <v>3019</v>
      </c>
      <c r="V299" s="1">
        <v>425.0</v>
      </c>
      <c r="W299" s="3" t="s">
        <v>3020</v>
      </c>
      <c r="X299" s="1">
        <v>719448.0</v>
      </c>
      <c r="Y299" s="1" t="s">
        <v>3021</v>
      </c>
      <c r="Z299" s="3" t="s">
        <v>3022</v>
      </c>
      <c r="AA299" s="3" t="s">
        <v>3023</v>
      </c>
      <c r="AB299" s="1">
        <v>1.0</v>
      </c>
      <c r="AC299" s="1" t="s">
        <v>3024</v>
      </c>
      <c r="AD299" s="1">
        <v>20.0</v>
      </c>
      <c r="AE299" s="1">
        <f t="shared" si="5"/>
        <v>432</v>
      </c>
      <c r="AF299" s="1">
        <v>40.0</v>
      </c>
      <c r="AG299" s="1">
        <v>8.0</v>
      </c>
      <c r="AH299" s="1">
        <v>10.0</v>
      </c>
      <c r="AI299" s="1">
        <v>3.0</v>
      </c>
      <c r="AJ299" s="1">
        <v>0.0</v>
      </c>
      <c r="AK299" s="1">
        <v>31.0</v>
      </c>
      <c r="AL299" s="1">
        <v>8.0</v>
      </c>
      <c r="AM299" s="1">
        <v>0.0</v>
      </c>
      <c r="AN299" s="1">
        <v>0.0</v>
      </c>
      <c r="AO299" s="1">
        <v>5.0</v>
      </c>
      <c r="AP299" s="1">
        <v>5.0</v>
      </c>
      <c r="AQ299" s="1">
        <v>1.0</v>
      </c>
    </row>
    <row r="300">
      <c r="A300" s="1"/>
      <c r="B300" s="1">
        <v>112.0</v>
      </c>
      <c r="C300" s="1" t="s">
        <v>3025</v>
      </c>
      <c r="D300" s="1" t="s">
        <v>3026</v>
      </c>
      <c r="E300" s="1" t="s">
        <v>1490</v>
      </c>
      <c r="F300" s="1" t="s">
        <v>43</v>
      </c>
      <c r="G300" s="2">
        <v>21327.0</v>
      </c>
      <c r="H300" s="1" t="s">
        <v>3027</v>
      </c>
      <c r="I300" s="1">
        <v>52.0</v>
      </c>
      <c r="J300" s="1" t="s">
        <v>3028</v>
      </c>
      <c r="K300" s="1">
        <v>2.0</v>
      </c>
      <c r="L300" s="2">
        <v>42907.0</v>
      </c>
      <c r="O300" s="1">
        <v>0.0</v>
      </c>
      <c r="P300" s="1" t="s">
        <v>61</v>
      </c>
      <c r="Q300" s="1" t="s">
        <v>62</v>
      </c>
      <c r="R300" s="1" t="s">
        <v>3029</v>
      </c>
      <c r="U300" s="1" t="s">
        <v>1107</v>
      </c>
      <c r="V300" s="1">
        <v>99.0</v>
      </c>
      <c r="W300" s="3" t="s">
        <v>3030</v>
      </c>
      <c r="X300" s="1">
        <v>923.0</v>
      </c>
      <c r="Y300" s="1" t="s">
        <v>3031</v>
      </c>
      <c r="Z300" s="3" t="s">
        <v>3032</v>
      </c>
      <c r="AA300" s="3" t="s">
        <v>3033</v>
      </c>
      <c r="AB300" s="1">
        <v>2.0</v>
      </c>
      <c r="AC300" s="1" t="s">
        <v>3034</v>
      </c>
      <c r="AD300" s="1">
        <v>20.0</v>
      </c>
      <c r="AE300" s="1">
        <f t="shared" si="5"/>
        <v>432</v>
      </c>
      <c r="AF300" s="1">
        <v>34.0</v>
      </c>
      <c r="AG300" s="1">
        <v>13.0</v>
      </c>
      <c r="AH300" s="1">
        <v>2.0</v>
      </c>
      <c r="AI300" s="1">
        <v>5.0</v>
      </c>
      <c r="AJ300" s="1">
        <v>0.0</v>
      </c>
      <c r="AK300" s="1">
        <v>284.0</v>
      </c>
      <c r="AL300" s="1">
        <v>19.0</v>
      </c>
      <c r="AM300" s="1">
        <v>1.0</v>
      </c>
      <c r="AN300" s="1">
        <v>0.0</v>
      </c>
      <c r="AO300" s="1">
        <v>2.0</v>
      </c>
      <c r="AP300" s="1">
        <v>26.0</v>
      </c>
      <c r="AQ300" s="1">
        <v>0.0</v>
      </c>
    </row>
    <row r="301">
      <c r="A301" s="1"/>
      <c r="B301" s="1">
        <v>98.0</v>
      </c>
      <c r="C301" s="1" t="s">
        <v>3035</v>
      </c>
      <c r="D301" s="1" t="s">
        <v>205</v>
      </c>
      <c r="E301" s="1" t="s">
        <v>3036</v>
      </c>
      <c r="F301" s="1" t="s">
        <v>58</v>
      </c>
      <c r="G301" s="2">
        <v>19919.0</v>
      </c>
      <c r="H301" s="1" t="s">
        <v>3037</v>
      </c>
      <c r="I301" s="1">
        <v>21.0</v>
      </c>
      <c r="J301" s="1" t="s">
        <v>1220</v>
      </c>
      <c r="K301" s="1">
        <v>4.0</v>
      </c>
      <c r="L301" s="2">
        <v>42907.0</v>
      </c>
      <c r="O301" s="1">
        <v>0.0</v>
      </c>
      <c r="P301" s="1" t="s">
        <v>75</v>
      </c>
      <c r="Q301" s="1" t="s">
        <v>76</v>
      </c>
      <c r="R301" s="3" t="s">
        <v>3038</v>
      </c>
      <c r="U301" s="1" t="s">
        <v>3039</v>
      </c>
      <c r="V301" s="1">
        <v>238.0</v>
      </c>
      <c r="W301" s="3" t="s">
        <v>3040</v>
      </c>
      <c r="X301" s="1">
        <v>719194.0</v>
      </c>
      <c r="Y301" s="1" t="s">
        <v>3041</v>
      </c>
      <c r="Z301" s="3" t="s">
        <v>3042</v>
      </c>
      <c r="AA301" s="3" t="s">
        <v>3043</v>
      </c>
      <c r="AB301" s="1">
        <v>2.0</v>
      </c>
      <c r="AC301" s="1" t="s">
        <v>3044</v>
      </c>
      <c r="AD301" s="1">
        <v>20.0</v>
      </c>
      <c r="AE301" s="1">
        <f t="shared" si="5"/>
        <v>432</v>
      </c>
      <c r="AF301" s="1">
        <v>43.0</v>
      </c>
      <c r="AG301" s="1">
        <v>9.0</v>
      </c>
      <c r="AH301" s="1">
        <v>1.0</v>
      </c>
      <c r="AI301" s="1">
        <v>2.0</v>
      </c>
      <c r="AJ301" s="1">
        <v>0.0</v>
      </c>
      <c r="AK301" s="1">
        <v>95.0</v>
      </c>
      <c r="AL301" s="1">
        <v>45.0</v>
      </c>
      <c r="AM301" s="1">
        <v>0.0</v>
      </c>
      <c r="AN301" s="1">
        <v>0.0</v>
      </c>
      <c r="AO301" s="1">
        <v>5.0</v>
      </c>
      <c r="AP301" s="1">
        <v>8.0</v>
      </c>
      <c r="AQ301" s="1">
        <v>1.0</v>
      </c>
    </row>
    <row r="302">
      <c r="A302" s="1"/>
      <c r="B302" s="1">
        <v>558.0</v>
      </c>
      <c r="C302" s="1" t="s">
        <v>3045</v>
      </c>
      <c r="D302" s="1" t="s">
        <v>3046</v>
      </c>
      <c r="E302" s="1" t="s">
        <v>3047</v>
      </c>
      <c r="F302" s="1" t="s">
        <v>43</v>
      </c>
      <c r="G302" s="2">
        <v>24578.0</v>
      </c>
      <c r="H302" s="1" t="s">
        <v>1893</v>
      </c>
      <c r="I302" s="1">
        <v>94.0</v>
      </c>
      <c r="J302" s="1" t="s">
        <v>642</v>
      </c>
      <c r="K302" s="1">
        <v>1.0</v>
      </c>
      <c r="L302" s="2">
        <v>42907.0</v>
      </c>
      <c r="O302" s="1">
        <v>0.0</v>
      </c>
      <c r="P302" s="1" t="s">
        <v>75</v>
      </c>
      <c r="Q302" s="1" t="s">
        <v>76</v>
      </c>
      <c r="R302" s="1" t="s">
        <v>3048</v>
      </c>
      <c r="U302" s="1" t="s">
        <v>162</v>
      </c>
      <c r="V302" s="1">
        <v>467.0</v>
      </c>
      <c r="W302" s="3" t="s">
        <v>3049</v>
      </c>
      <c r="X302" s="1">
        <v>720862.0</v>
      </c>
      <c r="Y302" s="1" t="s">
        <v>3050</v>
      </c>
      <c r="Z302" s="3" t="s">
        <v>3051</v>
      </c>
      <c r="AA302" s="3" t="s">
        <v>3052</v>
      </c>
      <c r="AB302" s="1">
        <v>1.0</v>
      </c>
      <c r="AC302" s="1" t="s">
        <v>3053</v>
      </c>
      <c r="AD302" s="1">
        <v>20.0</v>
      </c>
      <c r="AE302" s="1">
        <f t="shared" si="5"/>
        <v>432</v>
      </c>
      <c r="AF302" s="1">
        <v>21.0</v>
      </c>
      <c r="AG302" s="1">
        <v>3.0</v>
      </c>
      <c r="AH302" s="1">
        <v>53.0</v>
      </c>
      <c r="AI302" s="1">
        <v>5.0</v>
      </c>
      <c r="AJ302" s="1">
        <v>0.0</v>
      </c>
      <c r="AK302" s="1">
        <v>67.0</v>
      </c>
      <c r="AL302" s="1">
        <v>26.0</v>
      </c>
      <c r="AM302" s="1">
        <v>0.0</v>
      </c>
      <c r="AN302" s="1">
        <v>0.0</v>
      </c>
      <c r="AO302" s="1">
        <v>5.0</v>
      </c>
      <c r="AP302" s="1">
        <v>0.0</v>
      </c>
      <c r="AQ302" s="1">
        <v>0.0</v>
      </c>
    </row>
    <row r="303">
      <c r="A303" s="1"/>
      <c r="B303" s="1">
        <v>449.0</v>
      </c>
      <c r="C303" s="1" t="s">
        <v>3054</v>
      </c>
      <c r="D303" s="1" t="s">
        <v>3055</v>
      </c>
      <c r="E303" s="1" t="s">
        <v>3056</v>
      </c>
      <c r="F303" s="1" t="s">
        <v>43</v>
      </c>
      <c r="G303" s="2">
        <v>20680.0</v>
      </c>
      <c r="H303" s="1" t="s">
        <v>437</v>
      </c>
      <c r="I303" s="1">
        <v>34.0</v>
      </c>
      <c r="J303" s="1" t="s">
        <v>1252</v>
      </c>
      <c r="K303" s="1">
        <v>4.0</v>
      </c>
      <c r="L303" s="2">
        <v>42907.0</v>
      </c>
      <c r="O303" s="1">
        <v>0.0</v>
      </c>
      <c r="P303" s="1" t="s">
        <v>75</v>
      </c>
      <c r="Q303" s="1" t="s">
        <v>76</v>
      </c>
      <c r="R303" s="1" t="s">
        <v>3057</v>
      </c>
      <c r="U303" s="1" t="s">
        <v>151</v>
      </c>
      <c r="V303" s="1">
        <v>551.0</v>
      </c>
      <c r="W303" s="3" t="s">
        <v>3058</v>
      </c>
      <c r="X303" s="1">
        <v>719692.0</v>
      </c>
      <c r="Y303" s="1" t="s">
        <v>3059</v>
      </c>
      <c r="Z303" s="3" t="s">
        <v>3060</v>
      </c>
      <c r="AA303" s="3" t="s">
        <v>3061</v>
      </c>
      <c r="AB303" s="1">
        <v>1.0</v>
      </c>
      <c r="AC303" s="1" t="s">
        <v>3062</v>
      </c>
      <c r="AD303" s="1">
        <v>20.0</v>
      </c>
      <c r="AE303" s="1">
        <f t="shared" si="5"/>
        <v>432</v>
      </c>
      <c r="AF303" s="1">
        <v>42.0</v>
      </c>
      <c r="AG303" s="1">
        <v>11.0</v>
      </c>
      <c r="AH303" s="1">
        <v>10.0</v>
      </c>
      <c r="AI303" s="1">
        <v>1.0</v>
      </c>
      <c r="AJ303" s="1">
        <v>1.0</v>
      </c>
      <c r="AK303" s="1">
        <v>33.0</v>
      </c>
      <c r="AL303" s="1">
        <v>7.0</v>
      </c>
      <c r="AM303" s="1">
        <v>0.0</v>
      </c>
      <c r="AN303" s="1">
        <v>0.0</v>
      </c>
      <c r="AO303" s="1">
        <v>5.0</v>
      </c>
      <c r="AP303" s="1">
        <v>3.0</v>
      </c>
      <c r="AQ303" s="1">
        <v>1.0</v>
      </c>
    </row>
    <row r="304">
      <c r="A304" s="1"/>
      <c r="B304" s="1">
        <v>427.0</v>
      </c>
      <c r="C304" s="1" t="s">
        <v>3063</v>
      </c>
      <c r="D304" s="1" t="s">
        <v>3064</v>
      </c>
      <c r="E304" s="1" t="s">
        <v>1045</v>
      </c>
      <c r="F304" s="1" t="s">
        <v>58</v>
      </c>
      <c r="G304" s="2">
        <v>20977.0</v>
      </c>
      <c r="H304" s="1" t="s">
        <v>3065</v>
      </c>
      <c r="I304" s="1">
        <v>18.0</v>
      </c>
      <c r="J304" s="1" t="s">
        <v>2336</v>
      </c>
      <c r="K304" s="1">
        <v>2.0</v>
      </c>
      <c r="L304" s="2">
        <v>42907.0</v>
      </c>
      <c r="O304" s="1">
        <v>0.0</v>
      </c>
      <c r="P304" s="1" t="s">
        <v>280</v>
      </c>
      <c r="Q304" s="1" t="s">
        <v>281</v>
      </c>
      <c r="R304" s="1" t="s">
        <v>3066</v>
      </c>
      <c r="U304" s="1" t="s">
        <v>3067</v>
      </c>
      <c r="V304" s="1">
        <v>174.0</v>
      </c>
      <c r="W304" s="3" t="s">
        <v>3068</v>
      </c>
      <c r="X304" s="1">
        <v>719044.0</v>
      </c>
      <c r="Y304" s="1" t="s">
        <v>3069</v>
      </c>
      <c r="Z304" s="3" t="s">
        <v>3070</v>
      </c>
      <c r="AA304" s="3" t="s">
        <v>3071</v>
      </c>
      <c r="AB304" s="1">
        <v>1.0</v>
      </c>
      <c r="AC304" s="1" t="s">
        <v>3072</v>
      </c>
      <c r="AD304" s="1">
        <v>20.0</v>
      </c>
      <c r="AE304" s="1">
        <f t="shared" si="5"/>
        <v>432</v>
      </c>
      <c r="AF304" s="1">
        <v>37.0</v>
      </c>
      <c r="AG304" s="1">
        <v>15.0</v>
      </c>
      <c r="AH304" s="1">
        <v>16.0</v>
      </c>
      <c r="AI304" s="1">
        <v>5.0</v>
      </c>
      <c r="AJ304" s="1">
        <v>0.0</v>
      </c>
      <c r="AK304" s="1">
        <v>208.0</v>
      </c>
      <c r="AL304" s="1">
        <v>18.0</v>
      </c>
      <c r="AM304" s="1">
        <v>0.0</v>
      </c>
      <c r="AN304" s="1">
        <v>0.0</v>
      </c>
      <c r="AO304" s="1">
        <v>5.0</v>
      </c>
      <c r="AP304" s="1">
        <v>0.0</v>
      </c>
      <c r="AQ304" s="1">
        <v>1.0</v>
      </c>
    </row>
    <row r="305">
      <c r="A305" s="1"/>
      <c r="B305" s="1">
        <v>477.0</v>
      </c>
      <c r="C305" s="1" t="s">
        <v>3073</v>
      </c>
      <c r="D305" s="1" t="s">
        <v>3074</v>
      </c>
      <c r="E305" s="1" t="s">
        <v>905</v>
      </c>
      <c r="F305" s="1" t="s">
        <v>43</v>
      </c>
      <c r="G305" s="2">
        <v>26385.0</v>
      </c>
      <c r="H305" s="1" t="s">
        <v>3075</v>
      </c>
      <c r="I305" s="1">
        <v>17.0</v>
      </c>
      <c r="J305" s="1" t="s">
        <v>2055</v>
      </c>
      <c r="K305" s="1">
        <v>1.0</v>
      </c>
      <c r="L305" s="2">
        <v>42907.0</v>
      </c>
      <c r="O305" s="1">
        <v>0.0</v>
      </c>
      <c r="P305" s="1" t="s">
        <v>814</v>
      </c>
      <c r="Q305" s="1" t="s">
        <v>2397</v>
      </c>
      <c r="R305" s="1" t="s">
        <v>3076</v>
      </c>
      <c r="U305" s="1" t="s">
        <v>1979</v>
      </c>
      <c r="V305" s="1">
        <v>190.0</v>
      </c>
      <c r="W305" s="3" t="s">
        <v>3077</v>
      </c>
      <c r="X305" s="1">
        <v>605694.0</v>
      </c>
      <c r="Y305" s="1" t="s">
        <v>3078</v>
      </c>
      <c r="Z305" s="3" t="s">
        <v>3079</v>
      </c>
      <c r="AA305" s="3" t="s">
        <v>3080</v>
      </c>
      <c r="AB305" s="1">
        <v>1.0</v>
      </c>
      <c r="AC305" s="1" t="s">
        <v>3081</v>
      </c>
      <c r="AD305" s="1">
        <v>20.0</v>
      </c>
      <c r="AE305" s="1">
        <f t="shared" si="5"/>
        <v>432</v>
      </c>
      <c r="AF305" s="1">
        <v>25.0</v>
      </c>
      <c r="AG305" s="1">
        <v>0.0</v>
      </c>
      <c r="AH305" s="1">
        <v>5.0</v>
      </c>
      <c r="AI305" s="1">
        <v>2.0</v>
      </c>
      <c r="AJ305" s="1">
        <v>30.0</v>
      </c>
      <c r="AK305" s="1">
        <v>103.0</v>
      </c>
      <c r="AL305" s="1">
        <v>4.0</v>
      </c>
      <c r="AM305" s="1">
        <v>0.0</v>
      </c>
      <c r="AN305" s="1">
        <v>2.0</v>
      </c>
      <c r="AO305" s="1">
        <v>3.0</v>
      </c>
      <c r="AP305" s="1">
        <v>32.0</v>
      </c>
      <c r="AQ305" s="1">
        <v>1.0</v>
      </c>
    </row>
    <row r="306">
      <c r="A306" s="1"/>
      <c r="B306" s="1">
        <v>577.0</v>
      </c>
      <c r="C306" s="1" t="s">
        <v>3082</v>
      </c>
      <c r="D306" s="1" t="s">
        <v>3083</v>
      </c>
      <c r="E306" s="1" t="s">
        <v>3084</v>
      </c>
      <c r="F306" s="1" t="s">
        <v>58</v>
      </c>
      <c r="G306" s="2">
        <v>31632.0</v>
      </c>
      <c r="H306" s="1" t="s">
        <v>207</v>
      </c>
      <c r="I306" s="1">
        <v>999.0</v>
      </c>
      <c r="J306" s="1" t="s">
        <v>256</v>
      </c>
      <c r="K306" s="1">
        <v>2.0</v>
      </c>
      <c r="L306" s="2">
        <v>42907.0</v>
      </c>
      <c r="O306" s="1">
        <v>0.0</v>
      </c>
      <c r="P306" s="1" t="s">
        <v>75</v>
      </c>
      <c r="Q306" s="1" t="s">
        <v>76</v>
      </c>
      <c r="R306" s="1" t="s">
        <v>3085</v>
      </c>
      <c r="U306" s="1" t="s">
        <v>234</v>
      </c>
      <c r="V306" s="1">
        <v>450.0</v>
      </c>
      <c r="W306" s="3" t="s">
        <v>3086</v>
      </c>
      <c r="X306" s="1">
        <v>721142.0</v>
      </c>
      <c r="Y306" s="1" t="s">
        <v>3087</v>
      </c>
      <c r="Z306" s="3" t="s">
        <v>3088</v>
      </c>
      <c r="AA306" s="3" t="s">
        <v>3089</v>
      </c>
      <c r="AB306" s="1">
        <v>1.0</v>
      </c>
      <c r="AC306" s="1" t="s">
        <v>3090</v>
      </c>
      <c r="AD306" s="1">
        <v>20.0</v>
      </c>
      <c r="AE306" s="1">
        <f t="shared" si="5"/>
        <v>432</v>
      </c>
      <c r="AF306" s="1">
        <v>32.0</v>
      </c>
      <c r="AG306" s="1">
        <v>41.0</v>
      </c>
      <c r="AH306" s="1">
        <v>78.0</v>
      </c>
      <c r="AI306" s="1">
        <v>20.0</v>
      </c>
      <c r="AJ306" s="1">
        <v>209.0</v>
      </c>
      <c r="AK306" s="1">
        <v>274.0</v>
      </c>
      <c r="AL306" s="1">
        <v>204.0</v>
      </c>
      <c r="AM306" s="1">
        <v>1.0</v>
      </c>
      <c r="AN306" s="1">
        <v>0.0</v>
      </c>
      <c r="AO306" s="1">
        <v>5.0</v>
      </c>
      <c r="AP306" s="1">
        <v>1.0</v>
      </c>
      <c r="AQ306" s="1">
        <v>2.0</v>
      </c>
    </row>
    <row r="307">
      <c r="A307" s="1"/>
      <c r="B307" s="1">
        <v>528.0</v>
      </c>
      <c r="C307" s="1" t="s">
        <v>3091</v>
      </c>
      <c r="D307" s="1" t="s">
        <v>3092</v>
      </c>
      <c r="E307" s="1" t="s">
        <v>589</v>
      </c>
      <c r="F307" s="1" t="s">
        <v>43</v>
      </c>
      <c r="G307" s="2">
        <v>21647.0</v>
      </c>
      <c r="H307" s="1" t="s">
        <v>1500</v>
      </c>
      <c r="I307" s="1">
        <v>68.0</v>
      </c>
      <c r="J307" s="1" t="s">
        <v>1501</v>
      </c>
      <c r="K307" s="1">
        <v>6.0</v>
      </c>
      <c r="L307" s="2">
        <v>42907.0</v>
      </c>
      <c r="O307" s="1">
        <v>0.0</v>
      </c>
      <c r="P307" s="1" t="s">
        <v>280</v>
      </c>
      <c r="Q307" s="1" t="s">
        <v>281</v>
      </c>
      <c r="R307" s="1" t="s">
        <v>3093</v>
      </c>
      <c r="U307" s="1" t="s">
        <v>198</v>
      </c>
      <c r="V307" s="1">
        <v>181.0</v>
      </c>
      <c r="W307" s="3" t="s">
        <v>3094</v>
      </c>
      <c r="X307" s="1">
        <v>722284.0</v>
      </c>
      <c r="Y307" s="1" t="s">
        <v>3095</v>
      </c>
      <c r="Z307" s="3" t="s">
        <v>3096</v>
      </c>
      <c r="AA307" s="3" t="s">
        <v>3097</v>
      </c>
      <c r="AB307" s="1">
        <v>1.0</v>
      </c>
      <c r="AC307" s="1" t="s">
        <v>3098</v>
      </c>
      <c r="AD307" s="1">
        <v>20.0</v>
      </c>
      <c r="AE307" s="1">
        <f t="shared" si="5"/>
        <v>432</v>
      </c>
      <c r="AF307" s="1">
        <v>42.0</v>
      </c>
      <c r="AG307" s="1">
        <v>31.0</v>
      </c>
      <c r="AH307" s="1">
        <v>41.0</v>
      </c>
      <c r="AI307" s="1">
        <v>8.0</v>
      </c>
      <c r="AJ307" s="1">
        <v>17.0</v>
      </c>
      <c r="AK307" s="1">
        <v>256.0</v>
      </c>
      <c r="AL307" s="1">
        <v>25.0</v>
      </c>
      <c r="AM307" s="1">
        <v>1.0</v>
      </c>
      <c r="AN307" s="1">
        <v>0.0</v>
      </c>
      <c r="AO307" s="1">
        <v>7.0</v>
      </c>
      <c r="AP307" s="1">
        <v>5.0</v>
      </c>
      <c r="AQ307" s="1">
        <v>3.0</v>
      </c>
    </row>
    <row r="308">
      <c r="A308" s="1"/>
      <c r="B308" s="1">
        <v>467.0</v>
      </c>
      <c r="C308" s="1" t="s">
        <v>3099</v>
      </c>
      <c r="D308" s="1" t="s">
        <v>3100</v>
      </c>
      <c r="E308" s="1" t="s">
        <v>3101</v>
      </c>
      <c r="F308" s="1" t="s">
        <v>58</v>
      </c>
      <c r="G308" s="2">
        <v>19976.0</v>
      </c>
      <c r="H308" s="1" t="s">
        <v>207</v>
      </c>
      <c r="I308" s="1">
        <v>85.0</v>
      </c>
      <c r="J308" s="1" t="s">
        <v>1853</v>
      </c>
      <c r="K308" s="1">
        <v>2.0</v>
      </c>
      <c r="L308" s="2">
        <v>42907.0</v>
      </c>
      <c r="O308" s="1">
        <v>0.0</v>
      </c>
      <c r="P308" s="1" t="s">
        <v>280</v>
      </c>
      <c r="Q308" s="1" t="s">
        <v>281</v>
      </c>
      <c r="R308" s="1" t="s">
        <v>3102</v>
      </c>
      <c r="U308" s="1" t="s">
        <v>2407</v>
      </c>
      <c r="V308" s="1">
        <v>176.0</v>
      </c>
      <c r="W308" s="3" t="s">
        <v>3103</v>
      </c>
      <c r="X308" s="1">
        <v>721992.0</v>
      </c>
      <c r="Y308" s="1" t="s">
        <v>3104</v>
      </c>
      <c r="Z308" s="3" t="s">
        <v>3105</v>
      </c>
      <c r="AA308" s="3" t="s">
        <v>3106</v>
      </c>
      <c r="AB308" s="1">
        <v>1.0</v>
      </c>
      <c r="AC308" s="1" t="s">
        <v>3107</v>
      </c>
      <c r="AD308" s="1">
        <v>20.0</v>
      </c>
      <c r="AE308" s="1">
        <f t="shared" si="5"/>
        <v>432</v>
      </c>
      <c r="AF308" s="1">
        <v>33.0</v>
      </c>
      <c r="AG308" s="1">
        <v>2.0</v>
      </c>
      <c r="AH308" s="1">
        <v>18.0</v>
      </c>
      <c r="AI308" s="1">
        <v>7.0</v>
      </c>
      <c r="AJ308" s="1">
        <v>0.0</v>
      </c>
      <c r="AK308" s="1">
        <v>258.0</v>
      </c>
      <c r="AL308" s="1">
        <v>25.0</v>
      </c>
      <c r="AM308" s="1">
        <v>0.0</v>
      </c>
      <c r="AN308" s="1">
        <v>0.0</v>
      </c>
      <c r="AO308" s="1">
        <v>7.0</v>
      </c>
      <c r="AP308" s="1">
        <v>0.0</v>
      </c>
      <c r="AQ308" s="1">
        <v>1.0</v>
      </c>
    </row>
    <row r="309">
      <c r="A309" s="1"/>
      <c r="B309" s="1">
        <v>185.0</v>
      </c>
      <c r="C309" s="1" t="s">
        <v>3108</v>
      </c>
      <c r="D309" s="1" t="s">
        <v>3109</v>
      </c>
      <c r="E309" s="1" t="s">
        <v>2099</v>
      </c>
      <c r="F309" s="1" t="s">
        <v>43</v>
      </c>
      <c r="G309" s="2">
        <v>26764.0</v>
      </c>
      <c r="H309" s="1" t="s">
        <v>2826</v>
      </c>
      <c r="I309" s="1">
        <v>71.0</v>
      </c>
      <c r="J309" s="1" t="s">
        <v>336</v>
      </c>
      <c r="K309" s="1">
        <v>5.0</v>
      </c>
      <c r="L309" s="2">
        <v>42907.0</v>
      </c>
      <c r="O309" s="1">
        <v>0.0</v>
      </c>
      <c r="P309" s="1" t="s">
        <v>75</v>
      </c>
      <c r="Q309" s="1" t="s">
        <v>76</v>
      </c>
      <c r="R309" s="1" t="s">
        <v>3110</v>
      </c>
      <c r="U309" s="1" t="s">
        <v>304</v>
      </c>
      <c r="V309" s="1">
        <v>241.0</v>
      </c>
      <c r="W309" s="3" t="s">
        <v>3111</v>
      </c>
      <c r="X309" s="1">
        <v>721364.0</v>
      </c>
      <c r="Y309" s="1" t="s">
        <v>3112</v>
      </c>
      <c r="Z309" s="3" t="s">
        <v>3113</v>
      </c>
      <c r="AA309" s="3" t="s">
        <v>3114</v>
      </c>
      <c r="AB309" s="1">
        <v>1.0</v>
      </c>
      <c r="AC309" s="1" t="s">
        <v>3115</v>
      </c>
      <c r="AD309" s="1">
        <v>20.0</v>
      </c>
      <c r="AE309" s="1">
        <f t="shared" si="5"/>
        <v>432</v>
      </c>
      <c r="AF309" s="1">
        <v>33.0</v>
      </c>
      <c r="AG309" s="1">
        <v>136.0</v>
      </c>
      <c r="AH309" s="1">
        <v>197.0</v>
      </c>
      <c r="AI309" s="1">
        <v>103.0</v>
      </c>
      <c r="AJ309" s="1">
        <v>63.0</v>
      </c>
      <c r="AK309" s="1">
        <v>108.0</v>
      </c>
      <c r="AL309" s="1">
        <v>80.0</v>
      </c>
      <c r="AM309" s="1">
        <v>2.0</v>
      </c>
      <c r="AN309" s="1">
        <v>0.0</v>
      </c>
      <c r="AO309" s="1">
        <v>6.0</v>
      </c>
      <c r="AP309" s="1">
        <v>6.0</v>
      </c>
      <c r="AQ309" s="1">
        <v>0.0</v>
      </c>
    </row>
    <row r="310">
      <c r="A310" s="1"/>
      <c r="B310" s="1">
        <v>313.0</v>
      </c>
      <c r="C310" s="1" t="s">
        <v>3116</v>
      </c>
      <c r="D310" s="1" t="s">
        <v>1968</v>
      </c>
      <c r="E310" s="1" t="s">
        <v>2099</v>
      </c>
      <c r="F310" s="1" t="s">
        <v>43</v>
      </c>
      <c r="G310" s="2">
        <v>25128.0</v>
      </c>
      <c r="H310" s="1" t="s">
        <v>3117</v>
      </c>
      <c r="I310" s="1">
        <v>17.0</v>
      </c>
      <c r="J310" s="1" t="s">
        <v>2055</v>
      </c>
      <c r="K310" s="1">
        <v>4.0</v>
      </c>
      <c r="L310" s="2">
        <v>42907.0</v>
      </c>
      <c r="O310" s="1">
        <v>0.0</v>
      </c>
      <c r="P310" s="1" t="s">
        <v>75</v>
      </c>
      <c r="Q310" s="1" t="s">
        <v>76</v>
      </c>
      <c r="R310" s="1" t="s">
        <v>3118</v>
      </c>
      <c r="U310" s="1" t="s">
        <v>234</v>
      </c>
      <c r="V310" s="1">
        <v>392.0</v>
      </c>
      <c r="W310" s="3" t="s">
        <v>3119</v>
      </c>
      <c r="X310" s="1">
        <v>719108.0</v>
      </c>
      <c r="Y310" s="1" t="s">
        <v>3120</v>
      </c>
      <c r="Z310" s="3" t="s">
        <v>3121</v>
      </c>
      <c r="AA310" s="3" t="s">
        <v>3122</v>
      </c>
      <c r="AB310" s="1">
        <v>1.0</v>
      </c>
      <c r="AC310" s="1" t="s">
        <v>3123</v>
      </c>
      <c r="AD310" s="1">
        <v>20.0</v>
      </c>
      <c r="AE310" s="1">
        <f t="shared" si="5"/>
        <v>432</v>
      </c>
      <c r="AF310" s="1">
        <v>42.0</v>
      </c>
      <c r="AG310" s="1">
        <v>9.0</v>
      </c>
      <c r="AH310" s="1">
        <v>13.0</v>
      </c>
      <c r="AI310" s="1">
        <v>11.0</v>
      </c>
      <c r="AJ310" s="1">
        <v>4.0</v>
      </c>
      <c r="AK310" s="1">
        <v>56.0</v>
      </c>
      <c r="AL310" s="1">
        <v>16.0</v>
      </c>
      <c r="AM310" s="1">
        <v>0.0</v>
      </c>
      <c r="AN310" s="1">
        <v>0.0</v>
      </c>
      <c r="AO310" s="1">
        <v>5.0</v>
      </c>
      <c r="AP310" s="1">
        <v>8.0</v>
      </c>
      <c r="AQ310" s="1">
        <v>2.0</v>
      </c>
    </row>
    <row r="311">
      <c r="A311" s="1"/>
      <c r="B311" s="1">
        <v>506.0</v>
      </c>
      <c r="C311" s="1" t="s">
        <v>3124</v>
      </c>
      <c r="D311" s="1" t="s">
        <v>3125</v>
      </c>
      <c r="E311" s="1" t="s">
        <v>3126</v>
      </c>
      <c r="F311" s="1" t="s">
        <v>58</v>
      </c>
      <c r="G311" s="2">
        <v>29876.0</v>
      </c>
      <c r="H311" s="1" t="s">
        <v>3127</v>
      </c>
      <c r="I311" s="1">
        <v>1.0</v>
      </c>
      <c r="J311" s="1" t="s">
        <v>88</v>
      </c>
      <c r="K311" s="1">
        <v>3.0</v>
      </c>
      <c r="L311" s="2">
        <v>42907.0</v>
      </c>
      <c r="O311" s="1">
        <v>0.0</v>
      </c>
      <c r="P311" s="1" t="s">
        <v>75</v>
      </c>
      <c r="Q311" s="1" t="s">
        <v>76</v>
      </c>
      <c r="R311" s="1" t="s">
        <v>3128</v>
      </c>
      <c r="U311" s="1" t="s">
        <v>3129</v>
      </c>
      <c r="V311" s="1">
        <v>572.0</v>
      </c>
      <c r="W311" s="3" t="s">
        <v>3130</v>
      </c>
      <c r="X311" s="1">
        <v>718674.0</v>
      </c>
      <c r="Y311" s="1" t="s">
        <v>3131</v>
      </c>
      <c r="Z311" s="3" t="s">
        <v>3132</v>
      </c>
      <c r="AA311" s="3" t="s">
        <v>3133</v>
      </c>
      <c r="AB311" s="1">
        <v>1.0</v>
      </c>
      <c r="AC311" s="1" t="s">
        <v>3134</v>
      </c>
      <c r="AD311" s="1">
        <v>20.0</v>
      </c>
      <c r="AE311" s="1">
        <f t="shared" si="5"/>
        <v>432</v>
      </c>
      <c r="AF311" s="1">
        <v>34.0</v>
      </c>
      <c r="AG311" s="1">
        <v>12.0</v>
      </c>
      <c r="AH311" s="1">
        <v>6.0</v>
      </c>
      <c r="AI311" s="1">
        <v>2.0</v>
      </c>
      <c r="AJ311" s="1">
        <v>2.0</v>
      </c>
      <c r="AK311" s="1">
        <v>13.0</v>
      </c>
      <c r="AL311" s="1">
        <v>7.0</v>
      </c>
      <c r="AM311" s="1">
        <v>1.0</v>
      </c>
      <c r="AN311" s="1">
        <v>0.0</v>
      </c>
      <c r="AO311" s="1">
        <v>5.0</v>
      </c>
      <c r="AP311" s="1">
        <v>3.0</v>
      </c>
      <c r="AQ311" s="1">
        <v>1.0</v>
      </c>
    </row>
    <row r="312">
      <c r="A312" s="1"/>
      <c r="B312" s="1">
        <v>264.0</v>
      </c>
      <c r="C312" s="1" t="s">
        <v>3135</v>
      </c>
      <c r="D312" s="1" t="s">
        <v>3136</v>
      </c>
      <c r="E312" s="1" t="s">
        <v>915</v>
      </c>
      <c r="F312" s="1" t="s">
        <v>43</v>
      </c>
      <c r="G312" s="2">
        <v>22356.0</v>
      </c>
      <c r="H312" s="1" t="s">
        <v>207</v>
      </c>
      <c r="I312" s="1">
        <v>64.0</v>
      </c>
      <c r="J312" s="1" t="s">
        <v>579</v>
      </c>
      <c r="K312" s="1">
        <v>3.0</v>
      </c>
      <c r="L312" s="2">
        <v>42907.0</v>
      </c>
      <c r="O312" s="1">
        <v>0.0</v>
      </c>
      <c r="P312" s="1" t="s">
        <v>115</v>
      </c>
      <c r="Q312" s="1" t="s">
        <v>116</v>
      </c>
      <c r="R312" s="1" t="s">
        <v>3137</v>
      </c>
      <c r="U312" s="1" t="s">
        <v>3138</v>
      </c>
      <c r="V312" s="1">
        <v>506.0</v>
      </c>
      <c r="W312" s="3" t="s">
        <v>3139</v>
      </c>
      <c r="X312" s="1">
        <v>1592.0</v>
      </c>
      <c r="Y312" s="1" t="s">
        <v>3140</v>
      </c>
      <c r="Z312" s="3" t="s">
        <v>3141</v>
      </c>
      <c r="AA312" s="3" t="s">
        <v>3142</v>
      </c>
      <c r="AB312" s="1">
        <v>1.0</v>
      </c>
      <c r="AC312" s="1" t="s">
        <v>3143</v>
      </c>
      <c r="AD312" s="1">
        <v>20.0</v>
      </c>
      <c r="AE312" s="1">
        <f t="shared" si="5"/>
        <v>432</v>
      </c>
      <c r="AF312" s="1">
        <v>33.0</v>
      </c>
      <c r="AG312" s="1">
        <v>7.0</v>
      </c>
      <c r="AH312" s="1">
        <v>38.0</v>
      </c>
      <c r="AI312" s="1">
        <v>95.0</v>
      </c>
      <c r="AJ312" s="1">
        <v>6.0</v>
      </c>
      <c r="AK312" s="1">
        <v>1056.0</v>
      </c>
      <c r="AL312" s="1">
        <v>62.0</v>
      </c>
      <c r="AM312" s="1">
        <v>0.0</v>
      </c>
      <c r="AN312" s="1">
        <v>0.0</v>
      </c>
      <c r="AO312" s="1">
        <v>5.0</v>
      </c>
      <c r="AP312" s="1">
        <v>3.0</v>
      </c>
      <c r="AQ312" s="1">
        <v>1.0</v>
      </c>
    </row>
    <row r="313">
      <c r="A313" s="1"/>
      <c r="B313" s="1">
        <v>221.0</v>
      </c>
      <c r="C313" s="1" t="s">
        <v>3144</v>
      </c>
      <c r="D313" s="1" t="s">
        <v>3145</v>
      </c>
      <c r="E313" s="1" t="s">
        <v>1186</v>
      </c>
      <c r="F313" s="1" t="s">
        <v>58</v>
      </c>
      <c r="G313" s="2">
        <v>25146.0</v>
      </c>
      <c r="H313" s="1" t="s">
        <v>3146</v>
      </c>
      <c r="I313" s="1">
        <v>33.0</v>
      </c>
      <c r="J313" s="1" t="s">
        <v>348</v>
      </c>
      <c r="K313" s="1">
        <v>11.0</v>
      </c>
      <c r="L313" s="2">
        <v>42907.0</v>
      </c>
      <c r="O313" s="1">
        <v>0.0</v>
      </c>
      <c r="P313" s="1" t="s">
        <v>75</v>
      </c>
      <c r="Q313" s="1" t="s">
        <v>76</v>
      </c>
      <c r="R313" s="1" t="s">
        <v>3147</v>
      </c>
      <c r="U313" s="1" t="s">
        <v>118</v>
      </c>
      <c r="V313" s="1">
        <v>326.0</v>
      </c>
      <c r="W313" s="3" t="s">
        <v>3148</v>
      </c>
      <c r="X313" s="1">
        <v>719652.0</v>
      </c>
      <c r="Y313" s="1" t="s">
        <v>3149</v>
      </c>
      <c r="Z313" s="3" t="s">
        <v>3150</v>
      </c>
      <c r="AA313" s="3" t="s">
        <v>3151</v>
      </c>
      <c r="AB313" s="1">
        <v>1.0</v>
      </c>
      <c r="AC313" s="1" t="s">
        <v>3152</v>
      </c>
      <c r="AD313" s="1">
        <v>20.0</v>
      </c>
      <c r="AE313" s="1">
        <f t="shared" si="5"/>
        <v>432</v>
      </c>
      <c r="AF313" s="1">
        <v>40.0</v>
      </c>
      <c r="AG313" s="1">
        <v>7.0</v>
      </c>
      <c r="AH313" s="1">
        <v>6.0</v>
      </c>
      <c r="AI313" s="1">
        <v>1.0</v>
      </c>
      <c r="AJ313" s="1">
        <v>0.0</v>
      </c>
      <c r="AK313" s="1">
        <v>113.0</v>
      </c>
      <c r="AL313" s="1">
        <v>58.0</v>
      </c>
      <c r="AM313" s="1">
        <v>0.0</v>
      </c>
      <c r="AN313" s="1">
        <v>0.0</v>
      </c>
      <c r="AO313" s="1">
        <v>7.0</v>
      </c>
      <c r="AP313" s="1">
        <v>1.0</v>
      </c>
      <c r="AQ313" s="1">
        <v>1.0</v>
      </c>
    </row>
    <row r="314">
      <c r="A314" s="1"/>
      <c r="B314" s="1">
        <v>223.0</v>
      </c>
      <c r="C314" s="1" t="s">
        <v>3153</v>
      </c>
      <c r="D314" s="1" t="s">
        <v>3154</v>
      </c>
      <c r="E314" s="1" t="s">
        <v>312</v>
      </c>
      <c r="F314" s="1" t="s">
        <v>58</v>
      </c>
      <c r="G314" s="2">
        <v>17181.0</v>
      </c>
      <c r="H314" s="1" t="s">
        <v>3155</v>
      </c>
      <c r="I314" s="1">
        <v>11.0</v>
      </c>
      <c r="J314" s="1" t="s">
        <v>1453</v>
      </c>
      <c r="K314" s="1">
        <v>1.0</v>
      </c>
      <c r="L314" s="2">
        <v>42907.0</v>
      </c>
      <c r="O314" s="1">
        <v>0.0</v>
      </c>
      <c r="P314" s="1" t="s">
        <v>75</v>
      </c>
      <c r="Q314" s="1" t="s">
        <v>76</v>
      </c>
      <c r="R314" s="1" t="s">
        <v>3156</v>
      </c>
      <c r="U314" s="1" t="s">
        <v>3157</v>
      </c>
      <c r="V314" s="1">
        <v>203.0</v>
      </c>
      <c r="W314" s="3" t="s">
        <v>3158</v>
      </c>
      <c r="X314" s="1">
        <v>718794.0</v>
      </c>
      <c r="Y314" s="1" t="s">
        <v>3159</v>
      </c>
      <c r="Z314" s="3" t="s">
        <v>3160</v>
      </c>
      <c r="AA314" s="3" t="s">
        <v>3161</v>
      </c>
      <c r="AB314" s="1">
        <v>2.0</v>
      </c>
      <c r="AC314" s="1" t="s">
        <v>3162</v>
      </c>
      <c r="AD314" s="1">
        <v>20.0</v>
      </c>
      <c r="AE314" s="1">
        <f t="shared" si="5"/>
        <v>432</v>
      </c>
      <c r="AF314" s="1">
        <v>40.0</v>
      </c>
      <c r="AG314" s="1">
        <v>20.0</v>
      </c>
      <c r="AH314" s="1">
        <v>8.0</v>
      </c>
      <c r="AI314" s="1">
        <v>4.0</v>
      </c>
      <c r="AJ314" s="1">
        <v>0.0</v>
      </c>
      <c r="AK314" s="1">
        <v>45.0</v>
      </c>
      <c r="AL314" s="1">
        <v>17.0</v>
      </c>
      <c r="AM314" s="1">
        <v>1.0</v>
      </c>
      <c r="AN314" s="1">
        <v>0.0</v>
      </c>
      <c r="AO314" s="1">
        <v>5.0</v>
      </c>
      <c r="AP314" s="1">
        <v>0.0</v>
      </c>
      <c r="AQ314" s="1">
        <v>3.0</v>
      </c>
    </row>
    <row r="315">
      <c r="A315" s="1"/>
      <c r="B315" s="1">
        <v>27.0</v>
      </c>
      <c r="C315" s="1" t="s">
        <v>3163</v>
      </c>
      <c r="D315" s="1" t="s">
        <v>3164</v>
      </c>
      <c r="E315" s="1" t="s">
        <v>1065</v>
      </c>
      <c r="F315" s="1" t="s">
        <v>43</v>
      </c>
      <c r="G315" s="2">
        <v>22299.0</v>
      </c>
      <c r="H315" s="1" t="s">
        <v>1251</v>
      </c>
      <c r="I315" s="1">
        <v>59.0</v>
      </c>
      <c r="J315" s="1" t="s">
        <v>172</v>
      </c>
      <c r="K315" s="1">
        <v>13.0</v>
      </c>
      <c r="L315" s="2">
        <v>42907.0</v>
      </c>
      <c r="O315" s="1">
        <v>0.0</v>
      </c>
      <c r="P315" s="1" t="s">
        <v>115</v>
      </c>
      <c r="Q315" s="1" t="s">
        <v>116</v>
      </c>
      <c r="R315" s="3" t="s">
        <v>3165</v>
      </c>
      <c r="U315" s="1" t="s">
        <v>3166</v>
      </c>
      <c r="V315" s="1">
        <v>497.0</v>
      </c>
      <c r="W315" s="3" t="s">
        <v>3167</v>
      </c>
      <c r="X315" s="1">
        <v>333818.0</v>
      </c>
      <c r="Y315" s="1" t="s">
        <v>3168</v>
      </c>
      <c r="Z315" s="3" t="s">
        <v>3169</v>
      </c>
      <c r="AA315" s="3" t="s">
        <v>3170</v>
      </c>
      <c r="AB315" s="1">
        <v>2.0</v>
      </c>
      <c r="AC315" s="1" t="s">
        <v>3171</v>
      </c>
      <c r="AD315" s="1">
        <v>20.0</v>
      </c>
      <c r="AE315" s="1">
        <f t="shared" si="5"/>
        <v>432</v>
      </c>
      <c r="AF315" s="1">
        <v>34.0</v>
      </c>
      <c r="AG315" s="1">
        <v>24.0</v>
      </c>
      <c r="AH315" s="1">
        <v>55.0</v>
      </c>
      <c r="AI315" s="1">
        <v>172.0</v>
      </c>
      <c r="AJ315" s="1">
        <v>0.0</v>
      </c>
      <c r="AK315" s="1">
        <v>1113.0</v>
      </c>
      <c r="AL315" s="1">
        <v>75.0</v>
      </c>
      <c r="AM315" s="1">
        <v>1.0</v>
      </c>
      <c r="AN315" s="1">
        <v>1.0</v>
      </c>
      <c r="AO315" s="1">
        <v>10.0</v>
      </c>
      <c r="AP315" s="1">
        <v>9.0</v>
      </c>
      <c r="AQ315" s="1">
        <v>1.0</v>
      </c>
    </row>
    <row r="316">
      <c r="A316" s="1"/>
      <c r="B316" s="1">
        <v>526.0</v>
      </c>
      <c r="C316" s="1" t="s">
        <v>3172</v>
      </c>
      <c r="D316" s="1" t="s">
        <v>3173</v>
      </c>
      <c r="E316" s="1" t="s">
        <v>835</v>
      </c>
      <c r="F316" s="1" t="s">
        <v>43</v>
      </c>
      <c r="G316" s="2">
        <v>25501.0</v>
      </c>
      <c r="H316" s="1" t="s">
        <v>955</v>
      </c>
      <c r="I316" s="1">
        <v>59.0</v>
      </c>
      <c r="J316" s="1" t="s">
        <v>172</v>
      </c>
      <c r="K316" s="1">
        <v>5.0</v>
      </c>
      <c r="L316" s="2">
        <v>42907.0</v>
      </c>
      <c r="O316" s="1">
        <v>0.0</v>
      </c>
      <c r="P316" s="1" t="s">
        <v>61</v>
      </c>
      <c r="Q316" s="1" t="s">
        <v>62</v>
      </c>
      <c r="R316" s="1" t="s">
        <v>3174</v>
      </c>
      <c r="U316" s="1" t="s">
        <v>581</v>
      </c>
      <c r="V316" s="1">
        <v>43.0</v>
      </c>
      <c r="W316" s="3" t="s">
        <v>3175</v>
      </c>
      <c r="X316" s="1">
        <v>267200.0</v>
      </c>
      <c r="Y316" s="1" t="s">
        <v>3176</v>
      </c>
      <c r="Z316" s="3" t="s">
        <v>3177</v>
      </c>
      <c r="AA316" s="3" t="s">
        <v>3178</v>
      </c>
      <c r="AB316" s="1">
        <v>1.0</v>
      </c>
      <c r="AC316" s="1" t="s">
        <v>3179</v>
      </c>
      <c r="AD316" s="1">
        <v>20.0</v>
      </c>
      <c r="AE316" s="1">
        <f t="shared" si="5"/>
        <v>432</v>
      </c>
      <c r="AF316" s="1">
        <v>25.0</v>
      </c>
      <c r="AG316" s="1">
        <v>20.0</v>
      </c>
      <c r="AH316" s="1">
        <v>25.0</v>
      </c>
      <c r="AI316" s="1">
        <v>5.0</v>
      </c>
      <c r="AJ316" s="1">
        <v>24.0</v>
      </c>
      <c r="AK316" s="1">
        <v>428.0</v>
      </c>
      <c r="AL316" s="1">
        <v>23.0</v>
      </c>
      <c r="AM316" s="1">
        <v>0.0</v>
      </c>
      <c r="AN316" s="1">
        <v>2.0</v>
      </c>
      <c r="AO316" s="1">
        <v>14.0</v>
      </c>
      <c r="AP316" s="1">
        <v>19.0</v>
      </c>
      <c r="AQ316" s="1">
        <v>0.0</v>
      </c>
    </row>
    <row r="317">
      <c r="A317" s="1"/>
      <c r="B317" s="1">
        <v>421.0</v>
      </c>
      <c r="C317" s="1" t="s">
        <v>3180</v>
      </c>
      <c r="D317" s="1" t="s">
        <v>3181</v>
      </c>
      <c r="E317" s="1" t="s">
        <v>1176</v>
      </c>
      <c r="F317" s="1" t="s">
        <v>58</v>
      </c>
      <c r="G317" s="2">
        <v>16504.0</v>
      </c>
      <c r="H317" s="1" t="s">
        <v>3182</v>
      </c>
      <c r="I317" s="1">
        <v>31.0</v>
      </c>
      <c r="J317" s="1" t="s">
        <v>360</v>
      </c>
      <c r="K317" s="1">
        <v>6.0</v>
      </c>
      <c r="L317" s="2">
        <v>42907.0</v>
      </c>
      <c r="O317" s="1">
        <v>0.0</v>
      </c>
      <c r="P317" s="1" t="s">
        <v>75</v>
      </c>
      <c r="Q317" s="1" t="s">
        <v>76</v>
      </c>
      <c r="R317" s="1" t="s">
        <v>3183</v>
      </c>
      <c r="U317" s="1" t="s">
        <v>3184</v>
      </c>
      <c r="V317" s="1">
        <v>280.0</v>
      </c>
      <c r="W317" s="3" t="s">
        <v>3185</v>
      </c>
      <c r="X317" s="1">
        <v>331835.0</v>
      </c>
      <c r="Y317" s="1" t="s">
        <v>3186</v>
      </c>
      <c r="Z317" s="3" t="s">
        <v>3187</v>
      </c>
      <c r="AA317" s="3" t="s">
        <v>3188</v>
      </c>
      <c r="AB317" s="1">
        <v>1.0</v>
      </c>
      <c r="AC317" s="1" t="s">
        <v>3189</v>
      </c>
      <c r="AD317" s="1">
        <v>20.0</v>
      </c>
      <c r="AE317" s="1">
        <f t="shared" si="5"/>
        <v>432</v>
      </c>
      <c r="AF317" s="1">
        <v>33.0</v>
      </c>
      <c r="AG317" s="1">
        <v>35.0</v>
      </c>
      <c r="AH317" s="1">
        <v>8.0</v>
      </c>
      <c r="AI317" s="1">
        <v>2.0</v>
      </c>
      <c r="AJ317" s="1">
        <v>2.0</v>
      </c>
      <c r="AK317" s="1">
        <v>66.0</v>
      </c>
      <c r="AL317" s="1">
        <v>25.0</v>
      </c>
      <c r="AM317" s="1">
        <v>0.0</v>
      </c>
      <c r="AN317" s="1">
        <v>0.0</v>
      </c>
      <c r="AO317" s="1">
        <v>6.0</v>
      </c>
      <c r="AP317" s="1">
        <v>3.0</v>
      </c>
      <c r="AQ317" s="1">
        <v>0.0</v>
      </c>
    </row>
    <row r="318">
      <c r="A318" s="1"/>
      <c r="B318" s="1">
        <v>6.0</v>
      </c>
      <c r="C318" s="1" t="s">
        <v>3190</v>
      </c>
      <c r="D318" s="1" t="s">
        <v>3191</v>
      </c>
      <c r="E318" s="1" t="s">
        <v>3192</v>
      </c>
      <c r="F318" s="1" t="s">
        <v>43</v>
      </c>
      <c r="G318" s="2">
        <v>21305.0</v>
      </c>
      <c r="H318" s="1" t="s">
        <v>3193</v>
      </c>
      <c r="I318" s="1">
        <v>69.0</v>
      </c>
      <c r="J318" s="1" t="s">
        <v>1363</v>
      </c>
      <c r="K318" s="1">
        <v>12.0</v>
      </c>
      <c r="L318" s="2">
        <v>42907.0</v>
      </c>
      <c r="O318" s="1">
        <v>0.0</v>
      </c>
      <c r="P318" s="1" t="s">
        <v>280</v>
      </c>
      <c r="Q318" s="1" t="s">
        <v>281</v>
      </c>
      <c r="R318" s="1" t="s">
        <v>3194</v>
      </c>
      <c r="U318" s="1" t="s">
        <v>151</v>
      </c>
      <c r="V318" s="1">
        <v>184.0</v>
      </c>
      <c r="W318" s="3" t="s">
        <v>3195</v>
      </c>
      <c r="X318" s="1">
        <v>722374.0</v>
      </c>
      <c r="Y318" s="1" t="s">
        <v>3196</v>
      </c>
      <c r="Z318" s="3" t="s">
        <v>3197</v>
      </c>
      <c r="AA318" s="3" t="s">
        <v>3198</v>
      </c>
      <c r="AB318" s="1">
        <v>1.0</v>
      </c>
      <c r="AC318" s="1" t="s">
        <v>3199</v>
      </c>
      <c r="AD318" s="1">
        <v>20.0</v>
      </c>
      <c r="AE318" s="1">
        <f t="shared" si="5"/>
        <v>432</v>
      </c>
      <c r="AF318" s="1">
        <v>32.0</v>
      </c>
      <c r="AG318" s="1">
        <v>16.0</v>
      </c>
      <c r="AH318" s="1">
        <v>12.0</v>
      </c>
      <c r="AI318" s="1">
        <v>8.0</v>
      </c>
      <c r="AJ318" s="1">
        <v>17.0</v>
      </c>
      <c r="AK318" s="1">
        <v>263.0</v>
      </c>
      <c r="AL318" s="1">
        <v>25.0</v>
      </c>
      <c r="AM318" s="1">
        <v>0.0</v>
      </c>
      <c r="AN318" s="1">
        <v>0.0</v>
      </c>
      <c r="AO318" s="1">
        <v>5.0</v>
      </c>
      <c r="AP318" s="1">
        <v>11.0</v>
      </c>
      <c r="AQ318" s="1">
        <v>0.0</v>
      </c>
    </row>
    <row r="319">
      <c r="A319" s="1"/>
      <c r="B319" s="1">
        <v>517.0</v>
      </c>
      <c r="C319" s="1" t="s">
        <v>3200</v>
      </c>
      <c r="D319" s="1" t="s">
        <v>3201</v>
      </c>
      <c r="E319" s="1" t="s">
        <v>1782</v>
      </c>
      <c r="F319" s="1" t="s">
        <v>43</v>
      </c>
      <c r="G319" s="2">
        <v>25700.0</v>
      </c>
      <c r="H319" s="1" t="s">
        <v>3202</v>
      </c>
      <c r="I319" s="1">
        <v>22.0</v>
      </c>
      <c r="J319" s="1" t="s">
        <v>1883</v>
      </c>
      <c r="K319" s="1">
        <v>4.0</v>
      </c>
      <c r="L319" s="2">
        <v>42907.0</v>
      </c>
      <c r="O319" s="1">
        <v>0.0</v>
      </c>
      <c r="P319" s="1" t="s">
        <v>75</v>
      </c>
      <c r="Q319" s="1" t="s">
        <v>76</v>
      </c>
      <c r="R319" s="1" t="s">
        <v>3203</v>
      </c>
      <c r="U319" s="1" t="s">
        <v>3204</v>
      </c>
      <c r="V319" s="1">
        <v>368.0</v>
      </c>
      <c r="W319" s="3" t="s">
        <v>3205</v>
      </c>
      <c r="X319" s="1">
        <v>719230.0</v>
      </c>
      <c r="Y319" s="1" t="s">
        <v>3206</v>
      </c>
      <c r="Z319" s="3" t="s">
        <v>3207</v>
      </c>
      <c r="AA319" s="3" t="s">
        <v>3208</v>
      </c>
      <c r="AB319" s="1">
        <v>2.0</v>
      </c>
      <c r="AC319" s="1" t="s">
        <v>3209</v>
      </c>
      <c r="AD319" s="1">
        <v>20.0</v>
      </c>
      <c r="AE319" s="1">
        <f t="shared" si="5"/>
        <v>432</v>
      </c>
      <c r="AF319" s="1">
        <v>42.0</v>
      </c>
      <c r="AG319" s="1">
        <v>11.0</v>
      </c>
      <c r="AH319" s="1">
        <v>3.0</v>
      </c>
      <c r="AI319" s="1">
        <v>1.0</v>
      </c>
      <c r="AJ319" s="1">
        <v>0.0</v>
      </c>
      <c r="AK319" s="1">
        <v>45.0</v>
      </c>
      <c r="AL319" s="1">
        <v>12.0</v>
      </c>
      <c r="AM319" s="1">
        <v>0.0</v>
      </c>
      <c r="AN319" s="1">
        <v>0.0</v>
      </c>
      <c r="AO319" s="1">
        <v>5.0</v>
      </c>
      <c r="AP319" s="1">
        <v>2.0</v>
      </c>
      <c r="AQ319" s="1">
        <v>2.0</v>
      </c>
    </row>
    <row r="320">
      <c r="A320" s="1"/>
      <c r="B320" s="1">
        <v>139.0</v>
      </c>
      <c r="C320" s="1" t="s">
        <v>3210</v>
      </c>
      <c r="D320" s="1" t="s">
        <v>3211</v>
      </c>
      <c r="E320" s="1" t="s">
        <v>425</v>
      </c>
      <c r="F320" s="1" t="s">
        <v>58</v>
      </c>
      <c r="G320" s="2">
        <v>21652.0</v>
      </c>
      <c r="H320" s="1" t="s">
        <v>1581</v>
      </c>
      <c r="I320" s="1">
        <v>75.0</v>
      </c>
      <c r="J320" s="1" t="s">
        <v>232</v>
      </c>
      <c r="K320" s="1">
        <v>4.0</v>
      </c>
      <c r="L320" s="2">
        <v>42907.0</v>
      </c>
      <c r="O320" s="1">
        <v>0.0</v>
      </c>
      <c r="P320" s="1" t="s">
        <v>61</v>
      </c>
      <c r="Q320" s="1" t="s">
        <v>62</v>
      </c>
      <c r="R320" s="1" t="s">
        <v>3212</v>
      </c>
      <c r="U320" s="1">
        <v>0.0</v>
      </c>
      <c r="V320" s="1">
        <v>138.0</v>
      </c>
      <c r="W320" s="3" t="s">
        <v>3213</v>
      </c>
      <c r="X320" s="1">
        <v>721506.0</v>
      </c>
      <c r="Y320" s="1" t="s">
        <v>3214</v>
      </c>
      <c r="Z320" s="3" t="s">
        <v>3215</v>
      </c>
      <c r="AA320" s="3" t="s">
        <v>3216</v>
      </c>
      <c r="AB320" s="1">
        <v>2.0</v>
      </c>
      <c r="AC320" s="1" t="s">
        <v>3217</v>
      </c>
      <c r="AD320" s="1">
        <v>20.0</v>
      </c>
      <c r="AE320" s="1">
        <f t="shared" si="5"/>
        <v>432</v>
      </c>
      <c r="AF320" s="1">
        <v>26.0</v>
      </c>
      <c r="AG320" s="1">
        <v>35.0</v>
      </c>
      <c r="AH320" s="1">
        <v>51.0</v>
      </c>
      <c r="AI320" s="1">
        <v>22.0</v>
      </c>
      <c r="AJ320" s="1">
        <v>31.0</v>
      </c>
      <c r="AK320" s="1">
        <v>467.0</v>
      </c>
      <c r="AL320" s="1">
        <v>17.0</v>
      </c>
      <c r="AM320" s="1">
        <v>1.0</v>
      </c>
      <c r="AN320" s="1">
        <v>4.0</v>
      </c>
      <c r="AO320" s="1">
        <v>43.0</v>
      </c>
      <c r="AP320" s="1">
        <v>19.0</v>
      </c>
      <c r="AQ320" s="1">
        <v>2.0</v>
      </c>
    </row>
    <row r="321">
      <c r="A321" s="1"/>
      <c r="B321" s="1">
        <v>486.0</v>
      </c>
      <c r="C321" s="1" t="s">
        <v>3218</v>
      </c>
      <c r="D321" s="1" t="s">
        <v>3219</v>
      </c>
      <c r="E321" s="1" t="s">
        <v>206</v>
      </c>
      <c r="F321" s="1" t="s">
        <v>43</v>
      </c>
      <c r="G321" s="2">
        <v>19875.0</v>
      </c>
      <c r="H321" s="1" t="s">
        <v>3220</v>
      </c>
      <c r="I321" s="1">
        <v>1.0</v>
      </c>
      <c r="J321" s="1" t="s">
        <v>88</v>
      </c>
      <c r="K321" s="1">
        <v>2.0</v>
      </c>
      <c r="L321" s="2">
        <v>42907.0</v>
      </c>
      <c r="O321" s="1">
        <v>0.0</v>
      </c>
      <c r="P321" s="1" t="s">
        <v>61</v>
      </c>
      <c r="Q321" s="1" t="s">
        <v>62</v>
      </c>
      <c r="R321" s="1" t="s">
        <v>3221</v>
      </c>
      <c r="U321" s="1" t="s">
        <v>3222</v>
      </c>
      <c r="V321" s="1">
        <v>26.0</v>
      </c>
      <c r="W321" s="3" t="s">
        <v>3223</v>
      </c>
      <c r="X321" s="1">
        <v>1012.0</v>
      </c>
      <c r="Y321" s="1" t="s">
        <v>3224</v>
      </c>
      <c r="Z321" s="3" t="s">
        <v>3225</v>
      </c>
      <c r="AA321" s="3" t="s">
        <v>3226</v>
      </c>
      <c r="AB321" s="1">
        <v>1.0</v>
      </c>
      <c r="AC321" s="1" t="s">
        <v>3227</v>
      </c>
      <c r="AD321" s="1">
        <v>20.0</v>
      </c>
      <c r="AE321" s="1">
        <f t="shared" si="5"/>
        <v>432</v>
      </c>
      <c r="AF321" s="1">
        <v>29.0</v>
      </c>
      <c r="AG321" s="1">
        <v>21.0</v>
      </c>
      <c r="AH321" s="1">
        <v>22.0</v>
      </c>
      <c r="AI321" s="1">
        <v>43.0</v>
      </c>
      <c r="AJ321" s="1">
        <v>2.0</v>
      </c>
      <c r="AK321" s="1">
        <v>867.0</v>
      </c>
      <c r="AL321" s="1">
        <v>30.0</v>
      </c>
      <c r="AM321" s="1">
        <v>0.0</v>
      </c>
      <c r="AN321" s="1">
        <v>4.0</v>
      </c>
      <c r="AO321" s="1">
        <v>42.0</v>
      </c>
      <c r="AP321" s="1">
        <v>20.0</v>
      </c>
      <c r="AQ321" s="1">
        <v>2.0</v>
      </c>
    </row>
    <row r="322">
      <c r="A322" s="1"/>
      <c r="B322" s="1">
        <v>335.0</v>
      </c>
      <c r="C322" s="1" t="s">
        <v>3228</v>
      </c>
      <c r="D322" s="1" t="s">
        <v>3229</v>
      </c>
      <c r="E322" s="1" t="s">
        <v>629</v>
      </c>
      <c r="F322" s="1" t="s">
        <v>58</v>
      </c>
      <c r="G322" s="2">
        <v>24044.0</v>
      </c>
      <c r="H322" s="1" t="s">
        <v>3230</v>
      </c>
      <c r="I322" s="1">
        <v>77.0</v>
      </c>
      <c r="J322" s="1" t="s">
        <v>503</v>
      </c>
      <c r="K322" s="1">
        <v>2.0</v>
      </c>
      <c r="L322" s="2">
        <v>42907.0</v>
      </c>
      <c r="O322" s="1">
        <v>0.0</v>
      </c>
      <c r="P322" s="1" t="s">
        <v>61</v>
      </c>
      <c r="Q322" s="1" t="s">
        <v>62</v>
      </c>
      <c r="R322" s="1" t="s">
        <v>3231</v>
      </c>
      <c r="U322" s="1" t="s">
        <v>526</v>
      </c>
      <c r="V322" s="1">
        <v>15.0</v>
      </c>
      <c r="W322" s="3" t="s">
        <v>3232</v>
      </c>
      <c r="X322" s="1">
        <v>609245.0</v>
      </c>
      <c r="Y322" s="1" t="s">
        <v>3233</v>
      </c>
      <c r="Z322" s="3" t="s">
        <v>3234</v>
      </c>
      <c r="AA322" s="3" t="s">
        <v>3235</v>
      </c>
      <c r="AB322" s="1">
        <v>2.0</v>
      </c>
      <c r="AC322" s="1" t="s">
        <v>3236</v>
      </c>
      <c r="AD322" s="1">
        <v>20.0</v>
      </c>
      <c r="AE322" s="1">
        <f t="shared" si="5"/>
        <v>432</v>
      </c>
      <c r="AF322" s="1">
        <v>30.0</v>
      </c>
      <c r="AG322" s="1">
        <v>19.0</v>
      </c>
      <c r="AH322" s="1">
        <v>67.0</v>
      </c>
      <c r="AI322" s="1">
        <v>49.0</v>
      </c>
      <c r="AJ322" s="1">
        <v>74.0</v>
      </c>
      <c r="AK322" s="1">
        <v>939.0</v>
      </c>
      <c r="AL322" s="1">
        <v>48.0</v>
      </c>
      <c r="AM322" s="1">
        <v>0.0</v>
      </c>
      <c r="AN322" s="1">
        <v>0.0</v>
      </c>
      <c r="AO322" s="1">
        <v>63.0</v>
      </c>
      <c r="AP322" s="1">
        <v>22.0</v>
      </c>
      <c r="AQ322" s="1">
        <v>3.0</v>
      </c>
    </row>
    <row r="323">
      <c r="A323" s="1"/>
      <c r="B323" s="1">
        <v>501.0</v>
      </c>
      <c r="C323" s="1" t="s">
        <v>3237</v>
      </c>
      <c r="D323" s="1" t="s">
        <v>3238</v>
      </c>
      <c r="E323" s="1" t="s">
        <v>705</v>
      </c>
      <c r="F323" s="1" t="s">
        <v>43</v>
      </c>
      <c r="G323" s="2">
        <v>21437.0</v>
      </c>
      <c r="H323" s="1" t="s">
        <v>3239</v>
      </c>
      <c r="I323" s="1">
        <v>31.0</v>
      </c>
      <c r="J323" s="1" t="s">
        <v>360</v>
      </c>
      <c r="K323" s="1">
        <v>2.0</v>
      </c>
      <c r="L323" s="2">
        <v>42907.0</v>
      </c>
      <c r="O323" s="1">
        <v>0.0</v>
      </c>
      <c r="P323" s="1" t="s">
        <v>280</v>
      </c>
      <c r="Q323" s="1" t="s">
        <v>281</v>
      </c>
      <c r="R323" s="1" t="s">
        <v>3240</v>
      </c>
      <c r="U323" s="1" t="s">
        <v>3241</v>
      </c>
      <c r="V323" s="1">
        <v>186.0</v>
      </c>
      <c r="W323" s="3" t="s">
        <v>3242</v>
      </c>
      <c r="X323" s="1">
        <v>719504.0</v>
      </c>
      <c r="Y323" s="1" t="s">
        <v>3243</v>
      </c>
      <c r="Z323" s="3" t="s">
        <v>3244</v>
      </c>
      <c r="AA323" s="3" t="s">
        <v>3245</v>
      </c>
      <c r="AB323" s="1">
        <v>2.0</v>
      </c>
      <c r="AC323" s="1" t="s">
        <v>3246</v>
      </c>
      <c r="AD323" s="1">
        <v>20.0</v>
      </c>
      <c r="AE323" s="1">
        <f t="shared" si="5"/>
        <v>432</v>
      </c>
      <c r="AF323" s="1">
        <v>26.0</v>
      </c>
      <c r="AG323" s="1">
        <v>14.0</v>
      </c>
      <c r="AH323" s="1">
        <v>4.0</v>
      </c>
      <c r="AI323" s="1">
        <v>4.0</v>
      </c>
      <c r="AJ323" s="1">
        <v>28.0</v>
      </c>
      <c r="AK323" s="1">
        <v>194.0</v>
      </c>
      <c r="AL323" s="1">
        <v>18.0</v>
      </c>
      <c r="AM323" s="1">
        <v>0.0</v>
      </c>
      <c r="AN323" s="1">
        <v>0.0</v>
      </c>
      <c r="AO323" s="1">
        <v>5.0</v>
      </c>
      <c r="AP323" s="1">
        <v>39.0</v>
      </c>
      <c r="AQ323" s="1">
        <v>2.0</v>
      </c>
    </row>
    <row r="324">
      <c r="A324" s="1"/>
      <c r="B324" s="1">
        <v>383.0</v>
      </c>
      <c r="C324" s="1" t="s">
        <v>3247</v>
      </c>
      <c r="D324" s="1" t="s">
        <v>3248</v>
      </c>
      <c r="E324" s="1" t="s">
        <v>3249</v>
      </c>
      <c r="F324" s="1" t="s">
        <v>58</v>
      </c>
      <c r="G324" s="2">
        <v>24351.0</v>
      </c>
      <c r="H324" s="1" t="s">
        <v>3250</v>
      </c>
      <c r="I324" s="1">
        <v>74.0</v>
      </c>
      <c r="J324" s="1" t="s">
        <v>1441</v>
      </c>
      <c r="K324" s="1">
        <v>2.0</v>
      </c>
      <c r="L324" s="2">
        <v>42907.0</v>
      </c>
      <c r="O324" s="1">
        <v>0.0</v>
      </c>
      <c r="P324" s="1" t="s">
        <v>75</v>
      </c>
      <c r="Q324" s="1" t="s">
        <v>76</v>
      </c>
      <c r="R324" s="1" t="s">
        <v>3251</v>
      </c>
      <c r="U324" s="1" t="s">
        <v>1107</v>
      </c>
      <c r="V324" s="1">
        <v>480.0</v>
      </c>
      <c r="W324" s="3" t="s">
        <v>3252</v>
      </c>
      <c r="X324" s="1">
        <v>721434.0</v>
      </c>
      <c r="Y324" s="1" t="s">
        <v>3253</v>
      </c>
      <c r="Z324" s="3" t="s">
        <v>3254</v>
      </c>
      <c r="AA324" s="3" t="s">
        <v>3255</v>
      </c>
      <c r="AB324" s="1">
        <v>1.0</v>
      </c>
      <c r="AC324" s="1" t="s">
        <v>3256</v>
      </c>
      <c r="AD324" s="1">
        <v>20.0</v>
      </c>
      <c r="AE324" s="1">
        <f t="shared" si="5"/>
        <v>432</v>
      </c>
      <c r="AF324" s="1">
        <v>39.0</v>
      </c>
      <c r="AG324" s="1">
        <v>16.0</v>
      </c>
      <c r="AH324" s="1">
        <v>4.0</v>
      </c>
      <c r="AI324" s="1">
        <v>0.0</v>
      </c>
      <c r="AJ324" s="1">
        <v>16.0</v>
      </c>
      <c r="AK324" s="1">
        <v>48.0</v>
      </c>
      <c r="AL324" s="1">
        <v>3.0</v>
      </c>
      <c r="AM324" s="1">
        <v>1.0</v>
      </c>
      <c r="AN324" s="1">
        <v>0.0</v>
      </c>
      <c r="AO324" s="1">
        <v>5.0</v>
      </c>
      <c r="AP324" s="1">
        <v>7.0</v>
      </c>
      <c r="AQ324" s="1">
        <v>0.0</v>
      </c>
    </row>
    <row r="325">
      <c r="A325" s="1"/>
      <c r="B325" s="1">
        <v>201.0</v>
      </c>
      <c r="C325" s="1" t="s">
        <v>3257</v>
      </c>
      <c r="D325" s="1" t="s">
        <v>3258</v>
      </c>
      <c r="E325" s="1" t="s">
        <v>810</v>
      </c>
      <c r="F325" s="1" t="s">
        <v>43</v>
      </c>
      <c r="G325" s="2">
        <v>24341.0</v>
      </c>
      <c r="H325" s="1" t="s">
        <v>2826</v>
      </c>
      <c r="I325" s="1">
        <v>9.0</v>
      </c>
      <c r="J325" s="1" t="s">
        <v>3259</v>
      </c>
      <c r="K325" s="1">
        <v>2.0</v>
      </c>
      <c r="L325" s="2">
        <v>42907.0</v>
      </c>
      <c r="O325" s="1">
        <v>0.0</v>
      </c>
      <c r="P325" s="1" t="s">
        <v>173</v>
      </c>
      <c r="Q325" s="1" t="s">
        <v>174</v>
      </c>
      <c r="R325" s="1" t="s">
        <v>3260</v>
      </c>
      <c r="U325" s="1" t="s">
        <v>373</v>
      </c>
      <c r="V325" s="1">
        <v>630.0</v>
      </c>
      <c r="W325" s="3" t="s">
        <v>3261</v>
      </c>
      <c r="X325" s="1">
        <v>718868.0</v>
      </c>
      <c r="Y325" s="1" t="s">
        <v>3262</v>
      </c>
      <c r="Z325" s="3" t="s">
        <v>3263</v>
      </c>
      <c r="AA325" s="3" t="s">
        <v>3264</v>
      </c>
      <c r="AB325" s="1">
        <v>1.0</v>
      </c>
      <c r="AC325" s="1" t="s">
        <v>3265</v>
      </c>
      <c r="AD325" s="1">
        <v>20.0</v>
      </c>
      <c r="AE325" s="1">
        <f t="shared" si="5"/>
        <v>432</v>
      </c>
      <c r="AF325" s="1">
        <v>37.0</v>
      </c>
      <c r="AG325" s="1">
        <v>73.0</v>
      </c>
      <c r="AH325" s="1">
        <v>69.0</v>
      </c>
      <c r="AI325" s="1">
        <v>14.0</v>
      </c>
      <c r="AJ325" s="1">
        <v>98.0</v>
      </c>
      <c r="AK325" s="1">
        <v>2061.0</v>
      </c>
      <c r="AL325" s="1">
        <v>32.0</v>
      </c>
      <c r="AM325" s="1">
        <v>0.0</v>
      </c>
      <c r="AN325" s="1">
        <v>0.0</v>
      </c>
      <c r="AO325" s="1">
        <v>12.0</v>
      </c>
      <c r="AP325" s="1">
        <v>14.0</v>
      </c>
      <c r="AQ325" s="1">
        <v>3.0</v>
      </c>
    </row>
    <row r="326">
      <c r="A326" s="1"/>
      <c r="B326" s="1">
        <v>424.0</v>
      </c>
      <c r="C326" s="1" t="s">
        <v>3266</v>
      </c>
      <c r="D326" s="1" t="s">
        <v>3267</v>
      </c>
      <c r="E326" s="1" t="s">
        <v>1540</v>
      </c>
      <c r="F326" s="1" t="s">
        <v>43</v>
      </c>
      <c r="G326" s="2">
        <v>21949.0</v>
      </c>
      <c r="H326" s="1" t="s">
        <v>2493</v>
      </c>
      <c r="I326" s="1">
        <v>72.0</v>
      </c>
      <c r="J326" s="1" t="s">
        <v>2494</v>
      </c>
      <c r="K326" s="1">
        <v>4.0</v>
      </c>
      <c r="L326" s="2">
        <v>42907.0</v>
      </c>
      <c r="O326" s="1">
        <v>0.0</v>
      </c>
      <c r="P326" s="1" t="s">
        <v>115</v>
      </c>
      <c r="Q326" s="1" t="s">
        <v>116</v>
      </c>
      <c r="R326" s="1" t="s">
        <v>3268</v>
      </c>
      <c r="U326" s="1" t="s">
        <v>1925</v>
      </c>
      <c r="V326" s="1">
        <v>580.0</v>
      </c>
      <c r="W326" s="3" t="s">
        <v>3269</v>
      </c>
      <c r="X326" s="1">
        <v>588886.0</v>
      </c>
      <c r="Y326" s="1" t="s">
        <v>3270</v>
      </c>
      <c r="Z326" s="3" t="s">
        <v>3271</v>
      </c>
      <c r="AA326" s="3" t="s">
        <v>3272</v>
      </c>
      <c r="AB326" s="1">
        <v>2.0</v>
      </c>
      <c r="AC326" s="1" t="s">
        <v>3273</v>
      </c>
      <c r="AD326" s="1">
        <v>20.0</v>
      </c>
      <c r="AE326" s="1">
        <f t="shared" si="5"/>
        <v>432</v>
      </c>
      <c r="AF326" s="1">
        <v>21.0</v>
      </c>
      <c r="AG326" s="1">
        <v>12.0</v>
      </c>
      <c r="AH326" s="1">
        <v>23.0</v>
      </c>
      <c r="AI326" s="1">
        <v>46.0</v>
      </c>
      <c r="AJ326" s="1">
        <v>1.0</v>
      </c>
      <c r="AK326" s="1">
        <v>1089.0</v>
      </c>
      <c r="AL326" s="1">
        <v>83.0</v>
      </c>
      <c r="AM326" s="1">
        <v>0.0</v>
      </c>
      <c r="AN326" s="1">
        <v>0.0</v>
      </c>
      <c r="AO326" s="1">
        <v>5.0</v>
      </c>
      <c r="AP326" s="1">
        <v>3.0</v>
      </c>
      <c r="AQ326" s="1">
        <v>2.0</v>
      </c>
    </row>
    <row r="327">
      <c r="A327" s="1"/>
      <c r="B327" s="1">
        <v>83.0</v>
      </c>
      <c r="C327" s="1" t="s">
        <v>3274</v>
      </c>
      <c r="D327" s="1" t="s">
        <v>3275</v>
      </c>
      <c r="E327" s="1" t="s">
        <v>2186</v>
      </c>
      <c r="F327" s="1" t="s">
        <v>58</v>
      </c>
      <c r="G327" s="2">
        <v>21069.0</v>
      </c>
      <c r="H327" s="1" t="s">
        <v>3276</v>
      </c>
      <c r="I327" s="1">
        <v>85.0</v>
      </c>
      <c r="J327" s="1" t="s">
        <v>1853</v>
      </c>
      <c r="K327" s="1">
        <v>4.0</v>
      </c>
      <c r="L327" s="2">
        <v>42907.0</v>
      </c>
      <c r="O327" s="1">
        <v>0.0</v>
      </c>
      <c r="P327" s="1" t="s">
        <v>75</v>
      </c>
      <c r="Q327" s="1" t="s">
        <v>76</v>
      </c>
      <c r="R327" s="1" t="s">
        <v>3277</v>
      </c>
      <c r="U327" s="1" t="s">
        <v>304</v>
      </c>
      <c r="V327" s="1">
        <v>360.0</v>
      </c>
      <c r="W327" s="3" t="s">
        <v>3278</v>
      </c>
      <c r="X327" s="1">
        <v>722008.0</v>
      </c>
      <c r="Y327" s="1" t="s">
        <v>3279</v>
      </c>
      <c r="Z327" s="3" t="s">
        <v>3280</v>
      </c>
      <c r="AA327" s="3" t="s">
        <v>3281</v>
      </c>
      <c r="AB327" s="1">
        <v>1.0</v>
      </c>
      <c r="AC327" s="1" t="s">
        <v>3282</v>
      </c>
      <c r="AD327" s="1">
        <v>20.0</v>
      </c>
      <c r="AE327" s="1">
        <f t="shared" si="5"/>
        <v>432</v>
      </c>
      <c r="AF327" s="1">
        <v>30.0</v>
      </c>
      <c r="AG327" s="1">
        <v>6.0</v>
      </c>
      <c r="AH327" s="1">
        <v>4.0</v>
      </c>
      <c r="AI327" s="1">
        <v>1.0</v>
      </c>
      <c r="AJ327" s="1">
        <v>0.0</v>
      </c>
      <c r="AK327" s="1">
        <v>24.0</v>
      </c>
      <c r="AL327" s="1">
        <v>8.0</v>
      </c>
      <c r="AM327" s="1">
        <v>0.0</v>
      </c>
      <c r="AN327" s="1">
        <v>0.0</v>
      </c>
      <c r="AO327" s="1">
        <v>5.0</v>
      </c>
      <c r="AP327" s="1">
        <v>1.0</v>
      </c>
      <c r="AQ327" s="1">
        <v>1.0</v>
      </c>
    </row>
    <row r="328">
      <c r="A328" s="1"/>
      <c r="B328" s="1">
        <v>502.0</v>
      </c>
      <c r="C328" s="1" t="s">
        <v>3283</v>
      </c>
      <c r="D328" s="1" t="s">
        <v>3284</v>
      </c>
      <c r="E328" s="1" t="s">
        <v>2707</v>
      </c>
      <c r="F328" s="1" t="s">
        <v>43</v>
      </c>
      <c r="G328" s="2">
        <v>21081.0</v>
      </c>
      <c r="H328" s="1" t="s">
        <v>3285</v>
      </c>
      <c r="I328" s="1">
        <v>57.0</v>
      </c>
      <c r="J328" s="1" t="s">
        <v>471</v>
      </c>
      <c r="K328" s="1">
        <v>3.0</v>
      </c>
      <c r="L328" s="2">
        <v>42907.0</v>
      </c>
      <c r="O328" s="1">
        <v>0.0</v>
      </c>
      <c r="P328" s="1" t="s">
        <v>75</v>
      </c>
      <c r="Q328" s="1" t="s">
        <v>76</v>
      </c>
      <c r="R328" s="1" t="s">
        <v>3286</v>
      </c>
      <c r="U328" s="1" t="s">
        <v>246</v>
      </c>
      <c r="V328" s="1">
        <v>325.0</v>
      </c>
      <c r="W328" s="3" t="s">
        <v>3287</v>
      </c>
      <c r="X328" s="1">
        <v>720378.0</v>
      </c>
      <c r="Y328" s="1" t="s">
        <v>3288</v>
      </c>
      <c r="Z328" s="3" t="s">
        <v>3289</v>
      </c>
      <c r="AA328" s="3" t="s">
        <v>3290</v>
      </c>
      <c r="AB328" s="1">
        <v>1.0</v>
      </c>
      <c r="AC328" s="1" t="s">
        <v>3291</v>
      </c>
      <c r="AD328" s="1">
        <v>20.0</v>
      </c>
      <c r="AE328" s="1">
        <f t="shared" si="5"/>
        <v>432</v>
      </c>
      <c r="AF328" s="1">
        <v>35.0</v>
      </c>
      <c r="AG328" s="1">
        <v>11.0</v>
      </c>
      <c r="AH328" s="1">
        <v>4.0</v>
      </c>
      <c r="AI328" s="1">
        <v>3.0</v>
      </c>
      <c r="AJ328" s="1">
        <v>0.0</v>
      </c>
      <c r="AK328" s="1">
        <v>61.0</v>
      </c>
      <c r="AL328" s="1">
        <v>25.0</v>
      </c>
      <c r="AM328" s="1">
        <v>1.0</v>
      </c>
      <c r="AN328" s="1">
        <v>0.0</v>
      </c>
      <c r="AO328" s="1">
        <v>5.0</v>
      </c>
      <c r="AP328" s="1">
        <v>0.0</v>
      </c>
      <c r="AQ328" s="1">
        <v>2.0</v>
      </c>
    </row>
    <row r="329">
      <c r="A329" s="1"/>
      <c r="B329" s="1">
        <v>376.0</v>
      </c>
      <c r="C329" s="1" t="s">
        <v>3292</v>
      </c>
      <c r="D329" s="1" t="s">
        <v>3293</v>
      </c>
      <c r="E329" s="1" t="s">
        <v>1801</v>
      </c>
      <c r="F329" s="1" t="s">
        <v>43</v>
      </c>
      <c r="G329" s="2">
        <v>22740.0</v>
      </c>
      <c r="H329" s="1" t="s">
        <v>3294</v>
      </c>
      <c r="I329" s="1">
        <v>92.0</v>
      </c>
      <c r="J329" s="1" t="s">
        <v>781</v>
      </c>
      <c r="K329" s="1">
        <v>8.0</v>
      </c>
      <c r="L329" s="2">
        <v>42907.0</v>
      </c>
      <c r="O329" s="1">
        <v>0.0</v>
      </c>
      <c r="P329" s="1" t="s">
        <v>75</v>
      </c>
      <c r="Q329" s="1" t="s">
        <v>76</v>
      </c>
      <c r="R329" s="1" t="s">
        <v>3295</v>
      </c>
      <c r="U329" s="1" t="s">
        <v>118</v>
      </c>
      <c r="V329" s="1">
        <v>297.0</v>
      </c>
      <c r="W329" s="3" t="s">
        <v>3296</v>
      </c>
      <c r="X329" s="1">
        <v>722178.0</v>
      </c>
      <c r="Y329" s="1" t="s">
        <v>3297</v>
      </c>
      <c r="Z329" s="3" t="s">
        <v>3298</v>
      </c>
      <c r="AA329" s="3" t="s">
        <v>3299</v>
      </c>
      <c r="AB329" s="1">
        <v>1.0</v>
      </c>
      <c r="AC329" s="1" t="s">
        <v>3300</v>
      </c>
      <c r="AD329" s="1">
        <v>20.0</v>
      </c>
      <c r="AE329" s="1">
        <f t="shared" si="5"/>
        <v>432</v>
      </c>
      <c r="AF329" s="1">
        <v>35.0</v>
      </c>
      <c r="AG329" s="1">
        <v>27.0</v>
      </c>
      <c r="AH329" s="1">
        <v>22.0</v>
      </c>
      <c r="AI329" s="1">
        <v>2.0</v>
      </c>
      <c r="AJ329" s="1">
        <v>0.0</v>
      </c>
      <c r="AK329" s="1">
        <v>19.0</v>
      </c>
      <c r="AL329" s="1">
        <v>8.0</v>
      </c>
      <c r="AM329" s="1">
        <v>0.0</v>
      </c>
      <c r="AN329" s="1">
        <v>0.0</v>
      </c>
      <c r="AO329" s="1">
        <v>6.0</v>
      </c>
      <c r="AP329" s="1">
        <v>4.0</v>
      </c>
      <c r="AQ329" s="1">
        <v>1.0</v>
      </c>
    </row>
    <row r="330">
      <c r="A330" s="1"/>
      <c r="B330" s="1">
        <v>324.0</v>
      </c>
      <c r="C330" s="1" t="s">
        <v>3301</v>
      </c>
      <c r="D330" s="1" t="s">
        <v>3302</v>
      </c>
      <c r="E330" s="1" t="s">
        <v>3303</v>
      </c>
      <c r="F330" s="1" t="s">
        <v>43</v>
      </c>
      <c r="G330" s="2">
        <v>24991.0</v>
      </c>
      <c r="H330" s="1" t="s">
        <v>3304</v>
      </c>
      <c r="I330" s="1">
        <v>80.0</v>
      </c>
      <c r="J330" s="1" t="s">
        <v>1148</v>
      </c>
      <c r="K330" s="1">
        <v>3.0</v>
      </c>
      <c r="L330" s="2">
        <v>42907.0</v>
      </c>
      <c r="O330" s="1">
        <v>0.0</v>
      </c>
      <c r="P330" s="1" t="s">
        <v>61</v>
      </c>
      <c r="Q330" s="1" t="s">
        <v>62</v>
      </c>
      <c r="R330" s="1" t="s">
        <v>3305</v>
      </c>
      <c r="U330" s="1" t="s">
        <v>3306</v>
      </c>
      <c r="V330" s="1">
        <v>49.0</v>
      </c>
      <c r="W330" s="3" t="s">
        <v>3307</v>
      </c>
      <c r="X330" s="1">
        <v>346054.0</v>
      </c>
      <c r="Y330" s="1" t="s">
        <v>3308</v>
      </c>
      <c r="Z330" s="3" t="s">
        <v>3309</v>
      </c>
      <c r="AA330" s="3" t="s">
        <v>3310</v>
      </c>
      <c r="AB330" s="1">
        <v>1.0</v>
      </c>
      <c r="AC330" s="1" t="s">
        <v>3311</v>
      </c>
      <c r="AD330" s="1">
        <v>20.0</v>
      </c>
      <c r="AE330" s="1">
        <f t="shared" si="5"/>
        <v>432</v>
      </c>
      <c r="AF330" s="1">
        <v>38.0</v>
      </c>
      <c r="AG330" s="1">
        <v>23.0</v>
      </c>
      <c r="AH330" s="1">
        <v>14.0</v>
      </c>
      <c r="AI330" s="1">
        <v>5.0</v>
      </c>
      <c r="AJ330" s="1">
        <v>55.0</v>
      </c>
      <c r="AK330" s="1">
        <v>564.0</v>
      </c>
      <c r="AL330" s="1">
        <v>25.0</v>
      </c>
      <c r="AM330" s="1">
        <v>0.0</v>
      </c>
      <c r="AN330" s="1">
        <v>0.0</v>
      </c>
      <c r="AO330" s="1">
        <v>15.0</v>
      </c>
      <c r="AP330" s="1">
        <v>12.0</v>
      </c>
      <c r="AQ330" s="1">
        <v>2.0</v>
      </c>
    </row>
    <row r="331">
      <c r="A331" s="1"/>
      <c r="B331" s="1">
        <v>68.0</v>
      </c>
      <c r="C331" s="1" t="s">
        <v>3312</v>
      </c>
      <c r="D331" s="1" t="s">
        <v>3313</v>
      </c>
      <c r="E331" s="1" t="s">
        <v>2109</v>
      </c>
      <c r="F331" s="1" t="s">
        <v>43</v>
      </c>
      <c r="G331" s="2">
        <v>29687.0</v>
      </c>
      <c r="H331" s="1" t="s">
        <v>437</v>
      </c>
      <c r="I331" s="1">
        <v>49.0</v>
      </c>
      <c r="J331" s="1" t="s">
        <v>220</v>
      </c>
      <c r="K331" s="1">
        <v>5.0</v>
      </c>
      <c r="L331" s="2">
        <v>42907.0</v>
      </c>
      <c r="O331" s="1">
        <v>0.0</v>
      </c>
      <c r="P331" s="1" t="s">
        <v>75</v>
      </c>
      <c r="Q331" s="1" t="s">
        <v>76</v>
      </c>
      <c r="R331" s="1" t="s">
        <v>3314</v>
      </c>
      <c r="U331" s="1" t="s">
        <v>3315</v>
      </c>
      <c r="V331" s="1">
        <v>377.0</v>
      </c>
      <c r="W331" s="3" t="s">
        <v>3316</v>
      </c>
      <c r="X331" s="1">
        <v>720146.0</v>
      </c>
      <c r="Y331" s="1" t="s">
        <v>3317</v>
      </c>
      <c r="Z331" s="3" t="s">
        <v>3318</v>
      </c>
      <c r="AA331" s="3" t="s">
        <v>3319</v>
      </c>
      <c r="AB331" s="1">
        <v>1.0</v>
      </c>
      <c r="AC331" s="1" t="s">
        <v>3320</v>
      </c>
      <c r="AD331" s="1">
        <v>20.0</v>
      </c>
      <c r="AE331" s="1">
        <f t="shared" si="5"/>
        <v>432</v>
      </c>
      <c r="AF331" s="1">
        <v>37.0</v>
      </c>
      <c r="AG331" s="1">
        <v>10.0</v>
      </c>
      <c r="AH331" s="1">
        <v>11.0</v>
      </c>
      <c r="AI331" s="1">
        <v>2.0</v>
      </c>
      <c r="AJ331" s="1">
        <v>2.0</v>
      </c>
      <c r="AK331" s="1">
        <v>41.0</v>
      </c>
      <c r="AL331" s="1">
        <v>15.0</v>
      </c>
      <c r="AM331" s="1">
        <v>0.0</v>
      </c>
      <c r="AN331" s="1">
        <v>0.0</v>
      </c>
      <c r="AO331" s="1">
        <v>5.0</v>
      </c>
      <c r="AP331" s="1">
        <v>2.0</v>
      </c>
      <c r="AQ331" s="1">
        <v>3.0</v>
      </c>
    </row>
    <row r="332">
      <c r="A332" s="1"/>
      <c r="B332" s="1">
        <v>189.0</v>
      </c>
      <c r="C332" s="1" t="s">
        <v>3321</v>
      </c>
      <c r="D332" s="1" t="s">
        <v>3322</v>
      </c>
      <c r="E332" s="1" t="s">
        <v>2638</v>
      </c>
      <c r="F332" s="1" t="s">
        <v>43</v>
      </c>
      <c r="G332" s="2">
        <v>31878.0</v>
      </c>
      <c r="H332" s="1" t="s">
        <v>1802</v>
      </c>
      <c r="I332" s="1">
        <v>57.0</v>
      </c>
      <c r="J332" s="1" t="s">
        <v>471</v>
      </c>
      <c r="K332" s="1">
        <v>2.0</v>
      </c>
      <c r="L332" s="2">
        <v>42907.0</v>
      </c>
      <c r="O332" s="1">
        <v>0.0</v>
      </c>
      <c r="P332" s="1" t="s">
        <v>75</v>
      </c>
      <c r="Q332" s="1" t="s">
        <v>76</v>
      </c>
      <c r="R332" s="1" t="s">
        <v>3323</v>
      </c>
      <c r="U332" s="1" t="s">
        <v>234</v>
      </c>
      <c r="V332" s="1">
        <v>232.0</v>
      </c>
      <c r="W332" s="3" t="s">
        <v>3324</v>
      </c>
      <c r="X332" s="1">
        <v>720370.0</v>
      </c>
      <c r="Y332" s="1" t="s">
        <v>3325</v>
      </c>
      <c r="Z332" s="3" t="s">
        <v>3326</v>
      </c>
      <c r="AA332" s="3" t="s">
        <v>3327</v>
      </c>
      <c r="AB332" s="1">
        <v>1.0</v>
      </c>
      <c r="AC332" s="1" t="s">
        <v>3328</v>
      </c>
      <c r="AD332" s="1">
        <v>20.0</v>
      </c>
      <c r="AE332" s="1">
        <f t="shared" si="5"/>
        <v>432</v>
      </c>
      <c r="AF332" s="1">
        <v>39.0</v>
      </c>
      <c r="AG332" s="1">
        <v>35.0</v>
      </c>
      <c r="AH332" s="1">
        <v>21.0</v>
      </c>
      <c r="AI332" s="1">
        <v>13.0</v>
      </c>
      <c r="AJ332" s="1">
        <v>0.0</v>
      </c>
      <c r="AK332" s="1">
        <v>15.0</v>
      </c>
      <c r="AL332" s="1">
        <v>7.0</v>
      </c>
      <c r="AM332" s="1">
        <v>0.0</v>
      </c>
      <c r="AN332" s="1">
        <v>0.0</v>
      </c>
      <c r="AO332" s="1">
        <v>6.0</v>
      </c>
      <c r="AP332" s="1">
        <v>0.0</v>
      </c>
      <c r="AQ332" s="1">
        <v>1.0</v>
      </c>
    </row>
    <row r="333">
      <c r="A333" s="1"/>
      <c r="B333" s="1">
        <v>124.0</v>
      </c>
      <c r="C333" s="1" t="s">
        <v>3329</v>
      </c>
      <c r="D333" s="1" t="s">
        <v>3330</v>
      </c>
      <c r="E333" s="1" t="s">
        <v>42</v>
      </c>
      <c r="F333" s="1" t="s">
        <v>43</v>
      </c>
      <c r="G333" s="2">
        <v>25268.0</v>
      </c>
      <c r="H333" s="1" t="s">
        <v>3331</v>
      </c>
      <c r="I333" s="1">
        <v>83.0</v>
      </c>
      <c r="J333" s="1" t="s">
        <v>1231</v>
      </c>
      <c r="K333" s="1">
        <v>5.0</v>
      </c>
      <c r="L333" s="2">
        <v>42907.0</v>
      </c>
      <c r="O333" s="1">
        <v>0.0</v>
      </c>
      <c r="P333" s="1" t="s">
        <v>280</v>
      </c>
      <c r="Q333" s="1" t="s">
        <v>281</v>
      </c>
      <c r="R333" s="1" t="s">
        <v>3332</v>
      </c>
      <c r="U333" s="1" t="s">
        <v>1386</v>
      </c>
      <c r="V333" s="1">
        <v>259.0</v>
      </c>
      <c r="W333" s="3" t="s">
        <v>3333</v>
      </c>
      <c r="X333" s="1">
        <v>721734.0</v>
      </c>
      <c r="Y333" s="1" t="s">
        <v>3334</v>
      </c>
      <c r="Z333" s="3" t="s">
        <v>3335</v>
      </c>
      <c r="AA333" s="3" t="s">
        <v>3336</v>
      </c>
      <c r="AB333" s="1">
        <v>1.0</v>
      </c>
      <c r="AC333" s="1" t="s">
        <v>3337</v>
      </c>
      <c r="AD333" s="1">
        <v>20.0</v>
      </c>
      <c r="AE333" s="1">
        <f t="shared" si="5"/>
        <v>432</v>
      </c>
      <c r="AF333" s="1">
        <v>34.0</v>
      </c>
      <c r="AG333" s="1">
        <v>12.0</v>
      </c>
      <c r="AH333" s="1">
        <v>13.0</v>
      </c>
      <c r="AI333" s="1">
        <v>8.0</v>
      </c>
      <c r="AJ333" s="1">
        <v>0.0</v>
      </c>
      <c r="AK333" s="1">
        <v>181.0</v>
      </c>
      <c r="AL333" s="1">
        <v>16.0</v>
      </c>
      <c r="AM333" s="1">
        <v>1.0</v>
      </c>
      <c r="AN333" s="1">
        <v>1.0</v>
      </c>
      <c r="AO333" s="1">
        <v>7.0</v>
      </c>
      <c r="AP333" s="1">
        <v>2.0</v>
      </c>
      <c r="AQ333" s="1">
        <v>0.0</v>
      </c>
    </row>
    <row r="334">
      <c r="A334" s="1"/>
      <c r="B334" s="1">
        <v>568.0</v>
      </c>
      <c r="C334" s="1" t="s">
        <v>3338</v>
      </c>
      <c r="D334" s="1" t="s">
        <v>3339</v>
      </c>
      <c r="E334" s="1" t="s">
        <v>3340</v>
      </c>
      <c r="F334" s="1" t="s">
        <v>58</v>
      </c>
      <c r="G334" s="2">
        <v>22598.0</v>
      </c>
      <c r="H334" s="1" t="s">
        <v>3341</v>
      </c>
      <c r="I334" s="1">
        <v>31.0</v>
      </c>
      <c r="J334" s="1" t="s">
        <v>360</v>
      </c>
      <c r="K334" s="1">
        <v>9.0</v>
      </c>
      <c r="L334" s="2">
        <v>42907.0</v>
      </c>
      <c r="O334" s="1">
        <v>0.0</v>
      </c>
      <c r="P334" s="1" t="s">
        <v>75</v>
      </c>
      <c r="Q334" s="1" t="s">
        <v>76</v>
      </c>
      <c r="R334" s="1" t="s">
        <v>3342</v>
      </c>
      <c r="U334" s="1" t="s">
        <v>1254</v>
      </c>
      <c r="V334" s="1">
        <v>278.0</v>
      </c>
      <c r="W334" s="3" t="s">
        <v>3343</v>
      </c>
      <c r="X334" s="1">
        <v>719456.0</v>
      </c>
      <c r="Y334" s="1" t="s">
        <v>3344</v>
      </c>
      <c r="Z334" s="3" t="s">
        <v>3345</v>
      </c>
      <c r="AA334" s="3" t="s">
        <v>3346</v>
      </c>
      <c r="AB334" s="1">
        <v>1.0</v>
      </c>
      <c r="AC334" s="1" t="s">
        <v>3347</v>
      </c>
      <c r="AD334" s="1">
        <v>20.0</v>
      </c>
      <c r="AE334" s="1">
        <f t="shared" si="5"/>
        <v>432</v>
      </c>
      <c r="AF334" s="1">
        <v>50.0</v>
      </c>
      <c r="AG334" s="1">
        <v>29.0</v>
      </c>
      <c r="AH334" s="1">
        <v>11.0</v>
      </c>
      <c r="AI334" s="1">
        <v>1.0</v>
      </c>
      <c r="AJ334" s="1">
        <v>6.0</v>
      </c>
      <c r="AK334" s="1">
        <v>122.0</v>
      </c>
      <c r="AL334" s="1">
        <v>48.0</v>
      </c>
      <c r="AM334" s="1">
        <v>0.0</v>
      </c>
      <c r="AN334" s="1">
        <v>0.0</v>
      </c>
      <c r="AO334" s="1">
        <v>5.0</v>
      </c>
      <c r="AP334" s="1">
        <v>1.0</v>
      </c>
      <c r="AQ334" s="1">
        <v>1.0</v>
      </c>
    </row>
    <row r="335">
      <c r="A335" s="1"/>
      <c r="B335" s="1">
        <v>385.0</v>
      </c>
      <c r="C335" s="1" t="s">
        <v>3348</v>
      </c>
      <c r="D335" s="1" t="s">
        <v>3349</v>
      </c>
      <c r="E335" s="1" t="s">
        <v>835</v>
      </c>
      <c r="F335" s="1" t="s">
        <v>43</v>
      </c>
      <c r="G335" s="2">
        <v>26488.0</v>
      </c>
      <c r="H335" s="1" t="s">
        <v>3350</v>
      </c>
      <c r="I335" s="1">
        <v>31.0</v>
      </c>
      <c r="J335" s="1" t="s">
        <v>360</v>
      </c>
      <c r="K335" s="1">
        <v>10.0</v>
      </c>
      <c r="L335" s="2">
        <v>42907.0</v>
      </c>
      <c r="O335" s="1">
        <v>0.0</v>
      </c>
      <c r="P335" s="1" t="s">
        <v>75</v>
      </c>
      <c r="Q335" s="1" t="s">
        <v>76</v>
      </c>
      <c r="R335" s="1" t="s">
        <v>3351</v>
      </c>
      <c r="U335" s="1" t="s">
        <v>269</v>
      </c>
      <c r="V335" s="1">
        <v>343.0</v>
      </c>
      <c r="W335" s="3" t="s">
        <v>3352</v>
      </c>
      <c r="X335" s="1">
        <v>719464.0</v>
      </c>
      <c r="Y335" s="1" t="s">
        <v>3353</v>
      </c>
      <c r="Z335" s="3" t="s">
        <v>3354</v>
      </c>
      <c r="AA335" s="3" t="s">
        <v>3355</v>
      </c>
      <c r="AB335" s="1">
        <v>1.0</v>
      </c>
      <c r="AC335" s="1" t="s">
        <v>3356</v>
      </c>
      <c r="AD335" s="1">
        <v>20.0</v>
      </c>
      <c r="AE335" s="1">
        <f t="shared" si="5"/>
        <v>432</v>
      </c>
      <c r="AF335" s="1">
        <v>31.0</v>
      </c>
      <c r="AG335" s="1">
        <v>3.0</v>
      </c>
      <c r="AH335" s="1">
        <v>3.0</v>
      </c>
      <c r="AI335" s="1">
        <v>0.0</v>
      </c>
      <c r="AJ335" s="1">
        <v>0.0</v>
      </c>
      <c r="AK335" s="1">
        <v>26.0</v>
      </c>
      <c r="AL335" s="1">
        <v>8.0</v>
      </c>
      <c r="AM335" s="1">
        <v>0.0</v>
      </c>
      <c r="AN335" s="1">
        <v>0.0</v>
      </c>
      <c r="AO335" s="1">
        <v>8.0</v>
      </c>
      <c r="AP335" s="1">
        <v>11.0</v>
      </c>
      <c r="AQ335" s="1">
        <v>2.0</v>
      </c>
    </row>
    <row r="336">
      <c r="A336" s="1"/>
      <c r="B336" s="1">
        <v>384.0</v>
      </c>
      <c r="C336" s="1" t="s">
        <v>3357</v>
      </c>
      <c r="D336" s="1" t="s">
        <v>3358</v>
      </c>
      <c r="E336" s="1" t="s">
        <v>3056</v>
      </c>
      <c r="F336" s="1" t="s">
        <v>43</v>
      </c>
      <c r="G336" s="2">
        <v>21940.0</v>
      </c>
      <c r="H336" s="1" t="s">
        <v>3359</v>
      </c>
      <c r="I336" s="1">
        <v>77.0</v>
      </c>
      <c r="J336" s="1" t="s">
        <v>503</v>
      </c>
      <c r="K336" s="1">
        <v>6.0</v>
      </c>
      <c r="L336" s="2">
        <v>42907.0</v>
      </c>
      <c r="O336" s="1">
        <v>0.0</v>
      </c>
      <c r="P336" s="1" t="s">
        <v>61</v>
      </c>
      <c r="Q336" s="1" t="s">
        <v>62</v>
      </c>
      <c r="U336" s="1" t="s">
        <v>440</v>
      </c>
      <c r="V336" s="1">
        <v>32.0</v>
      </c>
      <c r="W336" s="3" t="s">
        <v>3360</v>
      </c>
      <c r="X336" s="1">
        <v>721636.0</v>
      </c>
      <c r="Y336" s="1" t="s">
        <v>3361</v>
      </c>
      <c r="Z336" s="3" t="s">
        <v>3362</v>
      </c>
      <c r="AA336" s="3" t="s">
        <v>3363</v>
      </c>
      <c r="AB336" s="1">
        <v>2.0</v>
      </c>
      <c r="AD336" s="1">
        <v>20.0</v>
      </c>
      <c r="AE336" s="1">
        <f t="shared" si="5"/>
        <v>432</v>
      </c>
      <c r="AF336" s="1">
        <v>26.0</v>
      </c>
      <c r="AG336" s="1">
        <v>1.0</v>
      </c>
      <c r="AH336" s="1">
        <v>4.0</v>
      </c>
      <c r="AI336" s="1">
        <v>7.0</v>
      </c>
      <c r="AJ336" s="1">
        <v>25.0</v>
      </c>
      <c r="AK336" s="1">
        <v>568.0</v>
      </c>
      <c r="AL336" s="1">
        <v>25.0</v>
      </c>
      <c r="AM336" s="1">
        <v>0.0</v>
      </c>
      <c r="AN336" s="1">
        <v>0.0</v>
      </c>
      <c r="AO336" s="1">
        <v>33.0</v>
      </c>
      <c r="AP336" s="1">
        <v>12.0</v>
      </c>
      <c r="AQ336" s="1">
        <v>1.0</v>
      </c>
    </row>
    <row r="337">
      <c r="A337" s="1"/>
      <c r="B337" s="1">
        <v>575.0</v>
      </c>
      <c r="C337" s="1" t="s">
        <v>3364</v>
      </c>
      <c r="D337" s="1" t="s">
        <v>3365</v>
      </c>
      <c r="E337" s="1" t="s">
        <v>148</v>
      </c>
      <c r="F337" s="1" t="s">
        <v>43</v>
      </c>
      <c r="G337" s="2">
        <v>25798.0</v>
      </c>
      <c r="H337" s="1" t="s">
        <v>3366</v>
      </c>
      <c r="I337" s="1">
        <v>6.0</v>
      </c>
      <c r="J337" s="1" t="s">
        <v>438</v>
      </c>
      <c r="K337" s="1">
        <v>7.0</v>
      </c>
      <c r="L337" s="2">
        <v>42907.0</v>
      </c>
      <c r="O337" s="1">
        <v>0.0</v>
      </c>
      <c r="P337" s="1" t="s">
        <v>61</v>
      </c>
      <c r="Q337" s="1" t="s">
        <v>62</v>
      </c>
      <c r="R337" s="1" t="s">
        <v>3367</v>
      </c>
      <c r="U337" s="1" t="s">
        <v>162</v>
      </c>
      <c r="V337" s="1">
        <v>149.0</v>
      </c>
      <c r="W337" s="3" t="s">
        <v>3368</v>
      </c>
      <c r="X337" s="1">
        <v>718784.0</v>
      </c>
      <c r="Y337" s="1" t="s">
        <v>3369</v>
      </c>
      <c r="Z337" s="3" t="s">
        <v>3370</v>
      </c>
      <c r="AA337" s="3" t="s">
        <v>3371</v>
      </c>
      <c r="AB337" s="1">
        <v>1.0</v>
      </c>
      <c r="AC337" s="1" t="s">
        <v>3372</v>
      </c>
      <c r="AD337" s="1">
        <v>20.0</v>
      </c>
      <c r="AE337" s="1">
        <f t="shared" si="5"/>
        <v>432</v>
      </c>
      <c r="AF337" s="1">
        <v>43.0</v>
      </c>
      <c r="AG337" s="1">
        <v>43.0</v>
      </c>
      <c r="AH337" s="1">
        <v>12.0</v>
      </c>
      <c r="AI337" s="1">
        <v>16.0</v>
      </c>
      <c r="AJ337" s="1">
        <v>75.0</v>
      </c>
      <c r="AK337" s="1">
        <v>390.0</v>
      </c>
      <c r="AL337" s="1">
        <v>26.0</v>
      </c>
      <c r="AM337" s="1">
        <v>1.0</v>
      </c>
      <c r="AN337" s="1">
        <v>3.0</v>
      </c>
      <c r="AO337" s="1">
        <v>41.0</v>
      </c>
      <c r="AP337" s="1">
        <v>16.0</v>
      </c>
      <c r="AQ337" s="1">
        <v>1.0</v>
      </c>
    </row>
    <row r="338">
      <c r="A338" s="1"/>
      <c r="B338" s="1">
        <v>153.0</v>
      </c>
      <c r="C338" s="1" t="s">
        <v>3373</v>
      </c>
      <c r="D338" s="1" t="s">
        <v>3374</v>
      </c>
      <c r="E338" s="1" t="s">
        <v>916</v>
      </c>
      <c r="F338" s="1" t="s">
        <v>43</v>
      </c>
      <c r="G338" s="2">
        <v>26089.0</v>
      </c>
      <c r="H338" s="1" t="s">
        <v>459</v>
      </c>
      <c r="I338" s="1">
        <v>11.0</v>
      </c>
      <c r="J338" s="1" t="s">
        <v>1453</v>
      </c>
      <c r="K338" s="1">
        <v>2.0</v>
      </c>
      <c r="L338" s="2">
        <v>42907.0</v>
      </c>
      <c r="O338" s="1">
        <v>0.0</v>
      </c>
      <c r="P338" s="1" t="s">
        <v>75</v>
      </c>
      <c r="Q338" s="1" t="s">
        <v>76</v>
      </c>
      <c r="R338" s="1" t="s">
        <v>3375</v>
      </c>
      <c r="U338" s="1" t="s">
        <v>118</v>
      </c>
      <c r="V338" s="1">
        <v>429.0</v>
      </c>
      <c r="W338" s="3" t="s">
        <v>3376</v>
      </c>
      <c r="X338" s="1">
        <v>718802.0</v>
      </c>
      <c r="Y338" s="1" t="s">
        <v>3377</v>
      </c>
      <c r="Z338" s="3" t="s">
        <v>3378</v>
      </c>
      <c r="AA338" s="3" t="s">
        <v>3379</v>
      </c>
      <c r="AB338" s="1">
        <v>2.0</v>
      </c>
      <c r="AC338" s="1" t="s">
        <v>3380</v>
      </c>
      <c r="AD338" s="1">
        <v>20.0</v>
      </c>
      <c r="AE338" s="1">
        <f t="shared" si="5"/>
        <v>432</v>
      </c>
      <c r="AF338" s="1">
        <v>38.0</v>
      </c>
      <c r="AG338" s="1">
        <v>26.0</v>
      </c>
      <c r="AH338" s="1">
        <v>7.0</v>
      </c>
      <c r="AI338" s="1">
        <v>6.0</v>
      </c>
      <c r="AJ338" s="1">
        <v>6.0</v>
      </c>
      <c r="AK338" s="1">
        <v>100.0</v>
      </c>
      <c r="AL338" s="1">
        <v>46.0</v>
      </c>
      <c r="AM338" s="1">
        <v>0.0</v>
      </c>
      <c r="AN338" s="1">
        <v>0.0</v>
      </c>
      <c r="AO338" s="1">
        <v>6.0</v>
      </c>
      <c r="AP338" s="1">
        <v>2.0</v>
      </c>
      <c r="AQ338" s="1">
        <v>0.0</v>
      </c>
    </row>
    <row r="339">
      <c r="A339" s="1"/>
      <c r="B339" s="1">
        <v>117.0</v>
      </c>
      <c r="C339" s="1" t="s">
        <v>3381</v>
      </c>
      <c r="D339" s="1" t="s">
        <v>1372</v>
      </c>
      <c r="E339" s="1" t="s">
        <v>3382</v>
      </c>
      <c r="F339" s="1" t="s">
        <v>58</v>
      </c>
      <c r="G339" s="2">
        <v>26252.0</v>
      </c>
      <c r="H339" s="1" t="s">
        <v>207</v>
      </c>
      <c r="I339" s="1">
        <v>94.0</v>
      </c>
      <c r="J339" s="1" t="s">
        <v>642</v>
      </c>
      <c r="K339" s="1">
        <v>4.0</v>
      </c>
      <c r="L339" s="2">
        <v>42907.0</v>
      </c>
      <c r="O339" s="1">
        <v>0.0</v>
      </c>
      <c r="P339" s="1" t="s">
        <v>280</v>
      </c>
      <c r="Q339" s="1" t="s">
        <v>281</v>
      </c>
      <c r="R339" s="1" t="s">
        <v>3383</v>
      </c>
      <c r="U339" s="1" t="s">
        <v>450</v>
      </c>
      <c r="V339" s="1">
        <v>262.0</v>
      </c>
      <c r="W339" s="3" t="s">
        <v>3384</v>
      </c>
      <c r="X339" s="1">
        <v>721234.0</v>
      </c>
      <c r="Y339" s="1" t="s">
        <v>3385</v>
      </c>
      <c r="Z339" s="3" t="s">
        <v>3386</v>
      </c>
      <c r="AA339" s="3" t="s">
        <v>3387</v>
      </c>
      <c r="AB339" s="1">
        <v>1.0</v>
      </c>
      <c r="AC339" s="1" t="s">
        <v>3388</v>
      </c>
      <c r="AD339" s="1">
        <v>20.0</v>
      </c>
      <c r="AE339" s="1">
        <f t="shared" si="5"/>
        <v>432</v>
      </c>
      <c r="AF339" s="1">
        <v>44.0</v>
      </c>
      <c r="AG339" s="1">
        <v>30.0</v>
      </c>
      <c r="AH339" s="1">
        <v>13.0</v>
      </c>
      <c r="AI339" s="1">
        <v>4.0</v>
      </c>
      <c r="AJ339" s="1">
        <v>4.0</v>
      </c>
      <c r="AK339" s="1">
        <v>216.0</v>
      </c>
      <c r="AL339" s="1">
        <v>18.0</v>
      </c>
      <c r="AM339" s="1">
        <v>0.0</v>
      </c>
      <c r="AN339" s="1">
        <v>0.0</v>
      </c>
      <c r="AO339" s="1">
        <v>6.0</v>
      </c>
      <c r="AP339" s="1">
        <v>7.0</v>
      </c>
      <c r="AQ339" s="1">
        <v>3.0</v>
      </c>
    </row>
    <row r="340">
      <c r="A340" s="1"/>
      <c r="B340" s="1">
        <v>71.0</v>
      </c>
      <c r="C340" s="1" t="s">
        <v>3389</v>
      </c>
      <c r="D340" s="1" t="s">
        <v>3390</v>
      </c>
      <c r="E340" s="1" t="s">
        <v>3391</v>
      </c>
      <c r="F340" s="1" t="s">
        <v>58</v>
      </c>
      <c r="G340" s="2">
        <v>28396.0</v>
      </c>
      <c r="H340" s="1" t="s">
        <v>3392</v>
      </c>
      <c r="I340" s="1">
        <v>82.0</v>
      </c>
      <c r="J340" s="1" t="s">
        <v>631</v>
      </c>
      <c r="K340" s="1">
        <v>2.0</v>
      </c>
      <c r="L340" s="2">
        <v>42907.0</v>
      </c>
      <c r="O340" s="1">
        <v>0.0</v>
      </c>
      <c r="P340" s="1" t="s">
        <v>814</v>
      </c>
      <c r="Q340" s="1" t="s">
        <v>2397</v>
      </c>
      <c r="R340" s="1" t="s">
        <v>3393</v>
      </c>
      <c r="U340" s="1">
        <v>0.0</v>
      </c>
      <c r="V340" s="1">
        <v>192.0</v>
      </c>
      <c r="W340" s="3" t="s">
        <v>3394</v>
      </c>
      <c r="X340" s="1">
        <v>336175.0</v>
      </c>
      <c r="Y340" s="1" t="s">
        <v>3395</v>
      </c>
      <c r="Z340" s="3" t="s">
        <v>3396</v>
      </c>
      <c r="AA340" s="3" t="s">
        <v>3397</v>
      </c>
      <c r="AB340" s="1">
        <v>1.0</v>
      </c>
      <c r="AC340" s="1" t="s">
        <v>3398</v>
      </c>
      <c r="AD340" s="1">
        <v>20.0</v>
      </c>
      <c r="AE340" s="1">
        <f t="shared" si="5"/>
        <v>432</v>
      </c>
      <c r="AF340" s="1">
        <v>29.0</v>
      </c>
      <c r="AG340" s="1">
        <v>14.0</v>
      </c>
      <c r="AH340" s="1">
        <v>5.0</v>
      </c>
      <c r="AI340" s="1">
        <v>10.0</v>
      </c>
      <c r="AJ340" s="1">
        <v>30.0</v>
      </c>
      <c r="AK340" s="1">
        <v>103.0</v>
      </c>
      <c r="AL340" s="1">
        <v>4.0</v>
      </c>
      <c r="AM340" s="1">
        <v>0.0</v>
      </c>
      <c r="AN340" s="1">
        <v>0.0</v>
      </c>
      <c r="AO340" s="1">
        <v>2.0</v>
      </c>
      <c r="AP340" s="1">
        <v>1.0</v>
      </c>
      <c r="AQ340" s="1">
        <v>0.0</v>
      </c>
    </row>
    <row r="341">
      <c r="A341" s="1"/>
      <c r="B341" s="1">
        <v>394.0</v>
      </c>
      <c r="C341" s="1" t="s">
        <v>3399</v>
      </c>
      <c r="D341" s="1" t="s">
        <v>3400</v>
      </c>
      <c r="E341" s="1" t="s">
        <v>148</v>
      </c>
      <c r="F341" s="1" t="s">
        <v>43</v>
      </c>
      <c r="G341" s="2">
        <v>27219.0</v>
      </c>
      <c r="H341" s="1" t="s">
        <v>347</v>
      </c>
      <c r="I341" s="1">
        <v>33.0</v>
      </c>
      <c r="J341" s="1" t="s">
        <v>348</v>
      </c>
      <c r="K341" s="1">
        <v>6.0</v>
      </c>
      <c r="L341" s="2">
        <v>42907.0</v>
      </c>
      <c r="O341" s="1">
        <v>0.0</v>
      </c>
      <c r="P341" s="1" t="s">
        <v>75</v>
      </c>
      <c r="Q341" s="1" t="s">
        <v>76</v>
      </c>
      <c r="R341" s="3" t="s">
        <v>3401</v>
      </c>
      <c r="U341" s="1" t="s">
        <v>429</v>
      </c>
      <c r="V341" s="1">
        <v>215.0</v>
      </c>
      <c r="W341" s="3" t="s">
        <v>3402</v>
      </c>
      <c r="X341" s="1">
        <v>719600.0</v>
      </c>
      <c r="Y341" s="1" t="s">
        <v>3403</v>
      </c>
      <c r="Z341" s="3" t="s">
        <v>3404</v>
      </c>
      <c r="AA341" s="3" t="s">
        <v>3405</v>
      </c>
      <c r="AB341" s="1">
        <v>1.0</v>
      </c>
      <c r="AC341" s="1" t="s">
        <v>3406</v>
      </c>
      <c r="AD341" s="1">
        <v>20.0</v>
      </c>
      <c r="AE341" s="1">
        <f t="shared" si="5"/>
        <v>432</v>
      </c>
      <c r="AF341" s="1">
        <v>38.0</v>
      </c>
      <c r="AG341" s="1">
        <v>15.0</v>
      </c>
      <c r="AH341" s="1">
        <v>3.0</v>
      </c>
      <c r="AI341" s="1">
        <v>1.0</v>
      </c>
      <c r="AJ341" s="1">
        <v>4.0</v>
      </c>
      <c r="AK341" s="1">
        <v>60.0</v>
      </c>
      <c r="AL341" s="1">
        <v>26.0</v>
      </c>
      <c r="AM341" s="1">
        <v>1.0</v>
      </c>
      <c r="AN341" s="1">
        <v>0.0</v>
      </c>
      <c r="AO341" s="1">
        <v>5.0</v>
      </c>
      <c r="AP341" s="1">
        <v>2.0</v>
      </c>
      <c r="AQ341" s="1">
        <v>0.0</v>
      </c>
    </row>
    <row r="342">
      <c r="A342" s="1"/>
      <c r="B342" s="1">
        <v>370.0</v>
      </c>
      <c r="C342" s="1" t="s">
        <v>3407</v>
      </c>
      <c r="D342" s="1" t="s">
        <v>3408</v>
      </c>
      <c r="E342" s="1" t="s">
        <v>3409</v>
      </c>
      <c r="F342" s="1" t="s">
        <v>43</v>
      </c>
      <c r="G342" s="2">
        <v>28532.0</v>
      </c>
      <c r="H342" s="1" t="s">
        <v>3410</v>
      </c>
      <c r="I342" s="1">
        <v>75.0</v>
      </c>
      <c r="J342" s="1" t="s">
        <v>232</v>
      </c>
      <c r="K342" s="1">
        <v>13.0</v>
      </c>
      <c r="L342" s="2">
        <v>42907.0</v>
      </c>
      <c r="O342" s="1">
        <v>0.0</v>
      </c>
      <c r="P342" s="1" t="s">
        <v>75</v>
      </c>
      <c r="Q342" s="1" t="s">
        <v>76</v>
      </c>
      <c r="R342" s="3" t="s">
        <v>3411</v>
      </c>
      <c r="U342" s="1" t="s">
        <v>1037</v>
      </c>
      <c r="V342" s="1">
        <v>196.0</v>
      </c>
      <c r="W342" s="3" t="s">
        <v>3412</v>
      </c>
      <c r="X342" s="1">
        <v>721824.0</v>
      </c>
      <c r="Y342" s="1" t="s">
        <v>3413</v>
      </c>
      <c r="Z342" s="3" t="s">
        <v>3414</v>
      </c>
      <c r="AA342" s="3" t="s">
        <v>3415</v>
      </c>
      <c r="AB342" s="1">
        <v>1.0</v>
      </c>
      <c r="AC342" s="1" t="s">
        <v>3416</v>
      </c>
      <c r="AD342" s="1">
        <v>20.0</v>
      </c>
      <c r="AE342" s="1">
        <f t="shared" si="5"/>
        <v>432</v>
      </c>
      <c r="AF342" s="1">
        <v>21.0</v>
      </c>
      <c r="AG342" s="1">
        <v>3.0</v>
      </c>
      <c r="AH342" s="1">
        <v>683.0</v>
      </c>
      <c r="AI342" s="1">
        <v>4758.0</v>
      </c>
      <c r="AJ342" s="1">
        <v>0.0</v>
      </c>
      <c r="AK342" s="1">
        <v>26.0</v>
      </c>
      <c r="AL342" s="1">
        <v>9.0</v>
      </c>
      <c r="AM342" s="1">
        <v>0.0</v>
      </c>
      <c r="AN342" s="1">
        <v>0.0</v>
      </c>
      <c r="AO342" s="1">
        <v>5.0</v>
      </c>
      <c r="AP342" s="1">
        <v>4.0</v>
      </c>
      <c r="AQ342" s="1">
        <v>1.0</v>
      </c>
    </row>
    <row r="343">
      <c r="A343" s="1"/>
      <c r="B343" s="1">
        <v>409.0</v>
      </c>
      <c r="C343" s="1" t="s">
        <v>3417</v>
      </c>
      <c r="D343" s="1" t="s">
        <v>3418</v>
      </c>
      <c r="E343" s="1" t="s">
        <v>1511</v>
      </c>
      <c r="F343" s="1" t="s">
        <v>43</v>
      </c>
      <c r="G343" s="2">
        <v>25600.0</v>
      </c>
      <c r="H343" s="1" t="s">
        <v>3419</v>
      </c>
      <c r="I343" s="1">
        <v>73.0</v>
      </c>
      <c r="J343" s="1" t="s">
        <v>60</v>
      </c>
      <c r="K343" s="1">
        <v>2.0</v>
      </c>
      <c r="L343" s="2">
        <v>42907.0</v>
      </c>
      <c r="O343" s="1">
        <v>0.0</v>
      </c>
      <c r="P343" s="1" t="s">
        <v>61</v>
      </c>
      <c r="Q343" s="1" t="s">
        <v>62</v>
      </c>
      <c r="R343" s="3" t="s">
        <v>3420</v>
      </c>
      <c r="U343" s="1" t="s">
        <v>482</v>
      </c>
      <c r="V343" s="1">
        <v>128.0</v>
      </c>
      <c r="W343" s="3" t="s">
        <v>3421</v>
      </c>
      <c r="X343" s="1">
        <v>266808.0</v>
      </c>
      <c r="Y343" s="1" t="s">
        <v>3422</v>
      </c>
      <c r="Z343" s="3" t="s">
        <v>3423</v>
      </c>
      <c r="AA343" s="3" t="s">
        <v>3424</v>
      </c>
      <c r="AB343" s="1">
        <v>1.0</v>
      </c>
      <c r="AC343" s="1" t="s">
        <v>3425</v>
      </c>
      <c r="AD343" s="1">
        <v>20.0</v>
      </c>
      <c r="AE343" s="1">
        <f t="shared" si="5"/>
        <v>432</v>
      </c>
      <c r="AF343" s="1">
        <v>28.0</v>
      </c>
      <c r="AG343" s="1">
        <v>18.0</v>
      </c>
      <c r="AH343" s="1">
        <v>25.0</v>
      </c>
      <c r="AI343" s="1">
        <v>19.0</v>
      </c>
      <c r="AJ343" s="1">
        <v>42.0</v>
      </c>
      <c r="AK343" s="1">
        <v>411.0</v>
      </c>
      <c r="AL343" s="1">
        <v>20.0</v>
      </c>
      <c r="AM343" s="1">
        <v>1.0</v>
      </c>
      <c r="AN343" s="1">
        <v>1.0</v>
      </c>
      <c r="AO343" s="1">
        <v>45.0</v>
      </c>
      <c r="AP343" s="1">
        <v>14.0</v>
      </c>
      <c r="AQ343" s="1">
        <v>2.0</v>
      </c>
    </row>
    <row r="344">
      <c r="A344" s="1"/>
      <c r="B344" s="1">
        <v>443.0</v>
      </c>
      <c r="C344" s="1" t="s">
        <v>3426</v>
      </c>
      <c r="D344" s="1" t="s">
        <v>3427</v>
      </c>
      <c r="E344" s="1" t="s">
        <v>3428</v>
      </c>
      <c r="F344" s="1" t="s">
        <v>43</v>
      </c>
      <c r="G344" s="2">
        <v>25491.0</v>
      </c>
      <c r="H344" s="1" t="s">
        <v>1440</v>
      </c>
      <c r="I344" s="1">
        <v>74.0</v>
      </c>
      <c r="J344" s="1" t="s">
        <v>1441</v>
      </c>
      <c r="K344" s="1">
        <v>3.0</v>
      </c>
      <c r="L344" s="2">
        <v>42907.0</v>
      </c>
      <c r="O344" s="1">
        <v>0.0</v>
      </c>
      <c r="P344" s="1" t="s">
        <v>61</v>
      </c>
      <c r="Q344" s="1" t="s">
        <v>62</v>
      </c>
      <c r="R344" s="1" t="s">
        <v>3429</v>
      </c>
      <c r="U344" s="1" t="s">
        <v>3430</v>
      </c>
      <c r="V344" s="1">
        <v>21.0</v>
      </c>
      <c r="W344" s="3" t="s">
        <v>3431</v>
      </c>
      <c r="X344" s="1">
        <v>267527.0</v>
      </c>
      <c r="Y344" s="1" t="s">
        <v>3432</v>
      </c>
      <c r="Z344" s="3" t="s">
        <v>3433</v>
      </c>
      <c r="AA344" s="3" t="s">
        <v>3434</v>
      </c>
      <c r="AB344" s="1">
        <v>1.0</v>
      </c>
      <c r="AC344" s="1" t="s">
        <v>3435</v>
      </c>
      <c r="AD344" s="1">
        <v>20.0</v>
      </c>
      <c r="AE344" s="1">
        <f t="shared" si="5"/>
        <v>432</v>
      </c>
      <c r="AF344" s="1">
        <v>24.0</v>
      </c>
      <c r="AG344" s="1">
        <v>25.0</v>
      </c>
      <c r="AH344" s="1">
        <v>68.0</v>
      </c>
      <c r="AI344" s="1">
        <v>30.0</v>
      </c>
      <c r="AJ344" s="1">
        <v>133.0</v>
      </c>
      <c r="AK344" s="1">
        <v>608.0</v>
      </c>
      <c r="AL344" s="1">
        <v>26.0</v>
      </c>
      <c r="AM344" s="1">
        <v>0.0</v>
      </c>
      <c r="AN344" s="1">
        <v>4.0</v>
      </c>
      <c r="AO344" s="1">
        <v>76.0</v>
      </c>
      <c r="AP344" s="1">
        <v>53.0</v>
      </c>
      <c r="AQ344" s="1">
        <v>2.0</v>
      </c>
    </row>
    <row r="345">
      <c r="A345" s="1"/>
      <c r="B345" s="1">
        <v>128.0</v>
      </c>
      <c r="C345" s="1" t="s">
        <v>3436</v>
      </c>
      <c r="D345" s="1" t="s">
        <v>3437</v>
      </c>
      <c r="E345" s="1" t="s">
        <v>1341</v>
      </c>
      <c r="F345" s="1" t="s">
        <v>43</v>
      </c>
      <c r="G345" s="2">
        <v>25878.0</v>
      </c>
      <c r="H345" s="1" t="s">
        <v>3438</v>
      </c>
      <c r="I345" s="1">
        <v>7.0</v>
      </c>
      <c r="J345" s="1" t="s">
        <v>2269</v>
      </c>
      <c r="K345" s="1">
        <v>1.0</v>
      </c>
      <c r="L345" s="2">
        <v>42907.0</v>
      </c>
      <c r="O345" s="1">
        <v>0.0</v>
      </c>
      <c r="P345" s="1" t="s">
        <v>115</v>
      </c>
      <c r="Q345" s="1" t="s">
        <v>116</v>
      </c>
      <c r="R345" s="1" t="s">
        <v>3439</v>
      </c>
      <c r="U345" s="1" t="s">
        <v>2940</v>
      </c>
      <c r="V345" s="1">
        <v>576.0</v>
      </c>
      <c r="W345" s="3" t="s">
        <v>3440</v>
      </c>
      <c r="X345" s="1">
        <v>340343.0</v>
      </c>
      <c r="Y345" s="1" t="s">
        <v>3441</v>
      </c>
      <c r="Z345" s="3" t="s">
        <v>3442</v>
      </c>
      <c r="AA345" s="3" t="s">
        <v>3443</v>
      </c>
      <c r="AB345" s="1">
        <v>1.0</v>
      </c>
      <c r="AC345" s="1" t="s">
        <v>3444</v>
      </c>
      <c r="AD345" s="1">
        <v>20.0</v>
      </c>
      <c r="AE345" s="1">
        <f t="shared" si="5"/>
        <v>432</v>
      </c>
      <c r="AF345" s="1">
        <v>33.0</v>
      </c>
      <c r="AG345" s="1">
        <v>17.0</v>
      </c>
      <c r="AH345" s="1">
        <v>54.0</v>
      </c>
      <c r="AI345" s="1">
        <v>19.0</v>
      </c>
      <c r="AJ345" s="1">
        <v>18.0</v>
      </c>
      <c r="AK345" s="1">
        <v>1185.0</v>
      </c>
      <c r="AL345" s="1">
        <v>89.0</v>
      </c>
      <c r="AM345" s="1">
        <v>0.0</v>
      </c>
      <c r="AN345" s="1">
        <v>0.0</v>
      </c>
      <c r="AO345" s="1">
        <v>5.0</v>
      </c>
      <c r="AP345" s="1">
        <v>12.0</v>
      </c>
      <c r="AQ345" s="1">
        <v>4.0</v>
      </c>
    </row>
    <row r="346">
      <c r="A346" s="1"/>
      <c r="B346" s="1">
        <v>487.0</v>
      </c>
      <c r="C346" s="1" t="s">
        <v>3445</v>
      </c>
      <c r="D346" s="1" t="s">
        <v>3446</v>
      </c>
      <c r="E346" s="1" t="s">
        <v>589</v>
      </c>
      <c r="F346" s="1" t="s">
        <v>43</v>
      </c>
      <c r="G346" s="2">
        <v>28659.0</v>
      </c>
      <c r="H346" s="1" t="s">
        <v>1500</v>
      </c>
      <c r="I346" s="1">
        <v>67.0</v>
      </c>
      <c r="J346" s="1" t="s">
        <v>244</v>
      </c>
      <c r="K346" s="1">
        <v>3.0</v>
      </c>
      <c r="L346" s="2">
        <v>42907.0</v>
      </c>
      <c r="O346" s="1">
        <v>0.0</v>
      </c>
      <c r="P346" s="1" t="s">
        <v>75</v>
      </c>
      <c r="Q346" s="1" t="s">
        <v>76</v>
      </c>
      <c r="R346" s="1" t="s">
        <v>3447</v>
      </c>
      <c r="U346" s="1" t="s">
        <v>269</v>
      </c>
      <c r="V346" s="1">
        <v>478.0</v>
      </c>
      <c r="W346" s="3" t="s">
        <v>3448</v>
      </c>
      <c r="X346" s="1">
        <v>720754.0</v>
      </c>
      <c r="Y346" s="1" t="s">
        <v>3449</v>
      </c>
      <c r="Z346" s="3" t="s">
        <v>3450</v>
      </c>
      <c r="AA346" s="3" t="s">
        <v>3451</v>
      </c>
      <c r="AB346" s="1">
        <v>1.0</v>
      </c>
      <c r="AC346" s="1" t="s">
        <v>3452</v>
      </c>
      <c r="AD346" s="1">
        <v>20.0</v>
      </c>
      <c r="AE346" s="1">
        <f t="shared" si="5"/>
        <v>432</v>
      </c>
      <c r="AF346" s="1">
        <v>45.0</v>
      </c>
      <c r="AG346" s="1">
        <v>143.0</v>
      </c>
      <c r="AH346" s="1">
        <v>28.0</v>
      </c>
      <c r="AI346" s="1">
        <v>77.0</v>
      </c>
      <c r="AJ346" s="1">
        <v>0.0</v>
      </c>
      <c r="AK346" s="1">
        <v>18.0</v>
      </c>
      <c r="AL346" s="1">
        <v>1.0</v>
      </c>
      <c r="AM346" s="1">
        <v>1.0</v>
      </c>
      <c r="AN346" s="1">
        <v>0.0</v>
      </c>
      <c r="AO346" s="1">
        <v>5.0</v>
      </c>
      <c r="AP346" s="1">
        <v>0.0</v>
      </c>
      <c r="AQ346" s="1">
        <v>1.0</v>
      </c>
    </row>
    <row r="347">
      <c r="A347" s="1"/>
      <c r="B347" s="1">
        <v>503.0</v>
      </c>
      <c r="C347" s="1" t="s">
        <v>3453</v>
      </c>
      <c r="D347" s="1" t="s">
        <v>3454</v>
      </c>
      <c r="E347" s="1" t="s">
        <v>1383</v>
      </c>
      <c r="F347" s="1" t="s">
        <v>58</v>
      </c>
      <c r="G347" s="2">
        <v>27929.0</v>
      </c>
      <c r="H347" s="1" t="s">
        <v>3455</v>
      </c>
      <c r="I347" s="1">
        <v>9.0</v>
      </c>
      <c r="J347" s="1" t="s">
        <v>3259</v>
      </c>
      <c r="K347" s="1">
        <v>1.0</v>
      </c>
      <c r="L347" s="2">
        <v>42907.0</v>
      </c>
      <c r="O347" s="1">
        <v>0.0</v>
      </c>
      <c r="P347" s="1" t="s">
        <v>173</v>
      </c>
      <c r="Q347" s="1" t="s">
        <v>174</v>
      </c>
      <c r="R347" s="1" t="s">
        <v>3456</v>
      </c>
      <c r="U347" s="1" t="s">
        <v>269</v>
      </c>
      <c r="V347" s="1">
        <v>609.0</v>
      </c>
      <c r="W347" s="3" t="s">
        <v>3457</v>
      </c>
      <c r="X347" s="1">
        <v>718860.0</v>
      </c>
      <c r="Y347" s="1" t="s">
        <v>3458</v>
      </c>
      <c r="Z347" s="3" t="s">
        <v>3459</v>
      </c>
      <c r="AA347" s="3" t="s">
        <v>3460</v>
      </c>
      <c r="AB347" s="1">
        <v>1.0</v>
      </c>
      <c r="AC347" s="1" t="s">
        <v>3461</v>
      </c>
      <c r="AD347" s="1">
        <v>20.0</v>
      </c>
      <c r="AE347" s="1">
        <f t="shared" si="5"/>
        <v>432</v>
      </c>
      <c r="AF347" s="1">
        <v>32.0</v>
      </c>
      <c r="AG347" s="1">
        <v>33.0</v>
      </c>
      <c r="AH347" s="1">
        <v>80.0</v>
      </c>
      <c r="AI347" s="1">
        <v>40.0</v>
      </c>
      <c r="AJ347" s="1">
        <v>40.0</v>
      </c>
      <c r="AK347" s="1">
        <v>2060.0</v>
      </c>
      <c r="AL347" s="1">
        <v>32.0</v>
      </c>
      <c r="AM347" s="1">
        <v>0.0</v>
      </c>
      <c r="AN347" s="1">
        <v>0.0</v>
      </c>
      <c r="AO347" s="1">
        <v>13.0</v>
      </c>
      <c r="AP347" s="1">
        <v>11.0</v>
      </c>
      <c r="AQ347" s="1">
        <v>4.0</v>
      </c>
    </row>
    <row r="348">
      <c r="A348" s="1"/>
      <c r="B348" s="1">
        <v>395.0</v>
      </c>
      <c r="C348" s="1" t="s">
        <v>3462</v>
      </c>
      <c r="D348" s="1" t="s">
        <v>3463</v>
      </c>
      <c r="E348" s="1" t="s">
        <v>3464</v>
      </c>
      <c r="F348" s="1" t="s">
        <v>58</v>
      </c>
      <c r="G348" s="2">
        <v>28172.0</v>
      </c>
      <c r="H348" s="1" t="s">
        <v>266</v>
      </c>
      <c r="I348" s="1">
        <v>59.0</v>
      </c>
      <c r="J348" s="1" t="s">
        <v>172</v>
      </c>
      <c r="K348" s="1">
        <v>15.0</v>
      </c>
      <c r="L348" s="2">
        <v>42907.0</v>
      </c>
      <c r="O348" s="1">
        <v>0.0</v>
      </c>
      <c r="P348" s="1" t="s">
        <v>75</v>
      </c>
      <c r="Q348" s="1" t="s">
        <v>76</v>
      </c>
      <c r="R348" s="3" t="s">
        <v>3465</v>
      </c>
      <c r="U348" s="1" t="s">
        <v>373</v>
      </c>
      <c r="V348" s="1">
        <v>397.0</v>
      </c>
      <c r="W348" s="3" t="s">
        <v>3466</v>
      </c>
      <c r="X348" s="1">
        <v>720538.0</v>
      </c>
      <c r="Y348" s="1" t="s">
        <v>3467</v>
      </c>
      <c r="Z348" s="3" t="s">
        <v>3468</v>
      </c>
      <c r="AA348" s="3" t="s">
        <v>3469</v>
      </c>
      <c r="AB348" s="1">
        <v>1.0</v>
      </c>
      <c r="AD348" s="1">
        <v>20.0</v>
      </c>
      <c r="AE348" s="1">
        <f t="shared" si="5"/>
        <v>432</v>
      </c>
      <c r="AF348" s="1">
        <v>29.0</v>
      </c>
      <c r="AG348" s="1">
        <v>5.0</v>
      </c>
      <c r="AH348" s="1">
        <v>4.0</v>
      </c>
      <c r="AI348" s="1">
        <v>1.0</v>
      </c>
      <c r="AJ348" s="1">
        <v>0.0</v>
      </c>
      <c r="AK348" s="1">
        <v>77.0</v>
      </c>
      <c r="AL348" s="1">
        <v>43.0</v>
      </c>
      <c r="AM348" s="1">
        <v>1.0</v>
      </c>
      <c r="AN348" s="1">
        <v>0.0</v>
      </c>
      <c r="AO348" s="1">
        <v>6.0</v>
      </c>
      <c r="AP348" s="1">
        <v>6.0</v>
      </c>
      <c r="AQ348" s="1">
        <v>0.0</v>
      </c>
    </row>
    <row r="349">
      <c r="A349" s="1"/>
      <c r="B349" s="1">
        <v>48.0</v>
      </c>
      <c r="C349" s="1" t="s">
        <v>3470</v>
      </c>
      <c r="D349" s="1" t="s">
        <v>3471</v>
      </c>
      <c r="E349" s="1" t="s">
        <v>1209</v>
      </c>
      <c r="F349" s="1" t="s">
        <v>43</v>
      </c>
      <c r="G349" s="2">
        <v>24814.0</v>
      </c>
      <c r="H349" s="1" t="s">
        <v>3472</v>
      </c>
      <c r="I349" s="1">
        <v>67.0</v>
      </c>
      <c r="J349" s="1" t="s">
        <v>244</v>
      </c>
      <c r="K349" s="1">
        <v>2.0</v>
      </c>
      <c r="L349" s="2">
        <v>42907.0</v>
      </c>
      <c r="O349" s="1">
        <v>0.0</v>
      </c>
      <c r="P349" s="1" t="s">
        <v>280</v>
      </c>
      <c r="Q349" s="1" t="s">
        <v>281</v>
      </c>
      <c r="R349" s="1" t="s">
        <v>3473</v>
      </c>
      <c r="U349" s="1" t="s">
        <v>198</v>
      </c>
      <c r="V349" s="1">
        <v>267.0</v>
      </c>
      <c r="W349" s="3" t="s">
        <v>3474</v>
      </c>
      <c r="X349" s="1">
        <v>720746.0</v>
      </c>
      <c r="Y349" s="1" t="s">
        <v>3475</v>
      </c>
      <c r="Z349" s="3" t="s">
        <v>3476</v>
      </c>
      <c r="AA349" s="3" t="s">
        <v>3477</v>
      </c>
      <c r="AB349" s="1">
        <v>1.0</v>
      </c>
      <c r="AC349" s="1" t="s">
        <v>3478</v>
      </c>
      <c r="AD349" s="1">
        <v>20.0</v>
      </c>
      <c r="AE349" s="1">
        <f t="shared" si="5"/>
        <v>432</v>
      </c>
      <c r="AF349" s="1">
        <v>17.0</v>
      </c>
      <c r="AG349" s="1">
        <v>17.0</v>
      </c>
      <c r="AH349" s="1">
        <v>592.0</v>
      </c>
      <c r="AI349" s="1">
        <v>3302.0</v>
      </c>
      <c r="AJ349" s="1">
        <v>6.0</v>
      </c>
      <c r="AK349" s="1">
        <v>193.0</v>
      </c>
      <c r="AL349" s="1">
        <v>19.0</v>
      </c>
      <c r="AM349" s="1">
        <v>1.0</v>
      </c>
      <c r="AN349" s="1">
        <v>2.0</v>
      </c>
      <c r="AO349" s="1">
        <v>6.0</v>
      </c>
      <c r="AP349" s="1">
        <v>2.0</v>
      </c>
      <c r="AQ349" s="1">
        <v>2.0</v>
      </c>
    </row>
    <row r="350">
      <c r="A350" s="1"/>
      <c r="B350" s="1">
        <v>499.0</v>
      </c>
      <c r="C350" s="1" t="s">
        <v>3479</v>
      </c>
      <c r="D350" s="1" t="s">
        <v>3480</v>
      </c>
      <c r="E350" s="1" t="s">
        <v>1453</v>
      </c>
      <c r="F350" s="1" t="s">
        <v>58</v>
      </c>
      <c r="G350" s="2">
        <v>29280.0</v>
      </c>
      <c r="H350" s="1" t="s">
        <v>3481</v>
      </c>
      <c r="I350" s="1">
        <v>44.0</v>
      </c>
      <c r="J350" s="1" t="s">
        <v>492</v>
      </c>
      <c r="K350" s="1">
        <v>4.0</v>
      </c>
      <c r="L350" s="2">
        <v>42907.0</v>
      </c>
      <c r="O350" s="1">
        <v>0.0</v>
      </c>
      <c r="P350" s="1" t="s">
        <v>75</v>
      </c>
      <c r="Q350" s="1" t="s">
        <v>76</v>
      </c>
      <c r="R350" s="1" t="s">
        <v>3482</v>
      </c>
      <c r="U350" s="1" t="s">
        <v>3483</v>
      </c>
      <c r="V350" s="1">
        <v>409.0</v>
      </c>
      <c r="W350" s="3" t="s">
        <v>3484</v>
      </c>
      <c r="X350" s="1">
        <v>720124.0</v>
      </c>
      <c r="Y350" s="1" t="s">
        <v>3485</v>
      </c>
      <c r="Z350" s="3" t="s">
        <v>3486</v>
      </c>
      <c r="AA350" s="3" t="s">
        <v>3487</v>
      </c>
      <c r="AB350" s="1">
        <v>1.0</v>
      </c>
      <c r="AC350" s="1" t="s">
        <v>3488</v>
      </c>
      <c r="AD350" s="1">
        <v>19.0</v>
      </c>
      <c r="AE350" s="1">
        <f t="shared" si="5"/>
        <v>433</v>
      </c>
      <c r="AF350" s="1">
        <v>32.0</v>
      </c>
      <c r="AG350" s="1">
        <v>71.0</v>
      </c>
      <c r="AH350" s="1">
        <v>71.0</v>
      </c>
      <c r="AI350" s="1">
        <v>24.0</v>
      </c>
      <c r="AJ350" s="1">
        <v>57.0</v>
      </c>
      <c r="AK350" s="1">
        <v>103.0</v>
      </c>
      <c r="AL350" s="1">
        <v>47.0</v>
      </c>
      <c r="AM350" s="1">
        <v>1.0</v>
      </c>
      <c r="AN350" s="1">
        <v>0.0</v>
      </c>
      <c r="AO350" s="1">
        <v>5.0</v>
      </c>
      <c r="AP350" s="1">
        <v>2.0</v>
      </c>
      <c r="AQ350" s="1">
        <v>1.0</v>
      </c>
    </row>
    <row r="351">
      <c r="A351" s="1"/>
      <c r="B351" s="1">
        <v>11.0</v>
      </c>
      <c r="C351" s="1" t="s">
        <v>3489</v>
      </c>
      <c r="D351" s="1" t="s">
        <v>3490</v>
      </c>
      <c r="E351" s="1" t="s">
        <v>1250</v>
      </c>
      <c r="F351" s="1" t="s">
        <v>58</v>
      </c>
      <c r="G351" s="2">
        <v>23560.0</v>
      </c>
      <c r="H351" s="1" t="s">
        <v>3491</v>
      </c>
      <c r="I351" s="1">
        <v>26.0</v>
      </c>
      <c r="J351" s="1" t="s">
        <v>1873</v>
      </c>
      <c r="K351" s="1">
        <v>4.0</v>
      </c>
      <c r="L351" s="2">
        <v>42907.0</v>
      </c>
      <c r="O351" s="1">
        <v>0.0</v>
      </c>
      <c r="P351" s="1" t="s">
        <v>61</v>
      </c>
      <c r="Q351" s="1" t="s">
        <v>62</v>
      </c>
      <c r="R351" s="1" t="s">
        <v>3492</v>
      </c>
      <c r="U351" s="1" t="s">
        <v>78</v>
      </c>
      <c r="V351" s="1">
        <v>63.0</v>
      </c>
      <c r="W351" s="3" t="s">
        <v>3493</v>
      </c>
      <c r="X351" s="1">
        <v>719318.0</v>
      </c>
      <c r="Y351" s="1" t="s">
        <v>3494</v>
      </c>
      <c r="Z351" s="3" t="s">
        <v>3495</v>
      </c>
      <c r="AA351" s="3" t="s">
        <v>3496</v>
      </c>
      <c r="AB351" s="1">
        <v>1.0</v>
      </c>
      <c r="AC351" s="1" t="s">
        <v>3497</v>
      </c>
      <c r="AD351" s="1">
        <v>19.0</v>
      </c>
      <c r="AE351" s="1">
        <f t="shared" si="5"/>
        <v>433</v>
      </c>
      <c r="AF351" s="1">
        <v>35.0</v>
      </c>
      <c r="AG351" s="1">
        <v>13.0</v>
      </c>
      <c r="AH351" s="1">
        <v>12.0</v>
      </c>
      <c r="AI351" s="1">
        <v>14.0</v>
      </c>
      <c r="AJ351" s="1">
        <v>33.0</v>
      </c>
      <c r="AK351" s="1">
        <v>1497.0</v>
      </c>
      <c r="AL351" s="1">
        <v>48.0</v>
      </c>
      <c r="AM351" s="1">
        <v>0.0</v>
      </c>
      <c r="AN351" s="1">
        <v>0.0</v>
      </c>
      <c r="AO351" s="1">
        <v>58.0</v>
      </c>
      <c r="AP351" s="1">
        <v>19.0</v>
      </c>
      <c r="AQ351" s="1">
        <v>0.0</v>
      </c>
    </row>
    <row r="352">
      <c r="A352" s="1"/>
      <c r="B352" s="1">
        <v>461.0</v>
      </c>
      <c r="C352" s="1" t="s">
        <v>3498</v>
      </c>
      <c r="D352" s="1" t="s">
        <v>3499</v>
      </c>
      <c r="E352" s="1" t="s">
        <v>3500</v>
      </c>
      <c r="F352" s="1" t="s">
        <v>58</v>
      </c>
      <c r="G352" s="2">
        <v>31349.0</v>
      </c>
      <c r="H352" s="1" t="s">
        <v>3501</v>
      </c>
      <c r="I352" s="1">
        <v>75.0</v>
      </c>
      <c r="J352" s="1" t="s">
        <v>232</v>
      </c>
      <c r="K352" s="1">
        <v>8.0</v>
      </c>
      <c r="L352" s="2">
        <v>42907.0</v>
      </c>
      <c r="O352" s="1">
        <v>0.0</v>
      </c>
      <c r="P352" s="1" t="s">
        <v>75</v>
      </c>
      <c r="Q352" s="1" t="s">
        <v>76</v>
      </c>
      <c r="R352" s="1" t="s">
        <v>3502</v>
      </c>
      <c r="U352" s="1" t="s">
        <v>78</v>
      </c>
      <c r="V352" s="1">
        <v>384.0</v>
      </c>
      <c r="W352" s="3" t="s">
        <v>3503</v>
      </c>
      <c r="X352" s="1">
        <v>721624.0</v>
      </c>
      <c r="Y352" s="1" t="s">
        <v>3504</v>
      </c>
      <c r="Z352" s="3" t="s">
        <v>3505</v>
      </c>
      <c r="AA352" s="3" t="s">
        <v>3506</v>
      </c>
      <c r="AB352" s="1">
        <v>1.0</v>
      </c>
      <c r="AC352" s="1" t="s">
        <v>3507</v>
      </c>
      <c r="AD352" s="1">
        <v>19.0</v>
      </c>
      <c r="AE352" s="1">
        <f t="shared" si="5"/>
        <v>433</v>
      </c>
      <c r="AF352" s="1">
        <v>37.0</v>
      </c>
      <c r="AG352" s="1">
        <v>27.0</v>
      </c>
      <c r="AH352" s="1">
        <v>55.0</v>
      </c>
      <c r="AI352" s="1">
        <v>5.0</v>
      </c>
      <c r="AJ352" s="1">
        <v>0.0</v>
      </c>
      <c r="AK352" s="1">
        <v>68.0</v>
      </c>
      <c r="AL352" s="1">
        <v>31.0</v>
      </c>
      <c r="AM352" s="1">
        <v>1.0</v>
      </c>
      <c r="AN352" s="1">
        <v>0.0</v>
      </c>
      <c r="AO352" s="1">
        <v>5.0</v>
      </c>
      <c r="AP352" s="1">
        <v>0.0</v>
      </c>
      <c r="AQ352" s="1">
        <v>1.0</v>
      </c>
    </row>
    <row r="353">
      <c r="A353" s="1"/>
      <c r="B353" s="1">
        <v>358.0</v>
      </c>
      <c r="C353" s="1" t="s">
        <v>3508</v>
      </c>
      <c r="D353" s="1" t="s">
        <v>3509</v>
      </c>
      <c r="E353" s="1" t="s">
        <v>3047</v>
      </c>
      <c r="F353" s="1" t="s">
        <v>43</v>
      </c>
      <c r="G353" s="2">
        <v>22158.0</v>
      </c>
      <c r="H353" s="1" t="s">
        <v>2462</v>
      </c>
      <c r="I353" s="1">
        <v>25.0</v>
      </c>
      <c r="J353" s="1" t="s">
        <v>149</v>
      </c>
      <c r="K353" s="1">
        <v>4.0</v>
      </c>
      <c r="L353" s="2">
        <v>42907.0</v>
      </c>
      <c r="O353" s="1">
        <v>0.0</v>
      </c>
      <c r="P353" s="1" t="s">
        <v>75</v>
      </c>
      <c r="Q353" s="1" t="s">
        <v>76</v>
      </c>
      <c r="R353" s="1" t="s">
        <v>3510</v>
      </c>
      <c r="U353" s="1" t="s">
        <v>3511</v>
      </c>
      <c r="V353" s="1">
        <v>230.0</v>
      </c>
      <c r="W353" s="3" t="s">
        <v>3512</v>
      </c>
      <c r="X353" s="1">
        <v>642724.0</v>
      </c>
      <c r="Y353" s="1" t="s">
        <v>3513</v>
      </c>
      <c r="Z353" s="3" t="s">
        <v>3514</v>
      </c>
      <c r="AA353" s="3" t="s">
        <v>3515</v>
      </c>
      <c r="AB353" s="1">
        <v>1.0</v>
      </c>
      <c r="AC353" s="1" t="s">
        <v>3516</v>
      </c>
      <c r="AD353" s="1">
        <v>19.0</v>
      </c>
      <c r="AE353" s="1">
        <f t="shared" si="5"/>
        <v>433</v>
      </c>
      <c r="AF353" s="1">
        <v>30.0</v>
      </c>
      <c r="AG353" s="1">
        <v>4.0</v>
      </c>
      <c r="AH353" s="1">
        <v>7.0</v>
      </c>
      <c r="AI353" s="1">
        <v>0.0</v>
      </c>
      <c r="AJ353" s="1">
        <v>4.0</v>
      </c>
      <c r="AK353" s="1">
        <v>31.0</v>
      </c>
      <c r="AL353" s="1">
        <v>8.0</v>
      </c>
      <c r="AM353" s="1">
        <v>0.0</v>
      </c>
      <c r="AN353" s="1">
        <v>0.0</v>
      </c>
      <c r="AO353" s="1">
        <v>6.0</v>
      </c>
      <c r="AP353" s="1">
        <v>22.0</v>
      </c>
      <c r="AQ353" s="1">
        <v>0.0</v>
      </c>
    </row>
    <row r="354">
      <c r="A354" s="1"/>
      <c r="B354" s="1">
        <v>65.0</v>
      </c>
      <c r="C354" s="1" t="s">
        <v>3517</v>
      </c>
      <c r="D354" s="1" t="s">
        <v>3518</v>
      </c>
      <c r="E354" s="1" t="s">
        <v>629</v>
      </c>
      <c r="F354" s="1" t="s">
        <v>58</v>
      </c>
      <c r="G354" s="2">
        <v>23078.0</v>
      </c>
      <c r="H354" s="1" t="s">
        <v>1016</v>
      </c>
      <c r="I354" s="1">
        <v>51.0</v>
      </c>
      <c r="J354" s="1" t="s">
        <v>208</v>
      </c>
      <c r="K354" s="1">
        <v>1.0</v>
      </c>
      <c r="L354" s="2">
        <v>42907.0</v>
      </c>
      <c r="O354" s="1">
        <v>0.0</v>
      </c>
      <c r="P354" s="1" t="s">
        <v>61</v>
      </c>
      <c r="Q354" s="1" t="s">
        <v>62</v>
      </c>
      <c r="R354" s="1" t="s">
        <v>3519</v>
      </c>
      <c r="U354" s="1">
        <v>0.0</v>
      </c>
      <c r="V354" s="1">
        <v>14.0</v>
      </c>
      <c r="W354" s="3" t="s">
        <v>3520</v>
      </c>
      <c r="X354" s="1">
        <v>720210.0</v>
      </c>
      <c r="Y354" s="1" t="s">
        <v>3521</v>
      </c>
      <c r="Z354" s="3" t="s">
        <v>3522</v>
      </c>
      <c r="AA354" s="3" t="s">
        <v>3523</v>
      </c>
      <c r="AB354" s="1">
        <v>1.0</v>
      </c>
      <c r="AC354" s="1" t="s">
        <v>3524</v>
      </c>
      <c r="AD354" s="1">
        <v>19.0</v>
      </c>
      <c r="AE354" s="1">
        <f t="shared" si="5"/>
        <v>433</v>
      </c>
      <c r="AF354" s="1">
        <v>29.0</v>
      </c>
      <c r="AG354" s="1">
        <v>15.0</v>
      </c>
      <c r="AH354" s="1">
        <v>21.0</v>
      </c>
      <c r="AI354" s="1">
        <v>36.0</v>
      </c>
      <c r="AJ354" s="1">
        <v>34.0</v>
      </c>
      <c r="AK354" s="1">
        <v>546.0</v>
      </c>
      <c r="AL354" s="1">
        <v>25.0</v>
      </c>
      <c r="AM354" s="1">
        <v>0.0</v>
      </c>
      <c r="AN354" s="1">
        <v>2.0</v>
      </c>
      <c r="AO354" s="1">
        <v>20.0</v>
      </c>
      <c r="AP354" s="1">
        <v>30.0</v>
      </c>
      <c r="AQ354" s="1">
        <v>1.0</v>
      </c>
    </row>
    <row r="355">
      <c r="A355" s="1"/>
      <c r="B355" s="1">
        <v>210.0</v>
      </c>
      <c r="C355" s="1" t="s">
        <v>3525</v>
      </c>
      <c r="D355" s="1" t="s">
        <v>3526</v>
      </c>
      <c r="E355" s="1" t="s">
        <v>3527</v>
      </c>
      <c r="F355" s="1" t="s">
        <v>58</v>
      </c>
      <c r="G355" s="2">
        <v>24308.0</v>
      </c>
      <c r="H355" s="1" t="s">
        <v>2442</v>
      </c>
      <c r="I355" s="1">
        <v>12.0</v>
      </c>
      <c r="J355" s="1" t="s">
        <v>685</v>
      </c>
      <c r="K355" s="1">
        <v>2.0</v>
      </c>
      <c r="L355" s="2">
        <v>42907.0</v>
      </c>
      <c r="O355" s="1">
        <v>0.0</v>
      </c>
      <c r="P355" s="1" t="s">
        <v>75</v>
      </c>
      <c r="Q355" s="1" t="s">
        <v>76</v>
      </c>
      <c r="R355" s="1" t="s">
        <v>3528</v>
      </c>
      <c r="U355" s="1" t="s">
        <v>3529</v>
      </c>
      <c r="V355" s="1">
        <v>317.0</v>
      </c>
      <c r="W355" s="3" t="s">
        <v>3530</v>
      </c>
      <c r="X355" s="1">
        <v>718990.0</v>
      </c>
      <c r="Y355" s="1" t="s">
        <v>3531</v>
      </c>
      <c r="Z355" s="3" t="s">
        <v>3532</v>
      </c>
      <c r="AA355" s="3" t="s">
        <v>3533</v>
      </c>
      <c r="AB355" s="1">
        <v>1.0</v>
      </c>
      <c r="AC355" s="1" t="s">
        <v>3534</v>
      </c>
      <c r="AD355" s="1">
        <v>19.0</v>
      </c>
      <c r="AE355" s="1">
        <f t="shared" si="5"/>
        <v>433</v>
      </c>
      <c r="AF355" s="1">
        <v>29.0</v>
      </c>
      <c r="AG355" s="1">
        <v>7.0</v>
      </c>
      <c r="AH355" s="1">
        <v>1.0</v>
      </c>
      <c r="AI355" s="1">
        <v>0.0</v>
      </c>
      <c r="AJ355" s="1">
        <v>0.0</v>
      </c>
      <c r="AK355" s="1">
        <v>60.0</v>
      </c>
      <c r="AL355" s="1">
        <v>25.0</v>
      </c>
      <c r="AM355" s="1">
        <v>0.0</v>
      </c>
      <c r="AN355" s="1">
        <v>0.0</v>
      </c>
      <c r="AO355" s="1">
        <v>6.0</v>
      </c>
      <c r="AP355" s="1">
        <v>2.0</v>
      </c>
      <c r="AQ355" s="1">
        <v>1.0</v>
      </c>
    </row>
    <row r="356">
      <c r="A356" s="1"/>
      <c r="B356" s="1">
        <v>452.0</v>
      </c>
      <c r="C356" s="1" t="s">
        <v>3535</v>
      </c>
      <c r="D356" s="1" t="s">
        <v>3536</v>
      </c>
      <c r="E356" s="1" t="s">
        <v>3537</v>
      </c>
      <c r="F356" s="1" t="s">
        <v>43</v>
      </c>
      <c r="G356" s="2">
        <v>21887.0</v>
      </c>
      <c r="H356" s="1" t="s">
        <v>207</v>
      </c>
      <c r="I356" s="1">
        <v>60.0</v>
      </c>
      <c r="J356" s="1" t="s">
        <v>769</v>
      </c>
      <c r="K356" s="1">
        <v>3.0</v>
      </c>
      <c r="L356" s="2">
        <v>42907.0</v>
      </c>
      <c r="O356" s="1">
        <v>0.0</v>
      </c>
      <c r="P356" s="1" t="s">
        <v>75</v>
      </c>
      <c r="Q356" s="1" t="s">
        <v>76</v>
      </c>
      <c r="R356" s="1" t="s">
        <v>3538</v>
      </c>
      <c r="U356" s="1" t="s">
        <v>162</v>
      </c>
      <c r="V356" s="1">
        <v>414.0</v>
      </c>
      <c r="W356" s="3" t="s">
        <v>3539</v>
      </c>
      <c r="X356" s="1">
        <v>720576.0</v>
      </c>
      <c r="Y356" s="1" t="s">
        <v>3540</v>
      </c>
      <c r="Z356" s="3" t="s">
        <v>3541</v>
      </c>
      <c r="AA356" s="3" t="s">
        <v>3542</v>
      </c>
      <c r="AB356" s="1">
        <v>2.0</v>
      </c>
      <c r="AC356" s="1" t="s">
        <v>3543</v>
      </c>
      <c r="AD356" s="1">
        <v>19.0</v>
      </c>
      <c r="AE356" s="1">
        <f t="shared" si="5"/>
        <v>433</v>
      </c>
      <c r="AF356" s="1">
        <v>35.0</v>
      </c>
      <c r="AG356" s="1">
        <v>8.0</v>
      </c>
      <c r="AH356" s="1">
        <v>11.0</v>
      </c>
      <c r="AI356" s="1">
        <v>2.0</v>
      </c>
      <c r="AJ356" s="1">
        <v>0.0</v>
      </c>
      <c r="AK356" s="1">
        <v>58.0</v>
      </c>
      <c r="AL356" s="1">
        <v>22.0</v>
      </c>
      <c r="AM356" s="1">
        <v>0.0</v>
      </c>
      <c r="AN356" s="1">
        <v>0.0</v>
      </c>
      <c r="AO356" s="1">
        <v>5.0</v>
      </c>
      <c r="AP356" s="1">
        <v>2.0</v>
      </c>
      <c r="AQ356" s="1">
        <v>2.0</v>
      </c>
    </row>
    <row r="357">
      <c r="A357" s="1"/>
      <c r="B357" s="1">
        <v>504.0</v>
      </c>
      <c r="C357" s="1" t="s">
        <v>3544</v>
      </c>
      <c r="D357" s="1" t="s">
        <v>3545</v>
      </c>
      <c r="E357" s="1" t="s">
        <v>3527</v>
      </c>
      <c r="F357" s="1" t="s">
        <v>58</v>
      </c>
      <c r="G357" s="2">
        <v>25900.0</v>
      </c>
      <c r="H357" s="1" t="s">
        <v>3546</v>
      </c>
      <c r="I357" s="1">
        <v>69.0</v>
      </c>
      <c r="J357" s="1" t="s">
        <v>1363</v>
      </c>
      <c r="K357" s="1">
        <v>4.0</v>
      </c>
      <c r="L357" s="2">
        <v>42907.0</v>
      </c>
      <c r="O357" s="1">
        <v>0.0</v>
      </c>
      <c r="P357" s="1" t="s">
        <v>75</v>
      </c>
      <c r="Q357" s="1" t="s">
        <v>76</v>
      </c>
      <c r="R357" s="1" t="s">
        <v>3547</v>
      </c>
      <c r="U357" s="1" t="s">
        <v>118</v>
      </c>
      <c r="V357" s="1">
        <v>434.0</v>
      </c>
      <c r="W357" s="3" t="s">
        <v>3548</v>
      </c>
      <c r="X357" s="1">
        <v>721328.0</v>
      </c>
      <c r="Y357" s="1" t="s">
        <v>3549</v>
      </c>
      <c r="Z357" s="3" t="s">
        <v>3550</v>
      </c>
      <c r="AA357" s="3" t="s">
        <v>3551</v>
      </c>
      <c r="AB357" s="1">
        <v>2.0</v>
      </c>
      <c r="AC357" s="1" t="s">
        <v>3552</v>
      </c>
      <c r="AD357" s="1">
        <v>19.0</v>
      </c>
      <c r="AE357" s="1">
        <f t="shared" si="5"/>
        <v>433</v>
      </c>
      <c r="AF357" s="1">
        <v>39.0</v>
      </c>
      <c r="AG357" s="1">
        <v>27.0</v>
      </c>
      <c r="AH357" s="1">
        <v>29.0</v>
      </c>
      <c r="AI357" s="1">
        <v>14.0</v>
      </c>
      <c r="AJ357" s="1">
        <v>10.0</v>
      </c>
      <c r="AK357" s="1">
        <v>44.0</v>
      </c>
      <c r="AL357" s="1">
        <v>14.0</v>
      </c>
      <c r="AM357" s="1">
        <v>0.0</v>
      </c>
      <c r="AN357" s="1">
        <v>0.0</v>
      </c>
      <c r="AO357" s="1">
        <v>6.0</v>
      </c>
      <c r="AP357" s="1">
        <v>1.0</v>
      </c>
      <c r="AQ357" s="1">
        <v>2.0</v>
      </c>
    </row>
    <row r="358">
      <c r="A358" s="1"/>
      <c r="B358" s="1">
        <v>184.0</v>
      </c>
      <c r="C358" s="1" t="s">
        <v>3553</v>
      </c>
      <c r="D358" s="1" t="s">
        <v>3554</v>
      </c>
      <c r="E358" s="1" t="s">
        <v>3555</v>
      </c>
      <c r="F358" s="1" t="s">
        <v>58</v>
      </c>
      <c r="G358" s="2">
        <v>17352.0</v>
      </c>
      <c r="H358" s="1" t="s">
        <v>3556</v>
      </c>
      <c r="I358" s="1">
        <v>39.0</v>
      </c>
      <c r="J358" s="1" t="s">
        <v>128</v>
      </c>
      <c r="K358" s="1">
        <v>1.0</v>
      </c>
      <c r="L358" s="2">
        <v>42907.0</v>
      </c>
      <c r="O358" s="1">
        <v>0.0</v>
      </c>
      <c r="P358" s="1" t="s">
        <v>75</v>
      </c>
      <c r="Q358" s="1" t="s">
        <v>76</v>
      </c>
      <c r="R358" s="1" t="s">
        <v>3557</v>
      </c>
      <c r="U358" s="1" t="s">
        <v>3558</v>
      </c>
      <c r="V358" s="1">
        <v>549.0</v>
      </c>
      <c r="W358" s="3" t="s">
        <v>3559</v>
      </c>
      <c r="X358" s="1">
        <v>719890.0</v>
      </c>
      <c r="Y358" s="1" t="s">
        <v>3560</v>
      </c>
      <c r="Z358" s="3" t="s">
        <v>3561</v>
      </c>
      <c r="AA358" s="3" t="s">
        <v>3562</v>
      </c>
      <c r="AB358" s="1">
        <v>2.0</v>
      </c>
      <c r="AC358" s="1" t="s">
        <v>3563</v>
      </c>
      <c r="AD358" s="1">
        <v>19.0</v>
      </c>
      <c r="AE358" s="1">
        <f t="shared" si="5"/>
        <v>433</v>
      </c>
      <c r="AF358" s="1">
        <v>28.0</v>
      </c>
      <c r="AG358" s="1">
        <v>5.0</v>
      </c>
      <c r="AH358" s="1">
        <v>161.0</v>
      </c>
      <c r="AI358" s="1">
        <v>841.0</v>
      </c>
      <c r="AJ358" s="1">
        <v>1.0</v>
      </c>
      <c r="AK358" s="1">
        <v>107.0</v>
      </c>
      <c r="AL358" s="1">
        <v>47.0</v>
      </c>
      <c r="AM358" s="1">
        <v>0.0</v>
      </c>
      <c r="AN358" s="1">
        <v>0.0</v>
      </c>
      <c r="AO358" s="1">
        <v>6.0</v>
      </c>
      <c r="AP358" s="1">
        <v>10.0</v>
      </c>
      <c r="AQ358" s="1">
        <v>2.0</v>
      </c>
    </row>
    <row r="359">
      <c r="A359" s="1"/>
      <c r="B359" s="1">
        <v>437.0</v>
      </c>
      <c r="C359" s="1" t="s">
        <v>3564</v>
      </c>
      <c r="D359" s="1" t="s">
        <v>3565</v>
      </c>
      <c r="E359" s="1" t="s">
        <v>1540</v>
      </c>
      <c r="F359" s="1" t="s">
        <v>43</v>
      </c>
      <c r="G359" s="2">
        <v>27102.0</v>
      </c>
      <c r="H359" s="1" t="s">
        <v>1273</v>
      </c>
      <c r="I359" s="1">
        <v>85.0</v>
      </c>
      <c r="J359" s="1" t="s">
        <v>1853</v>
      </c>
      <c r="K359" s="1">
        <v>3.0</v>
      </c>
      <c r="L359" s="2">
        <v>42907.0</v>
      </c>
      <c r="O359" s="1">
        <v>0.0</v>
      </c>
      <c r="P359" s="1" t="s">
        <v>75</v>
      </c>
      <c r="Q359" s="1" t="s">
        <v>76</v>
      </c>
      <c r="R359" s="1" t="s">
        <v>3566</v>
      </c>
      <c r="U359" s="1" t="s">
        <v>234</v>
      </c>
      <c r="V359" s="1">
        <v>632.0</v>
      </c>
      <c r="W359" s="3" t="s">
        <v>3567</v>
      </c>
      <c r="X359" s="1">
        <v>722000.0</v>
      </c>
      <c r="Y359" s="1" t="s">
        <v>3568</v>
      </c>
      <c r="Z359" s="3" t="s">
        <v>3569</v>
      </c>
      <c r="AA359" s="3" t="s">
        <v>3570</v>
      </c>
      <c r="AB359" s="1">
        <v>1.0</v>
      </c>
      <c r="AC359" s="1" t="s">
        <v>3571</v>
      </c>
      <c r="AD359" s="1">
        <v>19.0</v>
      </c>
      <c r="AE359" s="1">
        <f t="shared" si="5"/>
        <v>433</v>
      </c>
      <c r="AF359" s="1">
        <v>33.0</v>
      </c>
      <c r="AG359" s="1">
        <v>4.0</v>
      </c>
      <c r="AH359" s="1">
        <v>2.0</v>
      </c>
      <c r="AI359" s="1">
        <v>3.0</v>
      </c>
      <c r="AJ359" s="1">
        <v>0.0</v>
      </c>
      <c r="AK359" s="1">
        <v>87.0</v>
      </c>
      <c r="AL359" s="1">
        <v>43.0</v>
      </c>
      <c r="AM359" s="1">
        <v>0.0</v>
      </c>
      <c r="AN359" s="1">
        <v>0.0</v>
      </c>
      <c r="AO359" s="1">
        <v>5.0</v>
      </c>
      <c r="AP359" s="1">
        <v>3.0</v>
      </c>
      <c r="AQ359" s="1">
        <v>0.0</v>
      </c>
    </row>
    <row r="360">
      <c r="A360" s="1"/>
      <c r="B360" s="1">
        <v>372.0</v>
      </c>
      <c r="C360" s="1" t="s">
        <v>3572</v>
      </c>
      <c r="D360" s="1" t="s">
        <v>3573</v>
      </c>
      <c r="E360" s="1" t="s">
        <v>3574</v>
      </c>
      <c r="F360" s="1" t="s">
        <v>43</v>
      </c>
      <c r="G360" s="2">
        <v>26059.0</v>
      </c>
      <c r="H360" s="1" t="s">
        <v>404</v>
      </c>
      <c r="I360" s="1">
        <v>40.0</v>
      </c>
      <c r="J360" s="1" t="s">
        <v>664</v>
      </c>
      <c r="K360" s="1">
        <v>2.0</v>
      </c>
      <c r="L360" s="2">
        <v>42907.0</v>
      </c>
      <c r="O360" s="1">
        <v>0.0</v>
      </c>
      <c r="P360" s="1" t="s">
        <v>75</v>
      </c>
      <c r="Q360" s="1" t="s">
        <v>76</v>
      </c>
      <c r="U360" s="1" t="s">
        <v>162</v>
      </c>
      <c r="V360" s="1">
        <v>362.0</v>
      </c>
      <c r="W360" s="3" t="s">
        <v>3575</v>
      </c>
      <c r="X360" s="1">
        <v>719922.0</v>
      </c>
      <c r="Y360" s="1" t="s">
        <v>3576</v>
      </c>
      <c r="Z360" s="3" t="s">
        <v>3577</v>
      </c>
      <c r="AA360" s="3" t="s">
        <v>3578</v>
      </c>
      <c r="AB360" s="1">
        <v>2.0</v>
      </c>
      <c r="AD360" s="1">
        <v>19.0</v>
      </c>
      <c r="AE360" s="1">
        <f t="shared" si="5"/>
        <v>433</v>
      </c>
      <c r="AF360" s="1">
        <v>35.0</v>
      </c>
      <c r="AG360" s="1">
        <v>5.0</v>
      </c>
      <c r="AH360" s="1">
        <v>11.0</v>
      </c>
      <c r="AI360" s="1">
        <v>3.0</v>
      </c>
      <c r="AJ360" s="1">
        <v>6.0</v>
      </c>
      <c r="AK360" s="1">
        <v>105.0</v>
      </c>
      <c r="AL360" s="1">
        <v>44.0</v>
      </c>
      <c r="AM360" s="1">
        <v>0.0</v>
      </c>
      <c r="AN360" s="1">
        <v>0.0</v>
      </c>
      <c r="AO360" s="1">
        <v>5.0</v>
      </c>
      <c r="AP360" s="1">
        <v>8.0</v>
      </c>
      <c r="AQ360" s="1">
        <v>2.0</v>
      </c>
    </row>
    <row r="361">
      <c r="A361" s="1"/>
      <c r="B361" s="1">
        <v>559.0</v>
      </c>
      <c r="C361" s="1" t="s">
        <v>3579</v>
      </c>
      <c r="D361" s="1" t="s">
        <v>3580</v>
      </c>
      <c r="E361" s="1" t="s">
        <v>3056</v>
      </c>
      <c r="F361" s="1" t="s">
        <v>43</v>
      </c>
      <c r="G361" s="2">
        <v>25841.0</v>
      </c>
      <c r="H361" s="1" t="s">
        <v>2268</v>
      </c>
      <c r="I361" s="1">
        <v>84.0</v>
      </c>
      <c r="J361" s="1" t="s">
        <v>719</v>
      </c>
      <c r="K361" s="1">
        <v>1.0</v>
      </c>
      <c r="L361" s="2">
        <v>42907.0</v>
      </c>
      <c r="O361" s="1">
        <v>0.0</v>
      </c>
      <c r="P361" s="1" t="s">
        <v>75</v>
      </c>
      <c r="Q361" s="1" t="s">
        <v>76</v>
      </c>
      <c r="R361" s="1" t="s">
        <v>3581</v>
      </c>
      <c r="U361" s="1" t="s">
        <v>198</v>
      </c>
      <c r="V361" s="1">
        <v>536.0</v>
      </c>
      <c r="W361" s="3" t="s">
        <v>3582</v>
      </c>
      <c r="X361" s="1">
        <v>721860.0</v>
      </c>
      <c r="Y361" s="1" t="s">
        <v>3583</v>
      </c>
      <c r="Z361" s="3" t="s">
        <v>3584</v>
      </c>
      <c r="AA361" s="3" t="s">
        <v>3585</v>
      </c>
      <c r="AB361" s="1">
        <v>1.0</v>
      </c>
      <c r="AC361" s="1" t="s">
        <v>3586</v>
      </c>
      <c r="AD361" s="1">
        <v>19.0</v>
      </c>
      <c r="AE361" s="1">
        <f t="shared" si="5"/>
        <v>433</v>
      </c>
      <c r="AF361" s="1">
        <v>30.0</v>
      </c>
      <c r="AG361" s="1">
        <v>4.0</v>
      </c>
      <c r="AH361" s="1">
        <v>14.0</v>
      </c>
      <c r="AI361" s="1">
        <v>2.0</v>
      </c>
      <c r="AJ361" s="1">
        <v>0.0</v>
      </c>
      <c r="AK361" s="1">
        <v>171.0</v>
      </c>
      <c r="AL361" s="1">
        <v>75.0</v>
      </c>
      <c r="AM361" s="1">
        <v>0.0</v>
      </c>
      <c r="AN361" s="1">
        <v>0.0</v>
      </c>
      <c r="AO361" s="1">
        <v>6.0</v>
      </c>
      <c r="AP361" s="1">
        <v>0.0</v>
      </c>
      <c r="AQ361" s="1">
        <v>2.0</v>
      </c>
    </row>
    <row r="362">
      <c r="A362" s="1"/>
      <c r="B362" s="1">
        <v>238.0</v>
      </c>
      <c r="C362" s="1" t="s">
        <v>3587</v>
      </c>
      <c r="D362" s="1" t="s">
        <v>3588</v>
      </c>
      <c r="E362" s="1" t="s">
        <v>3589</v>
      </c>
      <c r="F362" s="1" t="s">
        <v>58</v>
      </c>
      <c r="G362" s="2">
        <v>22416.0</v>
      </c>
      <c r="H362" s="1" t="s">
        <v>3590</v>
      </c>
      <c r="I362" s="1">
        <v>93.0</v>
      </c>
      <c r="J362" s="1" t="s">
        <v>196</v>
      </c>
      <c r="K362" s="1">
        <v>8.0</v>
      </c>
      <c r="L362" s="2">
        <v>42907.0</v>
      </c>
      <c r="O362" s="1">
        <v>0.0</v>
      </c>
      <c r="P362" s="1" t="s">
        <v>75</v>
      </c>
      <c r="Q362" s="1" t="s">
        <v>76</v>
      </c>
      <c r="R362" s="1" t="s">
        <v>3591</v>
      </c>
      <c r="U362" s="1" t="s">
        <v>118</v>
      </c>
      <c r="V362" s="1">
        <v>561.0</v>
      </c>
      <c r="W362" s="3" t="s">
        <v>3592</v>
      </c>
      <c r="X362" s="1">
        <v>721218.0</v>
      </c>
      <c r="Y362" s="1" t="s">
        <v>3593</v>
      </c>
      <c r="Z362" s="3" t="s">
        <v>3594</v>
      </c>
      <c r="AA362" s="3" t="s">
        <v>3595</v>
      </c>
      <c r="AB362" s="1">
        <v>1.0</v>
      </c>
      <c r="AC362" s="1" t="s">
        <v>3596</v>
      </c>
      <c r="AD362" s="1">
        <v>19.0</v>
      </c>
      <c r="AE362" s="1">
        <f t="shared" si="5"/>
        <v>433</v>
      </c>
      <c r="AF362" s="1">
        <v>33.0</v>
      </c>
      <c r="AG362" s="1">
        <v>13.0</v>
      </c>
      <c r="AH362" s="1">
        <v>6.0</v>
      </c>
      <c r="AI362" s="1">
        <v>1.0</v>
      </c>
      <c r="AJ362" s="1">
        <v>1.0</v>
      </c>
      <c r="AK362" s="1">
        <v>42.0</v>
      </c>
      <c r="AL362" s="1">
        <v>15.0</v>
      </c>
      <c r="AM362" s="1">
        <v>0.0</v>
      </c>
      <c r="AN362" s="1">
        <v>0.0</v>
      </c>
      <c r="AO362" s="1">
        <v>6.0</v>
      </c>
      <c r="AP362" s="1">
        <v>2.0</v>
      </c>
      <c r="AQ362" s="1">
        <v>2.0</v>
      </c>
    </row>
    <row r="363">
      <c r="A363" s="1"/>
      <c r="B363" s="1">
        <v>330.0</v>
      </c>
      <c r="C363" s="1" t="s">
        <v>3597</v>
      </c>
      <c r="D363" s="1" t="s">
        <v>3598</v>
      </c>
      <c r="E363" s="1" t="s">
        <v>3599</v>
      </c>
      <c r="F363" s="1" t="s">
        <v>58</v>
      </c>
      <c r="G363" s="2">
        <v>31047.0</v>
      </c>
      <c r="H363" s="1" t="s">
        <v>3250</v>
      </c>
      <c r="I363" s="1">
        <v>25.0</v>
      </c>
      <c r="J363" s="1" t="s">
        <v>149</v>
      </c>
      <c r="K363" s="1">
        <v>1.0</v>
      </c>
      <c r="L363" s="2">
        <v>42907.0</v>
      </c>
      <c r="O363" s="1">
        <v>0.0</v>
      </c>
      <c r="P363" s="1" t="s">
        <v>75</v>
      </c>
      <c r="Q363" s="1" t="s">
        <v>76</v>
      </c>
      <c r="R363" s="1" t="s">
        <v>3600</v>
      </c>
      <c r="U363" s="1" t="s">
        <v>3601</v>
      </c>
      <c r="V363" s="1">
        <v>528.0</v>
      </c>
      <c r="W363" s="3" t="s">
        <v>3602</v>
      </c>
      <c r="X363" s="1">
        <v>719170.0</v>
      </c>
      <c r="Y363" s="1" t="s">
        <v>3603</v>
      </c>
      <c r="Z363" s="3" t="s">
        <v>3604</v>
      </c>
      <c r="AA363" s="3" t="s">
        <v>3605</v>
      </c>
      <c r="AB363" s="1">
        <v>1.0</v>
      </c>
      <c r="AC363" s="1" t="s">
        <v>3606</v>
      </c>
      <c r="AD363" s="1">
        <v>19.0</v>
      </c>
      <c r="AE363" s="1">
        <f t="shared" si="5"/>
        <v>433</v>
      </c>
      <c r="AF363" s="1">
        <v>39.0</v>
      </c>
      <c r="AG363" s="1">
        <v>9.0</v>
      </c>
      <c r="AH363" s="1">
        <v>4.0</v>
      </c>
      <c r="AI363" s="1">
        <v>0.0</v>
      </c>
      <c r="AJ363" s="1">
        <v>2.0</v>
      </c>
      <c r="AK363" s="1">
        <v>55.0</v>
      </c>
      <c r="AL363" s="1">
        <v>16.0</v>
      </c>
      <c r="AM363" s="1">
        <v>0.0</v>
      </c>
      <c r="AN363" s="1">
        <v>0.0</v>
      </c>
      <c r="AO363" s="1">
        <v>6.0</v>
      </c>
      <c r="AP363" s="1">
        <v>10.0</v>
      </c>
      <c r="AQ363" s="1">
        <v>2.0</v>
      </c>
    </row>
    <row r="364">
      <c r="A364" s="1"/>
      <c r="B364" s="1">
        <v>155.0</v>
      </c>
      <c r="C364" s="1" t="s">
        <v>3607</v>
      </c>
      <c r="D364" s="1" t="s">
        <v>3608</v>
      </c>
      <c r="E364" s="1" t="s">
        <v>1968</v>
      </c>
      <c r="F364" s="1" t="s">
        <v>43</v>
      </c>
      <c r="G364" s="2">
        <v>17607.0</v>
      </c>
      <c r="H364" s="1" t="s">
        <v>3609</v>
      </c>
      <c r="I364" s="1">
        <v>88.0</v>
      </c>
      <c r="J364" s="1" t="s">
        <v>1542</v>
      </c>
      <c r="K364" s="1">
        <v>2.0</v>
      </c>
      <c r="L364" s="2">
        <v>42907.0</v>
      </c>
      <c r="O364" s="1">
        <v>0.0</v>
      </c>
      <c r="P364" s="1" t="s">
        <v>61</v>
      </c>
      <c r="Q364" s="1" t="s">
        <v>62</v>
      </c>
      <c r="R364" s="1" t="s">
        <v>3610</v>
      </c>
      <c r="U364" s="1" t="s">
        <v>1784</v>
      </c>
      <c r="V364" s="1">
        <v>116.0</v>
      </c>
      <c r="W364" s="3" t="s">
        <v>3611</v>
      </c>
      <c r="X364" s="1">
        <v>856.0</v>
      </c>
      <c r="Y364" s="1" t="s">
        <v>3612</v>
      </c>
      <c r="Z364" s="3" t="s">
        <v>3613</v>
      </c>
      <c r="AA364" s="3" t="s">
        <v>3614</v>
      </c>
      <c r="AB364" s="1">
        <v>1.0</v>
      </c>
      <c r="AC364" s="1" t="s">
        <v>3615</v>
      </c>
      <c r="AD364" s="1">
        <v>19.0</v>
      </c>
      <c r="AE364" s="1">
        <f t="shared" si="5"/>
        <v>433</v>
      </c>
      <c r="AF364" s="1">
        <v>37.0</v>
      </c>
      <c r="AG364" s="1">
        <v>28.0</v>
      </c>
      <c r="AH364" s="1">
        <v>47.0</v>
      </c>
      <c r="AI364" s="1">
        <v>14.0</v>
      </c>
      <c r="AJ364" s="1">
        <v>35.0</v>
      </c>
      <c r="AK364" s="1">
        <v>630.0</v>
      </c>
      <c r="AL364" s="1">
        <v>25.0</v>
      </c>
      <c r="AM364" s="1">
        <v>0.0</v>
      </c>
      <c r="AN364" s="1">
        <v>0.0</v>
      </c>
      <c r="AO364" s="1">
        <v>13.0</v>
      </c>
      <c r="AP364" s="1">
        <v>1.0</v>
      </c>
      <c r="AQ364" s="1">
        <v>0.0</v>
      </c>
    </row>
    <row r="365">
      <c r="A365" s="1"/>
      <c r="B365" s="1">
        <v>571.0</v>
      </c>
      <c r="C365" s="1" t="s">
        <v>3616</v>
      </c>
      <c r="D365" s="1" t="s">
        <v>3617</v>
      </c>
      <c r="E365" s="1" t="s">
        <v>1451</v>
      </c>
      <c r="F365" s="1" t="s">
        <v>58</v>
      </c>
      <c r="G365" s="2">
        <v>23298.0</v>
      </c>
      <c r="H365" s="1" t="s">
        <v>652</v>
      </c>
      <c r="I365" s="1">
        <v>26.0</v>
      </c>
      <c r="J365" s="1" t="s">
        <v>1873</v>
      </c>
      <c r="K365" s="1">
        <v>1.0</v>
      </c>
      <c r="L365" s="2">
        <v>42907.0</v>
      </c>
      <c r="O365" s="1">
        <v>0.0</v>
      </c>
      <c r="P365" s="1" t="s">
        <v>75</v>
      </c>
      <c r="Q365" s="1" t="s">
        <v>76</v>
      </c>
      <c r="R365" s="1" t="s">
        <v>3618</v>
      </c>
      <c r="U365" s="1" t="s">
        <v>1037</v>
      </c>
      <c r="V365" s="1">
        <v>358.0</v>
      </c>
      <c r="W365" s="3" t="s">
        <v>3619</v>
      </c>
      <c r="X365" s="1">
        <v>719294.0</v>
      </c>
      <c r="Y365" s="1" t="s">
        <v>3620</v>
      </c>
      <c r="Z365" s="3" t="s">
        <v>3621</v>
      </c>
      <c r="AA365" s="3" t="s">
        <v>3622</v>
      </c>
      <c r="AB365" s="1">
        <v>1.0</v>
      </c>
      <c r="AC365" s="1" t="s">
        <v>3623</v>
      </c>
      <c r="AD365" s="1">
        <v>19.0</v>
      </c>
      <c r="AE365" s="1">
        <f t="shared" si="5"/>
        <v>433</v>
      </c>
      <c r="AF365" s="1">
        <v>39.0</v>
      </c>
      <c r="AG365" s="1">
        <v>13.0</v>
      </c>
      <c r="AH365" s="1">
        <v>4.0</v>
      </c>
      <c r="AI365" s="1">
        <v>1.0</v>
      </c>
      <c r="AJ365" s="1">
        <v>0.0</v>
      </c>
      <c r="AK365" s="1">
        <v>17.0</v>
      </c>
      <c r="AL365" s="1">
        <v>7.0</v>
      </c>
      <c r="AM365" s="1">
        <v>0.0</v>
      </c>
      <c r="AN365" s="1">
        <v>0.0</v>
      </c>
      <c r="AO365" s="1">
        <v>7.0</v>
      </c>
      <c r="AP365" s="1">
        <v>4.0</v>
      </c>
      <c r="AQ365" s="1">
        <v>1.0</v>
      </c>
    </row>
    <row r="366">
      <c r="A366" s="1"/>
      <c r="B366" s="1">
        <v>561.0</v>
      </c>
      <c r="C366" s="1" t="s">
        <v>3624</v>
      </c>
      <c r="D366" s="1" t="s">
        <v>3625</v>
      </c>
      <c r="E366" s="1" t="s">
        <v>3626</v>
      </c>
      <c r="F366" s="1" t="s">
        <v>58</v>
      </c>
      <c r="G366" s="2">
        <v>22395.0</v>
      </c>
      <c r="H366" s="1" t="s">
        <v>266</v>
      </c>
      <c r="I366" s="1">
        <v>59.0</v>
      </c>
      <c r="J366" s="1" t="s">
        <v>172</v>
      </c>
      <c r="K366" s="1">
        <v>21.0</v>
      </c>
      <c r="L366" s="2">
        <v>42907.0</v>
      </c>
      <c r="O366" s="1">
        <v>0.0</v>
      </c>
      <c r="P366" s="1" t="s">
        <v>46</v>
      </c>
      <c r="Q366" s="1" t="s">
        <v>47</v>
      </c>
      <c r="U366" s="1" t="s">
        <v>3627</v>
      </c>
      <c r="V366" s="1">
        <v>157.0</v>
      </c>
      <c r="W366" s="3" t="s">
        <v>3628</v>
      </c>
      <c r="X366" s="1">
        <v>720696.0</v>
      </c>
      <c r="Y366" s="1" t="s">
        <v>3629</v>
      </c>
      <c r="Z366" s="3" t="s">
        <v>3630</v>
      </c>
      <c r="AA366" s="3" t="s">
        <v>3631</v>
      </c>
      <c r="AB366" s="1">
        <v>2.0</v>
      </c>
      <c r="AD366" s="1">
        <v>19.0</v>
      </c>
      <c r="AE366" s="1">
        <f t="shared" si="5"/>
        <v>433</v>
      </c>
      <c r="AF366" s="1">
        <v>33.0</v>
      </c>
      <c r="AG366" s="1">
        <v>25.0</v>
      </c>
      <c r="AH366" s="1">
        <v>31.0</v>
      </c>
      <c r="AI366" s="1">
        <v>1.0</v>
      </c>
      <c r="AJ366" s="1">
        <v>15.0</v>
      </c>
      <c r="AK366" s="1">
        <v>438.0</v>
      </c>
      <c r="AL366" s="1">
        <v>21.0</v>
      </c>
      <c r="AM366" s="1">
        <v>0.0</v>
      </c>
      <c r="AN366" s="1">
        <v>0.0</v>
      </c>
      <c r="AO366" s="1">
        <v>14.0</v>
      </c>
      <c r="AP366" s="1">
        <v>19.0</v>
      </c>
      <c r="AQ366" s="1">
        <v>4.0</v>
      </c>
    </row>
    <row r="367">
      <c r="A367" s="1"/>
      <c r="B367" s="1">
        <v>362.0</v>
      </c>
      <c r="C367" s="1" t="s">
        <v>3632</v>
      </c>
      <c r="D367" s="1" t="s">
        <v>3633</v>
      </c>
      <c r="E367" s="1" t="s">
        <v>148</v>
      </c>
      <c r="F367" s="1" t="s">
        <v>43</v>
      </c>
      <c r="G367" s="2">
        <v>23944.0</v>
      </c>
      <c r="H367" s="1" t="s">
        <v>718</v>
      </c>
      <c r="I367" s="1">
        <v>13.0</v>
      </c>
      <c r="J367" s="1" t="s">
        <v>279</v>
      </c>
      <c r="K367" s="1">
        <v>12.0</v>
      </c>
      <c r="L367" s="2">
        <v>42907.0</v>
      </c>
      <c r="O367" s="1">
        <v>0.0</v>
      </c>
      <c r="P367" s="1" t="s">
        <v>61</v>
      </c>
      <c r="Q367" s="1" t="s">
        <v>62</v>
      </c>
      <c r="R367" s="1" t="s">
        <v>3634</v>
      </c>
      <c r="U367" s="1" t="s">
        <v>304</v>
      </c>
      <c r="V367" s="1">
        <v>25.0</v>
      </c>
      <c r="W367" s="3" t="s">
        <v>3635</v>
      </c>
      <c r="X367" s="1">
        <v>267440.0</v>
      </c>
      <c r="Y367" s="1" t="s">
        <v>3636</v>
      </c>
      <c r="Z367" s="3" t="s">
        <v>3637</v>
      </c>
      <c r="AA367" s="3" t="s">
        <v>3638</v>
      </c>
      <c r="AB367" s="1">
        <v>2.0</v>
      </c>
      <c r="AC367" s="1" t="s">
        <v>3639</v>
      </c>
      <c r="AD367" s="1">
        <v>19.0</v>
      </c>
      <c r="AE367" s="1">
        <f t="shared" si="5"/>
        <v>433</v>
      </c>
      <c r="AF367" s="1">
        <v>27.0</v>
      </c>
      <c r="AG367" s="1">
        <v>25.0</v>
      </c>
      <c r="AH367" s="1">
        <v>33.0</v>
      </c>
      <c r="AI367" s="1">
        <v>67.0</v>
      </c>
      <c r="AJ367" s="1">
        <v>58.0</v>
      </c>
      <c r="AK367" s="1">
        <v>365.0</v>
      </c>
      <c r="AL367" s="1">
        <v>18.0</v>
      </c>
      <c r="AM367" s="1">
        <v>0.0</v>
      </c>
      <c r="AN367" s="1">
        <v>1.0</v>
      </c>
      <c r="AO367" s="1">
        <v>23.0</v>
      </c>
      <c r="AP367" s="1">
        <v>9.0</v>
      </c>
      <c r="AQ367" s="1">
        <v>2.0</v>
      </c>
    </row>
    <row r="368">
      <c r="A368" s="1"/>
      <c r="B368" s="1">
        <v>67.0</v>
      </c>
      <c r="C368" s="1" t="s">
        <v>3640</v>
      </c>
      <c r="D368" s="1" t="s">
        <v>3641</v>
      </c>
      <c r="E368" s="1" t="s">
        <v>1987</v>
      </c>
      <c r="F368" s="1" t="s">
        <v>43</v>
      </c>
      <c r="G368" s="2">
        <v>30008.0</v>
      </c>
      <c r="H368" s="1" t="s">
        <v>2581</v>
      </c>
      <c r="I368" s="1">
        <v>87.0</v>
      </c>
      <c r="J368" s="1" t="s">
        <v>405</v>
      </c>
      <c r="K368" s="1">
        <v>2.0</v>
      </c>
      <c r="L368" s="2">
        <v>42907.0</v>
      </c>
      <c r="O368" s="1">
        <v>0.0</v>
      </c>
      <c r="P368" s="1" t="s">
        <v>75</v>
      </c>
      <c r="Q368" s="1" t="s">
        <v>76</v>
      </c>
      <c r="R368" s="1" t="s">
        <v>3642</v>
      </c>
      <c r="U368" s="1" t="s">
        <v>198</v>
      </c>
      <c r="V368" s="1">
        <v>539.0</v>
      </c>
      <c r="W368" s="3" t="s">
        <v>3643</v>
      </c>
      <c r="X368" s="1">
        <v>722236.0</v>
      </c>
      <c r="Y368" s="1" t="s">
        <v>3644</v>
      </c>
      <c r="Z368" s="3" t="s">
        <v>3645</v>
      </c>
      <c r="AA368" s="3" t="s">
        <v>3646</v>
      </c>
      <c r="AB368" s="1">
        <v>1.0</v>
      </c>
      <c r="AC368" s="1" t="s">
        <v>3647</v>
      </c>
      <c r="AD368" s="1">
        <v>19.0</v>
      </c>
      <c r="AE368" s="1">
        <f t="shared" si="5"/>
        <v>433</v>
      </c>
      <c r="AF368" s="1">
        <v>34.0</v>
      </c>
      <c r="AG368" s="1">
        <v>26.0</v>
      </c>
      <c r="AH368" s="1">
        <v>21.0</v>
      </c>
      <c r="AI368" s="1">
        <v>1.0</v>
      </c>
      <c r="AJ368" s="1">
        <v>5.0</v>
      </c>
      <c r="AK368" s="1">
        <v>76.0</v>
      </c>
      <c r="AL368" s="1">
        <v>44.0</v>
      </c>
      <c r="AM368" s="1">
        <v>0.0</v>
      </c>
      <c r="AN368" s="1">
        <v>0.0</v>
      </c>
      <c r="AO368" s="1">
        <v>5.0</v>
      </c>
      <c r="AP368" s="1">
        <v>8.0</v>
      </c>
      <c r="AQ368" s="1">
        <v>1.0</v>
      </c>
    </row>
    <row r="369">
      <c r="A369" s="1"/>
      <c r="B369" s="1">
        <v>520.0</v>
      </c>
      <c r="C369" s="1" t="s">
        <v>3648</v>
      </c>
      <c r="D369" s="1" t="s">
        <v>3649</v>
      </c>
      <c r="E369" s="1" t="s">
        <v>1421</v>
      </c>
      <c r="F369" s="1" t="s">
        <v>43</v>
      </c>
      <c r="G369" s="2">
        <v>24213.0</v>
      </c>
      <c r="H369" s="1" t="s">
        <v>695</v>
      </c>
      <c r="I369" s="1">
        <v>6.0</v>
      </c>
      <c r="J369" s="1" t="s">
        <v>438</v>
      </c>
      <c r="K369" s="1">
        <v>2.0</v>
      </c>
      <c r="L369" s="2">
        <v>42907.0</v>
      </c>
      <c r="O369" s="1">
        <v>0.0</v>
      </c>
      <c r="P369" s="1" t="s">
        <v>75</v>
      </c>
      <c r="Q369" s="1" t="s">
        <v>76</v>
      </c>
      <c r="R369" s="1" t="s">
        <v>3650</v>
      </c>
      <c r="U369" s="1" t="s">
        <v>2484</v>
      </c>
      <c r="V369" s="1">
        <v>402.0</v>
      </c>
      <c r="W369" s="3" t="s">
        <v>3651</v>
      </c>
      <c r="X369" s="1">
        <v>718894.0</v>
      </c>
      <c r="Y369" s="1" t="s">
        <v>3652</v>
      </c>
      <c r="Z369" s="3" t="s">
        <v>3653</v>
      </c>
      <c r="AA369" s="3" t="s">
        <v>3654</v>
      </c>
      <c r="AB369" s="1">
        <v>2.0</v>
      </c>
      <c r="AC369" s="1" t="s">
        <v>3655</v>
      </c>
      <c r="AD369" s="1">
        <v>19.0</v>
      </c>
      <c r="AE369" s="1">
        <f t="shared" si="5"/>
        <v>433</v>
      </c>
      <c r="AF369" s="1">
        <v>27.0</v>
      </c>
      <c r="AG369" s="1">
        <v>6.0</v>
      </c>
      <c r="AH369" s="1">
        <v>5.0</v>
      </c>
      <c r="AI369" s="1">
        <v>0.0</v>
      </c>
      <c r="AJ369" s="1">
        <v>6.0</v>
      </c>
      <c r="AK369" s="1">
        <v>89.0</v>
      </c>
      <c r="AL369" s="1">
        <v>42.0</v>
      </c>
      <c r="AM369" s="1">
        <v>0.0</v>
      </c>
      <c r="AN369" s="1">
        <v>0.0</v>
      </c>
      <c r="AO369" s="1">
        <v>9.0</v>
      </c>
      <c r="AP369" s="1">
        <v>19.0</v>
      </c>
      <c r="AQ369" s="1">
        <v>2.0</v>
      </c>
    </row>
    <row r="370">
      <c r="A370" s="1"/>
      <c r="B370" s="1">
        <v>187.0</v>
      </c>
      <c r="C370" s="1" t="s">
        <v>3656</v>
      </c>
      <c r="D370" s="1" t="s">
        <v>3657</v>
      </c>
      <c r="E370" s="1" t="s">
        <v>3658</v>
      </c>
      <c r="F370" s="1" t="s">
        <v>58</v>
      </c>
      <c r="G370" s="2">
        <v>20968.0</v>
      </c>
      <c r="H370" s="1" t="s">
        <v>3659</v>
      </c>
      <c r="I370" s="1">
        <v>24.0</v>
      </c>
      <c r="J370" s="1" t="s">
        <v>2327</v>
      </c>
      <c r="K370" s="1">
        <v>4.0</v>
      </c>
      <c r="L370" s="2">
        <v>42907.0</v>
      </c>
      <c r="O370" s="1">
        <v>0.0</v>
      </c>
      <c r="P370" s="1" t="s">
        <v>75</v>
      </c>
      <c r="Q370" s="1" t="s">
        <v>76</v>
      </c>
      <c r="R370" s="1" t="s">
        <v>3660</v>
      </c>
      <c r="U370" s="1" t="s">
        <v>3558</v>
      </c>
      <c r="V370" s="1">
        <v>484.0</v>
      </c>
      <c r="W370" s="3" t="s">
        <v>3661</v>
      </c>
      <c r="X370" s="1">
        <v>719162.0</v>
      </c>
      <c r="Y370" s="1" t="s">
        <v>3662</v>
      </c>
      <c r="Z370" s="3" t="s">
        <v>3663</v>
      </c>
      <c r="AA370" s="3" t="s">
        <v>3664</v>
      </c>
      <c r="AB370" s="1">
        <v>1.0</v>
      </c>
      <c r="AC370" s="1" t="s">
        <v>3665</v>
      </c>
      <c r="AD370" s="1">
        <v>19.0</v>
      </c>
      <c r="AE370" s="1">
        <f t="shared" si="5"/>
        <v>433</v>
      </c>
      <c r="AF370" s="1">
        <v>39.0</v>
      </c>
      <c r="AG370" s="1">
        <v>19.0</v>
      </c>
      <c r="AH370" s="1">
        <v>10.0</v>
      </c>
      <c r="AI370" s="1">
        <v>4.0</v>
      </c>
      <c r="AJ370" s="1">
        <v>2.0</v>
      </c>
      <c r="AK370" s="1">
        <v>60.0</v>
      </c>
      <c r="AL370" s="1">
        <v>16.0</v>
      </c>
      <c r="AM370" s="1">
        <v>0.0</v>
      </c>
      <c r="AN370" s="1">
        <v>0.0</v>
      </c>
      <c r="AO370" s="1">
        <v>8.0</v>
      </c>
      <c r="AP370" s="1">
        <v>6.0</v>
      </c>
      <c r="AQ370" s="1">
        <v>3.0</v>
      </c>
    </row>
    <row r="371">
      <c r="A371" s="1"/>
      <c r="B371" s="1">
        <v>102.0</v>
      </c>
      <c r="C371" s="1" t="s">
        <v>3666</v>
      </c>
      <c r="D371" s="1" t="s">
        <v>3667</v>
      </c>
      <c r="E371" s="1" t="s">
        <v>3668</v>
      </c>
      <c r="F371" s="1" t="s">
        <v>58</v>
      </c>
      <c r="G371" s="2">
        <v>30379.0</v>
      </c>
      <c r="H371" s="1" t="s">
        <v>857</v>
      </c>
      <c r="I371" s="1">
        <v>34.0</v>
      </c>
      <c r="J371" s="1" t="s">
        <v>1252</v>
      </c>
      <c r="K371" s="1">
        <v>3.0</v>
      </c>
      <c r="L371" s="2">
        <v>42907.0</v>
      </c>
      <c r="O371" s="1">
        <v>0.0</v>
      </c>
      <c r="P371" s="1" t="s">
        <v>75</v>
      </c>
      <c r="Q371" s="1" t="s">
        <v>76</v>
      </c>
      <c r="R371" s="1" t="s">
        <v>3669</v>
      </c>
      <c r="U371" s="1" t="s">
        <v>1386</v>
      </c>
      <c r="V371" s="1">
        <v>347.0</v>
      </c>
      <c r="W371" s="3" t="s">
        <v>3670</v>
      </c>
      <c r="X371" s="1">
        <v>719684.0</v>
      </c>
      <c r="Y371" s="1" t="s">
        <v>3671</v>
      </c>
      <c r="Z371" s="3" t="s">
        <v>3672</v>
      </c>
      <c r="AA371" s="3" t="s">
        <v>3673</v>
      </c>
      <c r="AB371" s="1">
        <v>1.0</v>
      </c>
      <c r="AC371" s="1" t="s">
        <v>3674</v>
      </c>
      <c r="AD371" s="1">
        <v>19.0</v>
      </c>
      <c r="AE371" s="1">
        <f t="shared" si="5"/>
        <v>433</v>
      </c>
      <c r="AF371" s="1">
        <v>34.0</v>
      </c>
      <c r="AG371" s="1">
        <v>5.0</v>
      </c>
      <c r="AH371" s="1">
        <v>9.0</v>
      </c>
      <c r="AI371" s="1">
        <v>9.0</v>
      </c>
      <c r="AJ371" s="1">
        <v>15.0</v>
      </c>
      <c r="AK371" s="1">
        <v>63.0</v>
      </c>
      <c r="AL371" s="1">
        <v>25.0</v>
      </c>
      <c r="AM371" s="1">
        <v>0.0</v>
      </c>
      <c r="AN371" s="1">
        <v>0.0</v>
      </c>
      <c r="AO371" s="1">
        <v>5.0</v>
      </c>
      <c r="AP371" s="1">
        <v>0.0</v>
      </c>
      <c r="AQ371" s="1">
        <v>0.0</v>
      </c>
    </row>
    <row r="372">
      <c r="A372" s="1"/>
      <c r="B372" s="1">
        <v>459.0</v>
      </c>
      <c r="C372" s="1" t="s">
        <v>3675</v>
      </c>
      <c r="D372" s="1" t="s">
        <v>3676</v>
      </c>
      <c r="E372" s="1" t="s">
        <v>3249</v>
      </c>
      <c r="F372" s="1" t="s">
        <v>58</v>
      </c>
      <c r="G372" s="2">
        <v>23149.0</v>
      </c>
      <c r="H372" s="1" t="s">
        <v>3677</v>
      </c>
      <c r="I372" s="1">
        <v>92.0</v>
      </c>
      <c r="J372" s="1" t="s">
        <v>781</v>
      </c>
      <c r="K372" s="1">
        <v>13.0</v>
      </c>
      <c r="L372" s="2">
        <v>42907.0</v>
      </c>
      <c r="O372" s="1">
        <v>0.0</v>
      </c>
      <c r="P372" s="1" t="s">
        <v>75</v>
      </c>
      <c r="Q372" s="1" t="s">
        <v>76</v>
      </c>
      <c r="R372" s="1" t="s">
        <v>3678</v>
      </c>
      <c r="U372" s="1" t="s">
        <v>198</v>
      </c>
      <c r="V372" s="1">
        <v>411.0</v>
      </c>
      <c r="W372" s="3" t="s">
        <v>3679</v>
      </c>
      <c r="X372" s="1">
        <v>721194.0</v>
      </c>
      <c r="Y372" s="1" t="s">
        <v>3680</v>
      </c>
      <c r="Z372" s="3" t="s">
        <v>3681</v>
      </c>
      <c r="AA372" s="3" t="s">
        <v>3682</v>
      </c>
      <c r="AB372" s="1">
        <v>1.0</v>
      </c>
      <c r="AC372" s="1" t="s">
        <v>3683</v>
      </c>
      <c r="AD372" s="1">
        <v>19.0</v>
      </c>
      <c r="AE372" s="1">
        <f t="shared" si="5"/>
        <v>433</v>
      </c>
      <c r="AF372" s="1">
        <v>37.0</v>
      </c>
      <c r="AG372" s="1">
        <v>16.0</v>
      </c>
      <c r="AH372" s="1">
        <v>11.0</v>
      </c>
      <c r="AI372" s="1">
        <v>6.0</v>
      </c>
      <c r="AJ372" s="1">
        <v>2.0</v>
      </c>
      <c r="AK372" s="1">
        <v>54.0</v>
      </c>
      <c r="AL372" s="1">
        <v>20.0</v>
      </c>
      <c r="AM372" s="1">
        <v>1.0</v>
      </c>
      <c r="AN372" s="1">
        <v>0.0</v>
      </c>
      <c r="AO372" s="1">
        <v>6.0</v>
      </c>
      <c r="AP372" s="1">
        <v>5.0</v>
      </c>
      <c r="AQ372" s="1">
        <v>1.0</v>
      </c>
    </row>
    <row r="373">
      <c r="A373" s="1"/>
      <c r="B373" s="1">
        <v>584.0</v>
      </c>
      <c r="C373" s="1" t="s">
        <v>3684</v>
      </c>
      <c r="D373" s="1" t="s">
        <v>3685</v>
      </c>
      <c r="E373" s="1" t="s">
        <v>3686</v>
      </c>
      <c r="F373" s="1" t="s">
        <v>58</v>
      </c>
      <c r="G373" s="2">
        <v>25755.0</v>
      </c>
      <c r="H373" s="1" t="s">
        <v>3687</v>
      </c>
      <c r="I373" s="1">
        <v>75.0</v>
      </c>
      <c r="J373" s="1" t="s">
        <v>232</v>
      </c>
      <c r="K373" s="1">
        <v>5.0</v>
      </c>
      <c r="L373" s="2">
        <v>42938.0</v>
      </c>
      <c r="O373" s="1">
        <v>0.0</v>
      </c>
      <c r="P373" s="1" t="s">
        <v>75</v>
      </c>
      <c r="Q373" s="1" t="s">
        <v>76</v>
      </c>
      <c r="R373" s="1" t="s">
        <v>3688</v>
      </c>
      <c r="U373" s="1" t="s">
        <v>3689</v>
      </c>
      <c r="V373" s="1">
        <v>461.0</v>
      </c>
      <c r="W373" s="3" t="s">
        <v>3690</v>
      </c>
      <c r="X373" s="1">
        <v>721564.0</v>
      </c>
      <c r="Y373" s="1" t="s">
        <v>3691</v>
      </c>
      <c r="Z373" s="3" t="s">
        <v>3692</v>
      </c>
      <c r="AA373" s="3" t="s">
        <v>3693</v>
      </c>
      <c r="AB373" s="1">
        <v>1.0</v>
      </c>
      <c r="AC373" s="1" t="s">
        <v>3694</v>
      </c>
      <c r="AD373" s="1">
        <v>19.0</v>
      </c>
      <c r="AE373" s="1">
        <f t="shared" si="5"/>
        <v>428</v>
      </c>
      <c r="AF373" s="1">
        <v>44.0</v>
      </c>
      <c r="AG373" s="1">
        <v>10.0</v>
      </c>
      <c r="AH373" s="1">
        <v>21.0</v>
      </c>
      <c r="AI373" s="1">
        <v>5.0</v>
      </c>
      <c r="AJ373" s="1">
        <v>0.0</v>
      </c>
      <c r="AK373" s="1">
        <v>59.0</v>
      </c>
      <c r="AL373" s="1">
        <v>25.0</v>
      </c>
      <c r="AM373" s="1">
        <v>0.0</v>
      </c>
      <c r="AN373" s="1">
        <v>0.0</v>
      </c>
      <c r="AO373" s="1">
        <v>5.0</v>
      </c>
      <c r="AP373" s="1">
        <v>0.0</v>
      </c>
      <c r="AQ373" s="1">
        <v>1.0</v>
      </c>
    </row>
    <row r="374">
      <c r="A374" s="1"/>
      <c r="B374" s="1">
        <v>232.0</v>
      </c>
      <c r="C374" s="1" t="s">
        <v>3695</v>
      </c>
      <c r="D374" s="1" t="s">
        <v>3696</v>
      </c>
      <c r="E374" s="1" t="s">
        <v>810</v>
      </c>
      <c r="F374" s="1" t="s">
        <v>43</v>
      </c>
      <c r="G374" s="2">
        <v>18386.0</v>
      </c>
      <c r="H374" s="1" t="s">
        <v>2317</v>
      </c>
      <c r="I374" s="1">
        <v>63.0</v>
      </c>
      <c r="J374" s="1" t="s">
        <v>114</v>
      </c>
      <c r="K374" s="1">
        <v>4.0</v>
      </c>
      <c r="L374" s="2">
        <v>42907.0</v>
      </c>
      <c r="O374" s="1">
        <v>0.0</v>
      </c>
      <c r="P374" s="1" t="s">
        <v>280</v>
      </c>
      <c r="Q374" s="1" t="s">
        <v>281</v>
      </c>
      <c r="R374" s="3" t="s">
        <v>3697</v>
      </c>
      <c r="U374" s="1" t="s">
        <v>3698</v>
      </c>
      <c r="V374" s="1">
        <v>175.0</v>
      </c>
      <c r="W374" s="3" t="s">
        <v>3699</v>
      </c>
      <c r="X374" s="1">
        <v>1276.0</v>
      </c>
      <c r="Y374" s="1" t="s">
        <v>3700</v>
      </c>
      <c r="Z374" s="3" t="s">
        <v>3701</v>
      </c>
      <c r="AA374" s="3" t="s">
        <v>3702</v>
      </c>
      <c r="AB374" s="1">
        <v>1.0</v>
      </c>
      <c r="AC374" s="1" t="s">
        <v>3703</v>
      </c>
      <c r="AD374" s="1">
        <v>19.0</v>
      </c>
      <c r="AE374" s="1">
        <f t="shared" si="5"/>
        <v>433</v>
      </c>
      <c r="AF374" s="1">
        <v>32.0</v>
      </c>
      <c r="AG374" s="1">
        <v>12.0</v>
      </c>
      <c r="AH374" s="1">
        <v>4.0</v>
      </c>
      <c r="AI374" s="1">
        <v>2.0</v>
      </c>
      <c r="AJ374" s="1">
        <v>0.0</v>
      </c>
      <c r="AK374" s="1">
        <v>189.0</v>
      </c>
      <c r="AL374" s="1">
        <v>17.0</v>
      </c>
      <c r="AM374" s="1">
        <v>1.0</v>
      </c>
      <c r="AN374" s="1">
        <v>0.0</v>
      </c>
      <c r="AO374" s="1">
        <v>7.0</v>
      </c>
      <c r="AP374" s="1">
        <v>1.0</v>
      </c>
      <c r="AQ374" s="1">
        <v>1.0</v>
      </c>
    </row>
    <row r="375">
      <c r="A375" s="1"/>
      <c r="B375" s="1">
        <v>277.0</v>
      </c>
      <c r="C375" s="1" t="s">
        <v>3704</v>
      </c>
      <c r="D375" s="1" t="s">
        <v>3705</v>
      </c>
      <c r="E375" s="1" t="s">
        <v>2825</v>
      </c>
      <c r="F375" s="1" t="s">
        <v>58</v>
      </c>
      <c r="G375" s="2">
        <v>25162.0</v>
      </c>
      <c r="H375" s="1" t="s">
        <v>1158</v>
      </c>
      <c r="I375" s="1">
        <v>76.0</v>
      </c>
      <c r="J375" s="1" t="s">
        <v>371</v>
      </c>
      <c r="K375" s="1">
        <v>7.0</v>
      </c>
      <c r="L375" s="2">
        <v>42907.0</v>
      </c>
      <c r="O375" s="1">
        <v>0.0</v>
      </c>
      <c r="P375" s="1" t="s">
        <v>46</v>
      </c>
      <c r="Q375" s="1" t="s">
        <v>47</v>
      </c>
      <c r="R375" s="3" t="s">
        <v>3706</v>
      </c>
      <c r="U375" s="1" t="s">
        <v>1784</v>
      </c>
      <c r="V375" s="1">
        <v>158.0</v>
      </c>
      <c r="W375" s="3" t="s">
        <v>3707</v>
      </c>
      <c r="X375" s="1">
        <v>267780.0</v>
      </c>
      <c r="Y375" s="1" t="s">
        <v>3708</v>
      </c>
      <c r="Z375" s="3" t="s">
        <v>3709</v>
      </c>
      <c r="AA375" s="3" t="s">
        <v>3710</v>
      </c>
      <c r="AB375" s="1">
        <v>1.0</v>
      </c>
      <c r="AC375" s="1" t="s">
        <v>3711</v>
      </c>
      <c r="AD375" s="1">
        <v>19.0</v>
      </c>
      <c r="AE375" s="1">
        <f t="shared" si="5"/>
        <v>433</v>
      </c>
      <c r="AF375" s="1">
        <v>33.0</v>
      </c>
      <c r="AG375" s="1">
        <v>35.0</v>
      </c>
      <c r="AH375" s="1">
        <v>74.0</v>
      </c>
      <c r="AI375" s="1">
        <v>12.0</v>
      </c>
      <c r="AJ375" s="1">
        <v>43.0</v>
      </c>
      <c r="AK375" s="1">
        <v>646.0</v>
      </c>
      <c r="AL375" s="1">
        <v>31.0</v>
      </c>
      <c r="AM375" s="1">
        <v>1.0</v>
      </c>
      <c r="AN375" s="1">
        <v>0.0</v>
      </c>
      <c r="AO375" s="1">
        <v>16.0</v>
      </c>
      <c r="AP375" s="1">
        <v>12.0</v>
      </c>
      <c r="AQ375" s="1">
        <v>1.0</v>
      </c>
    </row>
    <row r="376">
      <c r="A376" s="1"/>
      <c r="B376" s="1">
        <v>581.0</v>
      </c>
      <c r="C376" s="1" t="s">
        <v>3712</v>
      </c>
      <c r="D376" s="1" t="s">
        <v>3713</v>
      </c>
      <c r="E376" s="1" t="s">
        <v>1250</v>
      </c>
      <c r="F376" s="1" t="s">
        <v>58</v>
      </c>
      <c r="G376" s="2">
        <v>26904.0</v>
      </c>
      <c r="H376" s="1" t="s">
        <v>3714</v>
      </c>
      <c r="I376" s="1">
        <v>4.0</v>
      </c>
      <c r="J376" s="1" t="s">
        <v>740</v>
      </c>
      <c r="K376" s="1">
        <v>2.0</v>
      </c>
      <c r="L376" s="2">
        <v>42938.0</v>
      </c>
      <c r="O376" s="1">
        <v>0.0</v>
      </c>
      <c r="P376" s="1" t="s">
        <v>75</v>
      </c>
      <c r="Q376" s="1" t="s">
        <v>76</v>
      </c>
      <c r="R376" s="3" t="s">
        <v>3715</v>
      </c>
      <c r="U376" s="1" t="s">
        <v>3716</v>
      </c>
      <c r="V376" s="1">
        <v>447.0</v>
      </c>
      <c r="W376" s="3" t="s">
        <v>3717</v>
      </c>
      <c r="X376" s="1">
        <v>718706.0</v>
      </c>
      <c r="Y376" s="1" t="s">
        <v>3718</v>
      </c>
      <c r="Z376" s="3" t="s">
        <v>3719</v>
      </c>
      <c r="AA376" s="3" t="s">
        <v>3720</v>
      </c>
      <c r="AB376" s="1">
        <v>1.0</v>
      </c>
      <c r="AD376" s="1">
        <v>19.0</v>
      </c>
      <c r="AE376" s="1">
        <f t="shared" si="5"/>
        <v>428</v>
      </c>
      <c r="AF376" s="1">
        <v>36.0</v>
      </c>
      <c r="AG376" s="1">
        <v>6.0</v>
      </c>
      <c r="AH376" s="1">
        <v>2.0</v>
      </c>
      <c r="AI376" s="1">
        <v>2.0</v>
      </c>
      <c r="AJ376" s="1">
        <v>0.0</v>
      </c>
      <c r="AK376" s="1">
        <v>55.0</v>
      </c>
      <c r="AL376" s="1">
        <v>24.0</v>
      </c>
      <c r="AM376" s="1">
        <v>0.0</v>
      </c>
      <c r="AN376" s="1">
        <v>0.0</v>
      </c>
      <c r="AO376" s="1">
        <v>6.0</v>
      </c>
      <c r="AP376" s="1">
        <v>2.0</v>
      </c>
      <c r="AQ376" s="1">
        <v>1.0</v>
      </c>
    </row>
    <row r="377">
      <c r="A377" s="1"/>
      <c r="B377" s="1">
        <v>3.0</v>
      </c>
      <c r="C377" s="1" t="s">
        <v>3721</v>
      </c>
      <c r="D377" s="1" t="s">
        <v>3722</v>
      </c>
      <c r="E377" s="1" t="s">
        <v>1623</v>
      </c>
      <c r="F377" s="1" t="s">
        <v>58</v>
      </c>
      <c r="G377" s="2">
        <v>22792.0</v>
      </c>
      <c r="H377" s="1" t="s">
        <v>2493</v>
      </c>
      <c r="I377" s="1">
        <v>72.0</v>
      </c>
      <c r="J377" s="1" t="s">
        <v>2494</v>
      </c>
      <c r="K377" s="1">
        <v>3.0</v>
      </c>
      <c r="L377" s="2">
        <v>42907.0</v>
      </c>
      <c r="O377" s="1">
        <v>0.0</v>
      </c>
      <c r="P377" s="1" t="s">
        <v>75</v>
      </c>
      <c r="Q377" s="1" t="s">
        <v>76</v>
      </c>
      <c r="R377" s="1" t="s">
        <v>3723</v>
      </c>
      <c r="U377" s="1" t="s">
        <v>198</v>
      </c>
      <c r="V377" s="1">
        <v>463.0</v>
      </c>
      <c r="W377" s="3" t="s">
        <v>3724</v>
      </c>
      <c r="X377" s="1">
        <v>721384.0</v>
      </c>
      <c r="Y377" s="1" t="s">
        <v>3725</v>
      </c>
      <c r="Z377" s="3" t="s">
        <v>3726</v>
      </c>
      <c r="AA377" s="3" t="s">
        <v>3727</v>
      </c>
      <c r="AB377" s="1">
        <v>1.0</v>
      </c>
      <c r="AC377" s="1" t="s">
        <v>3728</v>
      </c>
      <c r="AD377" s="1">
        <v>19.0</v>
      </c>
      <c r="AE377" s="1">
        <f t="shared" si="5"/>
        <v>433</v>
      </c>
      <c r="AF377" s="1">
        <v>27.0</v>
      </c>
      <c r="AG377" s="1">
        <v>3.0</v>
      </c>
      <c r="AH377" s="1">
        <v>5.0</v>
      </c>
      <c r="AI377" s="1">
        <v>1.0</v>
      </c>
      <c r="AJ377" s="1">
        <v>3.0</v>
      </c>
      <c r="AK377" s="1">
        <v>65.0</v>
      </c>
      <c r="AL377" s="1">
        <v>25.0</v>
      </c>
      <c r="AM377" s="1">
        <v>0.0</v>
      </c>
      <c r="AN377" s="1">
        <v>0.0</v>
      </c>
      <c r="AO377" s="1">
        <v>5.0</v>
      </c>
      <c r="AP377" s="1">
        <v>1.0</v>
      </c>
      <c r="AQ377" s="1">
        <v>1.0</v>
      </c>
    </row>
    <row r="378">
      <c r="A378" s="1"/>
      <c r="B378" s="1">
        <v>89.0</v>
      </c>
      <c r="C378" s="1" t="s">
        <v>3729</v>
      </c>
      <c r="D378" s="1" t="s">
        <v>3730</v>
      </c>
      <c r="E378" s="1" t="s">
        <v>641</v>
      </c>
      <c r="F378" s="1" t="s">
        <v>43</v>
      </c>
      <c r="G378" s="2">
        <v>23881.0</v>
      </c>
      <c r="H378" s="1" t="s">
        <v>1500</v>
      </c>
      <c r="I378" s="1">
        <v>67.0</v>
      </c>
      <c r="J378" s="1" t="s">
        <v>244</v>
      </c>
      <c r="K378" s="1">
        <v>6.0</v>
      </c>
      <c r="L378" s="2">
        <v>42907.0</v>
      </c>
      <c r="O378" s="1">
        <v>0.0</v>
      </c>
      <c r="P378" s="1" t="s">
        <v>61</v>
      </c>
      <c r="Q378" s="1" t="s">
        <v>62</v>
      </c>
      <c r="R378" s="3" t="s">
        <v>3731</v>
      </c>
      <c r="U378" s="1" t="s">
        <v>3732</v>
      </c>
      <c r="V378" s="1">
        <v>80.0</v>
      </c>
      <c r="W378" s="3" t="s">
        <v>3733</v>
      </c>
      <c r="X378" s="1">
        <v>266774.0</v>
      </c>
      <c r="Y378" s="1" t="s">
        <v>3734</v>
      </c>
      <c r="Z378" s="3" t="s">
        <v>3735</v>
      </c>
      <c r="AA378" s="3" t="s">
        <v>3736</v>
      </c>
      <c r="AB378" s="1">
        <v>2.0</v>
      </c>
      <c r="AD378" s="1">
        <v>19.0</v>
      </c>
      <c r="AE378" s="1">
        <f t="shared" si="5"/>
        <v>433</v>
      </c>
      <c r="AF378" s="1">
        <v>25.0</v>
      </c>
      <c r="AG378" s="1">
        <v>19.0</v>
      </c>
      <c r="AH378" s="1">
        <v>71.0</v>
      </c>
      <c r="AI378" s="1">
        <v>367.0</v>
      </c>
      <c r="AJ378" s="1">
        <v>16.0</v>
      </c>
      <c r="AK378" s="1">
        <v>954.0</v>
      </c>
      <c r="AL378" s="1">
        <v>24.0</v>
      </c>
      <c r="AM378" s="1">
        <v>0.0</v>
      </c>
      <c r="AN378" s="1">
        <v>1.0</v>
      </c>
      <c r="AO378" s="1">
        <v>80.0</v>
      </c>
      <c r="AP378" s="1">
        <v>23.0</v>
      </c>
      <c r="AQ378" s="1">
        <v>2.0</v>
      </c>
    </row>
    <row r="379">
      <c r="A379" s="1"/>
      <c r="B379" s="1">
        <v>305.0</v>
      </c>
      <c r="C379" s="1" t="s">
        <v>3737</v>
      </c>
      <c r="D379" s="1" t="s">
        <v>3738</v>
      </c>
      <c r="E379" s="1" t="s">
        <v>1760</v>
      </c>
      <c r="F379" s="1" t="s">
        <v>43</v>
      </c>
      <c r="G379" s="2">
        <v>19607.0</v>
      </c>
      <c r="H379" s="1" t="s">
        <v>207</v>
      </c>
      <c r="I379" s="1">
        <v>45.0</v>
      </c>
      <c r="J379" s="1" t="s">
        <v>2531</v>
      </c>
      <c r="K379" s="1">
        <v>3.0</v>
      </c>
      <c r="L379" s="2">
        <v>42907.0</v>
      </c>
      <c r="O379" s="1">
        <v>0.0</v>
      </c>
      <c r="P379" s="1" t="s">
        <v>61</v>
      </c>
      <c r="Q379" s="1" t="s">
        <v>62</v>
      </c>
      <c r="R379" s="1" t="s">
        <v>3739</v>
      </c>
      <c r="U379" s="1">
        <v>0.0</v>
      </c>
      <c r="V379" s="1">
        <v>51.0</v>
      </c>
      <c r="W379" s="3" t="s">
        <v>3740</v>
      </c>
      <c r="X379" s="1">
        <v>267735.0</v>
      </c>
      <c r="Y379" s="1" t="s">
        <v>3741</v>
      </c>
      <c r="Z379" s="3" t="s">
        <v>3742</v>
      </c>
      <c r="AA379" s="3" t="s">
        <v>3743</v>
      </c>
      <c r="AB379" s="1">
        <v>1.0</v>
      </c>
      <c r="AC379" s="1" t="s">
        <v>3744</v>
      </c>
      <c r="AD379" s="1">
        <v>19.0</v>
      </c>
      <c r="AE379" s="1">
        <f t="shared" si="5"/>
        <v>433</v>
      </c>
      <c r="AF379" s="1">
        <v>32.0</v>
      </c>
      <c r="AG379" s="1">
        <v>13.0</v>
      </c>
      <c r="AH379" s="1">
        <v>5.0</v>
      </c>
      <c r="AI379" s="1">
        <v>1.0</v>
      </c>
      <c r="AJ379" s="1">
        <v>0.0</v>
      </c>
      <c r="AK379" s="1">
        <v>730.0</v>
      </c>
      <c r="AL379" s="1">
        <v>26.0</v>
      </c>
      <c r="AM379" s="1">
        <v>1.0</v>
      </c>
      <c r="AN379" s="1">
        <v>0.0</v>
      </c>
      <c r="AO379" s="1">
        <v>21.0</v>
      </c>
      <c r="AP379" s="1">
        <v>2.0</v>
      </c>
      <c r="AQ379" s="1">
        <v>0.0</v>
      </c>
    </row>
    <row r="380">
      <c r="A380" s="1"/>
      <c r="B380" s="1">
        <v>214.0</v>
      </c>
      <c r="C380" s="1" t="s">
        <v>3745</v>
      </c>
      <c r="D380" s="1" t="s">
        <v>3746</v>
      </c>
      <c r="E380" s="1" t="s">
        <v>1262</v>
      </c>
      <c r="F380" s="1" t="s">
        <v>43</v>
      </c>
      <c r="G380" s="2">
        <v>29727.0</v>
      </c>
      <c r="H380" s="1" t="s">
        <v>3747</v>
      </c>
      <c r="I380" s="1">
        <v>69.0</v>
      </c>
      <c r="J380" s="1" t="s">
        <v>1363</v>
      </c>
      <c r="K380" s="1">
        <v>10.0</v>
      </c>
      <c r="L380" s="2">
        <v>42907.0</v>
      </c>
      <c r="O380" s="1">
        <v>0.0</v>
      </c>
      <c r="P380" s="1" t="s">
        <v>75</v>
      </c>
      <c r="Q380" s="1" t="s">
        <v>76</v>
      </c>
      <c r="R380" s="1" t="s">
        <v>3748</v>
      </c>
      <c r="U380" s="1" t="s">
        <v>198</v>
      </c>
      <c r="V380" s="1">
        <v>273.0</v>
      </c>
      <c r="W380" s="3" t="s">
        <v>3749</v>
      </c>
      <c r="X380" s="1">
        <v>722358.0</v>
      </c>
      <c r="Y380" s="1" t="s">
        <v>3750</v>
      </c>
      <c r="Z380" s="3" t="s">
        <v>3751</v>
      </c>
      <c r="AA380" s="3" t="s">
        <v>3752</v>
      </c>
      <c r="AB380" s="1">
        <v>2.0</v>
      </c>
      <c r="AC380" s="1" t="s">
        <v>3753</v>
      </c>
      <c r="AD380" s="1">
        <v>19.0</v>
      </c>
      <c r="AE380" s="1">
        <f t="shared" si="5"/>
        <v>433</v>
      </c>
      <c r="AF380" s="1">
        <v>32.0</v>
      </c>
      <c r="AG380" s="1">
        <v>10.0</v>
      </c>
      <c r="AH380" s="1">
        <v>1.0</v>
      </c>
      <c r="AI380" s="1">
        <v>0.0</v>
      </c>
      <c r="AJ380" s="1">
        <v>0.0</v>
      </c>
      <c r="AK380" s="1">
        <v>4.0</v>
      </c>
      <c r="AL380" s="1">
        <v>1.0</v>
      </c>
      <c r="AM380" s="1">
        <v>1.0</v>
      </c>
      <c r="AN380" s="1">
        <v>0.0</v>
      </c>
      <c r="AO380" s="1">
        <v>5.0</v>
      </c>
      <c r="AP380" s="1">
        <v>0.0</v>
      </c>
      <c r="AQ380" s="1">
        <v>0.0</v>
      </c>
    </row>
    <row r="381">
      <c r="A381" s="1"/>
      <c r="B381" s="1">
        <v>199.0</v>
      </c>
      <c r="C381" s="1" t="s">
        <v>3754</v>
      </c>
      <c r="D381" s="1" t="s">
        <v>3755</v>
      </c>
      <c r="E381" s="1" t="s">
        <v>694</v>
      </c>
      <c r="F381" s="1" t="s">
        <v>58</v>
      </c>
      <c r="G381" s="2">
        <v>24010.0</v>
      </c>
      <c r="H381" s="1" t="s">
        <v>2768</v>
      </c>
      <c r="I381" s="1">
        <v>66.0</v>
      </c>
      <c r="J381" s="1" t="s">
        <v>1773</v>
      </c>
      <c r="K381" s="1">
        <v>3.0</v>
      </c>
      <c r="L381" s="2">
        <v>42907.0</v>
      </c>
      <c r="O381" s="1">
        <v>0.0</v>
      </c>
      <c r="P381" s="1" t="s">
        <v>75</v>
      </c>
      <c r="Q381" s="1" t="s">
        <v>76</v>
      </c>
      <c r="R381" s="1" t="s">
        <v>3756</v>
      </c>
      <c r="U381" s="1" t="s">
        <v>234</v>
      </c>
      <c r="V381" s="1">
        <v>530.0</v>
      </c>
      <c r="W381" s="3" t="s">
        <v>3757</v>
      </c>
      <c r="X381" s="1">
        <v>720806.0</v>
      </c>
      <c r="Y381" s="1" t="s">
        <v>3758</v>
      </c>
      <c r="Z381" s="3" t="s">
        <v>3759</v>
      </c>
      <c r="AA381" s="3" t="s">
        <v>3760</v>
      </c>
      <c r="AB381" s="1">
        <v>1.0</v>
      </c>
      <c r="AC381" s="1" t="s">
        <v>3761</v>
      </c>
      <c r="AD381" s="1">
        <v>19.0</v>
      </c>
      <c r="AE381" s="1">
        <f t="shared" si="5"/>
        <v>433</v>
      </c>
      <c r="AF381" s="1">
        <v>32.0</v>
      </c>
      <c r="AG381" s="1">
        <v>7.0</v>
      </c>
      <c r="AH381" s="1">
        <v>7.0</v>
      </c>
      <c r="AI381" s="1">
        <v>0.0</v>
      </c>
      <c r="AJ381" s="1">
        <v>1.0</v>
      </c>
      <c r="AK381" s="1">
        <v>17.0</v>
      </c>
      <c r="AL381" s="1">
        <v>4.0</v>
      </c>
      <c r="AM381" s="1">
        <v>1.0</v>
      </c>
      <c r="AN381" s="1">
        <v>0.0</v>
      </c>
      <c r="AO381" s="1">
        <v>5.0</v>
      </c>
      <c r="AP381" s="1">
        <v>3.0</v>
      </c>
      <c r="AQ381" s="1">
        <v>2.0</v>
      </c>
    </row>
    <row r="382">
      <c r="A382" s="1"/>
      <c r="B382" s="1">
        <v>249.0</v>
      </c>
      <c r="C382" s="1" t="s">
        <v>3762</v>
      </c>
      <c r="D382" s="1" t="s">
        <v>3763</v>
      </c>
      <c r="E382" s="1" t="s">
        <v>148</v>
      </c>
      <c r="F382" s="1" t="s">
        <v>43</v>
      </c>
      <c r="G382" s="2">
        <v>22689.0</v>
      </c>
      <c r="H382" s="1" t="s">
        <v>3764</v>
      </c>
      <c r="I382" s="1">
        <v>51.0</v>
      </c>
      <c r="J382" s="1" t="s">
        <v>208</v>
      </c>
      <c r="K382" s="1">
        <v>3.0</v>
      </c>
      <c r="L382" s="2">
        <v>42907.0</v>
      </c>
      <c r="O382" s="1">
        <v>0.0</v>
      </c>
      <c r="P382" s="1" t="s">
        <v>75</v>
      </c>
      <c r="Q382" s="1" t="s">
        <v>76</v>
      </c>
      <c r="R382" s="3" t="s">
        <v>3765</v>
      </c>
      <c r="U382" s="1" t="s">
        <v>198</v>
      </c>
      <c r="V382" s="1">
        <v>219.0</v>
      </c>
      <c r="W382" s="3" t="s">
        <v>3766</v>
      </c>
      <c r="X382" s="1">
        <v>720222.0</v>
      </c>
      <c r="Y382" s="1" t="s">
        <v>3767</v>
      </c>
      <c r="Z382" s="3" t="s">
        <v>3768</v>
      </c>
      <c r="AA382" s="3" t="s">
        <v>3769</v>
      </c>
      <c r="AB382" s="1">
        <v>1.0</v>
      </c>
      <c r="AC382" s="1" t="s">
        <v>3770</v>
      </c>
      <c r="AD382" s="1">
        <v>19.0</v>
      </c>
      <c r="AE382" s="1">
        <f t="shared" si="5"/>
        <v>433</v>
      </c>
      <c r="AF382" s="1">
        <v>46.0</v>
      </c>
      <c r="AG382" s="1">
        <v>3.0</v>
      </c>
      <c r="AH382" s="1">
        <v>6.0</v>
      </c>
      <c r="AI382" s="1">
        <v>1.0</v>
      </c>
      <c r="AJ382" s="1">
        <v>1.0</v>
      </c>
      <c r="AK382" s="1">
        <v>38.0</v>
      </c>
      <c r="AL382" s="1">
        <v>14.0</v>
      </c>
      <c r="AM382" s="1">
        <v>0.0</v>
      </c>
      <c r="AN382" s="1">
        <v>0.0</v>
      </c>
      <c r="AO382" s="1">
        <v>5.0</v>
      </c>
      <c r="AP382" s="1">
        <v>2.0</v>
      </c>
      <c r="AQ382" s="1">
        <v>1.0</v>
      </c>
    </row>
    <row r="383">
      <c r="A383" s="1"/>
      <c r="B383" s="1">
        <v>230.0</v>
      </c>
      <c r="C383" s="1" t="s">
        <v>3771</v>
      </c>
      <c r="D383" s="1" t="s">
        <v>3772</v>
      </c>
      <c r="E383" s="1" t="s">
        <v>1822</v>
      </c>
      <c r="F383" s="1" t="s">
        <v>43</v>
      </c>
      <c r="G383" s="2">
        <v>31444.0</v>
      </c>
      <c r="H383" s="1" t="s">
        <v>836</v>
      </c>
      <c r="I383" s="1">
        <v>94.0</v>
      </c>
      <c r="J383" s="1" t="s">
        <v>642</v>
      </c>
      <c r="K383" s="1">
        <v>6.0</v>
      </c>
      <c r="L383" s="2">
        <v>42907.0</v>
      </c>
      <c r="O383" s="1">
        <v>0.0</v>
      </c>
      <c r="P383" s="1" t="s">
        <v>75</v>
      </c>
      <c r="Q383" s="1" t="s">
        <v>76</v>
      </c>
      <c r="R383" s="1" t="s">
        <v>3773</v>
      </c>
      <c r="U383" s="1" t="s">
        <v>3774</v>
      </c>
      <c r="V383" s="1">
        <v>420.0</v>
      </c>
      <c r="W383" s="3" t="s">
        <v>3775</v>
      </c>
      <c r="X383" s="1">
        <v>721296.0</v>
      </c>
      <c r="Y383" s="1" t="s">
        <v>3776</v>
      </c>
      <c r="Z383" s="3" t="s">
        <v>3777</v>
      </c>
      <c r="AA383" s="3" t="s">
        <v>3778</v>
      </c>
      <c r="AB383" s="1">
        <v>1.0</v>
      </c>
      <c r="AC383" s="1" t="s">
        <v>3779</v>
      </c>
      <c r="AD383" s="1">
        <v>19.0</v>
      </c>
      <c r="AE383" s="1">
        <f t="shared" si="5"/>
        <v>433</v>
      </c>
      <c r="AF383" s="1">
        <v>41.0</v>
      </c>
      <c r="AG383" s="1">
        <v>39.0</v>
      </c>
      <c r="AH383" s="1">
        <v>30.0</v>
      </c>
      <c r="AI383" s="1">
        <v>3.0</v>
      </c>
      <c r="AJ383" s="1">
        <v>4.0</v>
      </c>
      <c r="AK383" s="1">
        <v>21.0</v>
      </c>
      <c r="AL383" s="1">
        <v>9.0</v>
      </c>
      <c r="AM383" s="1">
        <v>1.0</v>
      </c>
      <c r="AN383" s="1">
        <v>0.0</v>
      </c>
      <c r="AO383" s="1">
        <v>5.0</v>
      </c>
      <c r="AP383" s="1">
        <v>4.0</v>
      </c>
      <c r="AQ383" s="1">
        <v>0.0</v>
      </c>
    </row>
    <row r="384">
      <c r="A384" s="1"/>
      <c r="B384" s="1">
        <v>288.0</v>
      </c>
      <c r="C384" s="1" t="s">
        <v>3780</v>
      </c>
      <c r="D384" s="1" t="s">
        <v>3781</v>
      </c>
      <c r="E384" s="1" t="s">
        <v>469</v>
      </c>
      <c r="F384" s="1" t="s">
        <v>43</v>
      </c>
      <c r="G384" s="2">
        <v>28760.0</v>
      </c>
      <c r="H384" s="1" t="s">
        <v>3546</v>
      </c>
      <c r="I384" s="1">
        <v>27.0</v>
      </c>
      <c r="J384" s="1" t="s">
        <v>2698</v>
      </c>
      <c r="K384" s="1">
        <v>2.0</v>
      </c>
      <c r="L384" s="2">
        <v>42907.0</v>
      </c>
      <c r="O384" s="1">
        <v>0.0</v>
      </c>
      <c r="P384" s="1" t="s">
        <v>75</v>
      </c>
      <c r="Q384" s="1" t="s">
        <v>76</v>
      </c>
      <c r="R384" s="1" t="s">
        <v>3782</v>
      </c>
      <c r="U384" s="1" t="s">
        <v>118</v>
      </c>
      <c r="V384" s="1">
        <v>415.0</v>
      </c>
      <c r="W384" s="3" t="s">
        <v>3783</v>
      </c>
      <c r="X384" s="1">
        <v>719330.0</v>
      </c>
      <c r="Y384" s="1" t="s">
        <v>3784</v>
      </c>
      <c r="Z384" s="3" t="s">
        <v>3785</v>
      </c>
      <c r="AA384" s="3" t="s">
        <v>3786</v>
      </c>
      <c r="AB384" s="1">
        <v>1.0</v>
      </c>
      <c r="AC384" s="1" t="s">
        <v>3787</v>
      </c>
      <c r="AD384" s="1">
        <v>19.0</v>
      </c>
      <c r="AE384" s="1">
        <f t="shared" si="5"/>
        <v>433</v>
      </c>
      <c r="AF384" s="1">
        <v>39.0</v>
      </c>
      <c r="AG384" s="1">
        <v>11.0</v>
      </c>
      <c r="AH384" s="1">
        <v>7.0</v>
      </c>
      <c r="AI384" s="1">
        <v>0.0</v>
      </c>
      <c r="AJ384" s="1">
        <v>0.0</v>
      </c>
      <c r="AK384" s="1">
        <v>8.0</v>
      </c>
      <c r="AL384" s="1">
        <v>1.0</v>
      </c>
      <c r="AM384" s="1">
        <v>0.0</v>
      </c>
      <c r="AN384" s="1">
        <v>0.0</v>
      </c>
      <c r="AO384" s="1">
        <v>5.0</v>
      </c>
      <c r="AP384" s="1">
        <v>23.0</v>
      </c>
      <c r="AQ384" s="1">
        <v>0.0</v>
      </c>
    </row>
    <row r="385">
      <c r="A385" s="1"/>
      <c r="B385" s="1">
        <v>294.0</v>
      </c>
      <c r="C385" s="1" t="s">
        <v>3788</v>
      </c>
      <c r="D385" s="1" t="s">
        <v>3789</v>
      </c>
      <c r="E385" s="1" t="s">
        <v>1801</v>
      </c>
      <c r="F385" s="1" t="s">
        <v>43</v>
      </c>
      <c r="G385" s="2">
        <v>17633.0</v>
      </c>
      <c r="H385" s="1" t="s">
        <v>3790</v>
      </c>
      <c r="I385" s="1">
        <v>2.0</v>
      </c>
      <c r="J385" s="1" t="s">
        <v>185</v>
      </c>
      <c r="K385" s="1">
        <v>5.0</v>
      </c>
      <c r="L385" s="2">
        <v>42907.0</v>
      </c>
      <c r="O385" s="1">
        <v>0.0</v>
      </c>
      <c r="P385" s="1" t="s">
        <v>75</v>
      </c>
      <c r="Q385" s="1" t="s">
        <v>76</v>
      </c>
      <c r="R385" s="1" t="s">
        <v>3791</v>
      </c>
      <c r="U385" s="1" t="s">
        <v>3792</v>
      </c>
      <c r="V385" s="1">
        <v>542.0</v>
      </c>
      <c r="W385" s="3" t="s">
        <v>3793</v>
      </c>
      <c r="X385" s="1">
        <v>605084.0</v>
      </c>
      <c r="Y385" s="1" t="s">
        <v>3794</v>
      </c>
      <c r="Z385" s="3" t="s">
        <v>3795</v>
      </c>
      <c r="AA385" s="3" t="s">
        <v>3796</v>
      </c>
      <c r="AB385" s="1">
        <v>2.0</v>
      </c>
      <c r="AC385" s="1" t="s">
        <v>3797</v>
      </c>
      <c r="AD385" s="1">
        <v>19.0</v>
      </c>
      <c r="AE385" s="1">
        <f t="shared" si="5"/>
        <v>433</v>
      </c>
      <c r="AF385" s="1">
        <v>22.0</v>
      </c>
      <c r="AG385" s="1">
        <v>4.0</v>
      </c>
      <c r="AH385" s="1">
        <v>21.0</v>
      </c>
      <c r="AI385" s="1">
        <v>10.0</v>
      </c>
      <c r="AJ385" s="1">
        <v>0.0</v>
      </c>
      <c r="AK385" s="1">
        <v>87.0</v>
      </c>
      <c r="AL385" s="1">
        <v>44.0</v>
      </c>
      <c r="AM385" s="1">
        <v>0.0</v>
      </c>
      <c r="AN385" s="1">
        <v>0.0</v>
      </c>
      <c r="AO385" s="1">
        <v>5.0</v>
      </c>
      <c r="AP385" s="1">
        <v>2.0</v>
      </c>
      <c r="AQ385" s="1">
        <v>1.0</v>
      </c>
    </row>
    <row r="386">
      <c r="A386" s="1"/>
      <c r="B386" s="1">
        <v>272.0</v>
      </c>
      <c r="C386" s="1" t="s">
        <v>3798</v>
      </c>
      <c r="D386" s="1" t="s">
        <v>3799</v>
      </c>
      <c r="E386" s="1" t="s">
        <v>3800</v>
      </c>
      <c r="F386" s="1" t="s">
        <v>43</v>
      </c>
      <c r="G386" s="2">
        <v>25291.0</v>
      </c>
      <c r="H386" s="1" t="s">
        <v>780</v>
      </c>
      <c r="I386" s="1">
        <v>35.0</v>
      </c>
      <c r="J386" s="1" t="s">
        <v>415</v>
      </c>
      <c r="K386" s="1">
        <v>1.0</v>
      </c>
      <c r="L386" s="2">
        <v>42907.0</v>
      </c>
      <c r="O386" s="1">
        <v>0.0</v>
      </c>
      <c r="P386" s="1" t="s">
        <v>75</v>
      </c>
      <c r="Q386" s="1" t="s">
        <v>76</v>
      </c>
      <c r="R386" s="1" t="s">
        <v>3801</v>
      </c>
      <c r="U386" s="1" t="s">
        <v>3802</v>
      </c>
      <c r="V386" s="1">
        <v>557.0</v>
      </c>
      <c r="W386" s="3" t="s">
        <v>3803</v>
      </c>
      <c r="X386" s="1">
        <v>719842.0</v>
      </c>
      <c r="Y386" s="1" t="s">
        <v>3804</v>
      </c>
      <c r="Z386" s="3" t="s">
        <v>3805</v>
      </c>
      <c r="AA386" s="3" t="s">
        <v>3806</v>
      </c>
      <c r="AB386" s="1">
        <v>1.0</v>
      </c>
      <c r="AC386" s="1" t="s">
        <v>3807</v>
      </c>
      <c r="AD386" s="1">
        <v>19.0</v>
      </c>
      <c r="AE386" s="1">
        <f t="shared" si="5"/>
        <v>433</v>
      </c>
      <c r="AF386" s="1">
        <v>37.0</v>
      </c>
      <c r="AG386" s="1">
        <v>3.0</v>
      </c>
      <c r="AH386" s="1">
        <v>4.0</v>
      </c>
      <c r="AI386" s="1">
        <v>4.0</v>
      </c>
      <c r="AJ386" s="1">
        <v>0.0</v>
      </c>
      <c r="AK386" s="1">
        <v>62.0</v>
      </c>
      <c r="AL386" s="1">
        <v>26.0</v>
      </c>
      <c r="AM386" s="1">
        <v>0.0</v>
      </c>
      <c r="AN386" s="1">
        <v>0.0</v>
      </c>
      <c r="AO386" s="1">
        <v>5.0</v>
      </c>
      <c r="AP386" s="1">
        <v>0.0</v>
      </c>
      <c r="AQ386" s="1">
        <v>1.0</v>
      </c>
    </row>
    <row r="387">
      <c r="A387" s="1"/>
      <c r="B387" s="1">
        <v>357.0</v>
      </c>
      <c r="C387" s="1" t="s">
        <v>3808</v>
      </c>
      <c r="D387" s="1" t="s">
        <v>3809</v>
      </c>
      <c r="E387" s="1" t="s">
        <v>3810</v>
      </c>
      <c r="F387" s="1" t="s">
        <v>43</v>
      </c>
      <c r="G387" s="2">
        <v>28433.0</v>
      </c>
      <c r="H387" s="1" t="s">
        <v>3202</v>
      </c>
      <c r="I387" s="1">
        <v>35.0</v>
      </c>
      <c r="J387" s="1" t="s">
        <v>415</v>
      </c>
      <c r="K387" s="1">
        <v>4.0</v>
      </c>
      <c r="L387" s="2">
        <v>42907.0</v>
      </c>
      <c r="O387" s="1">
        <v>0.0</v>
      </c>
      <c r="P387" s="1" t="s">
        <v>75</v>
      </c>
      <c r="Q387" s="1" t="s">
        <v>76</v>
      </c>
      <c r="R387" s="1" t="s">
        <v>3811</v>
      </c>
      <c r="U387" s="1" t="s">
        <v>2798</v>
      </c>
      <c r="V387" s="1">
        <v>207.0</v>
      </c>
      <c r="W387" s="3" t="s">
        <v>3812</v>
      </c>
      <c r="X387" s="1">
        <v>719728.0</v>
      </c>
      <c r="Y387" s="1" t="s">
        <v>3813</v>
      </c>
      <c r="Z387" s="3" t="s">
        <v>3814</v>
      </c>
      <c r="AA387" s="3" t="s">
        <v>3815</v>
      </c>
      <c r="AB387" s="1">
        <v>1.0</v>
      </c>
      <c r="AC387" s="1" t="s">
        <v>3816</v>
      </c>
      <c r="AD387" s="1">
        <v>19.0</v>
      </c>
      <c r="AE387" s="1">
        <f t="shared" si="5"/>
        <v>433</v>
      </c>
      <c r="AF387" s="1">
        <v>43.0</v>
      </c>
      <c r="AG387" s="1">
        <v>20.0</v>
      </c>
      <c r="AH387" s="1">
        <v>19.0</v>
      </c>
      <c r="AI387" s="1">
        <v>3.0</v>
      </c>
      <c r="AJ387" s="1">
        <v>18.0</v>
      </c>
      <c r="AK387" s="1">
        <v>118.0</v>
      </c>
      <c r="AL387" s="1">
        <v>49.0</v>
      </c>
      <c r="AM387" s="1">
        <v>0.0</v>
      </c>
      <c r="AN387" s="1">
        <v>0.0</v>
      </c>
      <c r="AO387" s="1">
        <v>6.0</v>
      </c>
      <c r="AP387" s="1">
        <v>0.0</v>
      </c>
      <c r="AQ387" s="1">
        <v>2.0</v>
      </c>
    </row>
    <row r="388">
      <c r="A388" s="1"/>
      <c r="B388" s="1">
        <v>82.0</v>
      </c>
      <c r="C388" s="1" t="s">
        <v>3817</v>
      </c>
      <c r="D388" s="1" t="s">
        <v>3818</v>
      </c>
      <c r="E388" s="1" t="s">
        <v>3340</v>
      </c>
      <c r="F388" s="1" t="s">
        <v>58</v>
      </c>
      <c r="G388" s="2">
        <v>33315.0</v>
      </c>
      <c r="H388" s="1" t="s">
        <v>3819</v>
      </c>
      <c r="I388" s="1">
        <v>29.0</v>
      </c>
      <c r="J388" s="1" t="s">
        <v>393</v>
      </c>
      <c r="K388" s="1">
        <v>4.0</v>
      </c>
      <c r="L388" s="2">
        <v>42907.0</v>
      </c>
      <c r="O388" s="1">
        <v>0.0</v>
      </c>
      <c r="P388" s="1" t="s">
        <v>75</v>
      </c>
      <c r="Q388" s="1" t="s">
        <v>76</v>
      </c>
      <c r="R388" s="3" t="s">
        <v>3820</v>
      </c>
      <c r="U388" s="1" t="s">
        <v>1905</v>
      </c>
      <c r="V388" s="1">
        <v>286.0</v>
      </c>
      <c r="W388" s="3" t="s">
        <v>3821</v>
      </c>
      <c r="X388" s="1">
        <v>719412.0</v>
      </c>
      <c r="Y388" s="1" t="s">
        <v>3822</v>
      </c>
      <c r="Z388" s="3" t="s">
        <v>3823</v>
      </c>
      <c r="AA388" s="3" t="s">
        <v>3824</v>
      </c>
      <c r="AB388" s="1">
        <v>1.0</v>
      </c>
      <c r="AC388" s="1" t="s">
        <v>3825</v>
      </c>
      <c r="AD388" s="1">
        <v>19.0</v>
      </c>
      <c r="AE388" s="1">
        <f t="shared" si="5"/>
        <v>433</v>
      </c>
      <c r="AF388" s="1">
        <v>38.0</v>
      </c>
      <c r="AG388" s="1">
        <v>5.0</v>
      </c>
      <c r="AH388" s="1">
        <v>2.0</v>
      </c>
      <c r="AI388" s="1">
        <v>0.0</v>
      </c>
      <c r="AJ388" s="1">
        <v>0.0</v>
      </c>
      <c r="AK388" s="1">
        <v>85.0</v>
      </c>
      <c r="AL388" s="1">
        <v>44.0</v>
      </c>
      <c r="AM388" s="1">
        <v>0.0</v>
      </c>
      <c r="AN388" s="1">
        <v>0.0</v>
      </c>
      <c r="AO388" s="1">
        <v>6.0</v>
      </c>
      <c r="AP388" s="1">
        <v>4.0</v>
      </c>
      <c r="AQ388" s="1">
        <v>1.0</v>
      </c>
    </row>
    <row r="389">
      <c r="A389" s="1"/>
      <c r="B389" s="1">
        <v>19.0</v>
      </c>
      <c r="C389" s="1" t="s">
        <v>3826</v>
      </c>
      <c r="D389" s="1" t="s">
        <v>3827</v>
      </c>
      <c r="E389" s="1" t="s">
        <v>3828</v>
      </c>
      <c r="F389" s="1" t="s">
        <v>58</v>
      </c>
      <c r="G389" s="2">
        <v>26783.0</v>
      </c>
      <c r="H389" s="1" t="s">
        <v>2609</v>
      </c>
      <c r="I389" s="1">
        <v>29.0</v>
      </c>
      <c r="J389" s="1" t="s">
        <v>393</v>
      </c>
      <c r="K389" s="1">
        <v>1.0</v>
      </c>
      <c r="L389" s="2">
        <v>42907.0</v>
      </c>
      <c r="O389" s="1">
        <v>0.0</v>
      </c>
      <c r="P389" s="1" t="s">
        <v>75</v>
      </c>
      <c r="Q389" s="1" t="s">
        <v>76</v>
      </c>
      <c r="R389" s="1" t="s">
        <v>3829</v>
      </c>
      <c r="U389" s="1" t="s">
        <v>293</v>
      </c>
      <c r="V389" s="1">
        <v>318.0</v>
      </c>
      <c r="W389" s="3" t="s">
        <v>3830</v>
      </c>
      <c r="X389" s="1">
        <v>719388.0</v>
      </c>
      <c r="Y389" s="1" t="s">
        <v>3831</v>
      </c>
      <c r="Z389" s="3" t="s">
        <v>3832</v>
      </c>
      <c r="AA389" s="3" t="s">
        <v>3833</v>
      </c>
      <c r="AB389" s="1">
        <v>1.0</v>
      </c>
      <c r="AC389" s="1" t="s">
        <v>3834</v>
      </c>
      <c r="AD389" s="1">
        <v>19.0</v>
      </c>
      <c r="AE389" s="1">
        <f t="shared" si="5"/>
        <v>433</v>
      </c>
      <c r="AF389" s="1">
        <v>34.0</v>
      </c>
      <c r="AG389" s="1">
        <v>6.0</v>
      </c>
      <c r="AH389" s="1">
        <v>8.0</v>
      </c>
      <c r="AI389" s="1">
        <v>0.0</v>
      </c>
      <c r="AJ389" s="1">
        <v>2.0</v>
      </c>
      <c r="AK389" s="1">
        <v>56.0</v>
      </c>
      <c r="AL389" s="1">
        <v>28.0</v>
      </c>
      <c r="AM389" s="1">
        <v>1.0</v>
      </c>
      <c r="AN389" s="1">
        <v>0.0</v>
      </c>
      <c r="AO389" s="1">
        <v>5.0</v>
      </c>
      <c r="AP389" s="1">
        <v>5.0</v>
      </c>
      <c r="AQ389" s="1">
        <v>1.0</v>
      </c>
    </row>
    <row r="390">
      <c r="A390" s="1"/>
      <c r="B390" s="1">
        <v>253.0</v>
      </c>
      <c r="C390" s="1" t="s">
        <v>3835</v>
      </c>
      <c r="D390" s="1" t="s">
        <v>3836</v>
      </c>
      <c r="E390" s="1" t="s">
        <v>3837</v>
      </c>
      <c r="F390" s="1" t="s">
        <v>58</v>
      </c>
      <c r="G390" s="2">
        <v>25055.0</v>
      </c>
      <c r="H390" s="1" t="s">
        <v>1893</v>
      </c>
      <c r="I390" s="1">
        <v>62.0</v>
      </c>
      <c r="J390" s="1" t="s">
        <v>427</v>
      </c>
      <c r="K390" s="1">
        <v>11.0</v>
      </c>
      <c r="L390" s="2">
        <v>42907.0</v>
      </c>
      <c r="O390" s="1">
        <v>0.0</v>
      </c>
      <c r="P390" s="1" t="s">
        <v>814</v>
      </c>
      <c r="Q390" s="1" t="s">
        <v>837</v>
      </c>
      <c r="R390" s="1" t="s">
        <v>3838</v>
      </c>
      <c r="U390" s="1" t="s">
        <v>78</v>
      </c>
      <c r="V390" s="1">
        <v>60.0</v>
      </c>
      <c r="W390" s="3" t="s">
        <v>3839</v>
      </c>
      <c r="X390" s="1">
        <v>720614.0</v>
      </c>
      <c r="Y390" s="1" t="s">
        <v>3840</v>
      </c>
      <c r="Z390" s="3" t="s">
        <v>3841</v>
      </c>
      <c r="AA390" s="3" t="s">
        <v>3842</v>
      </c>
      <c r="AB390" s="1">
        <v>1.0</v>
      </c>
      <c r="AC390" s="1" t="s">
        <v>3843</v>
      </c>
      <c r="AD390" s="1">
        <v>19.0</v>
      </c>
      <c r="AE390" s="1">
        <f t="shared" si="5"/>
        <v>433</v>
      </c>
      <c r="AF390" s="1">
        <v>18.0</v>
      </c>
      <c r="AG390" s="1">
        <v>13.0</v>
      </c>
      <c r="AH390" s="1">
        <v>62.0</v>
      </c>
      <c r="AI390" s="1">
        <v>45.0</v>
      </c>
      <c r="AJ390" s="1">
        <v>48.0</v>
      </c>
      <c r="AK390" s="1">
        <v>245.0</v>
      </c>
      <c r="AL390" s="1">
        <v>0.0</v>
      </c>
      <c r="AM390" s="1">
        <v>0.0</v>
      </c>
      <c r="AN390" s="1">
        <v>3.0</v>
      </c>
      <c r="AO390" s="1">
        <v>9.0</v>
      </c>
      <c r="AP390" s="1">
        <v>5.0</v>
      </c>
      <c r="AQ390" s="1">
        <v>0.0</v>
      </c>
    </row>
    <row r="391">
      <c r="A391" s="1"/>
      <c r="B391" s="1">
        <v>168.0</v>
      </c>
      <c r="C391" s="1" t="s">
        <v>3844</v>
      </c>
      <c r="D391" s="1" t="s">
        <v>3845</v>
      </c>
      <c r="E391" s="1" t="s">
        <v>835</v>
      </c>
      <c r="F391" s="1" t="s">
        <v>43</v>
      </c>
      <c r="G391" s="2">
        <v>25655.0</v>
      </c>
      <c r="H391" s="1" t="s">
        <v>3846</v>
      </c>
      <c r="I391" s="1">
        <v>14.0</v>
      </c>
      <c r="J391" s="1" t="s">
        <v>1137</v>
      </c>
      <c r="K391" s="1">
        <v>3.0</v>
      </c>
      <c r="L391" s="2">
        <v>42907.0</v>
      </c>
      <c r="O391" s="1">
        <v>0.0</v>
      </c>
      <c r="P391" s="1" t="s">
        <v>61</v>
      </c>
      <c r="Q391" s="1" t="s">
        <v>62</v>
      </c>
      <c r="R391" s="1" t="s">
        <v>3847</v>
      </c>
      <c r="U391" s="1" t="s">
        <v>293</v>
      </c>
      <c r="V391" s="1">
        <v>1.0</v>
      </c>
      <c r="W391" s="3" t="s">
        <v>3848</v>
      </c>
      <c r="X391" s="1">
        <v>340853.0</v>
      </c>
      <c r="Y391" s="1" t="s">
        <v>3849</v>
      </c>
      <c r="Z391" s="3" t="s">
        <v>3850</v>
      </c>
      <c r="AA391" s="3" t="s">
        <v>3851</v>
      </c>
      <c r="AB391" s="1">
        <v>1.0</v>
      </c>
      <c r="AC391" s="1" t="s">
        <v>3852</v>
      </c>
      <c r="AD391" s="1">
        <v>19.0</v>
      </c>
      <c r="AE391" s="1">
        <f t="shared" si="5"/>
        <v>433</v>
      </c>
      <c r="AF391" s="1">
        <v>24.0</v>
      </c>
      <c r="AG391" s="1">
        <v>5.0</v>
      </c>
      <c r="AH391" s="1">
        <v>18.0</v>
      </c>
      <c r="AI391" s="1">
        <v>6.0</v>
      </c>
      <c r="AJ391" s="1">
        <v>11.0</v>
      </c>
      <c r="AK391" s="1">
        <v>656.0</v>
      </c>
      <c r="AL391" s="1">
        <v>29.0</v>
      </c>
      <c r="AM391" s="1">
        <v>0.0</v>
      </c>
      <c r="AN391" s="1">
        <v>2.0</v>
      </c>
      <c r="AO391" s="1">
        <v>63.0</v>
      </c>
      <c r="AP391" s="1">
        <v>20.0</v>
      </c>
      <c r="AQ391" s="1">
        <v>4.0</v>
      </c>
    </row>
    <row r="392">
      <c r="A392" s="1"/>
      <c r="B392" s="1">
        <v>150.0</v>
      </c>
      <c r="C392" s="1" t="s">
        <v>3853</v>
      </c>
      <c r="D392" s="1" t="s">
        <v>3854</v>
      </c>
      <c r="E392" s="1" t="s">
        <v>3855</v>
      </c>
      <c r="F392" s="1" t="s">
        <v>58</v>
      </c>
      <c r="G392" s="2">
        <v>26422.0</v>
      </c>
      <c r="H392" s="1" t="s">
        <v>2493</v>
      </c>
      <c r="I392" s="1">
        <v>83.0</v>
      </c>
      <c r="J392" s="1" t="s">
        <v>1231</v>
      </c>
      <c r="K392" s="1">
        <v>4.0</v>
      </c>
      <c r="L392" s="2">
        <v>42907.0</v>
      </c>
      <c r="O392" s="1">
        <v>0.0</v>
      </c>
      <c r="P392" s="1" t="s">
        <v>75</v>
      </c>
      <c r="Q392" s="1" t="s">
        <v>76</v>
      </c>
      <c r="R392" s="1" t="s">
        <v>3856</v>
      </c>
      <c r="U392" s="1" t="s">
        <v>3716</v>
      </c>
      <c r="V392" s="1">
        <v>438.0</v>
      </c>
      <c r="W392" s="3" t="s">
        <v>3857</v>
      </c>
      <c r="X392" s="1">
        <v>721726.0</v>
      </c>
      <c r="Y392" s="1" t="s">
        <v>3858</v>
      </c>
      <c r="Z392" s="3" t="s">
        <v>3859</v>
      </c>
      <c r="AA392" s="3" t="s">
        <v>3860</v>
      </c>
      <c r="AB392" s="1">
        <v>1.0</v>
      </c>
      <c r="AC392" s="1" t="s">
        <v>3861</v>
      </c>
      <c r="AD392" s="1">
        <v>19.0</v>
      </c>
      <c r="AE392" s="1">
        <f t="shared" si="5"/>
        <v>433</v>
      </c>
      <c r="AF392" s="1">
        <v>37.0</v>
      </c>
      <c r="AG392" s="1">
        <v>13.0</v>
      </c>
      <c r="AH392" s="1">
        <v>6.0</v>
      </c>
      <c r="AI392" s="1">
        <v>4.0</v>
      </c>
      <c r="AJ392" s="1">
        <v>0.0</v>
      </c>
      <c r="AK392" s="1">
        <v>31.0</v>
      </c>
      <c r="AL392" s="1">
        <v>17.0</v>
      </c>
      <c r="AM392" s="1">
        <v>0.0</v>
      </c>
      <c r="AN392" s="1">
        <v>0.0</v>
      </c>
      <c r="AO392" s="1">
        <v>7.0</v>
      </c>
      <c r="AP392" s="1">
        <v>2.0</v>
      </c>
      <c r="AQ392" s="1">
        <v>1.0</v>
      </c>
    </row>
    <row r="393">
      <c r="A393" s="1"/>
      <c r="B393" s="1">
        <v>426.0</v>
      </c>
      <c r="C393" s="1" t="s">
        <v>3862</v>
      </c>
      <c r="D393" s="1" t="s">
        <v>3863</v>
      </c>
      <c r="E393" s="1" t="s">
        <v>3864</v>
      </c>
      <c r="F393" s="1" t="s">
        <v>43</v>
      </c>
      <c r="G393" s="2">
        <v>28856.0</v>
      </c>
      <c r="H393" s="1" t="s">
        <v>3865</v>
      </c>
      <c r="I393" s="1">
        <v>94.0</v>
      </c>
      <c r="J393" s="1" t="s">
        <v>642</v>
      </c>
      <c r="K393" s="1">
        <v>2.0</v>
      </c>
      <c r="L393" s="2">
        <v>42907.0</v>
      </c>
      <c r="O393" s="1">
        <v>0.0</v>
      </c>
      <c r="P393" s="1" t="s">
        <v>75</v>
      </c>
      <c r="Q393" s="1" t="s">
        <v>76</v>
      </c>
      <c r="R393" s="1" t="s">
        <v>3866</v>
      </c>
      <c r="U393" s="1" t="s">
        <v>936</v>
      </c>
      <c r="V393" s="1">
        <v>426.0</v>
      </c>
      <c r="W393" s="3" t="s">
        <v>3867</v>
      </c>
      <c r="X393" s="1">
        <v>720870.0</v>
      </c>
      <c r="Y393" s="1" t="s">
        <v>3868</v>
      </c>
      <c r="Z393" s="3" t="s">
        <v>3869</v>
      </c>
      <c r="AA393" s="3" t="s">
        <v>3870</v>
      </c>
      <c r="AB393" s="1">
        <v>1.0</v>
      </c>
      <c r="AC393" s="1" t="s">
        <v>3871</v>
      </c>
      <c r="AD393" s="1">
        <v>19.0</v>
      </c>
      <c r="AE393" s="1">
        <f t="shared" si="5"/>
        <v>433</v>
      </c>
      <c r="AF393" s="1">
        <v>32.0</v>
      </c>
      <c r="AG393" s="1">
        <v>9.0</v>
      </c>
      <c r="AH393" s="1">
        <v>16.0</v>
      </c>
      <c r="AI393" s="1">
        <v>1.0</v>
      </c>
      <c r="AJ393" s="1">
        <v>0.0</v>
      </c>
      <c r="AK393" s="1">
        <v>16.0</v>
      </c>
      <c r="AL393" s="1">
        <v>9.0</v>
      </c>
      <c r="AM393" s="1">
        <v>0.0</v>
      </c>
      <c r="AN393" s="1">
        <v>0.0</v>
      </c>
      <c r="AO393" s="1">
        <v>6.0</v>
      </c>
      <c r="AP393" s="1">
        <v>9.0</v>
      </c>
      <c r="AQ393" s="1">
        <v>2.0</v>
      </c>
    </row>
    <row r="394">
      <c r="A394" s="1"/>
      <c r="B394" s="1">
        <v>446.0</v>
      </c>
      <c r="C394" s="1" t="s">
        <v>3872</v>
      </c>
      <c r="D394" s="1" t="s">
        <v>3873</v>
      </c>
      <c r="E394" s="1" t="s">
        <v>3874</v>
      </c>
      <c r="F394" s="1" t="s">
        <v>43</v>
      </c>
      <c r="G394" s="2">
        <v>26536.0</v>
      </c>
      <c r="H394" s="1" t="s">
        <v>44</v>
      </c>
      <c r="I394" s="1">
        <v>61.0</v>
      </c>
      <c r="J394" s="1" t="s">
        <v>1188</v>
      </c>
      <c r="K394" s="1">
        <v>3.0</v>
      </c>
      <c r="L394" s="2">
        <v>42907.0</v>
      </c>
      <c r="O394" s="1">
        <v>0.0</v>
      </c>
      <c r="P394" s="1" t="s">
        <v>61</v>
      </c>
      <c r="Q394" s="1" t="s">
        <v>62</v>
      </c>
      <c r="R394" s="1" t="s">
        <v>3875</v>
      </c>
      <c r="U394" s="1" t="s">
        <v>3876</v>
      </c>
      <c r="V394" s="1">
        <v>30.0</v>
      </c>
      <c r="W394" s="3" t="s">
        <v>3877</v>
      </c>
      <c r="X394" s="1">
        <v>720644.0</v>
      </c>
      <c r="Y394" s="1" t="s">
        <v>3878</v>
      </c>
      <c r="Z394" s="3" t="s">
        <v>3879</v>
      </c>
      <c r="AA394" s="3" t="s">
        <v>3880</v>
      </c>
      <c r="AB394" s="1">
        <v>1.0</v>
      </c>
      <c r="AC394" s="1" t="s">
        <v>3881</v>
      </c>
      <c r="AD394" s="1">
        <v>19.0</v>
      </c>
      <c r="AE394" s="1">
        <f t="shared" si="5"/>
        <v>433</v>
      </c>
      <c r="AF394" s="1">
        <v>28.0</v>
      </c>
      <c r="AG394" s="1">
        <v>15.0</v>
      </c>
      <c r="AH394" s="1">
        <v>25.0</v>
      </c>
      <c r="AI394" s="1">
        <v>22.0</v>
      </c>
      <c r="AJ394" s="1">
        <v>30.0</v>
      </c>
      <c r="AK394" s="1">
        <v>802.0</v>
      </c>
      <c r="AL394" s="1">
        <v>36.0</v>
      </c>
      <c r="AM394" s="1">
        <v>0.0</v>
      </c>
      <c r="AN394" s="1">
        <v>1.0</v>
      </c>
      <c r="AO394" s="1">
        <v>19.0</v>
      </c>
      <c r="AP394" s="1">
        <v>14.0</v>
      </c>
      <c r="AQ394" s="1">
        <v>1.0</v>
      </c>
    </row>
    <row r="395">
      <c r="A395" s="1"/>
      <c r="B395" s="1">
        <v>458.0</v>
      </c>
      <c r="C395" s="1" t="s">
        <v>3882</v>
      </c>
      <c r="D395" s="1" t="s">
        <v>3883</v>
      </c>
      <c r="E395" s="1" t="s">
        <v>3884</v>
      </c>
      <c r="F395" s="1" t="s">
        <v>58</v>
      </c>
      <c r="G395" s="2">
        <v>17825.0</v>
      </c>
      <c r="H395" s="1" t="s">
        <v>1914</v>
      </c>
      <c r="I395" s="1">
        <v>75.0</v>
      </c>
      <c r="J395" s="1" t="s">
        <v>232</v>
      </c>
      <c r="K395" s="1">
        <v>15.0</v>
      </c>
      <c r="L395" s="2">
        <v>42907.0</v>
      </c>
      <c r="O395" s="1">
        <v>0.0</v>
      </c>
      <c r="P395" s="1" t="s">
        <v>115</v>
      </c>
      <c r="Q395" s="1" t="s">
        <v>116</v>
      </c>
      <c r="R395" s="1" t="s">
        <v>3885</v>
      </c>
      <c r="U395" s="1" t="s">
        <v>3886</v>
      </c>
      <c r="V395" s="1">
        <v>511.0</v>
      </c>
      <c r="W395" s="3" t="s">
        <v>3887</v>
      </c>
      <c r="X395" s="1">
        <v>335532.0</v>
      </c>
      <c r="Y395" s="1" t="s">
        <v>3888</v>
      </c>
      <c r="Z395" s="3" t="s">
        <v>3889</v>
      </c>
      <c r="AA395" s="3" t="s">
        <v>3890</v>
      </c>
      <c r="AB395" s="1">
        <v>1.0</v>
      </c>
      <c r="AC395" s="1" t="s">
        <v>3891</v>
      </c>
      <c r="AD395" s="1">
        <v>19.0</v>
      </c>
      <c r="AE395" s="1">
        <f t="shared" si="5"/>
        <v>433</v>
      </c>
      <c r="AF395" s="1">
        <v>38.0</v>
      </c>
      <c r="AG395" s="1">
        <v>29.0</v>
      </c>
      <c r="AH395" s="1">
        <v>32.0</v>
      </c>
      <c r="AI395" s="1">
        <v>9.0</v>
      </c>
      <c r="AJ395" s="1">
        <v>46.0</v>
      </c>
      <c r="AK395" s="1">
        <v>1062.0</v>
      </c>
      <c r="AL395" s="1">
        <v>69.0</v>
      </c>
      <c r="AM395" s="1">
        <v>0.0</v>
      </c>
      <c r="AN395" s="1">
        <v>0.0</v>
      </c>
      <c r="AO395" s="1">
        <v>5.0</v>
      </c>
      <c r="AP395" s="1">
        <v>9.0</v>
      </c>
      <c r="AQ395" s="1">
        <v>3.0</v>
      </c>
    </row>
    <row r="396">
      <c r="A396" s="1"/>
      <c r="B396" s="1">
        <v>460.0</v>
      </c>
      <c r="C396" s="1" t="s">
        <v>3892</v>
      </c>
      <c r="D396" s="1" t="s">
        <v>3893</v>
      </c>
      <c r="E396" s="1" t="s">
        <v>3894</v>
      </c>
      <c r="F396" s="1" t="s">
        <v>58</v>
      </c>
      <c r="G396" s="2">
        <v>25607.0</v>
      </c>
      <c r="H396" s="1" t="s">
        <v>3895</v>
      </c>
      <c r="I396" s="1">
        <v>13.0</v>
      </c>
      <c r="J396" s="1" t="s">
        <v>279</v>
      </c>
      <c r="K396" s="1">
        <v>14.0</v>
      </c>
      <c r="L396" s="2">
        <v>42907.0</v>
      </c>
      <c r="O396" s="1">
        <v>0.0</v>
      </c>
      <c r="P396" s="1" t="s">
        <v>75</v>
      </c>
      <c r="Q396" s="1" t="s">
        <v>76</v>
      </c>
      <c r="R396" s="1" t="s">
        <v>3896</v>
      </c>
      <c r="U396" s="1" t="s">
        <v>3897</v>
      </c>
      <c r="V396" s="1">
        <v>440.0</v>
      </c>
      <c r="W396" s="3" t="s">
        <v>3898</v>
      </c>
      <c r="X396" s="1">
        <v>718930.0</v>
      </c>
      <c r="Y396" s="1" t="s">
        <v>3899</v>
      </c>
      <c r="Z396" s="3" t="s">
        <v>3900</v>
      </c>
      <c r="AA396" s="3" t="s">
        <v>3901</v>
      </c>
      <c r="AB396" s="1">
        <v>1.0</v>
      </c>
      <c r="AC396" s="1" t="s">
        <v>3902</v>
      </c>
      <c r="AD396" s="1">
        <v>19.0</v>
      </c>
      <c r="AE396" s="1">
        <f t="shared" si="5"/>
        <v>433</v>
      </c>
      <c r="AF396" s="1">
        <v>42.0</v>
      </c>
      <c r="AG396" s="1">
        <v>22.0</v>
      </c>
      <c r="AH396" s="1">
        <v>2.0</v>
      </c>
      <c r="AI396" s="1">
        <v>0.0</v>
      </c>
      <c r="AJ396" s="1">
        <v>0.0</v>
      </c>
      <c r="AK396" s="1">
        <v>52.0</v>
      </c>
      <c r="AL396" s="1">
        <v>25.0</v>
      </c>
      <c r="AM396" s="1">
        <v>0.0</v>
      </c>
      <c r="AN396" s="1">
        <v>0.0</v>
      </c>
      <c r="AO396" s="1">
        <v>5.0</v>
      </c>
      <c r="AP396" s="1">
        <v>3.0</v>
      </c>
      <c r="AQ396" s="1">
        <v>1.0</v>
      </c>
    </row>
    <row r="397">
      <c r="A397" s="1"/>
      <c r="B397" s="1">
        <v>45.0</v>
      </c>
      <c r="C397" s="1" t="s">
        <v>3903</v>
      </c>
      <c r="D397" s="1" t="s">
        <v>3904</v>
      </c>
      <c r="E397" s="1" t="s">
        <v>3905</v>
      </c>
      <c r="F397" s="1" t="s">
        <v>58</v>
      </c>
      <c r="G397" s="2">
        <v>29115.0</v>
      </c>
      <c r="H397" s="1" t="s">
        <v>718</v>
      </c>
      <c r="I397" s="1">
        <v>13.0</v>
      </c>
      <c r="J397" s="1" t="s">
        <v>279</v>
      </c>
      <c r="K397" s="1">
        <v>2.0</v>
      </c>
      <c r="L397" s="2">
        <v>42907.0</v>
      </c>
      <c r="O397" s="1">
        <v>0.0</v>
      </c>
      <c r="P397" s="1" t="s">
        <v>75</v>
      </c>
      <c r="Q397" s="1" t="s">
        <v>76</v>
      </c>
      <c r="R397" s="1" t="s">
        <v>3906</v>
      </c>
      <c r="U397" s="1" t="s">
        <v>827</v>
      </c>
      <c r="V397" s="1">
        <v>524.0</v>
      </c>
      <c r="W397" s="3" t="s">
        <v>3907</v>
      </c>
      <c r="X397" s="1">
        <v>718910.0</v>
      </c>
      <c r="Y397" s="1" t="s">
        <v>3908</v>
      </c>
      <c r="Z397" s="3" t="s">
        <v>3909</v>
      </c>
      <c r="AA397" s="3" t="s">
        <v>3910</v>
      </c>
      <c r="AB397" s="1">
        <v>1.0</v>
      </c>
      <c r="AC397" s="1" t="s">
        <v>3911</v>
      </c>
      <c r="AD397" s="1">
        <v>19.0</v>
      </c>
      <c r="AE397" s="1">
        <f t="shared" si="5"/>
        <v>433</v>
      </c>
      <c r="AF397" s="1">
        <v>38.0</v>
      </c>
      <c r="AG397" s="1">
        <v>1.0</v>
      </c>
      <c r="AH397" s="1">
        <v>8.0</v>
      </c>
      <c r="AI397" s="1">
        <v>1.0</v>
      </c>
      <c r="AJ397" s="1">
        <v>2.0</v>
      </c>
      <c r="AK397" s="1">
        <v>56.0</v>
      </c>
      <c r="AL397" s="1">
        <v>25.0</v>
      </c>
      <c r="AM397" s="1">
        <v>0.0</v>
      </c>
      <c r="AN397" s="1">
        <v>0.0</v>
      </c>
      <c r="AO397" s="1">
        <v>5.0</v>
      </c>
      <c r="AP397" s="1">
        <v>1.0</v>
      </c>
      <c r="AQ397" s="1">
        <v>1.0</v>
      </c>
    </row>
    <row r="398">
      <c r="A398" s="1"/>
      <c r="B398" s="1">
        <v>451.0</v>
      </c>
      <c r="C398" s="1" t="s">
        <v>3912</v>
      </c>
      <c r="D398" s="1" t="s">
        <v>3913</v>
      </c>
      <c r="E398" s="1" t="s">
        <v>3914</v>
      </c>
      <c r="F398" s="1" t="s">
        <v>58</v>
      </c>
      <c r="G398" s="2">
        <v>28086.0</v>
      </c>
      <c r="H398" s="1" t="s">
        <v>3915</v>
      </c>
      <c r="I398" s="1">
        <v>13.0</v>
      </c>
      <c r="J398" s="1" t="s">
        <v>279</v>
      </c>
      <c r="K398" s="1">
        <v>5.0</v>
      </c>
      <c r="L398" s="2">
        <v>42907.0</v>
      </c>
      <c r="O398" s="1">
        <v>0.0</v>
      </c>
      <c r="P398" s="1" t="s">
        <v>75</v>
      </c>
      <c r="Q398" s="1" t="s">
        <v>76</v>
      </c>
      <c r="R398" s="1" t="s">
        <v>3916</v>
      </c>
      <c r="U398" s="1" t="s">
        <v>234</v>
      </c>
      <c r="V398" s="1">
        <v>336.0</v>
      </c>
      <c r="W398" s="3" t="s">
        <v>3917</v>
      </c>
      <c r="X398" s="1">
        <v>718944.0</v>
      </c>
      <c r="Y398" s="1" t="s">
        <v>3918</v>
      </c>
      <c r="Z398" s="3" t="s">
        <v>3919</v>
      </c>
      <c r="AA398" s="3" t="s">
        <v>3920</v>
      </c>
      <c r="AB398" s="1">
        <v>1.0</v>
      </c>
      <c r="AC398" s="1" t="s">
        <v>3921</v>
      </c>
      <c r="AD398" s="1">
        <v>19.0</v>
      </c>
      <c r="AE398" s="1">
        <f t="shared" si="5"/>
        <v>433</v>
      </c>
      <c r="AF398" s="1">
        <v>30.0</v>
      </c>
      <c r="AG398" s="1">
        <v>8.0</v>
      </c>
      <c r="AH398" s="1">
        <v>10.0</v>
      </c>
      <c r="AI398" s="1">
        <v>2.0</v>
      </c>
      <c r="AJ398" s="1">
        <v>0.0</v>
      </c>
      <c r="AK398" s="1">
        <v>44.0</v>
      </c>
      <c r="AL398" s="1">
        <v>15.0</v>
      </c>
      <c r="AM398" s="1">
        <v>0.0</v>
      </c>
      <c r="AN398" s="1">
        <v>0.0</v>
      </c>
      <c r="AO398" s="1">
        <v>5.0</v>
      </c>
      <c r="AP398" s="1">
        <v>3.0</v>
      </c>
      <c r="AQ398" s="1">
        <v>3.0</v>
      </c>
    </row>
    <row r="399">
      <c r="A399" s="1"/>
      <c r="B399" s="1">
        <v>378.0</v>
      </c>
      <c r="C399" s="1" t="s">
        <v>3922</v>
      </c>
      <c r="D399" s="1" t="s">
        <v>3923</v>
      </c>
      <c r="E399" s="1" t="s">
        <v>994</v>
      </c>
      <c r="F399" s="1" t="s">
        <v>58</v>
      </c>
      <c r="G399" s="2">
        <v>25060.0</v>
      </c>
      <c r="H399" s="1" t="s">
        <v>706</v>
      </c>
      <c r="I399" s="1">
        <v>57.0</v>
      </c>
      <c r="J399" s="1" t="s">
        <v>471</v>
      </c>
      <c r="K399" s="1">
        <v>9.0</v>
      </c>
      <c r="L399" s="2">
        <v>42907.0</v>
      </c>
      <c r="O399" s="1">
        <v>0.0</v>
      </c>
      <c r="P399" s="1" t="s">
        <v>75</v>
      </c>
      <c r="Q399" s="1" t="s">
        <v>76</v>
      </c>
      <c r="R399" s="3" t="s">
        <v>3924</v>
      </c>
      <c r="U399" s="1" t="s">
        <v>3925</v>
      </c>
      <c r="V399" s="1">
        <v>197.0</v>
      </c>
      <c r="W399" s="3" t="s">
        <v>3926</v>
      </c>
      <c r="X399" s="1">
        <v>720552.0</v>
      </c>
      <c r="Y399" s="1" t="s">
        <v>3927</v>
      </c>
      <c r="Z399" s="3" t="s">
        <v>3928</v>
      </c>
      <c r="AA399" s="3" t="s">
        <v>3929</v>
      </c>
      <c r="AB399" s="1">
        <v>1.0</v>
      </c>
      <c r="AC399" s="1" t="s">
        <v>3930</v>
      </c>
      <c r="AD399" s="1">
        <v>19.0</v>
      </c>
      <c r="AE399" s="1">
        <f t="shared" si="5"/>
        <v>433</v>
      </c>
      <c r="AF399" s="1">
        <v>35.0</v>
      </c>
      <c r="AG399" s="1">
        <v>20.0</v>
      </c>
      <c r="AH399" s="1">
        <v>5.0</v>
      </c>
      <c r="AI399" s="1">
        <v>1.0</v>
      </c>
      <c r="AJ399" s="1">
        <v>0.0</v>
      </c>
      <c r="AK399" s="1">
        <v>26.0</v>
      </c>
      <c r="AL399" s="1">
        <v>8.0</v>
      </c>
      <c r="AM399" s="1">
        <v>2.0</v>
      </c>
      <c r="AN399" s="1">
        <v>0.0</v>
      </c>
      <c r="AO399" s="1">
        <v>5.0</v>
      </c>
      <c r="AP399" s="1">
        <v>16.0</v>
      </c>
      <c r="AQ399" s="1">
        <v>1.0</v>
      </c>
    </row>
    <row r="400">
      <c r="A400" s="1"/>
      <c r="B400" s="1">
        <v>560.0</v>
      </c>
      <c r="C400" s="1" t="s">
        <v>3931</v>
      </c>
      <c r="D400" s="1" t="s">
        <v>3932</v>
      </c>
      <c r="E400" s="1" t="s">
        <v>3500</v>
      </c>
      <c r="F400" s="1" t="s">
        <v>58</v>
      </c>
      <c r="G400" s="2">
        <v>29607.0</v>
      </c>
      <c r="H400" s="1" t="s">
        <v>3933</v>
      </c>
      <c r="I400" s="1">
        <v>49.0</v>
      </c>
      <c r="J400" s="1" t="s">
        <v>220</v>
      </c>
      <c r="K400" s="1">
        <v>4.0</v>
      </c>
      <c r="L400" s="2">
        <v>42907.0</v>
      </c>
      <c r="O400" s="1">
        <v>0.0</v>
      </c>
      <c r="P400" s="1" t="s">
        <v>75</v>
      </c>
      <c r="Q400" s="1" t="s">
        <v>76</v>
      </c>
      <c r="R400" s="3" t="s">
        <v>3934</v>
      </c>
      <c r="U400" s="1" t="s">
        <v>3935</v>
      </c>
      <c r="V400" s="1">
        <v>364.0</v>
      </c>
      <c r="W400" s="3" t="s">
        <v>3936</v>
      </c>
      <c r="X400" s="1">
        <v>720138.0</v>
      </c>
      <c r="Y400" s="1" t="s">
        <v>3937</v>
      </c>
      <c r="Z400" s="3" t="s">
        <v>3938</v>
      </c>
      <c r="AA400" s="3" t="s">
        <v>3939</v>
      </c>
      <c r="AB400" s="1">
        <v>1.0</v>
      </c>
      <c r="AD400" s="1">
        <v>19.0</v>
      </c>
      <c r="AE400" s="1">
        <f t="shared" si="5"/>
        <v>433</v>
      </c>
      <c r="AF400" s="1">
        <v>32.0</v>
      </c>
      <c r="AG400" s="1">
        <v>15.0</v>
      </c>
      <c r="AH400" s="1">
        <v>2.0</v>
      </c>
      <c r="AI400" s="1">
        <v>1.0</v>
      </c>
      <c r="AJ400" s="1">
        <v>1.0</v>
      </c>
      <c r="AK400" s="1">
        <v>12.0</v>
      </c>
      <c r="AL400" s="1">
        <v>7.0</v>
      </c>
      <c r="AM400" s="1">
        <v>1.0</v>
      </c>
      <c r="AN400" s="1">
        <v>0.0</v>
      </c>
      <c r="AO400" s="1">
        <v>5.0</v>
      </c>
      <c r="AP400" s="1">
        <v>6.0</v>
      </c>
      <c r="AQ400" s="1">
        <v>0.0</v>
      </c>
    </row>
    <row r="401">
      <c r="A401" s="1"/>
      <c r="B401" s="1">
        <v>545.0</v>
      </c>
      <c r="C401" s="1" t="s">
        <v>3940</v>
      </c>
      <c r="D401" s="1" t="s">
        <v>1262</v>
      </c>
      <c r="E401" s="1" t="s">
        <v>629</v>
      </c>
      <c r="F401" s="1" t="s">
        <v>58</v>
      </c>
      <c r="G401" s="2">
        <v>24858.0</v>
      </c>
      <c r="H401" s="1" t="s">
        <v>3941</v>
      </c>
      <c r="I401" s="1">
        <v>63.0</v>
      </c>
      <c r="J401" s="1" t="s">
        <v>114</v>
      </c>
      <c r="K401" s="1">
        <v>1.0</v>
      </c>
      <c r="L401" s="2">
        <v>42907.0</v>
      </c>
      <c r="O401" s="1">
        <v>0.0</v>
      </c>
      <c r="P401" s="1" t="s">
        <v>75</v>
      </c>
      <c r="Q401" s="1" t="s">
        <v>76</v>
      </c>
      <c r="R401" s="1" t="s">
        <v>3942</v>
      </c>
      <c r="U401" s="1" t="s">
        <v>293</v>
      </c>
      <c r="V401" s="1">
        <v>534.0</v>
      </c>
      <c r="W401" s="3" t="s">
        <v>3943</v>
      </c>
      <c r="X401" s="1">
        <v>720830.0</v>
      </c>
      <c r="Y401" s="1" t="s">
        <v>3944</v>
      </c>
      <c r="Z401" s="3" t="s">
        <v>3945</v>
      </c>
      <c r="AA401" s="3" t="s">
        <v>3946</v>
      </c>
      <c r="AB401" s="1">
        <v>1.0</v>
      </c>
      <c r="AC401" s="1" t="s">
        <v>3947</v>
      </c>
      <c r="AD401" s="1">
        <v>19.0</v>
      </c>
      <c r="AE401" s="1">
        <f t="shared" si="5"/>
        <v>433</v>
      </c>
      <c r="AF401" s="1">
        <v>33.0</v>
      </c>
      <c r="AG401" s="1">
        <v>2.0</v>
      </c>
      <c r="AH401" s="1">
        <v>0.0</v>
      </c>
      <c r="AI401" s="1">
        <v>0.0</v>
      </c>
      <c r="AJ401" s="1">
        <v>0.0</v>
      </c>
      <c r="AK401" s="1">
        <v>15.0</v>
      </c>
      <c r="AL401" s="1">
        <v>7.0</v>
      </c>
      <c r="AM401" s="1">
        <v>0.0</v>
      </c>
      <c r="AN401" s="1">
        <v>0.0</v>
      </c>
      <c r="AO401" s="1">
        <v>5.0</v>
      </c>
      <c r="AP401" s="1">
        <v>3.0</v>
      </c>
      <c r="AQ401" s="1">
        <v>0.0</v>
      </c>
    </row>
    <row r="402">
      <c r="A402" s="1"/>
      <c r="B402" s="1">
        <v>483.0</v>
      </c>
      <c r="C402" s="1" t="s">
        <v>3948</v>
      </c>
      <c r="D402" s="1" t="s">
        <v>3949</v>
      </c>
      <c r="E402" s="1" t="s">
        <v>183</v>
      </c>
      <c r="F402" s="1" t="s">
        <v>43</v>
      </c>
      <c r="G402" s="2">
        <v>16718.0</v>
      </c>
      <c r="H402" s="1" t="s">
        <v>3950</v>
      </c>
      <c r="I402" s="1">
        <v>69.0</v>
      </c>
      <c r="J402" s="1" t="s">
        <v>1363</v>
      </c>
      <c r="K402" s="1">
        <v>3.0</v>
      </c>
      <c r="L402" s="2">
        <v>42907.0</v>
      </c>
      <c r="O402" s="1">
        <v>0.0</v>
      </c>
      <c r="P402" s="1" t="s">
        <v>75</v>
      </c>
      <c r="Q402" s="1" t="s">
        <v>76</v>
      </c>
      <c r="R402" s="1" t="s">
        <v>3951</v>
      </c>
      <c r="U402" s="1" t="s">
        <v>3952</v>
      </c>
      <c r="V402" s="1">
        <v>285.0</v>
      </c>
      <c r="W402" s="3" t="s">
        <v>3953</v>
      </c>
      <c r="X402" s="1">
        <v>334768.0</v>
      </c>
      <c r="Y402" s="1" t="s">
        <v>3954</v>
      </c>
      <c r="Z402" s="3" t="s">
        <v>3955</v>
      </c>
      <c r="AA402" s="3" t="s">
        <v>3956</v>
      </c>
      <c r="AB402" s="1">
        <v>2.0</v>
      </c>
      <c r="AD402" s="1">
        <v>19.0</v>
      </c>
      <c r="AE402" s="1">
        <f t="shared" si="5"/>
        <v>433</v>
      </c>
      <c r="AF402" s="1">
        <v>31.0</v>
      </c>
      <c r="AG402" s="1">
        <v>23.0</v>
      </c>
      <c r="AH402" s="1">
        <v>7.0</v>
      </c>
      <c r="AI402" s="1">
        <v>1.0</v>
      </c>
      <c r="AJ402" s="1">
        <v>0.0</v>
      </c>
      <c r="AK402" s="1">
        <v>55.0</v>
      </c>
      <c r="AL402" s="1">
        <v>26.0</v>
      </c>
      <c r="AM402" s="1">
        <v>0.0</v>
      </c>
      <c r="AN402" s="1">
        <v>1.0</v>
      </c>
      <c r="AO402" s="1">
        <v>7.0</v>
      </c>
      <c r="AP402" s="1">
        <v>6.0</v>
      </c>
      <c r="AQ402" s="1">
        <v>1.0</v>
      </c>
    </row>
    <row r="403">
      <c r="A403" s="1"/>
      <c r="B403" s="1">
        <v>28.0</v>
      </c>
      <c r="C403" s="1" t="s">
        <v>3957</v>
      </c>
      <c r="D403" s="1" t="s">
        <v>3958</v>
      </c>
      <c r="E403" s="1" t="s">
        <v>916</v>
      </c>
      <c r="F403" s="1" t="s">
        <v>43</v>
      </c>
      <c r="G403" s="2">
        <v>17526.0</v>
      </c>
      <c r="H403" s="1" t="s">
        <v>3959</v>
      </c>
      <c r="I403" s="1">
        <v>14.0</v>
      </c>
      <c r="J403" s="1" t="s">
        <v>1137</v>
      </c>
      <c r="K403" s="1">
        <v>6.0</v>
      </c>
      <c r="L403" s="2">
        <v>42907.0</v>
      </c>
      <c r="O403" s="1">
        <v>0.0</v>
      </c>
      <c r="P403" s="1" t="s">
        <v>75</v>
      </c>
      <c r="Q403" s="1" t="s">
        <v>76</v>
      </c>
      <c r="R403" s="1" t="s">
        <v>3960</v>
      </c>
      <c r="U403" s="1" t="s">
        <v>304</v>
      </c>
      <c r="V403" s="1">
        <v>193.0</v>
      </c>
      <c r="W403" s="3" t="s">
        <v>3961</v>
      </c>
      <c r="X403" s="1">
        <v>2828.0</v>
      </c>
      <c r="Y403" s="1" t="s">
        <v>3962</v>
      </c>
      <c r="Z403" s="3" t="s">
        <v>3963</v>
      </c>
      <c r="AA403" s="3" t="s">
        <v>3964</v>
      </c>
      <c r="AB403" s="1">
        <v>1.0</v>
      </c>
      <c r="AC403" s="1" t="s">
        <v>3965</v>
      </c>
      <c r="AD403" s="1">
        <v>19.0</v>
      </c>
      <c r="AE403" s="1">
        <f t="shared" si="5"/>
        <v>433</v>
      </c>
      <c r="AF403" s="1">
        <v>19.0</v>
      </c>
      <c r="AG403" s="1">
        <v>50.0</v>
      </c>
      <c r="AH403" s="1">
        <v>10.0</v>
      </c>
      <c r="AI403" s="1">
        <v>7.0</v>
      </c>
      <c r="AJ403" s="1">
        <v>15.0</v>
      </c>
      <c r="AK403" s="1">
        <v>68.0</v>
      </c>
      <c r="AL403" s="1">
        <v>32.0</v>
      </c>
      <c r="AM403" s="1">
        <v>1.0</v>
      </c>
      <c r="AN403" s="1">
        <v>0.0</v>
      </c>
      <c r="AO403" s="1">
        <v>6.0</v>
      </c>
      <c r="AP403" s="1">
        <v>5.0</v>
      </c>
      <c r="AQ403" s="1">
        <v>0.0</v>
      </c>
    </row>
    <row r="404">
      <c r="A404" s="1"/>
      <c r="B404" s="1">
        <v>557.0</v>
      </c>
      <c r="C404" s="1" t="s">
        <v>3966</v>
      </c>
      <c r="D404" s="1" t="s">
        <v>3967</v>
      </c>
      <c r="E404" s="1" t="s">
        <v>1902</v>
      </c>
      <c r="F404" s="1" t="s">
        <v>58</v>
      </c>
      <c r="G404" s="2">
        <v>23191.0</v>
      </c>
      <c r="H404" s="1" t="s">
        <v>3968</v>
      </c>
      <c r="I404" s="1">
        <v>57.0</v>
      </c>
      <c r="J404" s="1" t="s">
        <v>471</v>
      </c>
      <c r="K404" s="1">
        <v>5.0</v>
      </c>
      <c r="L404" s="2">
        <v>42907.0</v>
      </c>
      <c r="O404" s="1">
        <v>0.0</v>
      </c>
      <c r="P404" s="1" t="s">
        <v>75</v>
      </c>
      <c r="Q404" s="1" t="s">
        <v>76</v>
      </c>
      <c r="U404" s="1" t="s">
        <v>986</v>
      </c>
      <c r="V404" s="1">
        <v>446.0</v>
      </c>
      <c r="W404" s="3" t="s">
        <v>3969</v>
      </c>
      <c r="X404" s="1">
        <v>720394.0</v>
      </c>
      <c r="Y404" s="1" t="s">
        <v>3970</v>
      </c>
      <c r="Z404" s="3" t="s">
        <v>3971</v>
      </c>
      <c r="AA404" s="3" t="s">
        <v>3972</v>
      </c>
      <c r="AB404" s="1">
        <v>1.0</v>
      </c>
      <c r="AD404" s="1">
        <v>19.0</v>
      </c>
      <c r="AE404" s="1">
        <f t="shared" si="5"/>
        <v>433</v>
      </c>
      <c r="AF404" s="1">
        <v>36.0</v>
      </c>
      <c r="AG404" s="1">
        <v>12.0</v>
      </c>
      <c r="AH404" s="1">
        <v>6.0</v>
      </c>
      <c r="AI404" s="1">
        <v>2.0</v>
      </c>
      <c r="AJ404" s="1">
        <v>0.0</v>
      </c>
      <c r="AK404" s="1">
        <v>27.0</v>
      </c>
      <c r="AL404" s="1">
        <v>3.0</v>
      </c>
      <c r="AM404" s="1">
        <v>1.0</v>
      </c>
      <c r="AN404" s="1">
        <v>0.0</v>
      </c>
      <c r="AO404" s="1">
        <v>6.0</v>
      </c>
      <c r="AP404" s="1">
        <v>7.0</v>
      </c>
      <c r="AQ404" s="1">
        <v>2.0</v>
      </c>
    </row>
    <row r="405">
      <c r="A405" s="1"/>
      <c r="B405" s="1">
        <v>549.0</v>
      </c>
      <c r="C405" s="1" t="s">
        <v>3973</v>
      </c>
      <c r="D405" s="1" t="s">
        <v>3974</v>
      </c>
      <c r="E405" s="1" t="s">
        <v>3249</v>
      </c>
      <c r="F405" s="1" t="s">
        <v>58</v>
      </c>
      <c r="G405" s="2">
        <v>20635.0</v>
      </c>
      <c r="H405" s="1" t="s">
        <v>3975</v>
      </c>
      <c r="I405" s="1">
        <v>17.0</v>
      </c>
      <c r="J405" s="1" t="s">
        <v>2055</v>
      </c>
      <c r="K405" s="1">
        <v>2.0</v>
      </c>
      <c r="L405" s="2">
        <v>42907.0</v>
      </c>
      <c r="O405" s="1">
        <v>0.0</v>
      </c>
      <c r="P405" s="1" t="s">
        <v>75</v>
      </c>
      <c r="Q405" s="1" t="s">
        <v>76</v>
      </c>
      <c r="R405" s="1" t="s">
        <v>3976</v>
      </c>
      <c r="U405" s="1" t="s">
        <v>2940</v>
      </c>
      <c r="V405" s="1">
        <v>346.0</v>
      </c>
      <c r="W405" s="3" t="s">
        <v>3977</v>
      </c>
      <c r="X405" s="1">
        <v>719092.0</v>
      </c>
      <c r="Y405" s="1" t="s">
        <v>3978</v>
      </c>
      <c r="Z405" s="3" t="s">
        <v>3979</v>
      </c>
      <c r="AA405" s="3" t="s">
        <v>3980</v>
      </c>
      <c r="AB405" s="1">
        <v>2.0</v>
      </c>
      <c r="AC405" s="1" t="s">
        <v>3981</v>
      </c>
      <c r="AD405" s="1">
        <v>19.0</v>
      </c>
      <c r="AE405" s="1">
        <f t="shared" si="5"/>
        <v>433</v>
      </c>
      <c r="AF405" s="1">
        <v>30.0</v>
      </c>
      <c r="AG405" s="1">
        <v>6.0</v>
      </c>
      <c r="AH405" s="1">
        <v>4.0</v>
      </c>
      <c r="AI405" s="1">
        <v>3.0</v>
      </c>
      <c r="AJ405" s="1">
        <v>0.0</v>
      </c>
      <c r="AK405" s="1">
        <v>91.0</v>
      </c>
      <c r="AL405" s="1">
        <v>40.0</v>
      </c>
      <c r="AM405" s="1">
        <v>0.0</v>
      </c>
      <c r="AN405" s="1">
        <v>0.0</v>
      </c>
      <c r="AO405" s="1">
        <v>5.0</v>
      </c>
      <c r="AP405" s="1">
        <v>4.0</v>
      </c>
      <c r="AQ405" s="1">
        <v>1.0</v>
      </c>
    </row>
    <row r="406">
      <c r="A406" s="1"/>
      <c r="B406" s="1">
        <v>434.0</v>
      </c>
      <c r="C406" s="1" t="s">
        <v>3982</v>
      </c>
      <c r="D406" s="1" t="s">
        <v>3983</v>
      </c>
      <c r="E406" s="1" t="s">
        <v>2316</v>
      </c>
      <c r="F406" s="1" t="s">
        <v>43</v>
      </c>
      <c r="G406" s="2">
        <v>20071.0</v>
      </c>
      <c r="H406" s="1" t="s">
        <v>3984</v>
      </c>
      <c r="I406" s="1">
        <v>89.0</v>
      </c>
      <c r="J406" s="1" t="s">
        <v>877</v>
      </c>
      <c r="K406" s="1">
        <v>2.0</v>
      </c>
      <c r="L406" s="2">
        <v>42907.0</v>
      </c>
      <c r="O406" s="1">
        <v>0.0</v>
      </c>
      <c r="P406" s="1" t="s">
        <v>46</v>
      </c>
      <c r="Q406" s="1" t="s">
        <v>47</v>
      </c>
      <c r="R406" s="1" t="s">
        <v>3985</v>
      </c>
      <c r="U406" s="1" t="s">
        <v>1905</v>
      </c>
      <c r="V406" s="1">
        <v>153.0</v>
      </c>
      <c r="W406" s="3" t="s">
        <v>3986</v>
      </c>
      <c r="X406" s="1">
        <v>421348.0</v>
      </c>
      <c r="Y406" s="1" t="s">
        <v>3987</v>
      </c>
      <c r="Z406" s="3" t="s">
        <v>3988</v>
      </c>
      <c r="AA406" s="3" t="s">
        <v>3989</v>
      </c>
      <c r="AB406" s="1">
        <v>2.0</v>
      </c>
      <c r="AC406" s="1" t="s">
        <v>3990</v>
      </c>
      <c r="AD406" s="1">
        <v>19.0</v>
      </c>
      <c r="AE406" s="1">
        <f t="shared" si="5"/>
        <v>433</v>
      </c>
      <c r="AF406" s="1">
        <v>32.0</v>
      </c>
      <c r="AG406" s="1">
        <v>25.0</v>
      </c>
      <c r="AH406" s="1">
        <v>4.0</v>
      </c>
      <c r="AI406" s="1">
        <v>5.0</v>
      </c>
      <c r="AJ406" s="1">
        <v>0.0</v>
      </c>
      <c r="AK406" s="1">
        <v>240.0</v>
      </c>
      <c r="AL406" s="1">
        <v>14.0</v>
      </c>
      <c r="AM406" s="1">
        <v>0.0</v>
      </c>
      <c r="AN406" s="1">
        <v>0.0</v>
      </c>
      <c r="AO406" s="1">
        <v>4.0</v>
      </c>
      <c r="AP406" s="1">
        <v>0.0</v>
      </c>
      <c r="AQ406" s="1">
        <v>1.0</v>
      </c>
    </row>
    <row r="407">
      <c r="A407" s="1"/>
      <c r="B407" s="1">
        <v>329.0</v>
      </c>
      <c r="C407" s="1" t="s">
        <v>3991</v>
      </c>
      <c r="D407" s="1" t="s">
        <v>3992</v>
      </c>
      <c r="E407" s="1" t="s">
        <v>810</v>
      </c>
      <c r="F407" s="1" t="s">
        <v>43</v>
      </c>
      <c r="G407" s="2">
        <v>24128.0</v>
      </c>
      <c r="H407" s="1" t="s">
        <v>3993</v>
      </c>
      <c r="I407" s="1">
        <v>90.0</v>
      </c>
      <c r="J407" s="1" t="s">
        <v>3994</v>
      </c>
      <c r="K407" s="1">
        <v>2.0</v>
      </c>
      <c r="L407" s="2">
        <v>42907.0</v>
      </c>
      <c r="O407" s="1">
        <v>0.0</v>
      </c>
      <c r="P407" s="1" t="s">
        <v>46</v>
      </c>
      <c r="Q407" s="1" t="s">
        <v>47</v>
      </c>
      <c r="R407" s="1" t="s">
        <v>3995</v>
      </c>
      <c r="U407" s="1" t="s">
        <v>222</v>
      </c>
      <c r="V407" s="1">
        <v>122.0</v>
      </c>
      <c r="W407" s="3" t="s">
        <v>3996</v>
      </c>
      <c r="X407" s="1">
        <v>267330.0</v>
      </c>
      <c r="Y407" s="1" t="s">
        <v>3997</v>
      </c>
      <c r="Z407" s="3" t="s">
        <v>3998</v>
      </c>
      <c r="AA407" s="3" t="s">
        <v>3999</v>
      </c>
      <c r="AB407" s="1">
        <v>2.0</v>
      </c>
      <c r="AC407" s="1" t="s">
        <v>4000</v>
      </c>
      <c r="AD407" s="1">
        <v>19.0</v>
      </c>
      <c r="AE407" s="1">
        <f t="shared" si="5"/>
        <v>433</v>
      </c>
      <c r="AF407" s="1">
        <v>20.0</v>
      </c>
      <c r="AG407" s="1">
        <v>21.0</v>
      </c>
      <c r="AH407" s="1">
        <v>59.0</v>
      </c>
      <c r="AI407" s="1">
        <v>30.0</v>
      </c>
      <c r="AJ407" s="1">
        <v>22.0</v>
      </c>
      <c r="AK407" s="1">
        <v>628.0</v>
      </c>
      <c r="AL407" s="1">
        <v>35.0</v>
      </c>
      <c r="AM407" s="1">
        <v>1.0</v>
      </c>
      <c r="AN407" s="1">
        <v>1.0</v>
      </c>
      <c r="AO407" s="1">
        <v>13.0</v>
      </c>
      <c r="AP407" s="1">
        <v>8.0</v>
      </c>
      <c r="AQ407" s="1">
        <v>0.0</v>
      </c>
    </row>
    <row r="408">
      <c r="A408" s="1"/>
      <c r="B408" s="1">
        <v>493.0</v>
      </c>
      <c r="C408" s="1" t="s">
        <v>4001</v>
      </c>
      <c r="D408" s="1" t="s">
        <v>4002</v>
      </c>
      <c r="E408" s="1" t="s">
        <v>4003</v>
      </c>
      <c r="F408" s="1" t="s">
        <v>43</v>
      </c>
      <c r="G408" s="2">
        <v>26742.0</v>
      </c>
      <c r="H408" s="1" t="s">
        <v>811</v>
      </c>
      <c r="I408" s="1" t="s">
        <v>812</v>
      </c>
      <c r="J408" s="1" t="s">
        <v>813</v>
      </c>
      <c r="K408" s="1">
        <v>2.0</v>
      </c>
      <c r="L408" s="2">
        <v>42907.0</v>
      </c>
      <c r="O408" s="1">
        <v>0.0</v>
      </c>
      <c r="P408" s="1" t="s">
        <v>814</v>
      </c>
      <c r="Q408" s="1" t="s">
        <v>815</v>
      </c>
      <c r="R408" s="1" t="s">
        <v>4004</v>
      </c>
      <c r="U408" s="1" t="s">
        <v>3138</v>
      </c>
      <c r="V408" s="1">
        <v>650.0</v>
      </c>
      <c r="W408" s="3" t="s">
        <v>4005</v>
      </c>
      <c r="X408" s="1">
        <v>719146.0</v>
      </c>
      <c r="Y408" s="1" t="s">
        <v>4006</v>
      </c>
      <c r="Z408" s="3" t="s">
        <v>4007</v>
      </c>
      <c r="AA408" s="3" t="s">
        <v>4008</v>
      </c>
      <c r="AB408" s="1">
        <v>1.0</v>
      </c>
      <c r="AC408" s="1" t="s">
        <v>4009</v>
      </c>
      <c r="AD408" s="1">
        <v>18.0</v>
      </c>
      <c r="AE408" s="1">
        <f t="shared" si="5"/>
        <v>434</v>
      </c>
      <c r="AF408" s="1">
        <v>26.0</v>
      </c>
      <c r="AG408" s="1">
        <v>15.0</v>
      </c>
      <c r="AH408" s="1">
        <v>58.0</v>
      </c>
      <c r="AI408" s="1">
        <v>14.0</v>
      </c>
      <c r="AJ408" s="1">
        <v>89.0</v>
      </c>
      <c r="AK408" s="1">
        <v>235.0</v>
      </c>
      <c r="AL408" s="1">
        <v>3.0</v>
      </c>
      <c r="AM408" s="1">
        <v>0.0</v>
      </c>
      <c r="AN408" s="1">
        <v>1.0</v>
      </c>
      <c r="AO408" s="1">
        <v>6.0</v>
      </c>
      <c r="AP408" s="1">
        <v>12.0</v>
      </c>
      <c r="AQ408" s="1">
        <v>1.0</v>
      </c>
    </row>
    <row r="409">
      <c r="A409" s="1"/>
      <c r="B409" s="1">
        <v>351.0</v>
      </c>
      <c r="C409" s="1" t="s">
        <v>4010</v>
      </c>
      <c r="D409" s="1" t="s">
        <v>2316</v>
      </c>
      <c r="E409" s="1" t="s">
        <v>1490</v>
      </c>
      <c r="F409" s="1" t="s">
        <v>43</v>
      </c>
      <c r="G409" s="2">
        <v>24672.0</v>
      </c>
      <c r="H409" s="1" t="s">
        <v>1903</v>
      </c>
      <c r="I409" s="1">
        <v>35.0</v>
      </c>
      <c r="J409" s="1" t="s">
        <v>415</v>
      </c>
      <c r="K409" s="1">
        <v>3.0</v>
      </c>
      <c r="L409" s="2">
        <v>42907.0</v>
      </c>
      <c r="O409" s="1">
        <v>0.0</v>
      </c>
      <c r="P409" s="1" t="s">
        <v>75</v>
      </c>
      <c r="Q409" s="1" t="s">
        <v>76</v>
      </c>
      <c r="R409" s="1" t="s">
        <v>4011</v>
      </c>
      <c r="U409" s="1" t="s">
        <v>118</v>
      </c>
      <c r="V409" s="1">
        <v>276.0</v>
      </c>
      <c r="W409" s="3" t="s">
        <v>4012</v>
      </c>
      <c r="X409" s="1">
        <v>606675.0</v>
      </c>
      <c r="Y409" s="1" t="s">
        <v>4013</v>
      </c>
      <c r="Z409" s="3" t="s">
        <v>4014</v>
      </c>
      <c r="AA409" s="3" t="s">
        <v>4015</v>
      </c>
      <c r="AB409" s="1">
        <v>1.0</v>
      </c>
      <c r="AC409" s="1" t="s">
        <v>4016</v>
      </c>
      <c r="AD409" s="1">
        <v>18.0</v>
      </c>
      <c r="AE409" s="1">
        <f t="shared" si="5"/>
        <v>434</v>
      </c>
      <c r="AF409" s="1">
        <v>26.0</v>
      </c>
      <c r="AG409" s="1">
        <v>8.0</v>
      </c>
      <c r="AH409" s="1">
        <v>6.0</v>
      </c>
      <c r="AI409" s="1">
        <v>5.0</v>
      </c>
      <c r="AJ409" s="1">
        <v>0.0</v>
      </c>
      <c r="AK409" s="1">
        <v>15.0</v>
      </c>
      <c r="AL409" s="1">
        <v>4.0</v>
      </c>
      <c r="AM409" s="1">
        <v>0.0</v>
      </c>
      <c r="AN409" s="1">
        <v>0.0</v>
      </c>
      <c r="AO409" s="1">
        <v>5.0</v>
      </c>
      <c r="AP409" s="1">
        <v>4.0</v>
      </c>
      <c r="AQ409" s="1">
        <v>0.0</v>
      </c>
    </row>
    <row r="410">
      <c r="A410" s="1"/>
      <c r="B410" s="1">
        <v>218.0</v>
      </c>
      <c r="C410" s="1" t="s">
        <v>4017</v>
      </c>
      <c r="D410" s="1" t="s">
        <v>4018</v>
      </c>
      <c r="E410" s="1" t="s">
        <v>629</v>
      </c>
      <c r="F410" s="1" t="s">
        <v>58</v>
      </c>
      <c r="G410" s="2">
        <v>25507.0</v>
      </c>
      <c r="H410" s="1" t="s">
        <v>4019</v>
      </c>
      <c r="I410" s="1">
        <v>10.0</v>
      </c>
      <c r="J410" s="1" t="s">
        <v>1970</v>
      </c>
      <c r="K410" s="1">
        <v>2.0</v>
      </c>
      <c r="L410" s="2">
        <v>42907.0</v>
      </c>
      <c r="O410" s="1">
        <v>0.0</v>
      </c>
      <c r="P410" s="1" t="s">
        <v>61</v>
      </c>
      <c r="Q410" s="1" t="s">
        <v>62</v>
      </c>
      <c r="R410" s="3" t="s">
        <v>4020</v>
      </c>
      <c r="U410" s="1" t="s">
        <v>4021</v>
      </c>
      <c r="V410" s="1">
        <v>119.0</v>
      </c>
      <c r="W410" s="3" t="s">
        <v>4022</v>
      </c>
      <c r="X410" s="1">
        <v>718884.0</v>
      </c>
      <c r="Y410" s="1" t="s">
        <v>4023</v>
      </c>
      <c r="Z410" s="3" t="s">
        <v>4024</v>
      </c>
      <c r="AA410" s="3" t="s">
        <v>4025</v>
      </c>
      <c r="AB410" s="1">
        <v>2.0</v>
      </c>
      <c r="AC410" s="1" t="s">
        <v>4026</v>
      </c>
      <c r="AD410" s="1">
        <v>18.0</v>
      </c>
      <c r="AE410" s="1">
        <f t="shared" si="5"/>
        <v>434</v>
      </c>
      <c r="AF410" s="1">
        <v>27.0</v>
      </c>
      <c r="AG410" s="1">
        <v>10.0</v>
      </c>
      <c r="AH410" s="1">
        <v>18.0</v>
      </c>
      <c r="AI410" s="1">
        <v>2.0</v>
      </c>
      <c r="AJ410" s="1">
        <v>61.0</v>
      </c>
      <c r="AK410" s="1">
        <v>1844.0</v>
      </c>
      <c r="AL410" s="1">
        <v>53.0</v>
      </c>
      <c r="AM410" s="1">
        <v>0.0</v>
      </c>
      <c r="AN410" s="1">
        <v>0.0</v>
      </c>
      <c r="AO410" s="1">
        <v>117.0</v>
      </c>
      <c r="AP410" s="1">
        <v>32.0</v>
      </c>
      <c r="AQ410" s="1">
        <v>1.0</v>
      </c>
    </row>
    <row r="411">
      <c r="A411" s="1"/>
      <c r="B411" s="1">
        <v>311.0</v>
      </c>
      <c r="C411" s="1" t="s">
        <v>4027</v>
      </c>
      <c r="D411" s="1" t="s">
        <v>4028</v>
      </c>
      <c r="E411" s="1" t="s">
        <v>4029</v>
      </c>
      <c r="F411" s="1" t="s">
        <v>43</v>
      </c>
      <c r="G411" s="2">
        <v>20159.0</v>
      </c>
      <c r="H411" s="1" t="s">
        <v>1663</v>
      </c>
      <c r="I411" s="1">
        <v>15.0</v>
      </c>
      <c r="J411" s="1" t="s">
        <v>1664</v>
      </c>
      <c r="K411" s="1">
        <v>2.0</v>
      </c>
      <c r="L411" s="2">
        <v>42907.0</v>
      </c>
      <c r="O411" s="1">
        <v>0.0</v>
      </c>
      <c r="P411" s="1" t="s">
        <v>61</v>
      </c>
      <c r="Q411" s="1" t="s">
        <v>62</v>
      </c>
      <c r="U411" s="1" t="s">
        <v>4030</v>
      </c>
      <c r="V411" s="1">
        <v>2.0</v>
      </c>
      <c r="W411" s="3" t="s">
        <v>4031</v>
      </c>
      <c r="X411" s="1">
        <v>266793.0</v>
      </c>
      <c r="Y411" s="1" t="s">
        <v>4032</v>
      </c>
      <c r="Z411" s="3" t="s">
        <v>4033</v>
      </c>
      <c r="AA411" s="3" t="s">
        <v>4034</v>
      </c>
      <c r="AB411" s="1">
        <v>2.0</v>
      </c>
      <c r="AD411" s="1">
        <v>18.0</v>
      </c>
      <c r="AE411" s="1">
        <f t="shared" si="5"/>
        <v>434</v>
      </c>
      <c r="AF411" s="1">
        <v>24.0</v>
      </c>
      <c r="AG411" s="1">
        <v>7.0</v>
      </c>
      <c r="AH411" s="1">
        <v>11.0</v>
      </c>
      <c r="AI411" s="1">
        <v>11.0</v>
      </c>
      <c r="AJ411" s="1">
        <v>6.0</v>
      </c>
      <c r="AK411" s="1">
        <v>634.0</v>
      </c>
      <c r="AL411" s="1">
        <v>24.0</v>
      </c>
      <c r="AM411" s="1">
        <v>0.0</v>
      </c>
      <c r="AN411" s="1">
        <v>0.0</v>
      </c>
      <c r="AO411" s="1">
        <v>43.0</v>
      </c>
      <c r="AP411" s="1">
        <v>20.0</v>
      </c>
      <c r="AQ411" s="1">
        <v>4.0</v>
      </c>
    </row>
    <row r="412">
      <c r="A412" s="1"/>
      <c r="B412" s="1">
        <v>445.0</v>
      </c>
      <c r="C412" s="1" t="s">
        <v>4035</v>
      </c>
      <c r="D412" s="1" t="s">
        <v>1622</v>
      </c>
      <c r="E412" s="1" t="s">
        <v>629</v>
      </c>
      <c r="F412" s="1" t="s">
        <v>58</v>
      </c>
      <c r="G412" s="2">
        <v>22808.0</v>
      </c>
      <c r="H412" s="1" t="s">
        <v>2335</v>
      </c>
      <c r="I412" s="1">
        <v>13.0</v>
      </c>
      <c r="J412" s="1" t="s">
        <v>279</v>
      </c>
      <c r="K412" s="1">
        <v>1.0</v>
      </c>
      <c r="L412" s="2">
        <v>42907.0</v>
      </c>
      <c r="O412" s="1">
        <v>0.0</v>
      </c>
      <c r="P412" s="1" t="s">
        <v>61</v>
      </c>
      <c r="Q412" s="1" t="s">
        <v>62</v>
      </c>
      <c r="R412" s="1" t="s">
        <v>4036</v>
      </c>
      <c r="U412" s="1" t="s">
        <v>4037</v>
      </c>
      <c r="V412" s="1">
        <v>82.0</v>
      </c>
      <c r="W412" s="3" t="s">
        <v>4038</v>
      </c>
      <c r="X412" s="1">
        <v>330684.0</v>
      </c>
      <c r="Y412" s="1" t="s">
        <v>4039</v>
      </c>
      <c r="Z412" s="3" t="s">
        <v>4040</v>
      </c>
      <c r="AA412" s="3" t="s">
        <v>4041</v>
      </c>
      <c r="AB412" s="1">
        <v>3.0</v>
      </c>
      <c r="AC412" s="1" t="s">
        <v>4042</v>
      </c>
      <c r="AD412" s="1">
        <v>18.0</v>
      </c>
      <c r="AE412" s="1">
        <f t="shared" si="5"/>
        <v>434</v>
      </c>
      <c r="AF412" s="1">
        <v>19.0</v>
      </c>
      <c r="AG412" s="1">
        <v>8.0</v>
      </c>
      <c r="AH412" s="1">
        <v>43.0</v>
      </c>
      <c r="AI412" s="1">
        <v>70.0</v>
      </c>
      <c r="AJ412" s="1">
        <v>38.0</v>
      </c>
      <c r="AK412" s="1">
        <v>1344.0</v>
      </c>
      <c r="AL412" s="1">
        <v>49.0</v>
      </c>
      <c r="AM412" s="1">
        <v>0.0</v>
      </c>
      <c r="AN412" s="1">
        <v>8.0</v>
      </c>
      <c r="AO412" s="1">
        <v>47.0</v>
      </c>
      <c r="AP412" s="1">
        <v>5.0</v>
      </c>
      <c r="AQ412" s="1">
        <v>1.0</v>
      </c>
    </row>
    <row r="413">
      <c r="A413" s="1"/>
      <c r="B413" s="1">
        <v>527.0</v>
      </c>
      <c r="C413" s="1" t="s">
        <v>4043</v>
      </c>
      <c r="D413" s="1" t="s">
        <v>4044</v>
      </c>
      <c r="E413" s="1" t="s">
        <v>4045</v>
      </c>
      <c r="F413" s="1" t="s">
        <v>43</v>
      </c>
      <c r="G413" s="2">
        <v>19486.0</v>
      </c>
      <c r="H413" s="1" t="s">
        <v>437</v>
      </c>
      <c r="I413" s="1">
        <v>94.0</v>
      </c>
      <c r="J413" s="1" t="s">
        <v>642</v>
      </c>
      <c r="K413" s="1">
        <v>7.0</v>
      </c>
      <c r="L413" s="2">
        <v>42907.0</v>
      </c>
      <c r="O413" s="1">
        <v>0.0</v>
      </c>
      <c r="P413" s="1" t="s">
        <v>75</v>
      </c>
      <c r="Q413" s="1" t="s">
        <v>76</v>
      </c>
      <c r="R413" s="1" t="s">
        <v>4046</v>
      </c>
      <c r="U413" s="1" t="s">
        <v>570</v>
      </c>
      <c r="V413" s="1">
        <v>454.0</v>
      </c>
      <c r="W413" s="3" t="s">
        <v>4047</v>
      </c>
      <c r="X413" s="1">
        <v>672.0</v>
      </c>
      <c r="Y413" s="1" t="s">
        <v>4048</v>
      </c>
      <c r="Z413" s="3" t="s">
        <v>4049</v>
      </c>
      <c r="AA413" s="3" t="s">
        <v>4050</v>
      </c>
      <c r="AB413" s="1">
        <v>2.0</v>
      </c>
      <c r="AC413" s="1" t="s">
        <v>4051</v>
      </c>
      <c r="AD413" s="1">
        <v>18.0</v>
      </c>
      <c r="AE413" s="1">
        <f t="shared" si="5"/>
        <v>434</v>
      </c>
      <c r="AF413" s="1">
        <v>35.0</v>
      </c>
      <c r="AG413" s="1">
        <v>146.0</v>
      </c>
      <c r="AH413" s="1">
        <v>5.0</v>
      </c>
      <c r="AI413" s="1">
        <v>15.0</v>
      </c>
      <c r="AJ413" s="1">
        <v>1.0</v>
      </c>
      <c r="AK413" s="1">
        <v>11.0</v>
      </c>
      <c r="AL413" s="1">
        <v>2.0</v>
      </c>
      <c r="AM413" s="1">
        <v>0.0</v>
      </c>
      <c r="AN413" s="1">
        <v>0.0</v>
      </c>
      <c r="AO413" s="1">
        <v>5.0</v>
      </c>
      <c r="AP413" s="1">
        <v>0.0</v>
      </c>
      <c r="AQ413" s="1">
        <v>1.0</v>
      </c>
    </row>
    <row r="414">
      <c r="A414" s="1"/>
      <c r="B414" s="1">
        <v>196.0</v>
      </c>
      <c r="C414" s="1" t="s">
        <v>4052</v>
      </c>
      <c r="D414" s="1" t="s">
        <v>4053</v>
      </c>
      <c r="E414" s="1" t="s">
        <v>4054</v>
      </c>
      <c r="F414" s="1" t="s">
        <v>58</v>
      </c>
      <c r="G414" s="2">
        <v>29893.0</v>
      </c>
      <c r="H414" s="1" t="s">
        <v>1273</v>
      </c>
      <c r="I414" s="1">
        <v>69.0</v>
      </c>
      <c r="J414" s="1" t="s">
        <v>1363</v>
      </c>
      <c r="K414" s="1">
        <v>5.0</v>
      </c>
      <c r="L414" s="2">
        <v>42907.0</v>
      </c>
      <c r="O414" s="1">
        <v>0.0</v>
      </c>
      <c r="P414" s="1" t="s">
        <v>75</v>
      </c>
      <c r="Q414" s="1" t="s">
        <v>76</v>
      </c>
      <c r="R414" s="1" t="s">
        <v>4055</v>
      </c>
      <c r="U414" s="1" t="s">
        <v>450</v>
      </c>
      <c r="V414" s="1">
        <v>323.0</v>
      </c>
      <c r="W414" s="3" t="s">
        <v>4056</v>
      </c>
      <c r="X414" s="1">
        <v>721336.0</v>
      </c>
      <c r="Y414" s="1" t="s">
        <v>4057</v>
      </c>
      <c r="Z414" s="3" t="s">
        <v>4058</v>
      </c>
      <c r="AA414" s="3" t="s">
        <v>4059</v>
      </c>
      <c r="AB414" s="1">
        <v>1.0</v>
      </c>
      <c r="AC414" s="1" t="s">
        <v>4060</v>
      </c>
      <c r="AD414" s="1">
        <v>18.0</v>
      </c>
      <c r="AE414" s="1">
        <f t="shared" si="5"/>
        <v>434</v>
      </c>
      <c r="AF414" s="1">
        <v>27.0</v>
      </c>
      <c r="AG414" s="1">
        <v>12.0</v>
      </c>
      <c r="AH414" s="1">
        <v>16.0</v>
      </c>
      <c r="AI414" s="1">
        <v>3.0</v>
      </c>
      <c r="AJ414" s="1">
        <v>17.0</v>
      </c>
      <c r="AK414" s="1">
        <v>73.0</v>
      </c>
      <c r="AL414" s="1">
        <v>24.0</v>
      </c>
      <c r="AM414" s="1">
        <v>0.0</v>
      </c>
      <c r="AN414" s="1">
        <v>0.0</v>
      </c>
      <c r="AO414" s="1">
        <v>5.0</v>
      </c>
      <c r="AP414" s="1">
        <v>5.0</v>
      </c>
      <c r="AQ414" s="1">
        <v>0.0</v>
      </c>
    </row>
    <row r="415">
      <c r="A415" s="1"/>
      <c r="B415" s="1">
        <v>207.0</v>
      </c>
      <c r="C415" s="1" t="s">
        <v>4061</v>
      </c>
      <c r="D415" s="1" t="s">
        <v>4062</v>
      </c>
      <c r="E415" s="1" t="s">
        <v>1801</v>
      </c>
      <c r="F415" s="1" t="s">
        <v>43</v>
      </c>
      <c r="G415" s="2">
        <v>21340.0</v>
      </c>
      <c r="H415" s="1" t="s">
        <v>1500</v>
      </c>
      <c r="I415" s="1">
        <v>68.0</v>
      </c>
      <c r="J415" s="1" t="s">
        <v>1501</v>
      </c>
      <c r="K415" s="1">
        <v>2.0</v>
      </c>
      <c r="L415" s="2">
        <v>42907.0</v>
      </c>
      <c r="O415" s="1">
        <v>0.0</v>
      </c>
      <c r="P415" s="1" t="s">
        <v>61</v>
      </c>
      <c r="Q415" s="1" t="s">
        <v>62</v>
      </c>
      <c r="R415" s="1" t="s">
        <v>4063</v>
      </c>
      <c r="U415" s="1" t="s">
        <v>4064</v>
      </c>
      <c r="V415" s="1">
        <v>73.0</v>
      </c>
      <c r="W415" s="3" t="s">
        <v>4065</v>
      </c>
      <c r="X415" s="1">
        <v>767.0</v>
      </c>
      <c r="Y415" s="1" t="s">
        <v>4066</v>
      </c>
      <c r="Z415" s="3" t="s">
        <v>4067</v>
      </c>
      <c r="AA415" s="3" t="s">
        <v>4068</v>
      </c>
      <c r="AB415" s="1">
        <v>1.0</v>
      </c>
      <c r="AC415" s="1" t="s">
        <v>4069</v>
      </c>
      <c r="AD415" s="1">
        <v>18.0</v>
      </c>
      <c r="AE415" s="1">
        <f t="shared" si="5"/>
        <v>434</v>
      </c>
      <c r="AF415" s="1">
        <v>21.0</v>
      </c>
      <c r="AG415" s="1">
        <v>6.0</v>
      </c>
      <c r="AH415" s="1">
        <v>5.0</v>
      </c>
      <c r="AI415" s="1">
        <v>1.0</v>
      </c>
      <c r="AJ415" s="1">
        <v>13.0</v>
      </c>
      <c r="AK415" s="1">
        <v>1077.0</v>
      </c>
      <c r="AL415" s="1">
        <v>35.0</v>
      </c>
      <c r="AM415" s="1">
        <v>0.0</v>
      </c>
      <c r="AN415" s="1">
        <v>2.0</v>
      </c>
      <c r="AO415" s="1">
        <v>98.0</v>
      </c>
      <c r="AP415" s="1">
        <v>34.0</v>
      </c>
      <c r="AQ415" s="1">
        <v>1.0</v>
      </c>
    </row>
    <row r="416">
      <c r="A416" s="1"/>
      <c r="B416" s="1">
        <v>318.0</v>
      </c>
      <c r="C416" s="1" t="s">
        <v>4070</v>
      </c>
      <c r="D416" s="1" t="s">
        <v>4071</v>
      </c>
      <c r="E416" s="1" t="s">
        <v>1822</v>
      </c>
      <c r="F416" s="1" t="s">
        <v>43</v>
      </c>
      <c r="G416" s="2">
        <v>31501.0</v>
      </c>
      <c r="H416" s="1" t="s">
        <v>4072</v>
      </c>
      <c r="I416" s="1">
        <v>79.0</v>
      </c>
      <c r="J416" s="1" t="s">
        <v>2228</v>
      </c>
      <c r="K416" s="1">
        <v>1.0</v>
      </c>
      <c r="L416" s="2">
        <v>42907.0</v>
      </c>
      <c r="O416" s="1">
        <v>0.0</v>
      </c>
      <c r="P416" s="1" t="s">
        <v>75</v>
      </c>
      <c r="Q416" s="1" t="s">
        <v>76</v>
      </c>
      <c r="R416" s="1" t="s">
        <v>4073</v>
      </c>
      <c r="U416" s="1" t="s">
        <v>162</v>
      </c>
      <c r="V416" s="1">
        <v>616.0</v>
      </c>
      <c r="W416" s="3" t="s">
        <v>4074</v>
      </c>
      <c r="X416" s="1">
        <v>722126.0</v>
      </c>
      <c r="Y416" s="1" t="s">
        <v>4075</v>
      </c>
      <c r="Z416" s="3" t="s">
        <v>4076</v>
      </c>
      <c r="AA416" s="3" t="s">
        <v>4077</v>
      </c>
      <c r="AB416" s="1">
        <v>1.0</v>
      </c>
      <c r="AC416" s="1" t="s">
        <v>4078</v>
      </c>
      <c r="AD416" s="1">
        <v>18.0</v>
      </c>
      <c r="AE416" s="1">
        <f t="shared" si="5"/>
        <v>434</v>
      </c>
      <c r="AF416" s="1">
        <v>27.0</v>
      </c>
      <c r="AG416" s="1">
        <v>9.0</v>
      </c>
      <c r="AH416" s="1">
        <v>17.0</v>
      </c>
      <c r="AI416" s="1">
        <v>6.0</v>
      </c>
      <c r="AJ416" s="1">
        <v>3.0</v>
      </c>
      <c r="AK416" s="1">
        <v>55.0</v>
      </c>
      <c r="AL416" s="1">
        <v>25.0</v>
      </c>
      <c r="AM416" s="1">
        <v>0.0</v>
      </c>
      <c r="AN416" s="1">
        <v>0.0</v>
      </c>
      <c r="AO416" s="1">
        <v>5.0</v>
      </c>
      <c r="AP416" s="1">
        <v>1.0</v>
      </c>
      <c r="AQ416" s="1">
        <v>0.0</v>
      </c>
    </row>
    <row r="417">
      <c r="A417" s="1"/>
      <c r="B417" s="1">
        <v>278.0</v>
      </c>
      <c r="C417" s="1" t="s">
        <v>4079</v>
      </c>
      <c r="D417" s="1" t="s">
        <v>4080</v>
      </c>
      <c r="E417" s="1" t="s">
        <v>4081</v>
      </c>
      <c r="F417" s="1" t="s">
        <v>58</v>
      </c>
      <c r="G417" s="2">
        <v>26154.0</v>
      </c>
      <c r="H417" s="1" t="s">
        <v>4082</v>
      </c>
      <c r="I417" s="1">
        <v>37.0</v>
      </c>
      <c r="J417" s="1" t="s">
        <v>547</v>
      </c>
      <c r="K417" s="1">
        <v>4.0</v>
      </c>
      <c r="L417" s="2">
        <v>42907.0</v>
      </c>
      <c r="O417" s="1">
        <v>0.0</v>
      </c>
      <c r="P417" s="1" t="s">
        <v>75</v>
      </c>
      <c r="Q417" s="1" t="s">
        <v>76</v>
      </c>
      <c r="R417" s="1" t="s">
        <v>4083</v>
      </c>
      <c r="U417" s="1" t="s">
        <v>198</v>
      </c>
      <c r="V417" s="1">
        <v>538.0</v>
      </c>
      <c r="W417" s="3" t="s">
        <v>4084</v>
      </c>
      <c r="X417" s="1">
        <v>719814.0</v>
      </c>
      <c r="Y417" s="1" t="s">
        <v>4085</v>
      </c>
      <c r="Z417" s="3" t="s">
        <v>4086</v>
      </c>
      <c r="AA417" s="3" t="s">
        <v>4087</v>
      </c>
      <c r="AB417" s="1">
        <v>1.0</v>
      </c>
      <c r="AC417" s="1" t="s">
        <v>4088</v>
      </c>
      <c r="AD417" s="1">
        <v>18.0</v>
      </c>
      <c r="AE417" s="1">
        <f t="shared" si="5"/>
        <v>434</v>
      </c>
      <c r="AF417" s="1">
        <v>28.0</v>
      </c>
      <c r="AG417" s="1">
        <v>10.0</v>
      </c>
      <c r="AH417" s="1">
        <v>4.0</v>
      </c>
      <c r="AI417" s="1">
        <v>2.0</v>
      </c>
      <c r="AJ417" s="1">
        <v>1.0</v>
      </c>
      <c r="AK417" s="1">
        <v>59.0</v>
      </c>
      <c r="AL417" s="1">
        <v>15.0</v>
      </c>
      <c r="AM417" s="1">
        <v>0.0</v>
      </c>
      <c r="AN417" s="1">
        <v>0.0</v>
      </c>
      <c r="AO417" s="1">
        <v>5.0</v>
      </c>
      <c r="AP417" s="1">
        <v>2.0</v>
      </c>
      <c r="AQ417" s="1">
        <v>1.0</v>
      </c>
    </row>
    <row r="418">
      <c r="A418" s="1"/>
      <c r="B418" s="1">
        <v>420.0</v>
      </c>
      <c r="C418" s="1" t="s">
        <v>4089</v>
      </c>
      <c r="D418" s="1" t="s">
        <v>4090</v>
      </c>
      <c r="E418" s="1" t="s">
        <v>137</v>
      </c>
      <c r="F418" s="1" t="s">
        <v>43</v>
      </c>
      <c r="G418" s="2">
        <v>17568.0</v>
      </c>
      <c r="H418" s="1" t="s">
        <v>4091</v>
      </c>
      <c r="I418" s="1">
        <v>24.0</v>
      </c>
      <c r="J418" s="1" t="s">
        <v>2327</v>
      </c>
      <c r="K418" s="1">
        <v>3.0</v>
      </c>
      <c r="L418" s="2">
        <v>42907.0</v>
      </c>
      <c r="O418" s="1">
        <v>0.0</v>
      </c>
      <c r="P418" s="1" t="s">
        <v>280</v>
      </c>
      <c r="Q418" s="1" t="s">
        <v>281</v>
      </c>
      <c r="R418" s="3" t="s">
        <v>4092</v>
      </c>
      <c r="U418" s="1" t="s">
        <v>4093</v>
      </c>
      <c r="V418" s="1">
        <v>169.0</v>
      </c>
      <c r="W418" s="3" t="s">
        <v>4094</v>
      </c>
      <c r="X418" s="1">
        <v>719266.0</v>
      </c>
      <c r="Y418" s="1" t="s">
        <v>4095</v>
      </c>
      <c r="Z418" s="3" t="s">
        <v>4096</v>
      </c>
      <c r="AA418" s="3" t="s">
        <v>4097</v>
      </c>
      <c r="AB418" s="1">
        <v>2.0</v>
      </c>
      <c r="AD418" s="1">
        <v>18.0</v>
      </c>
      <c r="AE418" s="1">
        <f t="shared" si="5"/>
        <v>434</v>
      </c>
      <c r="AF418" s="1">
        <v>33.0</v>
      </c>
      <c r="AG418" s="1">
        <v>14.0</v>
      </c>
      <c r="AH418" s="1">
        <v>8.0</v>
      </c>
      <c r="AI418" s="1">
        <v>3.0</v>
      </c>
      <c r="AJ418" s="1">
        <v>2.0</v>
      </c>
      <c r="AK418" s="1">
        <v>190.0</v>
      </c>
      <c r="AL418" s="1">
        <v>16.0</v>
      </c>
      <c r="AM418" s="1">
        <v>0.0</v>
      </c>
      <c r="AN418" s="1">
        <v>0.0</v>
      </c>
      <c r="AO418" s="1">
        <v>6.0</v>
      </c>
      <c r="AP418" s="1">
        <v>11.0</v>
      </c>
      <c r="AQ418" s="1">
        <v>2.0</v>
      </c>
    </row>
    <row r="419">
      <c r="A419" s="1"/>
      <c r="B419" s="1">
        <v>457.0</v>
      </c>
      <c r="C419" s="1" t="s">
        <v>4098</v>
      </c>
      <c r="D419" s="1" t="s">
        <v>943</v>
      </c>
      <c r="E419" s="1" t="s">
        <v>4099</v>
      </c>
      <c r="F419" s="1" t="s">
        <v>43</v>
      </c>
      <c r="G419" s="2">
        <v>20615.0</v>
      </c>
      <c r="H419" s="1" t="s">
        <v>4100</v>
      </c>
      <c r="I419" s="1">
        <v>21.0</v>
      </c>
      <c r="J419" s="1" t="s">
        <v>1220</v>
      </c>
      <c r="K419" s="1">
        <v>2.0</v>
      </c>
      <c r="L419" s="2">
        <v>42907.0</v>
      </c>
      <c r="O419" s="1">
        <v>0.0</v>
      </c>
      <c r="P419" s="1" t="s">
        <v>61</v>
      </c>
      <c r="Q419" s="1" t="s">
        <v>62</v>
      </c>
      <c r="U419" s="1" t="s">
        <v>1067</v>
      </c>
      <c r="V419" s="1">
        <v>117.0</v>
      </c>
      <c r="W419" s="3" t="s">
        <v>4101</v>
      </c>
      <c r="X419" s="1">
        <v>267450.0</v>
      </c>
      <c r="Y419" s="1" t="s">
        <v>4102</v>
      </c>
      <c r="Z419" s="3" t="s">
        <v>4103</v>
      </c>
      <c r="AA419" s="3" t="s">
        <v>4104</v>
      </c>
      <c r="AB419" s="1">
        <v>1.0</v>
      </c>
      <c r="AD419" s="1">
        <v>18.0</v>
      </c>
      <c r="AE419" s="1">
        <f t="shared" si="5"/>
        <v>434</v>
      </c>
      <c r="AF419" s="1">
        <v>27.0</v>
      </c>
      <c r="AG419" s="1">
        <v>12.0</v>
      </c>
      <c r="AH419" s="1">
        <v>2.0</v>
      </c>
      <c r="AI419" s="1">
        <v>1.0</v>
      </c>
      <c r="AJ419" s="1">
        <v>4.0</v>
      </c>
      <c r="AK419" s="1">
        <v>479.0</v>
      </c>
      <c r="AL419" s="1">
        <v>18.0</v>
      </c>
      <c r="AM419" s="1">
        <v>0.0</v>
      </c>
      <c r="AN419" s="1">
        <v>1.0</v>
      </c>
      <c r="AO419" s="1">
        <v>37.0</v>
      </c>
      <c r="AP419" s="1">
        <v>6.0</v>
      </c>
      <c r="AQ419" s="1">
        <v>0.0</v>
      </c>
    </row>
    <row r="420">
      <c r="A420" s="1"/>
      <c r="B420" s="1">
        <v>566.0</v>
      </c>
      <c r="C420" s="1" t="s">
        <v>4105</v>
      </c>
      <c r="D420" s="1" t="s">
        <v>4106</v>
      </c>
      <c r="E420" s="1" t="s">
        <v>522</v>
      </c>
      <c r="F420" s="1" t="s">
        <v>43</v>
      </c>
      <c r="G420" s="2">
        <v>23573.0</v>
      </c>
      <c r="H420" s="1" t="s">
        <v>4107</v>
      </c>
      <c r="I420" s="1">
        <v>59.0</v>
      </c>
      <c r="J420" s="1" t="s">
        <v>172</v>
      </c>
      <c r="K420" s="1">
        <v>3.0</v>
      </c>
      <c r="L420" s="2">
        <v>42907.0</v>
      </c>
      <c r="O420" s="1">
        <v>0.0</v>
      </c>
      <c r="P420" s="1" t="s">
        <v>75</v>
      </c>
      <c r="Q420" s="1" t="s">
        <v>76</v>
      </c>
      <c r="R420" s="3" t="s">
        <v>4108</v>
      </c>
      <c r="U420" s="1" t="s">
        <v>1592</v>
      </c>
      <c r="V420" s="1">
        <v>553.0</v>
      </c>
      <c r="W420" s="3" t="s">
        <v>4109</v>
      </c>
      <c r="X420" s="1">
        <v>720438.0</v>
      </c>
      <c r="Y420" s="1" t="s">
        <v>4110</v>
      </c>
      <c r="Z420" s="3" t="s">
        <v>4111</v>
      </c>
      <c r="AA420" s="3" t="s">
        <v>4112</v>
      </c>
      <c r="AB420" s="1">
        <v>2.0</v>
      </c>
      <c r="AC420" s="1" t="s">
        <v>4113</v>
      </c>
      <c r="AD420" s="1">
        <v>18.0</v>
      </c>
      <c r="AE420" s="1">
        <f t="shared" si="5"/>
        <v>434</v>
      </c>
      <c r="AF420" s="1">
        <v>30.0</v>
      </c>
      <c r="AG420" s="1">
        <v>9.0</v>
      </c>
      <c r="AH420" s="1">
        <v>0.0</v>
      </c>
      <c r="AI420" s="1">
        <v>0.0</v>
      </c>
      <c r="AJ420" s="1">
        <v>0.0</v>
      </c>
      <c r="AK420" s="1">
        <v>20.0</v>
      </c>
      <c r="AL420" s="1">
        <v>8.0</v>
      </c>
      <c r="AM420" s="1">
        <v>3.0</v>
      </c>
      <c r="AN420" s="1">
        <v>0.0</v>
      </c>
      <c r="AO420" s="1">
        <v>6.0</v>
      </c>
      <c r="AP420" s="1">
        <v>0.0</v>
      </c>
      <c r="AQ420" s="1">
        <v>0.0</v>
      </c>
    </row>
    <row r="421">
      <c r="A421" s="1"/>
      <c r="B421" s="1">
        <v>8.0</v>
      </c>
      <c r="C421" s="1" t="s">
        <v>4114</v>
      </c>
      <c r="D421" s="1" t="s">
        <v>4115</v>
      </c>
      <c r="E421" s="1" t="s">
        <v>905</v>
      </c>
      <c r="F421" s="1" t="s">
        <v>43</v>
      </c>
      <c r="G421" s="2">
        <v>25068.0</v>
      </c>
      <c r="H421" s="1" t="s">
        <v>4116</v>
      </c>
      <c r="I421" s="1">
        <v>77.0</v>
      </c>
      <c r="J421" s="1" t="s">
        <v>503</v>
      </c>
      <c r="K421" s="1">
        <v>11.0</v>
      </c>
      <c r="L421" s="2">
        <v>42907.0</v>
      </c>
      <c r="O421" s="1">
        <v>0.0</v>
      </c>
      <c r="P421" s="1" t="s">
        <v>115</v>
      </c>
      <c r="Q421" s="1" t="s">
        <v>116</v>
      </c>
      <c r="R421" s="1" t="s">
        <v>4117</v>
      </c>
      <c r="U421" s="1" t="s">
        <v>234</v>
      </c>
      <c r="V421" s="1">
        <v>499.0</v>
      </c>
      <c r="W421" s="3" t="s">
        <v>4118</v>
      </c>
      <c r="X421" s="1">
        <v>609332.0</v>
      </c>
      <c r="Y421" s="1" t="s">
        <v>4119</v>
      </c>
      <c r="Z421" s="3" t="s">
        <v>4120</v>
      </c>
      <c r="AA421" s="3" t="s">
        <v>4121</v>
      </c>
      <c r="AB421" s="1">
        <v>1.0</v>
      </c>
      <c r="AC421" s="1" t="s">
        <v>4122</v>
      </c>
      <c r="AD421" s="1">
        <v>18.0</v>
      </c>
      <c r="AE421" s="1">
        <f t="shared" si="5"/>
        <v>434</v>
      </c>
      <c r="AF421" s="1">
        <v>8.0</v>
      </c>
      <c r="AG421" s="1">
        <v>3.0</v>
      </c>
      <c r="AH421" s="1">
        <v>216.0</v>
      </c>
      <c r="AI421" s="1">
        <v>236.0</v>
      </c>
      <c r="AJ421" s="1">
        <v>60.0</v>
      </c>
      <c r="AK421" s="1">
        <v>1035.0</v>
      </c>
      <c r="AL421" s="1">
        <v>71.0</v>
      </c>
      <c r="AM421" s="1">
        <v>0.0</v>
      </c>
      <c r="AN421" s="1">
        <v>4.0</v>
      </c>
      <c r="AO421" s="1">
        <v>7.0</v>
      </c>
      <c r="AP421" s="1">
        <v>2.0</v>
      </c>
      <c r="AQ421" s="1">
        <v>2.0</v>
      </c>
    </row>
    <row r="422">
      <c r="A422" s="1"/>
      <c r="B422" s="1">
        <v>439.0</v>
      </c>
      <c r="C422" s="1" t="s">
        <v>4123</v>
      </c>
      <c r="D422" s="1" t="s">
        <v>4124</v>
      </c>
      <c r="E422" s="1" t="s">
        <v>4125</v>
      </c>
      <c r="F422" s="1" t="s">
        <v>58</v>
      </c>
      <c r="G422" s="2">
        <v>30927.0</v>
      </c>
      <c r="H422" s="1" t="s">
        <v>4126</v>
      </c>
      <c r="I422" s="1">
        <v>42.0</v>
      </c>
      <c r="J422" s="1" t="s">
        <v>536</v>
      </c>
      <c r="K422" s="1">
        <v>3.0</v>
      </c>
      <c r="L422" s="2">
        <v>42907.0</v>
      </c>
      <c r="O422" s="1">
        <v>0.0</v>
      </c>
      <c r="P422" s="1" t="s">
        <v>75</v>
      </c>
      <c r="Q422" s="1" t="s">
        <v>76</v>
      </c>
      <c r="R422" s="1" t="s">
        <v>4127</v>
      </c>
      <c r="U422" s="1" t="s">
        <v>4128</v>
      </c>
      <c r="V422" s="1">
        <v>552.0</v>
      </c>
      <c r="W422" s="3" t="s">
        <v>4129</v>
      </c>
      <c r="X422" s="1">
        <v>719960.0</v>
      </c>
      <c r="Y422" s="1" t="s">
        <v>4130</v>
      </c>
      <c r="Z422" s="3" t="s">
        <v>4131</v>
      </c>
      <c r="AA422" s="3" t="s">
        <v>4132</v>
      </c>
      <c r="AB422" s="1">
        <v>1.0</v>
      </c>
      <c r="AC422" s="1" t="s">
        <v>4133</v>
      </c>
      <c r="AD422" s="1">
        <v>18.0</v>
      </c>
      <c r="AE422" s="1">
        <f t="shared" si="5"/>
        <v>434</v>
      </c>
      <c r="AF422" s="1">
        <v>25.0</v>
      </c>
      <c r="AG422" s="1">
        <v>3.0</v>
      </c>
      <c r="AH422" s="1">
        <v>0.0</v>
      </c>
      <c r="AI422" s="1">
        <v>0.0</v>
      </c>
      <c r="AJ422" s="1">
        <v>2.0</v>
      </c>
      <c r="AK422" s="1">
        <v>51.0</v>
      </c>
      <c r="AL422" s="1">
        <v>28.0</v>
      </c>
      <c r="AM422" s="1">
        <v>0.0</v>
      </c>
      <c r="AN422" s="1">
        <v>0.0</v>
      </c>
      <c r="AO422" s="1">
        <v>5.0</v>
      </c>
      <c r="AP422" s="1">
        <v>1.0</v>
      </c>
      <c r="AQ422" s="1">
        <v>0.0</v>
      </c>
    </row>
    <row r="423">
      <c r="A423" s="1"/>
      <c r="B423" s="1">
        <v>256.0</v>
      </c>
      <c r="C423" s="1" t="s">
        <v>4134</v>
      </c>
      <c r="D423" s="1" t="s">
        <v>4135</v>
      </c>
      <c r="E423" s="1" t="s">
        <v>1782</v>
      </c>
      <c r="F423" s="1" t="s">
        <v>43</v>
      </c>
      <c r="G423" s="2">
        <v>21409.0</v>
      </c>
      <c r="H423" s="1" t="s">
        <v>4136</v>
      </c>
      <c r="I423" s="1">
        <v>53.0</v>
      </c>
      <c r="J423" s="1" t="s">
        <v>2900</v>
      </c>
      <c r="K423" s="1">
        <v>3.0</v>
      </c>
      <c r="L423" s="2">
        <v>42907.0</v>
      </c>
      <c r="O423" s="1">
        <v>0.0</v>
      </c>
      <c r="P423" s="1" t="s">
        <v>46</v>
      </c>
      <c r="Q423" s="1" t="s">
        <v>47</v>
      </c>
      <c r="R423" s="1" t="s">
        <v>4137</v>
      </c>
      <c r="U423" s="1" t="s">
        <v>4138</v>
      </c>
      <c r="V423" s="1">
        <v>112.0</v>
      </c>
      <c r="W423" s="3" t="s">
        <v>4139</v>
      </c>
      <c r="X423" s="1">
        <v>267042.0</v>
      </c>
      <c r="Y423" s="1" t="s">
        <v>4140</v>
      </c>
      <c r="Z423" s="3" t="s">
        <v>4141</v>
      </c>
      <c r="AA423" s="3" t="s">
        <v>4142</v>
      </c>
      <c r="AB423" s="1">
        <v>1.0</v>
      </c>
      <c r="AC423" s="1" t="s">
        <v>4143</v>
      </c>
      <c r="AD423" s="1">
        <v>18.0</v>
      </c>
      <c r="AE423" s="1">
        <f t="shared" si="5"/>
        <v>434</v>
      </c>
      <c r="AF423" s="1">
        <v>35.0</v>
      </c>
      <c r="AG423" s="1">
        <v>36.0</v>
      </c>
      <c r="AH423" s="1">
        <v>17.0</v>
      </c>
      <c r="AI423" s="1">
        <v>95.0</v>
      </c>
      <c r="AJ423" s="1">
        <v>1.0</v>
      </c>
      <c r="AK423" s="1">
        <v>368.0</v>
      </c>
      <c r="AL423" s="1">
        <v>17.0</v>
      </c>
      <c r="AM423" s="1">
        <v>0.0</v>
      </c>
      <c r="AN423" s="1">
        <v>0.0</v>
      </c>
      <c r="AO423" s="1">
        <v>9.0</v>
      </c>
      <c r="AP423" s="1">
        <v>31.0</v>
      </c>
      <c r="AQ423" s="1">
        <v>3.0</v>
      </c>
    </row>
    <row r="424">
      <c r="A424" s="1"/>
      <c r="B424" s="1">
        <v>159.0</v>
      </c>
      <c r="C424" s="1" t="s">
        <v>4144</v>
      </c>
      <c r="D424" s="1" t="s">
        <v>4145</v>
      </c>
      <c r="E424" s="1" t="s">
        <v>4045</v>
      </c>
      <c r="F424" s="1" t="s">
        <v>43</v>
      </c>
      <c r="G424" s="2">
        <v>24639.0</v>
      </c>
      <c r="H424" s="1" t="s">
        <v>718</v>
      </c>
      <c r="I424" s="1" t="s">
        <v>4146</v>
      </c>
      <c r="J424" s="1" t="s">
        <v>4147</v>
      </c>
      <c r="K424" s="1">
        <v>1.0</v>
      </c>
      <c r="L424" s="2">
        <v>42907.0</v>
      </c>
      <c r="O424" s="1">
        <v>0.0</v>
      </c>
      <c r="P424" s="1" t="s">
        <v>61</v>
      </c>
      <c r="Q424" s="1" t="s">
        <v>62</v>
      </c>
      <c r="R424" s="1" t="s">
        <v>4148</v>
      </c>
      <c r="U424" s="1" t="s">
        <v>151</v>
      </c>
      <c r="V424" s="1">
        <v>18.0</v>
      </c>
      <c r="W424" s="3" t="s">
        <v>4149</v>
      </c>
      <c r="X424" s="1">
        <v>643103.0</v>
      </c>
      <c r="Y424" s="1" t="s">
        <v>4150</v>
      </c>
      <c r="Z424" s="3" t="s">
        <v>4151</v>
      </c>
      <c r="AA424" s="3" t="s">
        <v>4152</v>
      </c>
      <c r="AB424" s="1">
        <v>2.0</v>
      </c>
      <c r="AC424" s="1" t="s">
        <v>4153</v>
      </c>
      <c r="AD424" s="1">
        <v>18.0</v>
      </c>
      <c r="AE424" s="1">
        <f t="shared" si="5"/>
        <v>434</v>
      </c>
      <c r="AF424" s="1">
        <v>30.0</v>
      </c>
      <c r="AG424" s="1">
        <v>7.0</v>
      </c>
      <c r="AH424" s="1">
        <v>11.0</v>
      </c>
      <c r="AI424" s="1">
        <v>0.0</v>
      </c>
      <c r="AJ424" s="1">
        <v>2.0</v>
      </c>
      <c r="AK424" s="1">
        <v>301.0</v>
      </c>
      <c r="AL424" s="1">
        <v>18.0</v>
      </c>
      <c r="AM424" s="1">
        <v>1.0</v>
      </c>
      <c r="AN424" s="1">
        <v>0.0</v>
      </c>
      <c r="AO424" s="1">
        <v>27.0</v>
      </c>
      <c r="AP424" s="1">
        <v>4.0</v>
      </c>
      <c r="AQ424" s="1">
        <v>1.0</v>
      </c>
    </row>
    <row r="425">
      <c r="A425" s="1"/>
      <c r="B425" s="1">
        <v>411.0</v>
      </c>
      <c r="C425" s="1" t="s">
        <v>4154</v>
      </c>
      <c r="D425" s="1" t="s">
        <v>4155</v>
      </c>
      <c r="E425" s="1" t="s">
        <v>641</v>
      </c>
      <c r="F425" s="1" t="s">
        <v>43</v>
      </c>
      <c r="G425" s="2">
        <v>25719.0</v>
      </c>
      <c r="H425" s="1" t="s">
        <v>4156</v>
      </c>
      <c r="I425" s="1">
        <v>54.0</v>
      </c>
      <c r="J425" s="1" t="s">
        <v>160</v>
      </c>
      <c r="K425" s="1">
        <v>2.0</v>
      </c>
      <c r="L425" s="2">
        <v>42907.0</v>
      </c>
      <c r="O425" s="1">
        <v>0.0</v>
      </c>
      <c r="P425" s="1" t="s">
        <v>280</v>
      </c>
      <c r="Q425" s="1" t="s">
        <v>281</v>
      </c>
      <c r="R425" s="1" t="s">
        <v>4157</v>
      </c>
      <c r="U425" s="1" t="s">
        <v>827</v>
      </c>
      <c r="V425" s="1">
        <v>183.0</v>
      </c>
      <c r="W425" s="3" t="s">
        <v>4158</v>
      </c>
      <c r="X425" s="1">
        <v>720178.0</v>
      </c>
      <c r="Y425" s="1" t="s">
        <v>4159</v>
      </c>
      <c r="Z425" s="3" t="s">
        <v>4160</v>
      </c>
      <c r="AA425" s="3" t="s">
        <v>4161</v>
      </c>
      <c r="AB425" s="1">
        <v>2.0</v>
      </c>
      <c r="AC425" s="1" t="s">
        <v>4162</v>
      </c>
      <c r="AD425" s="1">
        <v>18.0</v>
      </c>
      <c r="AE425" s="1">
        <f t="shared" si="5"/>
        <v>434</v>
      </c>
      <c r="AF425" s="1">
        <v>31.0</v>
      </c>
      <c r="AG425" s="1">
        <v>13.0</v>
      </c>
      <c r="AH425" s="1">
        <v>3.0</v>
      </c>
      <c r="AI425" s="1">
        <v>1.0</v>
      </c>
      <c r="AJ425" s="1">
        <v>5.0</v>
      </c>
      <c r="AK425" s="1">
        <v>221.0</v>
      </c>
      <c r="AL425" s="1">
        <v>18.0</v>
      </c>
      <c r="AM425" s="1">
        <v>0.0</v>
      </c>
      <c r="AN425" s="1">
        <v>2.0</v>
      </c>
      <c r="AO425" s="1">
        <v>8.0</v>
      </c>
      <c r="AP425" s="1">
        <v>22.0</v>
      </c>
      <c r="AQ425" s="1">
        <v>2.0</v>
      </c>
    </row>
    <row r="426">
      <c r="A426" s="1"/>
      <c r="B426" s="1">
        <v>321.0</v>
      </c>
      <c r="C426" s="1" t="s">
        <v>4163</v>
      </c>
      <c r="D426" s="1" t="s">
        <v>4164</v>
      </c>
      <c r="E426" s="1" t="s">
        <v>1822</v>
      </c>
      <c r="F426" s="1" t="s">
        <v>43</v>
      </c>
      <c r="G426" s="2">
        <v>24256.0</v>
      </c>
      <c r="H426" s="1" t="s">
        <v>2899</v>
      </c>
      <c r="I426" s="1">
        <v>53.0</v>
      </c>
      <c r="J426" s="1" t="s">
        <v>2900</v>
      </c>
      <c r="K426" s="1">
        <v>1.0</v>
      </c>
      <c r="L426" s="2">
        <v>42907.0</v>
      </c>
      <c r="O426" s="1">
        <v>0.0</v>
      </c>
      <c r="P426" s="1" t="s">
        <v>115</v>
      </c>
      <c r="Q426" s="1" t="s">
        <v>116</v>
      </c>
      <c r="R426" s="1" t="s">
        <v>4165</v>
      </c>
      <c r="U426" s="1" t="s">
        <v>4166</v>
      </c>
      <c r="V426" s="1">
        <v>495.0</v>
      </c>
      <c r="W426" s="3" t="s">
        <v>4167</v>
      </c>
      <c r="X426" s="1">
        <v>333285.0</v>
      </c>
      <c r="Y426" s="1" t="s">
        <v>4168</v>
      </c>
      <c r="Z426" s="3" t="s">
        <v>4169</v>
      </c>
      <c r="AA426" s="3" t="s">
        <v>4170</v>
      </c>
      <c r="AB426" s="1">
        <v>1.0</v>
      </c>
      <c r="AC426" s="1" t="s">
        <v>4171</v>
      </c>
      <c r="AD426" s="1">
        <v>18.0</v>
      </c>
      <c r="AE426" s="1">
        <f t="shared" si="5"/>
        <v>434</v>
      </c>
      <c r="AF426" s="1">
        <v>21.0</v>
      </c>
      <c r="AG426" s="1">
        <v>37.0</v>
      </c>
      <c r="AH426" s="1">
        <v>47.0</v>
      </c>
      <c r="AI426" s="1">
        <v>53.0</v>
      </c>
      <c r="AJ426" s="1">
        <v>8.0</v>
      </c>
      <c r="AK426" s="1">
        <v>1156.0</v>
      </c>
      <c r="AL426" s="1">
        <v>86.0</v>
      </c>
      <c r="AM426" s="1">
        <v>1.0</v>
      </c>
      <c r="AN426" s="1">
        <v>0.0</v>
      </c>
      <c r="AO426" s="1">
        <v>5.0</v>
      </c>
      <c r="AP426" s="1">
        <v>13.0</v>
      </c>
      <c r="AQ426" s="1">
        <v>3.0</v>
      </c>
    </row>
    <row r="427">
      <c r="A427" s="1"/>
      <c r="B427" s="1">
        <v>585.0</v>
      </c>
      <c r="C427" s="1" t="s">
        <v>4172</v>
      </c>
      <c r="D427" s="1" t="s">
        <v>4173</v>
      </c>
      <c r="E427" s="1" t="s">
        <v>4174</v>
      </c>
      <c r="F427" s="1" t="s">
        <v>58</v>
      </c>
      <c r="G427" s="2">
        <v>25915.0</v>
      </c>
      <c r="H427" s="1" t="s">
        <v>4175</v>
      </c>
      <c r="I427" s="1">
        <v>27.0</v>
      </c>
      <c r="J427" s="1" t="s">
        <v>2698</v>
      </c>
      <c r="K427" s="1">
        <v>1.0</v>
      </c>
      <c r="L427" s="2">
        <v>42938.0</v>
      </c>
      <c r="O427" s="1">
        <v>0.0</v>
      </c>
      <c r="P427" s="1" t="s">
        <v>75</v>
      </c>
      <c r="Q427" s="1" t="s">
        <v>76</v>
      </c>
      <c r="R427" s="3" t="s">
        <v>4176</v>
      </c>
      <c r="U427" s="1" t="s">
        <v>4177</v>
      </c>
      <c r="V427" s="1">
        <v>365.0</v>
      </c>
      <c r="W427" s="3" t="s">
        <v>4178</v>
      </c>
      <c r="X427" s="1">
        <v>719326.0</v>
      </c>
      <c r="Y427" s="1" t="s">
        <v>4179</v>
      </c>
      <c r="Z427" s="3" t="s">
        <v>4180</v>
      </c>
      <c r="AA427" s="3" t="s">
        <v>4181</v>
      </c>
      <c r="AB427" s="1">
        <v>2.0</v>
      </c>
      <c r="AC427" s="1" t="s">
        <v>4182</v>
      </c>
      <c r="AD427" s="1">
        <v>18.0</v>
      </c>
      <c r="AE427" s="1">
        <f t="shared" si="5"/>
        <v>429</v>
      </c>
      <c r="AF427" s="1">
        <v>25.0</v>
      </c>
      <c r="AG427" s="1">
        <v>17.0</v>
      </c>
      <c r="AH427" s="1">
        <v>14.0</v>
      </c>
      <c r="AI427" s="1">
        <v>0.0</v>
      </c>
      <c r="AJ427" s="1">
        <v>3.0</v>
      </c>
      <c r="AK427" s="1">
        <v>20.0</v>
      </c>
      <c r="AL427" s="1">
        <v>2.0</v>
      </c>
      <c r="AM427" s="1">
        <v>0.0</v>
      </c>
      <c r="AN427" s="1">
        <v>0.0</v>
      </c>
      <c r="AO427" s="1">
        <v>5.0</v>
      </c>
      <c r="AP427" s="1">
        <v>29.0</v>
      </c>
      <c r="AQ427" s="1">
        <v>1.0</v>
      </c>
    </row>
    <row r="428">
      <c r="A428" s="1"/>
      <c r="B428" s="1">
        <v>509.0</v>
      </c>
      <c r="C428" s="1" t="s">
        <v>4183</v>
      </c>
      <c r="D428" s="1" t="s">
        <v>4184</v>
      </c>
      <c r="E428" s="1" t="s">
        <v>589</v>
      </c>
      <c r="F428" s="1" t="s">
        <v>43</v>
      </c>
      <c r="G428" s="2">
        <v>19688.0</v>
      </c>
      <c r="H428" s="1" t="s">
        <v>4185</v>
      </c>
      <c r="I428" s="1">
        <v>22.0</v>
      </c>
      <c r="J428" s="1" t="s">
        <v>1883</v>
      </c>
      <c r="K428" s="1">
        <v>1.0</v>
      </c>
      <c r="L428" s="2">
        <v>42907.0</v>
      </c>
      <c r="O428" s="1">
        <v>0.0</v>
      </c>
      <c r="P428" s="1" t="s">
        <v>280</v>
      </c>
      <c r="Q428" s="1" t="s">
        <v>281</v>
      </c>
      <c r="R428" s="1" t="s">
        <v>4186</v>
      </c>
      <c r="U428" s="1" t="s">
        <v>4187</v>
      </c>
      <c r="V428" s="1">
        <v>179.0</v>
      </c>
      <c r="W428" s="3" t="s">
        <v>4188</v>
      </c>
      <c r="X428" s="1">
        <v>719210.0</v>
      </c>
      <c r="Y428" s="1" t="s">
        <v>4189</v>
      </c>
      <c r="Z428" s="3" t="s">
        <v>4190</v>
      </c>
      <c r="AA428" s="3" t="s">
        <v>4191</v>
      </c>
      <c r="AB428" s="1">
        <v>2.0</v>
      </c>
      <c r="AC428" s="1" t="s">
        <v>4192</v>
      </c>
      <c r="AD428" s="1">
        <v>18.0</v>
      </c>
      <c r="AE428" s="1">
        <f t="shared" si="5"/>
        <v>434</v>
      </c>
      <c r="AF428" s="1">
        <v>30.0</v>
      </c>
      <c r="AG428" s="1">
        <v>6.0</v>
      </c>
      <c r="AH428" s="1">
        <v>5.0</v>
      </c>
      <c r="AI428" s="1">
        <v>4.0</v>
      </c>
      <c r="AJ428" s="1">
        <v>0.0</v>
      </c>
      <c r="AK428" s="1">
        <v>185.0</v>
      </c>
      <c r="AL428" s="1">
        <v>16.0</v>
      </c>
      <c r="AM428" s="1">
        <v>0.0</v>
      </c>
      <c r="AN428" s="1">
        <v>0.0</v>
      </c>
      <c r="AO428" s="1">
        <v>5.0</v>
      </c>
      <c r="AP428" s="1">
        <v>0.0</v>
      </c>
      <c r="AQ428" s="1">
        <v>2.0</v>
      </c>
    </row>
    <row r="429">
      <c r="A429" s="1"/>
      <c r="B429" s="1">
        <v>547.0</v>
      </c>
      <c r="C429" s="1" t="s">
        <v>4193</v>
      </c>
      <c r="D429" s="1" t="s">
        <v>4194</v>
      </c>
      <c r="E429" s="1" t="s">
        <v>4195</v>
      </c>
      <c r="F429" s="1" t="s">
        <v>58</v>
      </c>
      <c r="G429" s="2">
        <v>23785.0</v>
      </c>
      <c r="H429" s="1" t="s">
        <v>1893</v>
      </c>
      <c r="I429" s="1">
        <v>28.0</v>
      </c>
      <c r="J429" s="1" t="s">
        <v>45</v>
      </c>
      <c r="K429" s="1">
        <v>3.0</v>
      </c>
      <c r="L429" s="2">
        <v>42907.0</v>
      </c>
      <c r="O429" s="1">
        <v>0.0</v>
      </c>
      <c r="P429" s="1" t="s">
        <v>46</v>
      </c>
      <c r="Q429" s="1" t="s">
        <v>47</v>
      </c>
      <c r="R429" s="1" t="s">
        <v>4196</v>
      </c>
      <c r="U429" s="1" t="s">
        <v>2484</v>
      </c>
      <c r="V429" s="1">
        <v>133.0</v>
      </c>
      <c r="W429" s="3" t="s">
        <v>4197</v>
      </c>
      <c r="X429" s="1">
        <v>331567.0</v>
      </c>
      <c r="Y429" s="1" t="s">
        <v>4198</v>
      </c>
      <c r="Z429" s="3" t="s">
        <v>4199</v>
      </c>
      <c r="AA429" s="3" t="s">
        <v>4200</v>
      </c>
      <c r="AB429" s="1">
        <v>2.0</v>
      </c>
      <c r="AC429" s="1" t="s">
        <v>4201</v>
      </c>
      <c r="AD429" s="1">
        <v>18.0</v>
      </c>
      <c r="AE429" s="1">
        <f t="shared" si="5"/>
        <v>434</v>
      </c>
      <c r="AF429" s="1">
        <v>29.0</v>
      </c>
      <c r="AG429" s="1">
        <v>68.0</v>
      </c>
      <c r="AH429" s="1">
        <v>49.0</v>
      </c>
      <c r="AI429" s="1">
        <v>36.0</v>
      </c>
      <c r="AJ429" s="1">
        <v>114.0</v>
      </c>
      <c r="AK429" s="1">
        <v>454.0</v>
      </c>
      <c r="AL429" s="1">
        <v>33.0</v>
      </c>
      <c r="AM429" s="1">
        <v>1.0</v>
      </c>
      <c r="AN429" s="1">
        <v>0.0</v>
      </c>
      <c r="AO429" s="1">
        <v>20.0</v>
      </c>
      <c r="AP429" s="1">
        <v>12.0</v>
      </c>
      <c r="AQ429" s="1">
        <v>2.0</v>
      </c>
    </row>
    <row r="430">
      <c r="A430" s="1"/>
      <c r="B430" s="1">
        <v>149.0</v>
      </c>
      <c r="C430" s="1" t="s">
        <v>4202</v>
      </c>
      <c r="D430" s="1" t="s">
        <v>4203</v>
      </c>
      <c r="E430" s="1" t="s">
        <v>2816</v>
      </c>
      <c r="F430" s="1" t="s">
        <v>43</v>
      </c>
      <c r="G430" s="2">
        <v>20212.0</v>
      </c>
      <c r="H430" s="1" t="s">
        <v>4204</v>
      </c>
      <c r="I430" s="1">
        <v>64.0</v>
      </c>
      <c r="J430" s="1" t="s">
        <v>579</v>
      </c>
      <c r="K430" s="1">
        <v>4.0</v>
      </c>
      <c r="L430" s="2">
        <v>42907.0</v>
      </c>
      <c r="O430" s="1">
        <v>0.0</v>
      </c>
      <c r="P430" s="1" t="s">
        <v>814</v>
      </c>
      <c r="Q430" s="1" t="s">
        <v>815</v>
      </c>
      <c r="R430" s="1" t="s">
        <v>4205</v>
      </c>
      <c r="U430" s="1" t="s">
        <v>4206</v>
      </c>
      <c r="V430" s="1">
        <v>225.0</v>
      </c>
      <c r="W430" s="3" t="s">
        <v>4207</v>
      </c>
      <c r="X430" s="1">
        <v>1838.0</v>
      </c>
      <c r="Y430" s="1" t="s">
        <v>4208</v>
      </c>
      <c r="Z430" s="3" t="s">
        <v>4209</v>
      </c>
      <c r="AA430" s="3" t="s">
        <v>4210</v>
      </c>
      <c r="AB430" s="1">
        <v>1.0</v>
      </c>
      <c r="AC430" s="1" t="s">
        <v>4211</v>
      </c>
      <c r="AD430" s="1">
        <v>18.0</v>
      </c>
      <c r="AE430" s="1">
        <f t="shared" si="5"/>
        <v>434</v>
      </c>
      <c r="AF430" s="1">
        <v>16.0</v>
      </c>
      <c r="AG430" s="1">
        <v>7.0</v>
      </c>
      <c r="AH430" s="1">
        <v>65.0</v>
      </c>
      <c r="AI430" s="1">
        <v>127.0</v>
      </c>
      <c r="AJ430" s="1">
        <v>2.0</v>
      </c>
      <c r="AK430" s="1">
        <v>31.0</v>
      </c>
      <c r="AL430" s="1">
        <v>1.0</v>
      </c>
      <c r="AM430" s="1">
        <v>0.0</v>
      </c>
      <c r="AN430" s="1">
        <v>0.0</v>
      </c>
      <c r="AO430" s="1">
        <v>0.0</v>
      </c>
      <c r="AP430" s="1">
        <v>5.0</v>
      </c>
      <c r="AQ430" s="1">
        <v>1.0</v>
      </c>
    </row>
    <row r="431">
      <c r="A431" s="1"/>
      <c r="B431" s="1">
        <v>442.0</v>
      </c>
      <c r="C431" s="1" t="s">
        <v>4212</v>
      </c>
      <c r="D431" s="1" t="s">
        <v>4213</v>
      </c>
      <c r="E431" s="1" t="s">
        <v>1035</v>
      </c>
      <c r="F431" s="1" t="s">
        <v>58</v>
      </c>
      <c r="G431" s="2">
        <v>27209.0</v>
      </c>
      <c r="H431" s="1" t="s">
        <v>1633</v>
      </c>
      <c r="I431" s="1">
        <v>64.0</v>
      </c>
      <c r="J431" s="1" t="s">
        <v>579</v>
      </c>
      <c r="K431" s="1">
        <v>5.0</v>
      </c>
      <c r="L431" s="2">
        <v>42907.0</v>
      </c>
      <c r="O431" s="1">
        <v>0.0</v>
      </c>
      <c r="P431" s="1" t="s">
        <v>280</v>
      </c>
      <c r="Q431" s="1" t="s">
        <v>281</v>
      </c>
      <c r="R431" s="3" t="s">
        <v>4214</v>
      </c>
      <c r="U431" s="1" t="s">
        <v>1733</v>
      </c>
      <c r="V431" s="1">
        <v>251.0</v>
      </c>
      <c r="W431" s="3" t="s">
        <v>4215</v>
      </c>
      <c r="X431" s="1">
        <v>720764.0</v>
      </c>
      <c r="Y431" s="1" t="s">
        <v>4216</v>
      </c>
      <c r="Z431" s="3" t="s">
        <v>4217</v>
      </c>
      <c r="AA431" s="3" t="s">
        <v>4218</v>
      </c>
      <c r="AB431" s="1">
        <v>2.0</v>
      </c>
      <c r="AD431" s="1">
        <v>18.0</v>
      </c>
      <c r="AE431" s="1">
        <f t="shared" si="5"/>
        <v>434</v>
      </c>
      <c r="AF431" s="1">
        <v>33.0</v>
      </c>
      <c r="AG431" s="1">
        <v>12.0</v>
      </c>
      <c r="AH431" s="1">
        <v>7.0</v>
      </c>
      <c r="AI431" s="1">
        <v>10.0</v>
      </c>
      <c r="AJ431" s="1">
        <v>5.0</v>
      </c>
      <c r="AK431" s="1">
        <v>259.0</v>
      </c>
      <c r="AL431" s="1">
        <v>29.0</v>
      </c>
      <c r="AM431" s="1">
        <v>0.0</v>
      </c>
      <c r="AN431" s="1">
        <v>0.0</v>
      </c>
      <c r="AO431" s="1">
        <v>4.0</v>
      </c>
      <c r="AP431" s="1">
        <v>4.0</v>
      </c>
      <c r="AQ431" s="1">
        <v>0.0</v>
      </c>
    </row>
    <row r="432">
      <c r="A432" s="1"/>
      <c r="B432" s="1">
        <v>127.0</v>
      </c>
      <c r="C432" s="1" t="s">
        <v>4219</v>
      </c>
      <c r="D432" s="1" t="s">
        <v>4220</v>
      </c>
      <c r="E432" s="1" t="s">
        <v>522</v>
      </c>
      <c r="F432" s="1" t="s">
        <v>43</v>
      </c>
      <c r="G432" s="2">
        <v>25284.0</v>
      </c>
      <c r="H432" s="1" t="s">
        <v>4221</v>
      </c>
      <c r="I432" s="1">
        <v>70.0</v>
      </c>
      <c r="J432" s="1" t="s">
        <v>2938</v>
      </c>
      <c r="K432" s="1">
        <v>2.0</v>
      </c>
      <c r="L432" s="2">
        <v>42907.0</v>
      </c>
      <c r="O432" s="1">
        <v>0.0</v>
      </c>
      <c r="P432" s="1" t="s">
        <v>75</v>
      </c>
      <c r="Q432" s="1" t="s">
        <v>76</v>
      </c>
      <c r="R432" s="3" t="s">
        <v>4222</v>
      </c>
      <c r="U432" s="1" t="s">
        <v>4223</v>
      </c>
      <c r="V432" s="1">
        <v>206.0</v>
      </c>
      <c r="W432" s="3" t="s">
        <v>4224</v>
      </c>
      <c r="X432" s="1">
        <v>722320.0</v>
      </c>
      <c r="Y432" s="1" t="s">
        <v>4225</v>
      </c>
      <c r="Z432" s="3" t="s">
        <v>4226</v>
      </c>
      <c r="AA432" s="3" t="s">
        <v>4227</v>
      </c>
      <c r="AB432" s="1">
        <v>1.0</v>
      </c>
      <c r="AD432" s="1">
        <v>18.0</v>
      </c>
      <c r="AE432" s="1">
        <f t="shared" si="5"/>
        <v>434</v>
      </c>
      <c r="AF432" s="1">
        <v>35.0</v>
      </c>
      <c r="AG432" s="1">
        <v>28.0</v>
      </c>
      <c r="AH432" s="1">
        <v>1.0</v>
      </c>
      <c r="AI432" s="1">
        <v>0.0</v>
      </c>
      <c r="AJ432" s="1">
        <v>0.0</v>
      </c>
      <c r="AK432" s="1">
        <v>18.0</v>
      </c>
      <c r="AL432" s="1">
        <v>1.0</v>
      </c>
      <c r="AM432" s="1">
        <v>0.0</v>
      </c>
      <c r="AN432" s="1">
        <v>0.0</v>
      </c>
      <c r="AO432" s="1">
        <v>5.0</v>
      </c>
      <c r="AP432" s="1">
        <v>9.0</v>
      </c>
      <c r="AQ432" s="1">
        <v>1.0</v>
      </c>
    </row>
    <row r="433">
      <c r="A433" s="1"/>
      <c r="B433" s="1">
        <v>90.0</v>
      </c>
      <c r="C433" s="1" t="s">
        <v>4228</v>
      </c>
      <c r="D433" s="1" t="s">
        <v>4229</v>
      </c>
      <c r="E433" s="1" t="s">
        <v>4230</v>
      </c>
      <c r="F433" s="1" t="s">
        <v>58</v>
      </c>
      <c r="G433" s="2">
        <v>27353.0</v>
      </c>
      <c r="H433" s="1" t="s">
        <v>4231</v>
      </c>
      <c r="I433" s="1">
        <v>74.0</v>
      </c>
      <c r="J433" s="1" t="s">
        <v>1441</v>
      </c>
      <c r="K433" s="1">
        <v>5.0</v>
      </c>
      <c r="L433" s="2">
        <v>42907.0</v>
      </c>
      <c r="O433" s="1">
        <v>0.0</v>
      </c>
      <c r="P433" s="1" t="s">
        <v>75</v>
      </c>
      <c r="Q433" s="1" t="s">
        <v>76</v>
      </c>
      <c r="R433" s="1" t="s">
        <v>4232</v>
      </c>
      <c r="U433" s="1" t="s">
        <v>4233</v>
      </c>
      <c r="V433" s="1">
        <v>314.0</v>
      </c>
      <c r="W433" s="3" t="s">
        <v>4234</v>
      </c>
      <c r="X433" s="1">
        <v>721450.0</v>
      </c>
      <c r="Y433" s="1" t="s">
        <v>4235</v>
      </c>
      <c r="Z433" s="3" t="s">
        <v>4236</v>
      </c>
      <c r="AA433" s="3" t="s">
        <v>4237</v>
      </c>
      <c r="AB433" s="1">
        <v>2.0</v>
      </c>
      <c r="AC433" s="1" t="s">
        <v>4238</v>
      </c>
      <c r="AD433" s="1">
        <v>18.0</v>
      </c>
      <c r="AE433" s="1">
        <f t="shared" si="5"/>
        <v>434</v>
      </c>
      <c r="AF433" s="1">
        <v>30.0</v>
      </c>
      <c r="AG433" s="1">
        <v>6.0</v>
      </c>
      <c r="AH433" s="1">
        <v>2.0</v>
      </c>
      <c r="AI433" s="1">
        <v>0.0</v>
      </c>
      <c r="AJ433" s="1">
        <v>1.0</v>
      </c>
      <c r="AK433" s="1">
        <v>41.0</v>
      </c>
      <c r="AL433" s="1">
        <v>13.0</v>
      </c>
      <c r="AM433" s="1">
        <v>1.0</v>
      </c>
      <c r="AN433" s="1">
        <v>0.0</v>
      </c>
      <c r="AO433" s="1">
        <v>5.0</v>
      </c>
      <c r="AP433" s="1">
        <v>7.0</v>
      </c>
      <c r="AQ433" s="1">
        <v>0.0</v>
      </c>
    </row>
    <row r="434">
      <c r="A434" s="1"/>
      <c r="B434" s="1">
        <v>178.0</v>
      </c>
      <c r="C434" s="1" t="s">
        <v>4239</v>
      </c>
      <c r="D434" s="1" t="s">
        <v>4240</v>
      </c>
      <c r="E434" s="1" t="s">
        <v>425</v>
      </c>
      <c r="F434" s="1" t="s">
        <v>58</v>
      </c>
      <c r="G434" s="2">
        <v>21760.0</v>
      </c>
      <c r="H434" s="1" t="s">
        <v>1251</v>
      </c>
      <c r="I434" s="1">
        <v>59.0</v>
      </c>
      <c r="J434" s="1" t="s">
        <v>172</v>
      </c>
      <c r="K434" s="1">
        <v>4.0</v>
      </c>
      <c r="L434" s="2">
        <v>42907.0</v>
      </c>
      <c r="O434" s="1">
        <v>0.0</v>
      </c>
      <c r="P434" s="1" t="s">
        <v>75</v>
      </c>
      <c r="Q434" s="1" t="s">
        <v>76</v>
      </c>
      <c r="R434" s="1" t="s">
        <v>4241</v>
      </c>
      <c r="U434" s="1" t="s">
        <v>1465</v>
      </c>
      <c r="V434" s="1">
        <v>424.0</v>
      </c>
      <c r="W434" s="3" t="s">
        <v>4242</v>
      </c>
      <c r="X434" s="1">
        <v>720446.0</v>
      </c>
      <c r="Y434" s="1" t="s">
        <v>4243</v>
      </c>
      <c r="Z434" s="3" t="s">
        <v>4244</v>
      </c>
      <c r="AA434" s="3" t="s">
        <v>4245</v>
      </c>
      <c r="AB434" s="1">
        <v>1.0</v>
      </c>
      <c r="AC434" s="1" t="s">
        <v>4246</v>
      </c>
      <c r="AD434" s="1">
        <v>18.0</v>
      </c>
      <c r="AE434" s="1">
        <f t="shared" si="5"/>
        <v>434</v>
      </c>
      <c r="AF434" s="1">
        <v>35.0</v>
      </c>
      <c r="AG434" s="1">
        <v>3.0</v>
      </c>
      <c r="AH434" s="1">
        <v>6.0</v>
      </c>
      <c r="AI434" s="1">
        <v>2.0</v>
      </c>
      <c r="AJ434" s="1">
        <v>0.0</v>
      </c>
      <c r="AK434" s="1">
        <v>53.0</v>
      </c>
      <c r="AL434" s="1">
        <v>15.0</v>
      </c>
      <c r="AM434" s="1">
        <v>0.0</v>
      </c>
      <c r="AN434" s="1">
        <v>0.0</v>
      </c>
      <c r="AO434" s="1">
        <v>6.0</v>
      </c>
      <c r="AP434" s="1">
        <v>16.0</v>
      </c>
      <c r="AQ434" s="1">
        <v>1.0</v>
      </c>
    </row>
    <row r="435">
      <c r="A435" s="1"/>
      <c r="B435" s="1">
        <v>414.0</v>
      </c>
      <c r="C435" s="1" t="s">
        <v>4247</v>
      </c>
      <c r="D435" s="1" t="s">
        <v>4248</v>
      </c>
      <c r="E435" s="1" t="s">
        <v>4249</v>
      </c>
      <c r="F435" s="1" t="s">
        <v>58</v>
      </c>
      <c r="G435" s="2">
        <v>27031.0</v>
      </c>
      <c r="H435" s="1" t="s">
        <v>4250</v>
      </c>
      <c r="I435" s="1">
        <v>16.0</v>
      </c>
      <c r="J435" s="1" t="s">
        <v>1264</v>
      </c>
      <c r="K435" s="1">
        <v>2.0</v>
      </c>
      <c r="L435" s="2">
        <v>42907.0</v>
      </c>
      <c r="O435" s="1">
        <v>0.0</v>
      </c>
      <c r="P435" s="1" t="s">
        <v>75</v>
      </c>
      <c r="Q435" s="1" t="s">
        <v>76</v>
      </c>
      <c r="R435" s="1" t="s">
        <v>4251</v>
      </c>
      <c r="U435" s="1" t="s">
        <v>2940</v>
      </c>
      <c r="V435" s="1">
        <v>372.0</v>
      </c>
      <c r="W435" s="3" t="s">
        <v>4252</v>
      </c>
      <c r="X435" s="1">
        <v>719080.0</v>
      </c>
      <c r="Y435" s="1" t="s">
        <v>4253</v>
      </c>
      <c r="Z435" s="3" t="s">
        <v>4254</v>
      </c>
      <c r="AA435" s="3" t="s">
        <v>4255</v>
      </c>
      <c r="AB435" s="1">
        <v>1.0</v>
      </c>
      <c r="AC435" s="1" t="s">
        <v>4256</v>
      </c>
      <c r="AD435" s="1">
        <v>18.0</v>
      </c>
      <c r="AE435" s="1">
        <f t="shared" si="5"/>
        <v>434</v>
      </c>
      <c r="AF435" s="1">
        <v>35.0</v>
      </c>
      <c r="AG435" s="1">
        <v>7.0</v>
      </c>
      <c r="AH435" s="1">
        <v>5.0</v>
      </c>
      <c r="AI435" s="1">
        <v>10.0</v>
      </c>
      <c r="AJ435" s="1">
        <v>1.0</v>
      </c>
      <c r="AK435" s="1">
        <v>99.0</v>
      </c>
      <c r="AL435" s="1">
        <v>45.0</v>
      </c>
      <c r="AM435" s="1">
        <v>1.0</v>
      </c>
      <c r="AN435" s="1">
        <v>0.0</v>
      </c>
      <c r="AO435" s="1">
        <v>5.0</v>
      </c>
      <c r="AP435" s="1">
        <v>3.0</v>
      </c>
      <c r="AQ435" s="1">
        <v>0.0</v>
      </c>
    </row>
    <row r="436">
      <c r="A436" s="1"/>
      <c r="B436" s="1">
        <v>73.0</v>
      </c>
      <c r="C436" s="1" t="s">
        <v>4257</v>
      </c>
      <c r="D436" s="1" t="s">
        <v>4258</v>
      </c>
      <c r="E436" s="1" t="s">
        <v>469</v>
      </c>
      <c r="F436" s="1" t="s">
        <v>43</v>
      </c>
      <c r="G436" s="2">
        <v>30937.0</v>
      </c>
      <c r="H436" s="1" t="s">
        <v>1075</v>
      </c>
      <c r="I436" s="1">
        <v>83.0</v>
      </c>
      <c r="J436" s="1" t="s">
        <v>1231</v>
      </c>
      <c r="K436" s="1">
        <v>8.0</v>
      </c>
      <c r="L436" s="2">
        <v>42907.0</v>
      </c>
      <c r="O436" s="1">
        <v>0.0</v>
      </c>
      <c r="P436" s="1" t="s">
        <v>75</v>
      </c>
      <c r="Q436" s="1" t="s">
        <v>76</v>
      </c>
      <c r="U436" s="1" t="s">
        <v>4259</v>
      </c>
      <c r="V436" s="1">
        <v>386.0</v>
      </c>
      <c r="W436" s="3" t="s">
        <v>4260</v>
      </c>
      <c r="X436" s="1">
        <v>721800.0</v>
      </c>
      <c r="Y436" s="1" t="s">
        <v>4261</v>
      </c>
      <c r="Z436" s="3" t="s">
        <v>4262</v>
      </c>
      <c r="AA436" s="3" t="s">
        <v>4263</v>
      </c>
      <c r="AB436" s="1">
        <v>2.0</v>
      </c>
      <c r="AD436" s="1">
        <v>18.0</v>
      </c>
      <c r="AE436" s="1">
        <f t="shared" si="5"/>
        <v>434</v>
      </c>
      <c r="AF436" s="1">
        <v>44.0</v>
      </c>
      <c r="AG436" s="1">
        <v>7.0</v>
      </c>
      <c r="AH436" s="1">
        <v>7.0</v>
      </c>
      <c r="AI436" s="1">
        <v>1.0</v>
      </c>
      <c r="AJ436" s="1">
        <v>1.0</v>
      </c>
      <c r="AK436" s="1">
        <v>63.0</v>
      </c>
      <c r="AL436" s="1">
        <v>26.0</v>
      </c>
      <c r="AM436" s="1">
        <v>1.0</v>
      </c>
      <c r="AN436" s="1">
        <v>0.0</v>
      </c>
      <c r="AO436" s="1">
        <v>5.0</v>
      </c>
      <c r="AP436" s="1">
        <v>1.0</v>
      </c>
      <c r="AQ436" s="1">
        <v>1.0</v>
      </c>
    </row>
    <row r="437">
      <c r="A437" s="1"/>
      <c r="B437" s="1">
        <v>478.0</v>
      </c>
      <c r="C437" s="1" t="s">
        <v>4264</v>
      </c>
      <c r="D437" s="1" t="s">
        <v>810</v>
      </c>
      <c r="E437" s="1" t="s">
        <v>4265</v>
      </c>
      <c r="F437" s="1" t="s">
        <v>58</v>
      </c>
      <c r="G437" s="2">
        <v>20195.0</v>
      </c>
      <c r="H437" s="1" t="s">
        <v>4266</v>
      </c>
      <c r="I437" s="1">
        <v>13.0</v>
      </c>
      <c r="J437" s="1" t="s">
        <v>279</v>
      </c>
      <c r="K437" s="1">
        <v>16.0</v>
      </c>
      <c r="L437" s="2">
        <v>42907.0</v>
      </c>
      <c r="O437" s="1">
        <v>0.0</v>
      </c>
      <c r="P437" s="1" t="s">
        <v>75</v>
      </c>
      <c r="Q437" s="1" t="s">
        <v>76</v>
      </c>
      <c r="R437" s="1" t="s">
        <v>4267</v>
      </c>
      <c r="U437" s="1" t="s">
        <v>4268</v>
      </c>
      <c r="V437" s="1">
        <v>244.0</v>
      </c>
      <c r="W437" s="3" t="s">
        <v>4269</v>
      </c>
      <c r="X437" s="1">
        <v>719130.0</v>
      </c>
      <c r="Y437" s="1" t="s">
        <v>4270</v>
      </c>
      <c r="Z437" s="3" t="s">
        <v>4271</v>
      </c>
      <c r="AA437" s="3" t="s">
        <v>4272</v>
      </c>
      <c r="AB437" s="1">
        <v>1.0</v>
      </c>
      <c r="AC437" s="1" t="s">
        <v>4273</v>
      </c>
      <c r="AD437" s="1">
        <v>18.0</v>
      </c>
      <c r="AE437" s="1">
        <f t="shared" si="5"/>
        <v>434</v>
      </c>
      <c r="AF437" s="1">
        <v>45.0</v>
      </c>
      <c r="AG437" s="1">
        <v>5.0</v>
      </c>
      <c r="AH437" s="1">
        <v>2.0</v>
      </c>
      <c r="AI437" s="1">
        <v>0.0</v>
      </c>
      <c r="AJ437" s="1">
        <v>1.0</v>
      </c>
      <c r="AK437" s="1">
        <v>108.0</v>
      </c>
      <c r="AL437" s="1">
        <v>41.0</v>
      </c>
      <c r="AM437" s="1">
        <v>1.0</v>
      </c>
      <c r="AN437" s="1">
        <v>0.0</v>
      </c>
      <c r="AO437" s="1">
        <v>5.0</v>
      </c>
      <c r="AP437" s="1">
        <v>2.0</v>
      </c>
      <c r="AQ437" s="1">
        <v>0.0</v>
      </c>
    </row>
    <row r="438">
      <c r="A438" s="1"/>
      <c r="B438" s="1">
        <v>578.0</v>
      </c>
      <c r="C438" s="1" t="s">
        <v>4274</v>
      </c>
      <c r="D438" s="1" t="s">
        <v>4275</v>
      </c>
      <c r="E438" s="1" t="s">
        <v>1431</v>
      </c>
      <c r="F438" s="1" t="s">
        <v>43</v>
      </c>
      <c r="G438" s="2">
        <v>29952.0</v>
      </c>
      <c r="H438" s="1" t="s">
        <v>4276</v>
      </c>
      <c r="I438" s="1">
        <v>84.0</v>
      </c>
      <c r="J438" s="1" t="s">
        <v>719</v>
      </c>
      <c r="K438" s="1">
        <v>3.0</v>
      </c>
      <c r="L438" s="2">
        <v>42938.0</v>
      </c>
      <c r="O438" s="1">
        <v>0.0</v>
      </c>
      <c r="P438" s="1" t="s">
        <v>75</v>
      </c>
      <c r="Q438" s="1" t="s">
        <v>76</v>
      </c>
      <c r="R438" s="1" t="s">
        <v>4277</v>
      </c>
      <c r="U438" s="1" t="s">
        <v>4278</v>
      </c>
      <c r="V438" s="1">
        <v>571.0</v>
      </c>
      <c r="W438" s="3" t="s">
        <v>4279</v>
      </c>
      <c r="X438" s="1">
        <v>721876.0</v>
      </c>
      <c r="Y438" s="1" t="s">
        <v>4280</v>
      </c>
      <c r="Z438" s="3" t="s">
        <v>4281</v>
      </c>
      <c r="AA438" s="3" t="s">
        <v>4282</v>
      </c>
      <c r="AB438" s="1">
        <v>1.0</v>
      </c>
      <c r="AC438" s="1" t="s">
        <v>4283</v>
      </c>
      <c r="AD438" s="1">
        <v>18.0</v>
      </c>
      <c r="AE438" s="1">
        <f t="shared" si="5"/>
        <v>429</v>
      </c>
      <c r="AF438" s="1">
        <v>29.0</v>
      </c>
      <c r="AG438" s="1">
        <v>4.0</v>
      </c>
      <c r="AH438" s="1">
        <v>8.0</v>
      </c>
      <c r="AI438" s="1">
        <v>1.0</v>
      </c>
      <c r="AJ438" s="1">
        <v>0.0</v>
      </c>
      <c r="AK438" s="1">
        <v>83.0</v>
      </c>
      <c r="AL438" s="1">
        <v>33.0</v>
      </c>
      <c r="AM438" s="1">
        <v>0.0</v>
      </c>
      <c r="AN438" s="1">
        <v>0.0</v>
      </c>
      <c r="AO438" s="1">
        <v>7.0</v>
      </c>
      <c r="AP438" s="1">
        <v>9.0</v>
      </c>
      <c r="AQ438" s="1">
        <v>1.0</v>
      </c>
    </row>
    <row r="439">
      <c r="A439" s="1"/>
      <c r="B439" s="1">
        <v>34.0</v>
      </c>
      <c r="C439" s="1" t="s">
        <v>4284</v>
      </c>
      <c r="D439" s="1" t="s">
        <v>4285</v>
      </c>
      <c r="E439" s="1" t="s">
        <v>2982</v>
      </c>
      <c r="F439" s="1" t="s">
        <v>43</v>
      </c>
      <c r="G439" s="2">
        <v>21341.0</v>
      </c>
      <c r="H439" s="1" t="s">
        <v>4286</v>
      </c>
      <c r="I439" s="1">
        <v>55.0</v>
      </c>
      <c r="J439" s="1" t="s">
        <v>792</v>
      </c>
      <c r="K439" s="1">
        <v>1.0</v>
      </c>
      <c r="L439" s="2">
        <v>42907.0</v>
      </c>
      <c r="O439" s="1">
        <v>0.0</v>
      </c>
      <c r="P439" s="1" t="s">
        <v>46</v>
      </c>
      <c r="Q439" s="1" t="s">
        <v>47</v>
      </c>
      <c r="R439" s="1" t="s">
        <v>4287</v>
      </c>
      <c r="U439" s="1" t="s">
        <v>4288</v>
      </c>
      <c r="V439" s="1">
        <v>103.0</v>
      </c>
      <c r="W439" s="3" t="s">
        <v>4289</v>
      </c>
      <c r="X439" s="1">
        <v>333421.0</v>
      </c>
      <c r="Y439" s="1" t="s">
        <v>4290</v>
      </c>
      <c r="Z439" s="3" t="s">
        <v>4291</v>
      </c>
      <c r="AA439" s="3" t="s">
        <v>4292</v>
      </c>
      <c r="AB439" s="1">
        <v>2.0</v>
      </c>
      <c r="AC439" s="1" t="s">
        <v>4293</v>
      </c>
      <c r="AD439" s="1">
        <v>18.0</v>
      </c>
      <c r="AE439" s="1">
        <f t="shared" si="5"/>
        <v>434</v>
      </c>
      <c r="AF439" s="1">
        <v>32.0</v>
      </c>
      <c r="AG439" s="1">
        <v>55.0</v>
      </c>
      <c r="AH439" s="1">
        <v>65.0</v>
      </c>
      <c r="AI439" s="1">
        <v>68.0</v>
      </c>
      <c r="AJ439" s="1">
        <v>97.0</v>
      </c>
      <c r="AK439" s="1">
        <v>518.0</v>
      </c>
      <c r="AL439" s="1">
        <v>26.0</v>
      </c>
      <c r="AM439" s="1">
        <v>0.0</v>
      </c>
      <c r="AN439" s="1">
        <v>0.0</v>
      </c>
      <c r="AO439" s="1">
        <v>10.0</v>
      </c>
      <c r="AP439" s="1">
        <v>2.0</v>
      </c>
      <c r="AQ439" s="1">
        <v>2.0</v>
      </c>
    </row>
    <row r="440">
      <c r="A440" s="1"/>
      <c r="B440" s="1">
        <v>79.0</v>
      </c>
      <c r="C440" s="1" t="s">
        <v>4294</v>
      </c>
      <c r="D440" s="1" t="s">
        <v>232</v>
      </c>
      <c r="E440" s="1" t="s">
        <v>1115</v>
      </c>
      <c r="F440" s="1" t="s">
        <v>43</v>
      </c>
      <c r="G440" s="2">
        <v>19769.0</v>
      </c>
      <c r="H440" s="1" t="s">
        <v>207</v>
      </c>
      <c r="I440" s="1">
        <v>21.0</v>
      </c>
      <c r="J440" s="1" t="s">
        <v>1220</v>
      </c>
      <c r="K440" s="1">
        <v>5.0</v>
      </c>
      <c r="L440" s="2">
        <v>42907.0</v>
      </c>
      <c r="O440" s="1">
        <v>0.0</v>
      </c>
      <c r="P440" s="1" t="s">
        <v>75</v>
      </c>
      <c r="Q440" s="1" t="s">
        <v>76</v>
      </c>
      <c r="R440" s="3" t="s">
        <v>4295</v>
      </c>
      <c r="U440" s="1" t="s">
        <v>234</v>
      </c>
      <c r="V440" s="1">
        <v>403.0</v>
      </c>
      <c r="W440" s="3" t="s">
        <v>4296</v>
      </c>
      <c r="X440" s="1">
        <v>719202.0</v>
      </c>
      <c r="Y440" s="1" t="s">
        <v>4297</v>
      </c>
      <c r="Z440" s="3" t="s">
        <v>4298</v>
      </c>
      <c r="AA440" s="3" t="s">
        <v>4299</v>
      </c>
      <c r="AB440" s="1">
        <v>1.0</v>
      </c>
      <c r="AD440" s="1">
        <v>18.0</v>
      </c>
      <c r="AE440" s="1">
        <f t="shared" si="5"/>
        <v>434</v>
      </c>
      <c r="AF440" s="1">
        <v>30.0</v>
      </c>
      <c r="AG440" s="1">
        <v>37.0</v>
      </c>
      <c r="AH440" s="1">
        <v>39.0</v>
      </c>
      <c r="AI440" s="1">
        <v>4.0</v>
      </c>
      <c r="AJ440" s="1">
        <v>0.0</v>
      </c>
      <c r="AK440" s="1">
        <v>59.0</v>
      </c>
      <c r="AL440" s="1">
        <v>25.0</v>
      </c>
      <c r="AM440" s="1">
        <v>1.0</v>
      </c>
      <c r="AN440" s="1">
        <v>0.0</v>
      </c>
      <c r="AO440" s="1">
        <v>5.0</v>
      </c>
      <c r="AP440" s="1">
        <v>2.0</v>
      </c>
      <c r="AQ440" s="1">
        <v>1.0</v>
      </c>
    </row>
    <row r="441">
      <c r="A441" s="1"/>
      <c r="B441" s="1">
        <v>213.0</v>
      </c>
      <c r="C441" s="1" t="s">
        <v>4300</v>
      </c>
      <c r="D441" s="1" t="s">
        <v>1372</v>
      </c>
      <c r="E441" s="1" t="s">
        <v>3047</v>
      </c>
      <c r="F441" s="1" t="s">
        <v>43</v>
      </c>
      <c r="G441" s="2">
        <v>22322.0</v>
      </c>
      <c r="H441" s="1" t="s">
        <v>718</v>
      </c>
      <c r="I441" s="1">
        <v>999.0</v>
      </c>
      <c r="J441" s="1" t="s">
        <v>256</v>
      </c>
      <c r="K441" s="1">
        <v>7.0</v>
      </c>
      <c r="L441" s="2">
        <v>42907.0</v>
      </c>
      <c r="O441" s="1">
        <v>0.0</v>
      </c>
      <c r="P441" s="1" t="s">
        <v>280</v>
      </c>
      <c r="Q441" s="1" t="s">
        <v>281</v>
      </c>
      <c r="R441" s="1" t="s">
        <v>4301</v>
      </c>
      <c r="U441" s="1" t="s">
        <v>827</v>
      </c>
      <c r="V441" s="1">
        <v>260.0</v>
      </c>
      <c r="W441" s="3" t="s">
        <v>4302</v>
      </c>
      <c r="X441" s="1">
        <v>721182.0</v>
      </c>
      <c r="Y441" s="1" t="s">
        <v>4303</v>
      </c>
      <c r="Z441" s="3" t="s">
        <v>4304</v>
      </c>
      <c r="AA441" s="3" t="s">
        <v>4305</v>
      </c>
      <c r="AB441" s="1">
        <v>1.0</v>
      </c>
      <c r="AC441" s="1" t="s">
        <v>4306</v>
      </c>
      <c r="AD441" s="1">
        <v>18.0</v>
      </c>
      <c r="AE441" s="1">
        <f t="shared" si="5"/>
        <v>434</v>
      </c>
      <c r="AF441" s="1">
        <v>30.0</v>
      </c>
      <c r="AG441" s="1">
        <v>17.0</v>
      </c>
      <c r="AH441" s="1">
        <v>37.0</v>
      </c>
      <c r="AI441" s="1">
        <v>15.0</v>
      </c>
      <c r="AJ441" s="1">
        <v>5.0</v>
      </c>
      <c r="AK441" s="1">
        <v>195.0</v>
      </c>
      <c r="AL441" s="1">
        <v>18.0</v>
      </c>
      <c r="AM441" s="1">
        <v>1.0</v>
      </c>
      <c r="AN441" s="1">
        <v>0.0</v>
      </c>
      <c r="AO441" s="1">
        <v>4.0</v>
      </c>
      <c r="AP441" s="1">
        <v>0.0</v>
      </c>
      <c r="AQ441" s="1">
        <v>1.0</v>
      </c>
    </row>
    <row r="442">
      <c r="A442" s="1"/>
      <c r="B442" s="1">
        <v>490.0</v>
      </c>
      <c r="C442" s="1" t="s">
        <v>4307</v>
      </c>
      <c r="D442" s="1" t="s">
        <v>4308</v>
      </c>
      <c r="E442" s="1" t="s">
        <v>3626</v>
      </c>
      <c r="F442" s="1" t="s">
        <v>58</v>
      </c>
      <c r="G442" s="2">
        <v>23984.0</v>
      </c>
      <c r="H442" s="1" t="s">
        <v>4309</v>
      </c>
      <c r="I442" s="1">
        <v>78.0</v>
      </c>
      <c r="J442" s="1" t="s">
        <v>74</v>
      </c>
      <c r="K442" s="1">
        <v>3.0</v>
      </c>
      <c r="L442" s="2">
        <v>42907.0</v>
      </c>
      <c r="O442" s="1">
        <v>0.0</v>
      </c>
      <c r="P442" s="1" t="s">
        <v>75</v>
      </c>
      <c r="Q442" s="1" t="s">
        <v>76</v>
      </c>
      <c r="R442" s="1" t="s">
        <v>4310</v>
      </c>
      <c r="U442" s="1" t="s">
        <v>2484</v>
      </c>
      <c r="V442" s="1">
        <v>391.0</v>
      </c>
      <c r="W442" s="3" t="s">
        <v>4311</v>
      </c>
      <c r="X442" s="1">
        <v>721844.0</v>
      </c>
      <c r="Y442" s="1" t="s">
        <v>4312</v>
      </c>
      <c r="Z442" s="3" t="s">
        <v>4313</v>
      </c>
      <c r="AA442" s="3" t="s">
        <v>4314</v>
      </c>
      <c r="AB442" s="1">
        <v>1.0</v>
      </c>
      <c r="AC442" s="1" t="s">
        <v>4315</v>
      </c>
      <c r="AD442" s="1">
        <v>18.0</v>
      </c>
      <c r="AE442" s="1">
        <f t="shared" si="5"/>
        <v>434</v>
      </c>
      <c r="AF442" s="1">
        <v>32.0</v>
      </c>
      <c r="AG442" s="1">
        <v>16.0</v>
      </c>
      <c r="AH442" s="1">
        <v>7.0</v>
      </c>
      <c r="AI442" s="1">
        <v>1.0</v>
      </c>
      <c r="AJ442" s="1">
        <v>7.0</v>
      </c>
      <c r="AK442" s="1">
        <v>56.0</v>
      </c>
      <c r="AL442" s="1">
        <v>16.0</v>
      </c>
      <c r="AM442" s="1">
        <v>1.0</v>
      </c>
      <c r="AN442" s="1">
        <v>0.0</v>
      </c>
      <c r="AO442" s="1">
        <v>5.0</v>
      </c>
      <c r="AP442" s="1">
        <v>0.0</v>
      </c>
      <c r="AQ442" s="1">
        <v>2.0</v>
      </c>
    </row>
    <row r="443">
      <c r="A443" s="1"/>
      <c r="B443" s="1">
        <v>295.0</v>
      </c>
      <c r="C443" s="1" t="s">
        <v>4316</v>
      </c>
      <c r="D443" s="1" t="s">
        <v>4317</v>
      </c>
      <c r="E443" s="1" t="s">
        <v>4318</v>
      </c>
      <c r="F443" s="1" t="s">
        <v>58</v>
      </c>
      <c r="G443" s="2">
        <v>21837.0</v>
      </c>
      <c r="H443" s="1" t="s">
        <v>4319</v>
      </c>
      <c r="I443" s="1">
        <v>8.0</v>
      </c>
      <c r="J443" s="1" t="s">
        <v>707</v>
      </c>
      <c r="K443" s="1">
        <v>1.0</v>
      </c>
      <c r="L443" s="2">
        <v>42907.0</v>
      </c>
      <c r="O443" s="1">
        <v>0.0</v>
      </c>
      <c r="P443" s="1" t="s">
        <v>61</v>
      </c>
      <c r="Q443" s="1" t="s">
        <v>62</v>
      </c>
      <c r="R443" s="1" t="s">
        <v>4320</v>
      </c>
      <c r="U443" s="1" t="s">
        <v>4321</v>
      </c>
      <c r="V443" s="1">
        <v>22.0</v>
      </c>
      <c r="W443" s="3" t="s">
        <v>4322</v>
      </c>
      <c r="X443" s="1">
        <v>267260.0</v>
      </c>
      <c r="Y443" s="1" t="s">
        <v>4323</v>
      </c>
      <c r="Z443" s="3" t="s">
        <v>4324</v>
      </c>
      <c r="AA443" s="3" t="s">
        <v>4325</v>
      </c>
      <c r="AB443" s="1">
        <v>1.0</v>
      </c>
      <c r="AC443" s="1" t="s">
        <v>4326</v>
      </c>
      <c r="AD443" s="1">
        <v>18.0</v>
      </c>
      <c r="AE443" s="1">
        <f t="shared" si="5"/>
        <v>434</v>
      </c>
      <c r="AF443" s="1">
        <v>26.0</v>
      </c>
      <c r="AG443" s="1">
        <v>8.0</v>
      </c>
      <c r="AH443" s="1">
        <v>20.0</v>
      </c>
      <c r="AI443" s="1">
        <v>23.0</v>
      </c>
      <c r="AJ443" s="1">
        <v>23.0</v>
      </c>
      <c r="AK443" s="1">
        <v>839.0</v>
      </c>
      <c r="AL443" s="1">
        <v>41.0</v>
      </c>
      <c r="AM443" s="1">
        <v>1.0</v>
      </c>
      <c r="AN443" s="1">
        <v>14.0</v>
      </c>
      <c r="AO443" s="1">
        <v>86.0</v>
      </c>
      <c r="AP443" s="1">
        <v>29.0</v>
      </c>
      <c r="AQ443" s="1">
        <v>2.0</v>
      </c>
    </row>
    <row r="444">
      <c r="A444" s="1"/>
      <c r="B444" s="1">
        <v>9.0</v>
      </c>
      <c r="C444" s="1" t="s">
        <v>4327</v>
      </c>
      <c r="D444" s="1" t="s">
        <v>4328</v>
      </c>
      <c r="E444" s="1" t="s">
        <v>4329</v>
      </c>
      <c r="F444" s="1" t="s">
        <v>43</v>
      </c>
      <c r="G444" s="2">
        <v>30412.0</v>
      </c>
      <c r="H444" s="1" t="s">
        <v>4330</v>
      </c>
      <c r="I444" s="1">
        <v>91.0</v>
      </c>
      <c r="J444" s="1" t="s">
        <v>610</v>
      </c>
      <c r="K444" s="1">
        <v>10.0</v>
      </c>
      <c r="L444" s="2">
        <v>42907.0</v>
      </c>
      <c r="O444" s="1">
        <v>0.0</v>
      </c>
      <c r="P444" s="1" t="s">
        <v>75</v>
      </c>
      <c r="Q444" s="1" t="s">
        <v>76</v>
      </c>
      <c r="R444" s="1" t="s">
        <v>4331</v>
      </c>
      <c r="U444" s="1" t="s">
        <v>4332</v>
      </c>
      <c r="V444" s="1">
        <v>269.0</v>
      </c>
      <c r="W444" s="3" t="s">
        <v>4333</v>
      </c>
      <c r="X444" s="1">
        <v>721888.0</v>
      </c>
      <c r="Y444" s="1" t="s">
        <v>4334</v>
      </c>
      <c r="Z444" s="3" t="s">
        <v>4335</v>
      </c>
      <c r="AA444" s="3" t="s">
        <v>4336</v>
      </c>
      <c r="AB444" s="1">
        <v>1.0</v>
      </c>
      <c r="AC444" s="1" t="s">
        <v>4337</v>
      </c>
      <c r="AD444" s="1">
        <v>18.0</v>
      </c>
      <c r="AE444" s="1">
        <f t="shared" si="5"/>
        <v>434</v>
      </c>
      <c r="AF444" s="1">
        <v>33.0</v>
      </c>
      <c r="AG444" s="1">
        <v>2.0</v>
      </c>
      <c r="AH444" s="1">
        <v>12.0</v>
      </c>
      <c r="AI444" s="1">
        <v>5.0</v>
      </c>
      <c r="AJ444" s="1">
        <v>3.0</v>
      </c>
      <c r="AK444" s="1">
        <v>51.0</v>
      </c>
      <c r="AL444" s="1">
        <v>16.0</v>
      </c>
      <c r="AM444" s="1">
        <v>0.0</v>
      </c>
      <c r="AN444" s="1">
        <v>0.0</v>
      </c>
      <c r="AO444" s="1">
        <v>5.0</v>
      </c>
      <c r="AP444" s="1">
        <v>0.0</v>
      </c>
      <c r="AQ444" s="1">
        <v>1.0</v>
      </c>
    </row>
    <row r="445">
      <c r="A445" s="1"/>
      <c r="B445" s="1">
        <v>368.0</v>
      </c>
      <c r="C445" s="1" t="s">
        <v>4338</v>
      </c>
      <c r="D445" s="1" t="s">
        <v>4339</v>
      </c>
      <c r="E445" s="1" t="s">
        <v>1094</v>
      </c>
      <c r="F445" s="1" t="s">
        <v>58</v>
      </c>
      <c r="G445" s="2">
        <v>26882.0</v>
      </c>
      <c r="H445" s="1" t="s">
        <v>4340</v>
      </c>
      <c r="I445" s="1">
        <v>45.0</v>
      </c>
      <c r="J445" s="1" t="s">
        <v>2531</v>
      </c>
      <c r="K445" s="1">
        <v>1.0</v>
      </c>
      <c r="L445" s="2">
        <v>42907.0</v>
      </c>
      <c r="O445" s="1">
        <v>0.0</v>
      </c>
      <c r="P445" s="1" t="s">
        <v>75</v>
      </c>
      <c r="Q445" s="1" t="s">
        <v>76</v>
      </c>
      <c r="R445" s="1" t="s">
        <v>4341</v>
      </c>
      <c r="U445" s="1" t="s">
        <v>151</v>
      </c>
      <c r="V445" s="1">
        <v>607.0</v>
      </c>
      <c r="W445" s="3" t="s">
        <v>4342</v>
      </c>
      <c r="X445" s="1">
        <v>720066.0</v>
      </c>
      <c r="Y445" s="1" t="s">
        <v>4343</v>
      </c>
      <c r="Z445" s="3" t="s">
        <v>4344</v>
      </c>
      <c r="AA445" s="3" t="s">
        <v>4345</v>
      </c>
      <c r="AB445" s="1">
        <v>1.0</v>
      </c>
      <c r="AC445" s="1" t="s">
        <v>4346</v>
      </c>
      <c r="AD445" s="1">
        <v>18.0</v>
      </c>
      <c r="AE445" s="1">
        <f t="shared" si="5"/>
        <v>434</v>
      </c>
      <c r="AF445" s="1">
        <v>35.0</v>
      </c>
      <c r="AG445" s="1">
        <v>13.0</v>
      </c>
      <c r="AH445" s="1">
        <v>11.0</v>
      </c>
      <c r="AI445" s="1">
        <v>6.0</v>
      </c>
      <c r="AJ445" s="1">
        <v>1.0</v>
      </c>
      <c r="AK445" s="1">
        <v>132.0</v>
      </c>
      <c r="AL445" s="1">
        <v>48.0</v>
      </c>
      <c r="AM445" s="1">
        <v>0.0</v>
      </c>
      <c r="AN445" s="1">
        <v>0.0</v>
      </c>
      <c r="AO445" s="1">
        <v>5.0</v>
      </c>
      <c r="AP445" s="1">
        <v>10.0</v>
      </c>
      <c r="AQ445" s="1">
        <v>3.0</v>
      </c>
    </row>
    <row r="446">
      <c r="A446" s="1"/>
      <c r="B446" s="1">
        <v>574.0</v>
      </c>
      <c r="C446" s="1" t="s">
        <v>4347</v>
      </c>
      <c r="D446" s="1" t="s">
        <v>4348</v>
      </c>
      <c r="E446" s="1" t="s">
        <v>1801</v>
      </c>
      <c r="F446" s="1" t="s">
        <v>43</v>
      </c>
      <c r="G446" s="2">
        <v>19290.0</v>
      </c>
      <c r="H446" s="1" t="s">
        <v>4349</v>
      </c>
      <c r="I446" s="1">
        <v>86.0</v>
      </c>
      <c r="J446" s="1" t="s">
        <v>513</v>
      </c>
      <c r="K446" s="1">
        <v>1.0</v>
      </c>
      <c r="L446" s="2">
        <v>42907.0</v>
      </c>
      <c r="O446" s="1">
        <v>0.0</v>
      </c>
      <c r="P446" s="1" t="s">
        <v>75</v>
      </c>
      <c r="Q446" s="1" t="s">
        <v>76</v>
      </c>
      <c r="R446" s="1" t="s">
        <v>4350</v>
      </c>
      <c r="U446" s="1" t="s">
        <v>4351</v>
      </c>
      <c r="V446" s="1">
        <v>639.0</v>
      </c>
      <c r="W446" s="3" t="s">
        <v>4352</v>
      </c>
      <c r="X446" s="1">
        <v>722078.0</v>
      </c>
      <c r="Y446" s="1" t="s">
        <v>4353</v>
      </c>
      <c r="Z446" s="3" t="s">
        <v>4354</v>
      </c>
      <c r="AA446" s="3" t="s">
        <v>4355</v>
      </c>
      <c r="AB446" s="1">
        <v>1.0</v>
      </c>
      <c r="AC446" s="1" t="s">
        <v>4356</v>
      </c>
      <c r="AD446" s="1">
        <v>18.0</v>
      </c>
      <c r="AE446" s="1">
        <f t="shared" si="5"/>
        <v>434</v>
      </c>
      <c r="AF446" s="1">
        <v>35.0</v>
      </c>
      <c r="AG446" s="1">
        <v>4.0</v>
      </c>
      <c r="AH446" s="1">
        <v>11.0</v>
      </c>
      <c r="AI446" s="1">
        <v>3.0</v>
      </c>
      <c r="AJ446" s="1">
        <v>0.0</v>
      </c>
      <c r="AK446" s="1">
        <v>150.0</v>
      </c>
      <c r="AL446" s="1">
        <v>103.0</v>
      </c>
      <c r="AM446" s="1">
        <v>1.0</v>
      </c>
      <c r="AN446" s="1">
        <v>0.0</v>
      </c>
      <c r="AO446" s="1">
        <v>5.0</v>
      </c>
      <c r="AP446" s="1">
        <v>0.0</v>
      </c>
      <c r="AQ446" s="1">
        <v>1.0</v>
      </c>
    </row>
    <row r="447">
      <c r="A447" s="1"/>
      <c r="B447" s="1">
        <v>206.0</v>
      </c>
      <c r="C447" s="1" t="s">
        <v>4357</v>
      </c>
      <c r="D447" s="1" t="s">
        <v>4358</v>
      </c>
      <c r="E447" s="1" t="s">
        <v>4359</v>
      </c>
      <c r="F447" s="1" t="s">
        <v>43</v>
      </c>
      <c r="G447" s="2">
        <v>23594.0</v>
      </c>
      <c r="H447" s="1" t="s">
        <v>4360</v>
      </c>
      <c r="I447" s="1">
        <v>65.0</v>
      </c>
      <c r="J447" s="1" t="s">
        <v>2396</v>
      </c>
      <c r="K447" s="1">
        <v>1.0</v>
      </c>
      <c r="L447" s="2">
        <v>42907.0</v>
      </c>
      <c r="O447" s="1">
        <v>0.0</v>
      </c>
      <c r="P447" s="1" t="s">
        <v>75</v>
      </c>
      <c r="Q447" s="1" t="s">
        <v>76</v>
      </c>
      <c r="R447" s="1" t="s">
        <v>4361</v>
      </c>
      <c r="U447" s="1" t="s">
        <v>269</v>
      </c>
      <c r="V447" s="1">
        <v>313.0</v>
      </c>
      <c r="W447" s="3" t="s">
        <v>4362</v>
      </c>
      <c r="X447" s="1">
        <v>720780.0</v>
      </c>
      <c r="Y447" s="1" t="s">
        <v>4363</v>
      </c>
      <c r="Z447" s="3" t="s">
        <v>4364</v>
      </c>
      <c r="AA447" s="3" t="s">
        <v>4365</v>
      </c>
      <c r="AB447" s="1">
        <v>2.0</v>
      </c>
      <c r="AC447" s="1" t="s">
        <v>4366</v>
      </c>
      <c r="AD447" s="1">
        <v>18.0</v>
      </c>
      <c r="AE447" s="1">
        <f t="shared" si="5"/>
        <v>434</v>
      </c>
      <c r="AF447" s="1">
        <v>33.0</v>
      </c>
      <c r="AG447" s="1">
        <v>8.0</v>
      </c>
      <c r="AH447" s="1">
        <v>0.0</v>
      </c>
      <c r="AI447" s="1">
        <v>0.0</v>
      </c>
      <c r="AJ447" s="1">
        <v>3.0</v>
      </c>
      <c r="AK447" s="1">
        <v>81.0</v>
      </c>
      <c r="AL447" s="1">
        <v>27.0</v>
      </c>
      <c r="AM447" s="1">
        <v>1.0</v>
      </c>
      <c r="AN447" s="1">
        <v>0.0</v>
      </c>
      <c r="AO447" s="1">
        <v>5.0</v>
      </c>
      <c r="AP447" s="1">
        <v>10.0</v>
      </c>
      <c r="AQ447" s="1">
        <v>0.0</v>
      </c>
    </row>
    <row r="448">
      <c r="A448" s="1"/>
      <c r="B448" s="1">
        <v>285.0</v>
      </c>
      <c r="C448" s="1" t="s">
        <v>4367</v>
      </c>
      <c r="D448" s="1" t="s">
        <v>4368</v>
      </c>
      <c r="E448" s="1" t="s">
        <v>1431</v>
      </c>
      <c r="F448" s="1" t="s">
        <v>43</v>
      </c>
      <c r="G448" s="2">
        <v>28128.0</v>
      </c>
      <c r="H448" s="1" t="s">
        <v>2217</v>
      </c>
      <c r="I448" s="1">
        <v>92.0</v>
      </c>
      <c r="J448" s="1" t="s">
        <v>781</v>
      </c>
      <c r="K448" s="1">
        <v>2.0</v>
      </c>
      <c r="L448" s="2">
        <v>42907.0</v>
      </c>
      <c r="O448" s="1">
        <v>0.0</v>
      </c>
      <c r="P448" s="1" t="s">
        <v>75</v>
      </c>
      <c r="Q448" s="1" t="s">
        <v>76</v>
      </c>
      <c r="R448" s="1" t="s">
        <v>4369</v>
      </c>
      <c r="U448" s="1" t="s">
        <v>4370</v>
      </c>
      <c r="V448" s="1">
        <v>209.0</v>
      </c>
      <c r="W448" s="3" t="s">
        <v>4371</v>
      </c>
      <c r="X448" s="1">
        <v>722086.0</v>
      </c>
      <c r="Y448" s="1" t="s">
        <v>4372</v>
      </c>
      <c r="Z448" s="3" t="s">
        <v>4373</v>
      </c>
      <c r="AA448" s="3" t="s">
        <v>4374</v>
      </c>
      <c r="AB448" s="1">
        <v>1.0</v>
      </c>
      <c r="AC448" s="1" t="s">
        <v>4375</v>
      </c>
      <c r="AD448" s="1">
        <v>18.0</v>
      </c>
      <c r="AE448" s="1">
        <f t="shared" si="5"/>
        <v>434</v>
      </c>
      <c r="AF448" s="1">
        <v>41.0</v>
      </c>
      <c r="AG448" s="1">
        <v>15.0</v>
      </c>
      <c r="AH448" s="1">
        <v>26.0</v>
      </c>
      <c r="AI448" s="1">
        <v>3.0</v>
      </c>
      <c r="AJ448" s="1">
        <v>7.0</v>
      </c>
      <c r="AK448" s="1">
        <v>130.0</v>
      </c>
      <c r="AL448" s="1">
        <v>60.0</v>
      </c>
      <c r="AM448" s="1">
        <v>0.0</v>
      </c>
      <c r="AN448" s="1">
        <v>0.0</v>
      </c>
      <c r="AO448" s="1">
        <v>5.0</v>
      </c>
      <c r="AP448" s="1">
        <v>7.0</v>
      </c>
      <c r="AQ448" s="1">
        <v>1.0</v>
      </c>
    </row>
    <row r="449">
      <c r="A449" s="1"/>
      <c r="B449" s="1">
        <v>190.0</v>
      </c>
      <c r="C449" s="1" t="s">
        <v>4376</v>
      </c>
      <c r="D449" s="1" t="s">
        <v>4377</v>
      </c>
      <c r="E449" s="1" t="s">
        <v>2374</v>
      </c>
      <c r="F449" s="1" t="s">
        <v>43</v>
      </c>
      <c r="G449" s="2">
        <v>26506.0</v>
      </c>
      <c r="H449" s="1" t="s">
        <v>1331</v>
      </c>
      <c r="I449" s="1">
        <v>86.0</v>
      </c>
      <c r="J449" s="1" t="s">
        <v>513</v>
      </c>
      <c r="K449" s="1">
        <v>4.0</v>
      </c>
      <c r="L449" s="2">
        <v>42907.0</v>
      </c>
      <c r="O449" s="1">
        <v>0.0</v>
      </c>
      <c r="P449" s="1" t="s">
        <v>280</v>
      </c>
      <c r="Q449" s="1" t="s">
        <v>281</v>
      </c>
      <c r="R449" s="1" t="s">
        <v>4378</v>
      </c>
      <c r="U449" s="1" t="s">
        <v>1905</v>
      </c>
      <c r="V449" s="1">
        <v>265.0</v>
      </c>
      <c r="W449" s="3" t="s">
        <v>4379</v>
      </c>
      <c r="X449" s="1">
        <v>722162.0</v>
      </c>
      <c r="Y449" s="1" t="s">
        <v>4380</v>
      </c>
      <c r="Z449" s="3" t="s">
        <v>4381</v>
      </c>
      <c r="AA449" s="3" t="s">
        <v>4382</v>
      </c>
      <c r="AB449" s="1">
        <v>1.0</v>
      </c>
      <c r="AC449" s="1" t="s">
        <v>4383</v>
      </c>
      <c r="AD449" s="1">
        <v>18.0</v>
      </c>
      <c r="AE449" s="1">
        <f t="shared" si="5"/>
        <v>434</v>
      </c>
      <c r="AF449" s="1">
        <v>31.0</v>
      </c>
      <c r="AG449" s="1">
        <v>35.0</v>
      </c>
      <c r="AH449" s="1">
        <v>18.0</v>
      </c>
      <c r="AI449" s="1">
        <v>2.0</v>
      </c>
      <c r="AJ449" s="1">
        <v>4.0</v>
      </c>
      <c r="AK449" s="1">
        <v>245.0</v>
      </c>
      <c r="AL449" s="1">
        <v>25.0</v>
      </c>
      <c r="AM449" s="1">
        <v>0.0</v>
      </c>
      <c r="AN449" s="1">
        <v>0.0</v>
      </c>
      <c r="AO449" s="1">
        <v>8.0</v>
      </c>
      <c r="AP449" s="1">
        <v>0.0</v>
      </c>
      <c r="AQ449" s="1">
        <v>1.0</v>
      </c>
    </row>
    <row r="450">
      <c r="A450" s="1"/>
      <c r="B450" s="1">
        <v>416.0</v>
      </c>
      <c r="C450" s="1" t="s">
        <v>4384</v>
      </c>
      <c r="D450" s="1" t="s">
        <v>4385</v>
      </c>
      <c r="E450" s="1" t="s">
        <v>4386</v>
      </c>
      <c r="F450" s="1" t="s">
        <v>43</v>
      </c>
      <c r="G450" s="2">
        <v>21315.0</v>
      </c>
      <c r="H450" s="1" t="s">
        <v>1251</v>
      </c>
      <c r="I450" s="1">
        <v>59.0</v>
      </c>
      <c r="J450" s="1" t="s">
        <v>172</v>
      </c>
      <c r="K450" s="1">
        <v>7.0</v>
      </c>
      <c r="L450" s="2">
        <v>42907.0</v>
      </c>
      <c r="O450" s="1">
        <v>0.0</v>
      </c>
      <c r="P450" s="1" t="s">
        <v>46</v>
      </c>
      <c r="Q450" s="1" t="s">
        <v>47</v>
      </c>
      <c r="R450" s="1" t="s">
        <v>4387</v>
      </c>
      <c r="U450" s="1" t="s">
        <v>827</v>
      </c>
      <c r="V450" s="1">
        <v>123.0</v>
      </c>
      <c r="W450" s="3" t="s">
        <v>4388</v>
      </c>
      <c r="X450" s="1">
        <v>267585.0</v>
      </c>
      <c r="Y450" s="1" t="s">
        <v>4389</v>
      </c>
      <c r="Z450" s="3" t="s">
        <v>4390</v>
      </c>
      <c r="AA450" s="3" t="s">
        <v>4391</v>
      </c>
      <c r="AB450" s="1">
        <v>2.0</v>
      </c>
      <c r="AC450" s="1" t="s">
        <v>4392</v>
      </c>
      <c r="AD450" s="1">
        <v>18.0</v>
      </c>
      <c r="AE450" s="1">
        <f t="shared" si="5"/>
        <v>434</v>
      </c>
      <c r="AF450" s="1">
        <v>27.0</v>
      </c>
      <c r="AG450" s="1">
        <v>64.0</v>
      </c>
      <c r="AH450" s="1">
        <v>139.0</v>
      </c>
      <c r="AI450" s="1">
        <v>46.0</v>
      </c>
      <c r="AJ450" s="1">
        <v>107.0</v>
      </c>
      <c r="AK450" s="1">
        <v>595.0</v>
      </c>
      <c r="AL450" s="1">
        <v>26.0</v>
      </c>
      <c r="AM450" s="1">
        <v>1.0</v>
      </c>
      <c r="AN450" s="1">
        <v>2.0</v>
      </c>
      <c r="AO450" s="1">
        <v>15.0</v>
      </c>
      <c r="AP450" s="1">
        <v>11.0</v>
      </c>
      <c r="AQ450" s="1">
        <v>1.0</v>
      </c>
    </row>
    <row r="451">
      <c r="A451" s="1"/>
      <c r="B451" s="1">
        <v>488.0</v>
      </c>
      <c r="C451" s="1" t="s">
        <v>4393</v>
      </c>
      <c r="D451" s="1" t="s">
        <v>4394</v>
      </c>
      <c r="E451" s="1" t="s">
        <v>1115</v>
      </c>
      <c r="F451" s="1" t="s">
        <v>43</v>
      </c>
      <c r="G451" s="2">
        <v>25800.0</v>
      </c>
      <c r="H451" s="1" t="s">
        <v>4395</v>
      </c>
      <c r="I451" s="1">
        <v>78.0</v>
      </c>
      <c r="J451" s="1" t="s">
        <v>74</v>
      </c>
      <c r="K451" s="1">
        <v>1.0</v>
      </c>
      <c r="L451" s="2">
        <v>42907.0</v>
      </c>
      <c r="O451" s="1">
        <v>0.0</v>
      </c>
      <c r="P451" s="1" t="s">
        <v>75</v>
      </c>
      <c r="Q451" s="1" t="s">
        <v>76</v>
      </c>
      <c r="R451" s="1" t="s">
        <v>4396</v>
      </c>
      <c r="U451" s="1" t="s">
        <v>4397</v>
      </c>
      <c r="V451" s="1">
        <v>321.0</v>
      </c>
      <c r="W451" s="3" t="s">
        <v>4398</v>
      </c>
      <c r="X451" s="1">
        <v>721776.0</v>
      </c>
      <c r="Y451" s="1" t="s">
        <v>4399</v>
      </c>
      <c r="Z451" s="3" t="s">
        <v>4400</v>
      </c>
      <c r="AA451" s="3" t="s">
        <v>4401</v>
      </c>
      <c r="AB451" s="1">
        <v>1.0</v>
      </c>
      <c r="AC451" s="1" t="s">
        <v>4402</v>
      </c>
      <c r="AD451" s="1">
        <v>17.0</v>
      </c>
      <c r="AE451" s="1">
        <f t="shared" si="5"/>
        <v>435</v>
      </c>
      <c r="AF451" s="1">
        <v>25.0</v>
      </c>
      <c r="AG451" s="1">
        <v>11.0</v>
      </c>
      <c r="AH451" s="1">
        <v>1.0</v>
      </c>
      <c r="AI451" s="1">
        <v>0.0</v>
      </c>
      <c r="AJ451" s="1">
        <v>0.0</v>
      </c>
      <c r="AK451" s="1">
        <v>8.0</v>
      </c>
      <c r="AL451" s="1">
        <v>2.0</v>
      </c>
      <c r="AM451" s="1">
        <v>0.0</v>
      </c>
      <c r="AN451" s="1">
        <v>0.0</v>
      </c>
      <c r="AO451" s="1">
        <v>5.0</v>
      </c>
      <c r="AP451" s="1">
        <v>0.0</v>
      </c>
      <c r="AQ451" s="1">
        <v>0.0</v>
      </c>
    </row>
    <row r="452">
      <c r="A452" s="1"/>
      <c r="B452" s="1">
        <v>281.0</v>
      </c>
      <c r="C452" s="1" t="s">
        <v>4403</v>
      </c>
      <c r="D452" s="1" t="s">
        <v>4404</v>
      </c>
      <c r="E452" s="1" t="s">
        <v>4405</v>
      </c>
      <c r="F452" s="1" t="s">
        <v>58</v>
      </c>
      <c r="G452" s="2">
        <v>24578.0</v>
      </c>
      <c r="H452" s="1" t="s">
        <v>1571</v>
      </c>
      <c r="I452" s="1">
        <v>974.0</v>
      </c>
      <c r="J452" s="1" t="s">
        <v>2717</v>
      </c>
      <c r="K452" s="1">
        <v>1.0</v>
      </c>
      <c r="L452" s="2">
        <v>42907.0</v>
      </c>
      <c r="O452" s="1">
        <v>0.0</v>
      </c>
      <c r="P452" s="1" t="s">
        <v>115</v>
      </c>
      <c r="Q452" s="1" t="s">
        <v>116</v>
      </c>
      <c r="R452" s="1" t="s">
        <v>4406</v>
      </c>
      <c r="U452" s="1" t="s">
        <v>90</v>
      </c>
      <c r="V452" s="1">
        <v>503.0</v>
      </c>
      <c r="W452" s="3" t="s">
        <v>4407</v>
      </c>
      <c r="X452" s="1">
        <v>610681.0</v>
      </c>
      <c r="Y452" s="1" t="s">
        <v>4408</v>
      </c>
      <c r="Z452" s="3" t="s">
        <v>4409</v>
      </c>
      <c r="AA452" s="3" t="s">
        <v>4410</v>
      </c>
      <c r="AB452" s="1">
        <v>1.0</v>
      </c>
      <c r="AC452" s="1" t="s">
        <v>4411</v>
      </c>
      <c r="AD452" s="1">
        <v>17.0</v>
      </c>
      <c r="AE452" s="1">
        <f t="shared" si="5"/>
        <v>435</v>
      </c>
      <c r="AF452" s="1">
        <v>33.0</v>
      </c>
      <c r="AG452" s="1">
        <v>51.0</v>
      </c>
      <c r="AH452" s="1">
        <v>61.0</v>
      </c>
      <c r="AI452" s="1">
        <v>31.0</v>
      </c>
      <c r="AJ452" s="1">
        <v>67.0</v>
      </c>
      <c r="AK452" s="1">
        <v>1296.0</v>
      </c>
      <c r="AL452" s="1">
        <v>83.0</v>
      </c>
      <c r="AM452" s="1">
        <v>0.0</v>
      </c>
      <c r="AN452" s="1">
        <v>0.0</v>
      </c>
      <c r="AO452" s="1">
        <v>5.0</v>
      </c>
      <c r="AP452" s="1">
        <v>22.0</v>
      </c>
      <c r="AQ452" s="1">
        <v>3.0</v>
      </c>
    </row>
    <row r="453">
      <c r="A453" s="1"/>
      <c r="B453" s="1">
        <v>533.0</v>
      </c>
      <c r="C453" s="1" t="s">
        <v>4412</v>
      </c>
      <c r="D453" s="1" t="s">
        <v>4413</v>
      </c>
      <c r="E453" s="1" t="s">
        <v>4414</v>
      </c>
      <c r="F453" s="1" t="s">
        <v>58</v>
      </c>
      <c r="G453" s="2">
        <v>18025.0</v>
      </c>
      <c r="H453" s="1" t="s">
        <v>4415</v>
      </c>
      <c r="I453" s="1">
        <v>93.0</v>
      </c>
      <c r="J453" s="1" t="s">
        <v>196</v>
      </c>
      <c r="K453" s="1">
        <v>4.0</v>
      </c>
      <c r="L453" s="2">
        <v>42907.0</v>
      </c>
      <c r="O453" s="1">
        <v>0.0</v>
      </c>
      <c r="P453" s="1" t="s">
        <v>101</v>
      </c>
      <c r="Q453" s="1" t="s">
        <v>102</v>
      </c>
      <c r="U453" s="1" t="s">
        <v>4416</v>
      </c>
      <c r="V453" s="1">
        <v>593.0</v>
      </c>
      <c r="W453" s="3" t="s">
        <v>4417</v>
      </c>
      <c r="X453" s="1">
        <v>689.0</v>
      </c>
      <c r="Y453" s="1" t="s">
        <v>4418</v>
      </c>
      <c r="Z453" s="3" t="s">
        <v>4419</v>
      </c>
      <c r="AA453" s="3" t="s">
        <v>4420</v>
      </c>
      <c r="AB453" s="1">
        <v>2.0</v>
      </c>
      <c r="AD453" s="1">
        <v>17.0</v>
      </c>
      <c r="AE453" s="1">
        <f t="shared" si="5"/>
        <v>435</v>
      </c>
      <c r="AF453" s="1">
        <v>27.0</v>
      </c>
      <c r="AG453" s="1">
        <v>41.0</v>
      </c>
      <c r="AH453" s="1">
        <v>56.0</v>
      </c>
      <c r="AI453" s="1">
        <v>58.0</v>
      </c>
      <c r="AJ453" s="1">
        <v>41.0</v>
      </c>
      <c r="AK453" s="1">
        <v>674.0</v>
      </c>
      <c r="AL453" s="1">
        <v>23.0</v>
      </c>
      <c r="AM453" s="1">
        <v>0.0</v>
      </c>
      <c r="AN453" s="1">
        <v>5.0</v>
      </c>
      <c r="AO453" s="1">
        <v>21.0</v>
      </c>
      <c r="AP453" s="1">
        <v>19.0</v>
      </c>
      <c r="AQ453" s="1">
        <v>2.0</v>
      </c>
    </row>
    <row r="454">
      <c r="A454" s="1"/>
      <c r="B454" s="1">
        <v>554.0</v>
      </c>
      <c r="C454" s="1" t="s">
        <v>4421</v>
      </c>
      <c r="D454" s="1" t="s">
        <v>4422</v>
      </c>
      <c r="E454" s="1" t="s">
        <v>126</v>
      </c>
      <c r="F454" s="1" t="s">
        <v>43</v>
      </c>
      <c r="G454" s="2">
        <v>23547.0</v>
      </c>
      <c r="H454" s="1" t="s">
        <v>512</v>
      </c>
      <c r="I454" s="1">
        <v>79.0</v>
      </c>
      <c r="J454" s="1" t="s">
        <v>2228</v>
      </c>
      <c r="K454" s="1">
        <v>3.0</v>
      </c>
      <c r="L454" s="2">
        <v>42907.0</v>
      </c>
      <c r="O454" s="1">
        <v>0.0</v>
      </c>
      <c r="P454" s="1" t="s">
        <v>75</v>
      </c>
      <c r="Q454" s="1" t="s">
        <v>76</v>
      </c>
      <c r="R454" s="1" t="s">
        <v>4423</v>
      </c>
      <c r="U454" s="1" t="s">
        <v>429</v>
      </c>
      <c r="V454" s="1">
        <v>560.0</v>
      </c>
      <c r="W454" s="3" t="s">
        <v>4424</v>
      </c>
      <c r="X454" s="1">
        <v>722134.0</v>
      </c>
      <c r="Y454" s="1" t="s">
        <v>4425</v>
      </c>
      <c r="Z454" s="3" t="s">
        <v>4426</v>
      </c>
      <c r="AA454" s="3" t="s">
        <v>4427</v>
      </c>
      <c r="AB454" s="1">
        <v>1.0</v>
      </c>
      <c r="AC454" s="1" t="s">
        <v>4428</v>
      </c>
      <c r="AD454" s="1">
        <v>17.0</v>
      </c>
      <c r="AE454" s="1">
        <f t="shared" si="5"/>
        <v>435</v>
      </c>
      <c r="AF454" s="1">
        <v>34.0</v>
      </c>
      <c r="AG454" s="1">
        <v>6.0</v>
      </c>
      <c r="AH454" s="1">
        <v>0.0</v>
      </c>
      <c r="AI454" s="1">
        <v>0.0</v>
      </c>
      <c r="AJ454" s="1">
        <v>0.0</v>
      </c>
      <c r="AK454" s="1">
        <v>41.0</v>
      </c>
      <c r="AL454" s="1">
        <v>3.0</v>
      </c>
      <c r="AM454" s="1">
        <v>0.0</v>
      </c>
      <c r="AN454" s="1">
        <v>0.0</v>
      </c>
      <c r="AO454" s="1">
        <v>6.0</v>
      </c>
      <c r="AP454" s="1">
        <v>1.0</v>
      </c>
      <c r="AQ454" s="1">
        <v>0.0</v>
      </c>
    </row>
    <row r="455">
      <c r="A455" s="1"/>
      <c r="B455" s="1">
        <v>129.0</v>
      </c>
      <c r="C455" s="1" t="s">
        <v>4429</v>
      </c>
      <c r="D455" s="1" t="s">
        <v>4430</v>
      </c>
      <c r="E455" s="1" t="s">
        <v>2374</v>
      </c>
      <c r="F455" s="1" t="s">
        <v>43</v>
      </c>
      <c r="G455" s="2">
        <v>22329.0</v>
      </c>
      <c r="H455" s="1" t="s">
        <v>207</v>
      </c>
      <c r="I455" s="1">
        <v>36.0</v>
      </c>
      <c r="J455" s="1" t="s">
        <v>1813</v>
      </c>
      <c r="K455" s="1">
        <v>2.0</v>
      </c>
      <c r="L455" s="2">
        <v>42907.0</v>
      </c>
      <c r="O455" s="1">
        <v>0.0</v>
      </c>
      <c r="P455" s="1" t="s">
        <v>61</v>
      </c>
      <c r="Q455" s="1" t="s">
        <v>62</v>
      </c>
      <c r="R455" s="1" t="s">
        <v>4431</v>
      </c>
      <c r="U455" s="1" t="s">
        <v>2484</v>
      </c>
      <c r="V455" s="1">
        <v>19.0</v>
      </c>
      <c r="W455" s="3" t="s">
        <v>4432</v>
      </c>
      <c r="X455" s="1">
        <v>1327.0</v>
      </c>
      <c r="Y455" s="1" t="s">
        <v>4433</v>
      </c>
      <c r="Z455" s="3" t="s">
        <v>4434</v>
      </c>
      <c r="AA455" s="3" t="s">
        <v>4435</v>
      </c>
      <c r="AB455" s="1">
        <v>1.0</v>
      </c>
      <c r="AC455" s="1" t="s">
        <v>4436</v>
      </c>
      <c r="AD455" s="1">
        <v>17.0</v>
      </c>
      <c r="AE455" s="1">
        <f t="shared" si="5"/>
        <v>435</v>
      </c>
      <c r="AF455" s="1">
        <v>25.0</v>
      </c>
      <c r="AG455" s="1">
        <v>17.0</v>
      </c>
      <c r="AH455" s="1">
        <v>29.0</v>
      </c>
      <c r="AI455" s="1">
        <v>34.0</v>
      </c>
      <c r="AJ455" s="1">
        <v>49.0</v>
      </c>
      <c r="AK455" s="1">
        <v>529.0</v>
      </c>
      <c r="AL455" s="1">
        <v>28.0</v>
      </c>
      <c r="AM455" s="1">
        <v>1.0</v>
      </c>
      <c r="AN455" s="1">
        <v>0.0</v>
      </c>
      <c r="AO455" s="1">
        <v>32.0</v>
      </c>
      <c r="AP455" s="1">
        <v>12.0</v>
      </c>
      <c r="AQ455" s="1">
        <v>0.0</v>
      </c>
    </row>
    <row r="456">
      <c r="A456" s="1"/>
      <c r="B456" s="1">
        <v>472.0</v>
      </c>
      <c r="C456" s="1" t="s">
        <v>4437</v>
      </c>
      <c r="D456" s="1" t="s">
        <v>4438</v>
      </c>
      <c r="E456" s="1" t="s">
        <v>3527</v>
      </c>
      <c r="F456" s="1" t="s">
        <v>58</v>
      </c>
      <c r="G456" s="2">
        <v>23121.0</v>
      </c>
      <c r="H456" s="1" t="s">
        <v>4439</v>
      </c>
      <c r="I456" s="1">
        <v>999.0</v>
      </c>
      <c r="J456" s="1" t="s">
        <v>256</v>
      </c>
      <c r="K456" s="1">
        <v>11.0</v>
      </c>
      <c r="L456" s="2">
        <v>42907.0</v>
      </c>
      <c r="O456" s="1">
        <v>0.0</v>
      </c>
      <c r="P456" s="1" t="s">
        <v>75</v>
      </c>
      <c r="Q456" s="1" t="s">
        <v>76</v>
      </c>
      <c r="R456" s="1" t="s">
        <v>4440</v>
      </c>
      <c r="U456" s="1" t="s">
        <v>151</v>
      </c>
      <c r="V456" s="1">
        <v>351.0</v>
      </c>
      <c r="W456" s="3" t="s">
        <v>4441</v>
      </c>
      <c r="X456" s="1">
        <v>721024.0</v>
      </c>
      <c r="Y456" s="1" t="s">
        <v>4442</v>
      </c>
      <c r="Z456" s="3" t="s">
        <v>4443</v>
      </c>
      <c r="AA456" s="3" t="s">
        <v>4444</v>
      </c>
      <c r="AB456" s="1">
        <v>1.0</v>
      </c>
      <c r="AC456" s="1" t="s">
        <v>4445</v>
      </c>
      <c r="AD456" s="1">
        <v>17.0</v>
      </c>
      <c r="AE456" s="1">
        <f t="shared" si="5"/>
        <v>435</v>
      </c>
      <c r="AF456" s="1">
        <v>30.0</v>
      </c>
      <c r="AG456" s="1">
        <v>19.0</v>
      </c>
      <c r="AH456" s="1">
        <v>14.0</v>
      </c>
      <c r="AI456" s="1">
        <v>6.0</v>
      </c>
      <c r="AJ456" s="1">
        <v>1.0</v>
      </c>
      <c r="AK456" s="1">
        <v>32.0</v>
      </c>
      <c r="AL456" s="1">
        <v>12.0</v>
      </c>
      <c r="AM456" s="1">
        <v>1.0</v>
      </c>
      <c r="AN456" s="1">
        <v>0.0</v>
      </c>
      <c r="AO456" s="1">
        <v>8.0</v>
      </c>
      <c r="AP456" s="1">
        <v>4.0</v>
      </c>
      <c r="AQ456" s="1">
        <v>1.0</v>
      </c>
    </row>
    <row r="457">
      <c r="A457" s="1"/>
      <c r="B457" s="1">
        <v>46.0</v>
      </c>
      <c r="C457" s="1" t="s">
        <v>4446</v>
      </c>
      <c r="D457" s="1" t="s">
        <v>3136</v>
      </c>
      <c r="E457" s="1" t="s">
        <v>4447</v>
      </c>
      <c r="F457" s="1" t="s">
        <v>43</v>
      </c>
      <c r="G457" s="2">
        <v>22399.0</v>
      </c>
      <c r="H457" s="1" t="s">
        <v>4448</v>
      </c>
      <c r="I457" s="1">
        <v>999.0</v>
      </c>
      <c r="J457" s="1" t="s">
        <v>256</v>
      </c>
      <c r="K457" s="1">
        <v>8.0</v>
      </c>
      <c r="L457" s="2">
        <v>42907.0</v>
      </c>
      <c r="O457" s="1">
        <v>0.0</v>
      </c>
      <c r="P457" s="1" t="s">
        <v>46</v>
      </c>
      <c r="Q457" s="1" t="s">
        <v>47</v>
      </c>
      <c r="R457" s="1" t="s">
        <v>4449</v>
      </c>
      <c r="U457" s="1" t="s">
        <v>827</v>
      </c>
      <c r="V457" s="1">
        <v>144.0</v>
      </c>
      <c r="W457" s="3" t="s">
        <v>4450</v>
      </c>
      <c r="X457" s="1">
        <v>695100.0</v>
      </c>
      <c r="Y457" s="1" t="s">
        <v>4451</v>
      </c>
      <c r="Z457" s="3" t="s">
        <v>4452</v>
      </c>
      <c r="AA457" s="3" t="s">
        <v>4453</v>
      </c>
      <c r="AB457" s="1">
        <v>1.0</v>
      </c>
      <c r="AC457" s="1" t="s">
        <v>4454</v>
      </c>
      <c r="AD457" s="1">
        <v>17.0</v>
      </c>
      <c r="AE457" s="1">
        <f t="shared" si="5"/>
        <v>435</v>
      </c>
      <c r="AF457" s="1">
        <v>11.0</v>
      </c>
      <c r="AG457" s="1">
        <v>11.0</v>
      </c>
      <c r="AH457" s="1">
        <v>84.0</v>
      </c>
      <c r="AI457" s="1">
        <v>62.0</v>
      </c>
      <c r="AJ457" s="1">
        <v>18.0</v>
      </c>
      <c r="AK457" s="1">
        <v>498.0</v>
      </c>
      <c r="AL457" s="1">
        <v>21.0</v>
      </c>
      <c r="AM457" s="1">
        <v>1.0</v>
      </c>
      <c r="AN457" s="1">
        <v>0.0</v>
      </c>
      <c r="AO457" s="1">
        <v>18.0</v>
      </c>
      <c r="AP457" s="1">
        <v>5.0</v>
      </c>
      <c r="AQ457" s="1">
        <v>2.0</v>
      </c>
    </row>
    <row r="458">
      <c r="A458" s="1"/>
      <c r="B458" s="1">
        <v>239.0</v>
      </c>
      <c r="C458" s="1" t="s">
        <v>4455</v>
      </c>
      <c r="D458" s="1" t="s">
        <v>4456</v>
      </c>
      <c r="E458" s="1" t="s">
        <v>810</v>
      </c>
      <c r="F458" s="1" t="s">
        <v>43</v>
      </c>
      <c r="G458" s="2">
        <v>18693.0</v>
      </c>
      <c r="H458" s="1" t="s">
        <v>3027</v>
      </c>
      <c r="I458" s="1">
        <v>94.0</v>
      </c>
      <c r="J458" s="1" t="s">
        <v>642</v>
      </c>
      <c r="K458" s="1">
        <v>8.0</v>
      </c>
      <c r="L458" s="2">
        <v>42907.0</v>
      </c>
      <c r="O458" s="1">
        <v>0.0</v>
      </c>
      <c r="P458" s="1" t="s">
        <v>61</v>
      </c>
      <c r="Q458" s="1" t="s">
        <v>62</v>
      </c>
      <c r="R458" s="3" t="s">
        <v>4457</v>
      </c>
      <c r="U458" s="1" t="s">
        <v>4458</v>
      </c>
      <c r="V458" s="1">
        <v>11.0</v>
      </c>
      <c r="W458" s="3" t="s">
        <v>4459</v>
      </c>
      <c r="X458" s="1">
        <v>1630.0</v>
      </c>
      <c r="Y458" s="1" t="s">
        <v>4460</v>
      </c>
      <c r="Z458" s="3" t="s">
        <v>4461</v>
      </c>
      <c r="AA458" s="3" t="s">
        <v>4462</v>
      </c>
      <c r="AB458" s="1">
        <v>2.0</v>
      </c>
      <c r="AD458" s="1">
        <v>17.0</v>
      </c>
      <c r="AE458" s="1">
        <f t="shared" si="5"/>
        <v>435</v>
      </c>
      <c r="AF458" s="1">
        <v>28.0</v>
      </c>
      <c r="AG458" s="1">
        <v>34.0</v>
      </c>
      <c r="AH458" s="1">
        <v>0.0</v>
      </c>
      <c r="AI458" s="1">
        <v>23.0</v>
      </c>
      <c r="AJ458" s="1">
        <v>3.0</v>
      </c>
      <c r="AK458" s="1">
        <v>265.0</v>
      </c>
      <c r="AL458" s="1">
        <v>13.0</v>
      </c>
      <c r="AM458" s="1">
        <v>0.0</v>
      </c>
      <c r="AN458" s="1">
        <v>0.0</v>
      </c>
      <c r="AO458" s="1">
        <v>49.0</v>
      </c>
      <c r="AP458" s="1">
        <v>5.0</v>
      </c>
      <c r="AQ458" s="1">
        <v>0.0</v>
      </c>
    </row>
    <row r="459">
      <c r="A459" s="1"/>
      <c r="B459" s="1">
        <v>225.0</v>
      </c>
      <c r="C459" s="1" t="s">
        <v>4463</v>
      </c>
      <c r="D459" s="1" t="s">
        <v>4464</v>
      </c>
      <c r="E459" s="1" t="s">
        <v>42</v>
      </c>
      <c r="F459" s="1" t="s">
        <v>43</v>
      </c>
      <c r="G459" s="2">
        <v>24880.0</v>
      </c>
      <c r="H459" s="1" t="s">
        <v>4465</v>
      </c>
      <c r="I459" s="1">
        <v>34.0</v>
      </c>
      <c r="J459" s="1" t="s">
        <v>1252</v>
      </c>
      <c r="K459" s="1">
        <v>5.0</v>
      </c>
      <c r="L459" s="2">
        <v>42907.0</v>
      </c>
      <c r="O459" s="1">
        <v>0.0</v>
      </c>
      <c r="P459" s="1" t="s">
        <v>75</v>
      </c>
      <c r="Q459" s="1" t="s">
        <v>76</v>
      </c>
      <c r="R459" s="1" t="s">
        <v>4466</v>
      </c>
      <c r="U459" s="1" t="s">
        <v>4467</v>
      </c>
      <c r="V459" s="1">
        <v>395.0</v>
      </c>
      <c r="W459" s="3" t="s">
        <v>4468</v>
      </c>
      <c r="X459" s="1">
        <v>719700.0</v>
      </c>
      <c r="Y459" s="1" t="s">
        <v>4469</v>
      </c>
      <c r="Z459" s="3" t="s">
        <v>4470</v>
      </c>
      <c r="AA459" s="3" t="s">
        <v>4471</v>
      </c>
      <c r="AB459" s="1">
        <v>2.0</v>
      </c>
      <c r="AC459" s="1" t="s">
        <v>4472</v>
      </c>
      <c r="AD459" s="1">
        <v>17.0</v>
      </c>
      <c r="AE459" s="1">
        <f t="shared" si="5"/>
        <v>435</v>
      </c>
      <c r="AF459" s="1">
        <v>24.0</v>
      </c>
      <c r="AG459" s="1">
        <v>7.0</v>
      </c>
      <c r="AH459" s="1">
        <v>0.0</v>
      </c>
      <c r="AI459" s="1">
        <v>0.0</v>
      </c>
      <c r="AJ459" s="1">
        <v>2.0</v>
      </c>
      <c r="AK459" s="1">
        <v>69.0</v>
      </c>
      <c r="AL459" s="1">
        <v>27.0</v>
      </c>
      <c r="AM459" s="1">
        <v>0.0</v>
      </c>
      <c r="AN459" s="1">
        <v>0.0</v>
      </c>
      <c r="AO459" s="1">
        <v>6.0</v>
      </c>
      <c r="AP459" s="1">
        <v>11.0</v>
      </c>
      <c r="AQ459" s="1">
        <v>0.0</v>
      </c>
    </row>
    <row r="460">
      <c r="A460" s="1"/>
      <c r="B460" s="1">
        <v>524.0</v>
      </c>
      <c r="C460" s="1" t="s">
        <v>4473</v>
      </c>
      <c r="D460" s="1" t="s">
        <v>4474</v>
      </c>
      <c r="E460" s="1" t="s">
        <v>369</v>
      </c>
      <c r="F460" s="1" t="s">
        <v>43</v>
      </c>
      <c r="G460" s="2">
        <v>24165.0</v>
      </c>
      <c r="H460" s="1" t="s">
        <v>4475</v>
      </c>
      <c r="I460" s="1">
        <v>69.0</v>
      </c>
      <c r="J460" s="1" t="s">
        <v>1363</v>
      </c>
      <c r="K460" s="1">
        <v>2.0</v>
      </c>
      <c r="L460" s="2">
        <v>42907.0</v>
      </c>
      <c r="O460" s="1">
        <v>0.0</v>
      </c>
      <c r="P460" s="1" t="s">
        <v>75</v>
      </c>
      <c r="Q460" s="1" t="s">
        <v>76</v>
      </c>
      <c r="R460" s="1" t="s">
        <v>4476</v>
      </c>
      <c r="U460" s="1" t="s">
        <v>4477</v>
      </c>
      <c r="V460" s="1">
        <v>308.0</v>
      </c>
      <c r="W460" s="3" t="s">
        <v>4478</v>
      </c>
      <c r="X460" s="1">
        <v>722344.0</v>
      </c>
      <c r="Y460" s="1" t="s">
        <v>4479</v>
      </c>
      <c r="Z460" s="3" t="s">
        <v>4480</v>
      </c>
      <c r="AA460" s="3" t="s">
        <v>4481</v>
      </c>
      <c r="AB460" s="1">
        <v>2.0</v>
      </c>
      <c r="AC460" s="1" t="s">
        <v>4482</v>
      </c>
      <c r="AD460" s="1">
        <v>17.0</v>
      </c>
      <c r="AE460" s="1">
        <f t="shared" si="5"/>
        <v>435</v>
      </c>
      <c r="AF460" s="1">
        <v>34.0</v>
      </c>
      <c r="AG460" s="1">
        <v>12.0</v>
      </c>
      <c r="AH460" s="1">
        <v>6.0</v>
      </c>
      <c r="AI460" s="1">
        <v>0.0</v>
      </c>
      <c r="AJ460" s="1">
        <v>0.0</v>
      </c>
      <c r="AK460" s="1">
        <v>33.0</v>
      </c>
      <c r="AL460" s="1">
        <v>11.0</v>
      </c>
      <c r="AM460" s="1">
        <v>1.0</v>
      </c>
      <c r="AN460" s="1">
        <v>0.0</v>
      </c>
      <c r="AO460" s="1">
        <v>6.0</v>
      </c>
      <c r="AP460" s="1">
        <v>0.0</v>
      </c>
      <c r="AQ460" s="1">
        <v>1.0</v>
      </c>
    </row>
    <row r="461">
      <c r="A461" s="1"/>
      <c r="B461" s="1">
        <v>37.0</v>
      </c>
      <c r="C461" s="1" t="s">
        <v>4483</v>
      </c>
      <c r="D461" s="1" t="s">
        <v>4484</v>
      </c>
      <c r="E461" s="1" t="s">
        <v>1421</v>
      </c>
      <c r="F461" s="1" t="s">
        <v>43</v>
      </c>
      <c r="G461" s="2">
        <v>30723.0</v>
      </c>
      <c r="H461" s="1" t="s">
        <v>4485</v>
      </c>
      <c r="I461" s="1">
        <v>18.0</v>
      </c>
      <c r="J461" s="1" t="s">
        <v>2336</v>
      </c>
      <c r="K461" s="1">
        <v>3.0</v>
      </c>
      <c r="L461" s="2">
        <v>42907.0</v>
      </c>
      <c r="O461" s="1">
        <v>0.0</v>
      </c>
      <c r="P461" s="1" t="s">
        <v>75</v>
      </c>
      <c r="Q461" s="1" t="s">
        <v>76</v>
      </c>
      <c r="R461" s="1" t="s">
        <v>4486</v>
      </c>
      <c r="U461" s="1" t="s">
        <v>162</v>
      </c>
      <c r="V461" s="1">
        <v>388.0</v>
      </c>
      <c r="W461" s="3" t="s">
        <v>4487</v>
      </c>
      <c r="X461" s="1">
        <v>719052.0</v>
      </c>
      <c r="Y461" s="1" t="s">
        <v>4488</v>
      </c>
      <c r="Z461" s="3" t="s">
        <v>4489</v>
      </c>
      <c r="AA461" s="3" t="s">
        <v>4490</v>
      </c>
      <c r="AB461" s="1">
        <v>1.0</v>
      </c>
      <c r="AC461" s="1" t="s">
        <v>4491</v>
      </c>
      <c r="AD461" s="1">
        <v>17.0</v>
      </c>
      <c r="AE461" s="1">
        <f t="shared" si="5"/>
        <v>435</v>
      </c>
      <c r="AF461" s="1">
        <v>34.0</v>
      </c>
      <c r="AG461" s="1">
        <v>10.0</v>
      </c>
      <c r="AH461" s="1">
        <v>0.0</v>
      </c>
      <c r="AI461" s="1">
        <v>0.0</v>
      </c>
      <c r="AJ461" s="1">
        <v>0.0</v>
      </c>
      <c r="AK461" s="1">
        <v>5.0</v>
      </c>
      <c r="AL461" s="1">
        <v>2.0</v>
      </c>
      <c r="AM461" s="1">
        <v>0.0</v>
      </c>
      <c r="AN461" s="1">
        <v>0.0</v>
      </c>
      <c r="AO461" s="1">
        <v>5.0</v>
      </c>
      <c r="AP461" s="1">
        <v>11.0</v>
      </c>
      <c r="AQ461" s="1">
        <v>0.0</v>
      </c>
    </row>
    <row r="462">
      <c r="A462" s="1"/>
      <c r="B462" s="1">
        <v>265.0</v>
      </c>
      <c r="C462" s="1" t="s">
        <v>4492</v>
      </c>
      <c r="D462" s="1" t="s">
        <v>4493</v>
      </c>
      <c r="E462" s="1" t="s">
        <v>4494</v>
      </c>
      <c r="F462" s="1" t="s">
        <v>58</v>
      </c>
      <c r="G462" s="2">
        <v>17587.0</v>
      </c>
      <c r="H462" s="1" t="s">
        <v>718</v>
      </c>
      <c r="I462" s="1">
        <v>83.0</v>
      </c>
      <c r="J462" s="1" t="s">
        <v>1231</v>
      </c>
      <c r="K462" s="1">
        <v>1.0</v>
      </c>
      <c r="L462" s="2">
        <v>42907.0</v>
      </c>
      <c r="O462" s="1">
        <v>0.0</v>
      </c>
      <c r="P462" s="1" t="s">
        <v>61</v>
      </c>
      <c r="Q462" s="1" t="s">
        <v>62</v>
      </c>
      <c r="R462" s="1" t="s">
        <v>4495</v>
      </c>
      <c r="U462" s="1" t="s">
        <v>4496</v>
      </c>
      <c r="V462" s="1">
        <v>87.0</v>
      </c>
      <c r="W462" s="3" t="s">
        <v>4497</v>
      </c>
      <c r="X462" s="1">
        <v>267378.0</v>
      </c>
      <c r="Y462" s="1" t="s">
        <v>4498</v>
      </c>
      <c r="Z462" s="3" t="s">
        <v>4499</v>
      </c>
      <c r="AA462" s="3" t="s">
        <v>4500</v>
      </c>
      <c r="AB462" s="1">
        <v>2.0</v>
      </c>
      <c r="AC462" s="1" t="s">
        <v>4501</v>
      </c>
      <c r="AD462" s="1">
        <v>17.0</v>
      </c>
      <c r="AE462" s="1">
        <f t="shared" si="5"/>
        <v>435</v>
      </c>
      <c r="AF462" s="1">
        <v>17.0</v>
      </c>
      <c r="AG462" s="1">
        <v>4.0</v>
      </c>
      <c r="AH462" s="1">
        <v>4.0</v>
      </c>
      <c r="AI462" s="1">
        <v>10.0</v>
      </c>
      <c r="AJ462" s="1">
        <v>0.0</v>
      </c>
      <c r="AK462" s="1">
        <v>434.0</v>
      </c>
      <c r="AL462" s="1">
        <v>17.0</v>
      </c>
      <c r="AM462" s="1">
        <v>0.0</v>
      </c>
      <c r="AN462" s="1">
        <v>0.0</v>
      </c>
      <c r="AO462" s="1">
        <v>24.0</v>
      </c>
      <c r="AP462" s="1">
        <v>5.0</v>
      </c>
      <c r="AQ462" s="1">
        <v>2.0</v>
      </c>
    </row>
    <row r="463">
      <c r="A463" s="1"/>
      <c r="B463" s="1">
        <v>531.0</v>
      </c>
      <c r="C463" s="1" t="s">
        <v>4502</v>
      </c>
      <c r="D463" s="1" t="s">
        <v>4503</v>
      </c>
      <c r="E463" s="1" t="s">
        <v>403</v>
      </c>
      <c r="F463" s="1" t="s">
        <v>58</v>
      </c>
      <c r="G463" s="2">
        <v>21806.0</v>
      </c>
      <c r="H463" s="1" t="s">
        <v>4504</v>
      </c>
      <c r="I463" s="1">
        <v>33.0</v>
      </c>
      <c r="J463" s="1" t="s">
        <v>348</v>
      </c>
      <c r="K463" s="1">
        <v>9.0</v>
      </c>
      <c r="L463" s="2">
        <v>42907.0</v>
      </c>
      <c r="O463" s="1">
        <v>0.0</v>
      </c>
      <c r="P463" s="1" t="s">
        <v>280</v>
      </c>
      <c r="Q463" s="1" t="s">
        <v>281</v>
      </c>
      <c r="R463" s="3" t="s">
        <v>4505</v>
      </c>
      <c r="U463" s="1">
        <v>0.0</v>
      </c>
      <c r="V463" s="1">
        <v>256.0</v>
      </c>
      <c r="W463" s="3" t="s">
        <v>4506</v>
      </c>
      <c r="X463" s="1">
        <v>719640.0</v>
      </c>
      <c r="Y463" s="1" t="s">
        <v>4507</v>
      </c>
      <c r="Z463" s="3" t="s">
        <v>4508</v>
      </c>
      <c r="AA463" s="3" t="s">
        <v>4509</v>
      </c>
      <c r="AB463" s="1">
        <v>2.0</v>
      </c>
      <c r="AC463" s="1" t="s">
        <v>4510</v>
      </c>
      <c r="AD463" s="1">
        <v>17.0</v>
      </c>
      <c r="AE463" s="1">
        <f t="shared" si="5"/>
        <v>435</v>
      </c>
      <c r="AF463" s="1">
        <v>38.0</v>
      </c>
      <c r="AG463" s="1">
        <v>20.0</v>
      </c>
      <c r="AH463" s="1">
        <v>14.0</v>
      </c>
      <c r="AI463" s="1">
        <v>6.0</v>
      </c>
      <c r="AJ463" s="1">
        <v>4.0</v>
      </c>
      <c r="AK463" s="1">
        <v>215.0</v>
      </c>
      <c r="AL463" s="1">
        <v>18.0</v>
      </c>
      <c r="AM463" s="1">
        <v>0.0</v>
      </c>
      <c r="AN463" s="1">
        <v>0.0</v>
      </c>
      <c r="AO463" s="1">
        <v>5.0</v>
      </c>
      <c r="AP463" s="1">
        <v>0.0</v>
      </c>
      <c r="AQ463" s="1">
        <v>2.0</v>
      </c>
    </row>
    <row r="464">
      <c r="A464" s="1"/>
      <c r="B464" s="1">
        <v>353.0</v>
      </c>
      <c r="C464" s="1" t="s">
        <v>4511</v>
      </c>
      <c r="D464" s="1" t="s">
        <v>4512</v>
      </c>
      <c r="E464" s="1" t="s">
        <v>4513</v>
      </c>
      <c r="F464" s="1" t="s">
        <v>58</v>
      </c>
      <c r="G464" s="2">
        <v>30224.0</v>
      </c>
      <c r="H464" s="1" t="s">
        <v>3008</v>
      </c>
      <c r="I464" s="1">
        <v>38.0</v>
      </c>
      <c r="J464" s="1" t="s">
        <v>267</v>
      </c>
      <c r="K464" s="1">
        <v>10.0</v>
      </c>
      <c r="L464" s="2">
        <v>42907.0</v>
      </c>
      <c r="O464" s="1">
        <v>0.0</v>
      </c>
      <c r="P464" s="1" t="s">
        <v>75</v>
      </c>
      <c r="Q464" s="1" t="s">
        <v>76</v>
      </c>
      <c r="R464" s="1" t="s">
        <v>4514</v>
      </c>
      <c r="U464" s="1" t="s">
        <v>3925</v>
      </c>
      <c r="V464" s="1">
        <v>279.0</v>
      </c>
      <c r="W464" s="3" t="s">
        <v>4515</v>
      </c>
      <c r="X464" s="1">
        <v>719882.0</v>
      </c>
      <c r="Y464" s="1" t="s">
        <v>4516</v>
      </c>
      <c r="Z464" s="3" t="s">
        <v>4517</v>
      </c>
      <c r="AA464" s="3" t="s">
        <v>4518</v>
      </c>
      <c r="AB464" s="1">
        <v>1.0</v>
      </c>
      <c r="AC464" s="1" t="s">
        <v>4519</v>
      </c>
      <c r="AD464" s="1">
        <v>17.0</v>
      </c>
      <c r="AE464" s="1">
        <f t="shared" si="5"/>
        <v>435</v>
      </c>
      <c r="AF464" s="1">
        <v>24.0</v>
      </c>
      <c r="AG464" s="1">
        <v>1.0</v>
      </c>
      <c r="AH464" s="1">
        <v>2.0</v>
      </c>
      <c r="AI464" s="1">
        <v>0.0</v>
      </c>
      <c r="AJ464" s="1">
        <v>0.0</v>
      </c>
      <c r="AK464" s="1">
        <v>73.0</v>
      </c>
      <c r="AL464" s="1">
        <v>44.0</v>
      </c>
      <c r="AM464" s="1">
        <v>0.0</v>
      </c>
      <c r="AN464" s="1">
        <v>0.0</v>
      </c>
      <c r="AO464" s="1">
        <v>5.0</v>
      </c>
      <c r="AP464" s="1">
        <v>0.0</v>
      </c>
      <c r="AQ464" s="1">
        <v>1.0</v>
      </c>
    </row>
    <row r="465">
      <c r="A465" s="1"/>
      <c r="B465" s="1">
        <v>105.0</v>
      </c>
      <c r="C465" s="1" t="s">
        <v>4520</v>
      </c>
      <c r="D465" s="1" t="s">
        <v>4521</v>
      </c>
      <c r="E465" s="1" t="s">
        <v>1561</v>
      </c>
      <c r="F465" s="1" t="s">
        <v>43</v>
      </c>
      <c r="G465" s="2">
        <v>32170.0</v>
      </c>
      <c r="H465" s="1" t="s">
        <v>4522</v>
      </c>
      <c r="I465" s="1">
        <v>72.0</v>
      </c>
      <c r="J465" s="1" t="s">
        <v>2494</v>
      </c>
      <c r="K465" s="1">
        <v>1.0</v>
      </c>
      <c r="L465" s="2">
        <v>42907.0</v>
      </c>
      <c r="O465" s="1">
        <v>0.0</v>
      </c>
      <c r="P465" s="1" t="s">
        <v>75</v>
      </c>
      <c r="Q465" s="1" t="s">
        <v>76</v>
      </c>
      <c r="R465" s="1" t="s">
        <v>4523</v>
      </c>
      <c r="U465" s="1" t="s">
        <v>967</v>
      </c>
      <c r="V465" s="1">
        <v>303.0</v>
      </c>
      <c r="W465" s="3" t="s">
        <v>4524</v>
      </c>
      <c r="X465" s="1">
        <v>721372.0</v>
      </c>
      <c r="Y465" s="1" t="s">
        <v>4525</v>
      </c>
      <c r="Z465" s="3" t="s">
        <v>4526</v>
      </c>
      <c r="AA465" s="3" t="s">
        <v>4527</v>
      </c>
      <c r="AB465" s="1">
        <v>1.0</v>
      </c>
      <c r="AC465" s="1" t="s">
        <v>4528</v>
      </c>
      <c r="AD465" s="1">
        <v>17.0</v>
      </c>
      <c r="AE465" s="1">
        <f t="shared" si="5"/>
        <v>435</v>
      </c>
      <c r="AF465" s="1">
        <v>35.0</v>
      </c>
      <c r="AG465" s="1">
        <v>19.0</v>
      </c>
      <c r="AH465" s="1">
        <v>12.0</v>
      </c>
      <c r="AI465" s="1">
        <v>3.0</v>
      </c>
      <c r="AJ465" s="1">
        <v>1.0</v>
      </c>
      <c r="AK465" s="1">
        <v>73.0</v>
      </c>
      <c r="AL465" s="1">
        <v>42.0</v>
      </c>
      <c r="AM465" s="1">
        <v>1.0</v>
      </c>
      <c r="AN465" s="1">
        <v>0.0</v>
      </c>
      <c r="AO465" s="1">
        <v>6.0</v>
      </c>
      <c r="AP465" s="1">
        <v>9.0</v>
      </c>
      <c r="AQ465" s="1">
        <v>1.0</v>
      </c>
    </row>
    <row r="466">
      <c r="A466" s="1"/>
      <c r="B466" s="1">
        <v>160.0</v>
      </c>
      <c r="C466" s="1" t="s">
        <v>4529</v>
      </c>
      <c r="D466" s="1" t="s">
        <v>4530</v>
      </c>
      <c r="E466" s="1" t="s">
        <v>3056</v>
      </c>
      <c r="F466" s="1" t="s">
        <v>43</v>
      </c>
      <c r="G466" s="2">
        <v>24029.0</v>
      </c>
      <c r="H466" s="1" t="s">
        <v>404</v>
      </c>
      <c r="I466" s="1">
        <v>31.0</v>
      </c>
      <c r="J466" s="1" t="s">
        <v>360</v>
      </c>
      <c r="K466" s="1">
        <v>5.0</v>
      </c>
      <c r="L466" s="2">
        <v>42907.0</v>
      </c>
      <c r="O466" s="1">
        <v>0.0</v>
      </c>
      <c r="P466" s="1" t="s">
        <v>75</v>
      </c>
      <c r="Q466" s="1" t="s">
        <v>76</v>
      </c>
      <c r="R466" s="1" t="s">
        <v>4531</v>
      </c>
      <c r="U466" s="1" t="s">
        <v>4532</v>
      </c>
      <c r="V466" s="1">
        <v>645.0</v>
      </c>
      <c r="W466" s="3" t="s">
        <v>4533</v>
      </c>
      <c r="X466" s="1">
        <v>719528.0</v>
      </c>
      <c r="Y466" s="1" t="s">
        <v>4534</v>
      </c>
      <c r="Z466" s="3" t="s">
        <v>4535</v>
      </c>
      <c r="AA466" s="3" t="s">
        <v>4536</v>
      </c>
      <c r="AB466" s="1">
        <v>1.0</v>
      </c>
      <c r="AC466" s="1" t="s">
        <v>4537</v>
      </c>
      <c r="AD466" s="1">
        <v>17.0</v>
      </c>
      <c r="AE466" s="1">
        <f t="shared" si="5"/>
        <v>435</v>
      </c>
      <c r="AF466" s="1">
        <v>23.0</v>
      </c>
      <c r="AG466" s="1">
        <v>0.0</v>
      </c>
      <c r="AH466" s="1">
        <v>0.0</v>
      </c>
      <c r="AI466" s="1">
        <v>0.0</v>
      </c>
      <c r="AJ466" s="1">
        <v>0.0</v>
      </c>
      <c r="AK466" s="1">
        <v>29.0</v>
      </c>
      <c r="AL466" s="1">
        <v>7.0</v>
      </c>
      <c r="AM466" s="1">
        <v>0.0</v>
      </c>
      <c r="AN466" s="1">
        <v>0.0</v>
      </c>
      <c r="AO466" s="1">
        <v>5.0</v>
      </c>
      <c r="AP466" s="1">
        <v>3.0</v>
      </c>
      <c r="AQ466" s="1">
        <v>0.0</v>
      </c>
    </row>
    <row r="467">
      <c r="A467" s="1"/>
      <c r="B467" s="1">
        <v>312.0</v>
      </c>
      <c r="C467" s="1" t="s">
        <v>4538</v>
      </c>
      <c r="D467" s="1" t="s">
        <v>4539</v>
      </c>
      <c r="E467" s="1" t="s">
        <v>3047</v>
      </c>
      <c r="F467" s="1" t="s">
        <v>43</v>
      </c>
      <c r="G467" s="2">
        <v>18214.0</v>
      </c>
      <c r="H467" s="1" t="s">
        <v>4540</v>
      </c>
      <c r="I467" s="1">
        <v>67.0</v>
      </c>
      <c r="J467" s="1" t="s">
        <v>244</v>
      </c>
      <c r="K467" s="1">
        <v>8.0</v>
      </c>
      <c r="L467" s="2">
        <v>42907.0</v>
      </c>
      <c r="O467" s="1">
        <v>0.0</v>
      </c>
      <c r="P467" s="1" t="s">
        <v>61</v>
      </c>
      <c r="Q467" s="1" t="s">
        <v>62</v>
      </c>
      <c r="R467" s="3" t="s">
        <v>4541</v>
      </c>
      <c r="U467" s="1" t="s">
        <v>4542</v>
      </c>
      <c r="V467" s="1">
        <v>77.0</v>
      </c>
      <c r="W467" s="3" t="s">
        <v>4543</v>
      </c>
      <c r="X467" s="1">
        <v>266776.0</v>
      </c>
      <c r="Y467" s="1" t="s">
        <v>4544</v>
      </c>
      <c r="Z467" s="3" t="s">
        <v>4545</v>
      </c>
      <c r="AA467" s="3" t="s">
        <v>4546</v>
      </c>
      <c r="AB467" s="1">
        <v>1.0</v>
      </c>
      <c r="AD467" s="1">
        <v>17.0</v>
      </c>
      <c r="AE467" s="1">
        <f t="shared" si="5"/>
        <v>435</v>
      </c>
      <c r="AF467" s="1">
        <v>46.0</v>
      </c>
      <c r="AG467" s="1">
        <v>51.0</v>
      </c>
      <c r="AH467" s="1">
        <v>36.0</v>
      </c>
      <c r="AI467" s="1">
        <v>63.0</v>
      </c>
      <c r="AJ467" s="1">
        <v>23.0</v>
      </c>
      <c r="AK467" s="1">
        <v>823.0</v>
      </c>
      <c r="AL467" s="1">
        <v>33.0</v>
      </c>
      <c r="AM467" s="1">
        <v>1.0</v>
      </c>
      <c r="AN467" s="1">
        <v>0.0</v>
      </c>
      <c r="AO467" s="1">
        <v>31.0</v>
      </c>
      <c r="AP467" s="1">
        <v>9.0</v>
      </c>
      <c r="AQ467" s="1">
        <v>1.0</v>
      </c>
    </row>
    <row r="468">
      <c r="A468" s="1"/>
      <c r="B468" s="1">
        <v>148.0</v>
      </c>
      <c r="C468" s="1" t="s">
        <v>4547</v>
      </c>
      <c r="D468" s="1" t="s">
        <v>4548</v>
      </c>
      <c r="E468" s="1" t="s">
        <v>4549</v>
      </c>
      <c r="F468" s="1" t="s">
        <v>58</v>
      </c>
      <c r="G468" s="2">
        <v>28480.0</v>
      </c>
      <c r="H468" s="1" t="s">
        <v>4550</v>
      </c>
      <c r="I468" s="1">
        <v>34.0</v>
      </c>
      <c r="J468" s="1" t="s">
        <v>1252</v>
      </c>
      <c r="K468" s="1">
        <v>2.0</v>
      </c>
      <c r="L468" s="2">
        <v>42907.0</v>
      </c>
      <c r="O468" s="1">
        <v>0.0</v>
      </c>
      <c r="P468" s="1" t="s">
        <v>173</v>
      </c>
      <c r="Q468" s="1" t="s">
        <v>174</v>
      </c>
      <c r="R468" s="1" t="s">
        <v>4551</v>
      </c>
      <c r="U468" s="1" t="s">
        <v>3601</v>
      </c>
      <c r="V468" s="1">
        <v>620.0</v>
      </c>
      <c r="W468" s="3" t="s">
        <v>4552</v>
      </c>
      <c r="X468" s="1">
        <v>719676.0</v>
      </c>
      <c r="Y468" s="1" t="s">
        <v>4553</v>
      </c>
      <c r="Z468" s="3" t="s">
        <v>4554</v>
      </c>
      <c r="AA468" s="3" t="s">
        <v>4555</v>
      </c>
      <c r="AB468" s="1">
        <v>1.0</v>
      </c>
      <c r="AC468" s="1" t="s">
        <v>4556</v>
      </c>
      <c r="AD468" s="1">
        <v>17.0</v>
      </c>
      <c r="AE468" s="1">
        <f t="shared" si="5"/>
        <v>435</v>
      </c>
      <c r="AF468" s="1">
        <v>22.0</v>
      </c>
      <c r="AG468" s="1">
        <v>8.0</v>
      </c>
      <c r="AH468" s="1">
        <v>27.0</v>
      </c>
      <c r="AI468" s="1">
        <v>32.0</v>
      </c>
      <c r="AJ468" s="1">
        <v>133.0</v>
      </c>
      <c r="AK468" s="1">
        <v>2062.0</v>
      </c>
      <c r="AL468" s="1">
        <v>32.0</v>
      </c>
      <c r="AM468" s="1">
        <v>0.0</v>
      </c>
      <c r="AN468" s="1">
        <v>0.0</v>
      </c>
      <c r="AO468" s="1">
        <v>12.0</v>
      </c>
      <c r="AP468" s="1">
        <v>14.0</v>
      </c>
      <c r="AQ468" s="1">
        <v>1.0</v>
      </c>
    </row>
    <row r="469">
      <c r="A469" s="1"/>
      <c r="B469" s="1">
        <v>194.0</v>
      </c>
      <c r="C469" s="1" t="s">
        <v>4557</v>
      </c>
      <c r="D469" s="1" t="s">
        <v>4558</v>
      </c>
      <c r="E469" s="1" t="s">
        <v>4559</v>
      </c>
      <c r="F469" s="1" t="s">
        <v>58</v>
      </c>
      <c r="G469" s="2">
        <v>30820.0</v>
      </c>
      <c r="H469" s="1" t="s">
        <v>1761</v>
      </c>
      <c r="I469" s="1">
        <v>92.0</v>
      </c>
      <c r="J469" s="1" t="s">
        <v>781</v>
      </c>
      <c r="K469" s="1">
        <v>11.0</v>
      </c>
      <c r="L469" s="2">
        <v>42907.0</v>
      </c>
      <c r="O469" s="1">
        <v>0.0</v>
      </c>
      <c r="P469" s="1" t="s">
        <v>75</v>
      </c>
      <c r="Q469" s="1" t="s">
        <v>76</v>
      </c>
      <c r="R469" s="1" t="s">
        <v>4560</v>
      </c>
      <c r="U469" s="1" t="s">
        <v>2940</v>
      </c>
      <c r="V469" s="1">
        <v>441.0</v>
      </c>
      <c r="W469" s="3" t="s">
        <v>4561</v>
      </c>
      <c r="X469" s="1">
        <v>721600.0</v>
      </c>
      <c r="Y469" s="1" t="s">
        <v>4562</v>
      </c>
      <c r="Z469" s="3" t="s">
        <v>4563</v>
      </c>
      <c r="AA469" s="3" t="s">
        <v>4564</v>
      </c>
      <c r="AB469" s="1">
        <v>1.0</v>
      </c>
      <c r="AC469" s="1" t="s">
        <v>4565</v>
      </c>
      <c r="AD469" s="1">
        <v>17.0</v>
      </c>
      <c r="AE469" s="1">
        <f t="shared" si="5"/>
        <v>435</v>
      </c>
      <c r="AF469" s="1">
        <v>18.0</v>
      </c>
      <c r="AG469" s="1">
        <v>28.0</v>
      </c>
      <c r="AH469" s="1">
        <v>17.0</v>
      </c>
      <c r="AI469" s="1">
        <v>10.0</v>
      </c>
      <c r="AJ469" s="1">
        <v>7.0</v>
      </c>
      <c r="AK469" s="1">
        <v>109.0</v>
      </c>
      <c r="AL469" s="1">
        <v>51.0</v>
      </c>
      <c r="AM469" s="1">
        <v>1.0</v>
      </c>
      <c r="AN469" s="1">
        <v>0.0</v>
      </c>
      <c r="AO469" s="1">
        <v>8.0</v>
      </c>
      <c r="AP469" s="1">
        <v>5.0</v>
      </c>
      <c r="AQ469" s="1">
        <v>2.0</v>
      </c>
    </row>
    <row r="470">
      <c r="A470" s="1"/>
      <c r="B470" s="1">
        <v>193.0</v>
      </c>
      <c r="C470" s="1" t="s">
        <v>4566</v>
      </c>
      <c r="D470" s="1" t="s">
        <v>4567</v>
      </c>
      <c r="E470" s="1" t="s">
        <v>4568</v>
      </c>
      <c r="F470" s="1" t="s">
        <v>43</v>
      </c>
      <c r="G470" s="2">
        <v>30421.0</v>
      </c>
      <c r="H470" s="1" t="s">
        <v>4569</v>
      </c>
      <c r="I470" s="1">
        <v>999.0</v>
      </c>
      <c r="J470" s="1" t="s">
        <v>256</v>
      </c>
      <c r="K470" s="1">
        <v>6.0</v>
      </c>
      <c r="L470" s="2">
        <v>42907.0</v>
      </c>
      <c r="O470" s="1">
        <v>0.0</v>
      </c>
      <c r="P470" s="1" t="s">
        <v>75</v>
      </c>
      <c r="Q470" s="1" t="s">
        <v>76</v>
      </c>
      <c r="R470" s="1" t="s">
        <v>4570</v>
      </c>
      <c r="U470" s="1" t="s">
        <v>151</v>
      </c>
      <c r="V470" s="1">
        <v>564.0</v>
      </c>
      <c r="W470" s="3" t="s">
        <v>4571</v>
      </c>
      <c r="X470" s="1">
        <v>721174.0</v>
      </c>
      <c r="Y470" s="1" t="s">
        <v>4572</v>
      </c>
      <c r="Z470" s="3" t="s">
        <v>4573</v>
      </c>
      <c r="AA470" s="3" t="s">
        <v>4574</v>
      </c>
      <c r="AB470" s="1">
        <v>1.0</v>
      </c>
      <c r="AC470" s="1" t="s">
        <v>4575</v>
      </c>
      <c r="AD470" s="1">
        <v>17.0</v>
      </c>
      <c r="AE470" s="1">
        <f t="shared" si="5"/>
        <v>435</v>
      </c>
      <c r="AF470" s="1">
        <v>24.0</v>
      </c>
      <c r="AG470" s="1">
        <v>9.0</v>
      </c>
      <c r="AH470" s="1">
        <v>8.0</v>
      </c>
      <c r="AI470" s="1">
        <v>4.0</v>
      </c>
      <c r="AJ470" s="1">
        <v>1.0</v>
      </c>
      <c r="AK470" s="1">
        <v>26.0</v>
      </c>
      <c r="AL470" s="1">
        <v>13.0</v>
      </c>
      <c r="AM470" s="1">
        <v>0.0</v>
      </c>
      <c r="AN470" s="1">
        <v>1.0</v>
      </c>
      <c r="AO470" s="1">
        <v>5.0</v>
      </c>
      <c r="AP470" s="1">
        <v>2.0</v>
      </c>
      <c r="AQ470" s="1">
        <v>1.0</v>
      </c>
    </row>
    <row r="471">
      <c r="A471" s="1"/>
      <c r="B471" s="1">
        <v>21.0</v>
      </c>
      <c r="C471" s="1" t="s">
        <v>4576</v>
      </c>
      <c r="D471" s="1" t="s">
        <v>4577</v>
      </c>
      <c r="E471" s="1" t="s">
        <v>2982</v>
      </c>
      <c r="F471" s="1" t="s">
        <v>43</v>
      </c>
      <c r="G471" s="2">
        <v>23870.0</v>
      </c>
      <c r="H471" s="1" t="s">
        <v>4578</v>
      </c>
      <c r="I471" s="1">
        <v>50.0</v>
      </c>
      <c r="J471" s="1" t="s">
        <v>2472</v>
      </c>
      <c r="K471" s="1">
        <v>2.0</v>
      </c>
      <c r="L471" s="2">
        <v>42907.0</v>
      </c>
      <c r="O471" s="1">
        <v>0.0</v>
      </c>
      <c r="P471" s="1" t="s">
        <v>75</v>
      </c>
      <c r="Q471" s="1" t="s">
        <v>76</v>
      </c>
      <c r="R471" s="1" t="s">
        <v>4579</v>
      </c>
      <c r="U471" s="1" t="s">
        <v>4580</v>
      </c>
      <c r="V471" s="1">
        <v>559.0</v>
      </c>
      <c r="W471" s="3" t="s">
        <v>4581</v>
      </c>
      <c r="X471" s="1">
        <v>720190.0</v>
      </c>
      <c r="Y471" s="1" t="s">
        <v>4582</v>
      </c>
      <c r="Z471" s="3" t="s">
        <v>4583</v>
      </c>
      <c r="AA471" s="3" t="s">
        <v>4584</v>
      </c>
      <c r="AB471" s="1">
        <v>2.0</v>
      </c>
      <c r="AC471" s="1" t="s">
        <v>4585</v>
      </c>
      <c r="AD471" s="1">
        <v>17.0</v>
      </c>
      <c r="AE471" s="1">
        <f t="shared" si="5"/>
        <v>435</v>
      </c>
      <c r="AF471" s="1">
        <v>34.0</v>
      </c>
      <c r="AG471" s="1">
        <v>33.0</v>
      </c>
      <c r="AH471" s="1">
        <v>12.0</v>
      </c>
      <c r="AI471" s="1">
        <v>6.0</v>
      </c>
      <c r="AJ471" s="1">
        <v>2.0</v>
      </c>
      <c r="AK471" s="1">
        <v>66.0</v>
      </c>
      <c r="AL471" s="1">
        <v>17.0</v>
      </c>
      <c r="AM471" s="1">
        <v>1.0</v>
      </c>
      <c r="AN471" s="1">
        <v>0.0</v>
      </c>
      <c r="AO471" s="1">
        <v>6.0</v>
      </c>
      <c r="AP471" s="1">
        <v>21.0</v>
      </c>
      <c r="AQ471" s="1">
        <v>3.0</v>
      </c>
    </row>
    <row r="472">
      <c r="A472" s="1"/>
      <c r="B472" s="1">
        <v>381.0</v>
      </c>
      <c r="C472" s="1" t="s">
        <v>4586</v>
      </c>
      <c r="D472" s="1" t="s">
        <v>4587</v>
      </c>
      <c r="E472" s="1" t="s">
        <v>2503</v>
      </c>
      <c r="F472" s="1" t="s">
        <v>58</v>
      </c>
      <c r="G472" s="2">
        <v>22916.0</v>
      </c>
      <c r="H472" s="1" t="s">
        <v>4588</v>
      </c>
      <c r="I472" s="1">
        <v>27.0</v>
      </c>
      <c r="J472" s="1" t="s">
        <v>2698</v>
      </c>
      <c r="K472" s="1">
        <v>3.0</v>
      </c>
      <c r="L472" s="2">
        <v>42907.0</v>
      </c>
      <c r="O472" s="1">
        <v>0.0</v>
      </c>
      <c r="P472" s="1" t="s">
        <v>75</v>
      </c>
      <c r="Q472" s="1" t="s">
        <v>76</v>
      </c>
      <c r="R472" s="1" t="s">
        <v>4589</v>
      </c>
      <c r="U472" s="1" t="s">
        <v>151</v>
      </c>
      <c r="V472" s="1">
        <v>224.0</v>
      </c>
      <c r="W472" s="3" t="s">
        <v>4590</v>
      </c>
      <c r="X472" s="1">
        <v>719350.0</v>
      </c>
      <c r="Y472" s="1" t="s">
        <v>4591</v>
      </c>
      <c r="Z472" s="3" t="s">
        <v>4592</v>
      </c>
      <c r="AA472" s="3" t="s">
        <v>4593</v>
      </c>
      <c r="AB472" s="1">
        <v>1.0</v>
      </c>
      <c r="AC472" s="1" t="s">
        <v>4594</v>
      </c>
      <c r="AD472" s="1">
        <v>17.0</v>
      </c>
      <c r="AE472" s="1">
        <f t="shared" si="5"/>
        <v>435</v>
      </c>
      <c r="AF472" s="1">
        <v>37.0</v>
      </c>
      <c r="AG472" s="1">
        <v>14.0</v>
      </c>
      <c r="AH472" s="1">
        <v>5.0</v>
      </c>
      <c r="AI472" s="1">
        <v>0.0</v>
      </c>
      <c r="AJ472" s="1">
        <v>0.0</v>
      </c>
      <c r="AK472" s="1">
        <v>62.0</v>
      </c>
      <c r="AL472" s="1">
        <v>25.0</v>
      </c>
      <c r="AM472" s="1">
        <v>1.0</v>
      </c>
      <c r="AN472" s="1">
        <v>0.0</v>
      </c>
      <c r="AO472" s="1">
        <v>7.0</v>
      </c>
      <c r="AP472" s="1">
        <v>3.0</v>
      </c>
      <c r="AQ472" s="1">
        <v>1.0</v>
      </c>
    </row>
    <row r="473">
      <c r="A473" s="1"/>
      <c r="B473" s="1">
        <v>248.0</v>
      </c>
      <c r="C473" s="1" t="s">
        <v>4595</v>
      </c>
      <c r="D473" s="1" t="s">
        <v>4596</v>
      </c>
      <c r="E473" s="1" t="s">
        <v>4597</v>
      </c>
      <c r="F473" s="1" t="s">
        <v>43</v>
      </c>
      <c r="G473" s="2">
        <v>24541.0</v>
      </c>
      <c r="H473" s="1" t="s">
        <v>4598</v>
      </c>
      <c r="I473" s="1">
        <v>75.0</v>
      </c>
      <c r="J473" s="1" t="s">
        <v>232</v>
      </c>
      <c r="K473" s="1">
        <v>9.0</v>
      </c>
      <c r="L473" s="2">
        <v>42907.0</v>
      </c>
      <c r="O473" s="1">
        <v>0.0</v>
      </c>
      <c r="P473" s="1" t="s">
        <v>75</v>
      </c>
      <c r="Q473" s="1" t="s">
        <v>76</v>
      </c>
      <c r="R473" s="1" t="s">
        <v>4599</v>
      </c>
      <c r="U473" s="1" t="s">
        <v>2484</v>
      </c>
      <c r="V473" s="1">
        <v>465.0</v>
      </c>
      <c r="W473" s="3" t="s">
        <v>4600</v>
      </c>
      <c r="X473" s="1">
        <v>721690.0</v>
      </c>
      <c r="Y473" s="1" t="s">
        <v>4601</v>
      </c>
      <c r="Z473" s="3" t="s">
        <v>4602</v>
      </c>
      <c r="AA473" s="3" t="s">
        <v>4603</v>
      </c>
      <c r="AB473" s="1">
        <v>2.0</v>
      </c>
      <c r="AC473" s="1" t="s">
        <v>4604</v>
      </c>
      <c r="AD473" s="1">
        <v>17.0</v>
      </c>
      <c r="AE473" s="1">
        <f t="shared" si="5"/>
        <v>435</v>
      </c>
      <c r="AF473" s="1">
        <v>26.0</v>
      </c>
      <c r="AG473" s="1">
        <v>13.0</v>
      </c>
      <c r="AH473" s="1">
        <v>10.0</v>
      </c>
      <c r="AI473" s="1">
        <v>1.0</v>
      </c>
      <c r="AJ473" s="1">
        <v>3.0</v>
      </c>
      <c r="AK473" s="1">
        <v>80.0</v>
      </c>
      <c r="AL473" s="1">
        <v>44.0</v>
      </c>
      <c r="AM473" s="1">
        <v>1.0</v>
      </c>
      <c r="AN473" s="1">
        <v>0.0</v>
      </c>
      <c r="AO473" s="1">
        <v>5.0</v>
      </c>
      <c r="AP473" s="1">
        <v>6.0</v>
      </c>
      <c r="AQ473" s="1">
        <v>1.0</v>
      </c>
    </row>
    <row r="474">
      <c r="A474" s="1"/>
      <c r="B474" s="1">
        <v>191.0</v>
      </c>
      <c r="C474" s="1" t="s">
        <v>4605</v>
      </c>
      <c r="D474" s="1" t="s">
        <v>4606</v>
      </c>
      <c r="E474" s="1" t="s">
        <v>1540</v>
      </c>
      <c r="F474" s="1" t="s">
        <v>43</v>
      </c>
      <c r="G474" s="2">
        <v>24968.0</v>
      </c>
      <c r="H474" s="1" t="s">
        <v>4607</v>
      </c>
      <c r="I474" s="1">
        <v>93.0</v>
      </c>
      <c r="J474" s="1" t="s">
        <v>196</v>
      </c>
      <c r="K474" s="1">
        <v>12.0</v>
      </c>
      <c r="L474" s="2">
        <v>42907.0</v>
      </c>
      <c r="O474" s="1">
        <v>0.0</v>
      </c>
      <c r="P474" s="1" t="s">
        <v>75</v>
      </c>
      <c r="Q474" s="1" t="s">
        <v>76</v>
      </c>
      <c r="R474" s="1" t="s">
        <v>4608</v>
      </c>
      <c r="U474" s="1" t="s">
        <v>4609</v>
      </c>
      <c r="V474" s="1">
        <v>380.0</v>
      </c>
      <c r="W474" s="3" t="s">
        <v>4610</v>
      </c>
      <c r="X474" s="1">
        <v>720854.0</v>
      </c>
      <c r="Y474" s="1" t="s">
        <v>4611</v>
      </c>
      <c r="Z474" s="3" t="s">
        <v>4612</v>
      </c>
      <c r="AA474" s="3" t="s">
        <v>4613</v>
      </c>
      <c r="AB474" s="1">
        <v>1.0</v>
      </c>
      <c r="AD474" s="1">
        <v>17.0</v>
      </c>
      <c r="AE474" s="1">
        <f t="shared" si="5"/>
        <v>435</v>
      </c>
      <c r="AF474" s="1">
        <v>35.0</v>
      </c>
      <c r="AG474" s="1">
        <v>21.0</v>
      </c>
      <c r="AH474" s="1">
        <v>16.0</v>
      </c>
      <c r="AI474" s="1">
        <v>0.0</v>
      </c>
      <c r="AJ474" s="1">
        <v>2.0</v>
      </c>
      <c r="AK474" s="1">
        <v>68.0</v>
      </c>
      <c r="AL474" s="1">
        <v>19.0</v>
      </c>
      <c r="AM474" s="1">
        <v>0.0</v>
      </c>
      <c r="AN474" s="1">
        <v>0.0</v>
      </c>
      <c r="AO474" s="1">
        <v>7.0</v>
      </c>
      <c r="AP474" s="1">
        <v>26.0</v>
      </c>
      <c r="AQ474" s="1">
        <v>1.0</v>
      </c>
    </row>
    <row r="475">
      <c r="A475" s="1"/>
      <c r="B475" s="1">
        <v>479.0</v>
      </c>
      <c r="C475" s="1" t="s">
        <v>4614</v>
      </c>
      <c r="D475" s="1" t="s">
        <v>4615</v>
      </c>
      <c r="E475" s="1" t="s">
        <v>4616</v>
      </c>
      <c r="F475" s="1" t="s">
        <v>43</v>
      </c>
      <c r="G475" s="2">
        <v>22871.0</v>
      </c>
      <c r="H475" s="1" t="s">
        <v>4617</v>
      </c>
      <c r="I475" s="1">
        <v>91.0</v>
      </c>
      <c r="J475" s="1" t="s">
        <v>610</v>
      </c>
      <c r="K475" s="1">
        <v>1.0</v>
      </c>
      <c r="L475" s="2">
        <v>42907.0</v>
      </c>
      <c r="O475" s="1">
        <v>0.0</v>
      </c>
      <c r="P475" s="1" t="s">
        <v>75</v>
      </c>
      <c r="Q475" s="1" t="s">
        <v>76</v>
      </c>
      <c r="R475" s="1" t="s">
        <v>4618</v>
      </c>
      <c r="U475" s="1" t="s">
        <v>839</v>
      </c>
      <c r="V475" s="1">
        <v>339.0</v>
      </c>
      <c r="W475" s="3" t="s">
        <v>4619</v>
      </c>
      <c r="X475" s="1">
        <v>267622.0</v>
      </c>
      <c r="Y475" s="1" t="s">
        <v>4620</v>
      </c>
      <c r="Z475" s="3" t="s">
        <v>4621</v>
      </c>
      <c r="AA475" s="3" t="s">
        <v>4622</v>
      </c>
      <c r="AB475" s="1">
        <v>2.0</v>
      </c>
      <c r="AC475" s="1" t="s">
        <v>4623</v>
      </c>
      <c r="AD475" s="1">
        <v>17.0</v>
      </c>
      <c r="AE475" s="1">
        <f t="shared" si="5"/>
        <v>435</v>
      </c>
      <c r="AF475" s="1">
        <v>26.0</v>
      </c>
      <c r="AG475" s="1">
        <v>3.0</v>
      </c>
      <c r="AH475" s="1">
        <v>26.0</v>
      </c>
      <c r="AI475" s="1">
        <v>22.0</v>
      </c>
      <c r="AJ475" s="1">
        <v>0.0</v>
      </c>
      <c r="AK475" s="1">
        <v>63.0</v>
      </c>
      <c r="AL475" s="1">
        <v>26.0</v>
      </c>
      <c r="AM475" s="1">
        <v>0.0</v>
      </c>
      <c r="AN475" s="1">
        <v>0.0</v>
      </c>
      <c r="AO475" s="1">
        <v>5.0</v>
      </c>
      <c r="AP475" s="1">
        <v>5.0</v>
      </c>
      <c r="AQ475" s="1">
        <v>0.0</v>
      </c>
    </row>
    <row r="476">
      <c r="A476" s="1"/>
      <c r="B476" s="1">
        <v>44.0</v>
      </c>
      <c r="C476" s="1" t="s">
        <v>4624</v>
      </c>
      <c r="D476" s="1" t="s">
        <v>4625</v>
      </c>
      <c r="E476" s="1" t="s">
        <v>866</v>
      </c>
      <c r="F476" s="1" t="s">
        <v>43</v>
      </c>
      <c r="G476" s="2">
        <v>24705.0</v>
      </c>
      <c r="H476" s="1" t="s">
        <v>975</v>
      </c>
      <c r="I476" s="1">
        <v>60.0</v>
      </c>
      <c r="J476" s="1" t="s">
        <v>769</v>
      </c>
      <c r="K476" s="1">
        <v>5.0</v>
      </c>
      <c r="L476" s="2">
        <v>42907.0</v>
      </c>
      <c r="O476" s="1">
        <v>0.0</v>
      </c>
      <c r="P476" s="1" t="s">
        <v>61</v>
      </c>
      <c r="Q476" s="1" t="s">
        <v>62</v>
      </c>
      <c r="R476" s="3" t="s">
        <v>4626</v>
      </c>
      <c r="U476" s="1" t="s">
        <v>1086</v>
      </c>
      <c r="V476" s="1">
        <v>31.0</v>
      </c>
      <c r="W476" s="3" t="s">
        <v>4627</v>
      </c>
      <c r="X476" s="1">
        <v>720586.0</v>
      </c>
      <c r="Y476" s="1" t="s">
        <v>4628</v>
      </c>
      <c r="Z476" s="3" t="s">
        <v>4629</v>
      </c>
      <c r="AA476" s="3" t="s">
        <v>4630</v>
      </c>
      <c r="AB476" s="1">
        <v>1.0</v>
      </c>
      <c r="AD476" s="1">
        <v>17.0</v>
      </c>
      <c r="AE476" s="1">
        <f t="shared" si="5"/>
        <v>435</v>
      </c>
      <c r="AF476" s="1">
        <v>22.0</v>
      </c>
      <c r="AG476" s="1">
        <v>4.0</v>
      </c>
      <c r="AH476" s="1">
        <v>9.0</v>
      </c>
      <c r="AI476" s="1">
        <v>4.0</v>
      </c>
      <c r="AJ476" s="1">
        <v>9.0</v>
      </c>
      <c r="AK476" s="1">
        <v>410.0</v>
      </c>
      <c r="AL476" s="1">
        <v>16.0</v>
      </c>
      <c r="AM476" s="1">
        <v>0.0</v>
      </c>
      <c r="AN476" s="1">
        <v>0.0</v>
      </c>
      <c r="AO476" s="1">
        <v>35.0</v>
      </c>
      <c r="AP476" s="1">
        <v>15.0</v>
      </c>
      <c r="AQ476" s="1">
        <v>1.0</v>
      </c>
    </row>
    <row r="477">
      <c r="A477" s="1"/>
      <c r="B477" s="1">
        <v>133.0</v>
      </c>
      <c r="C477" s="1" t="s">
        <v>4631</v>
      </c>
      <c r="D477" s="1" t="s">
        <v>4632</v>
      </c>
      <c r="E477" s="1" t="s">
        <v>4633</v>
      </c>
      <c r="F477" s="1" t="s">
        <v>58</v>
      </c>
      <c r="G477" s="2">
        <v>27918.0</v>
      </c>
      <c r="H477" s="1" t="s">
        <v>4634</v>
      </c>
      <c r="I477" s="1">
        <v>6.0</v>
      </c>
      <c r="J477" s="1" t="s">
        <v>438</v>
      </c>
      <c r="K477" s="1">
        <v>4.0</v>
      </c>
      <c r="L477" s="2">
        <v>42907.0</v>
      </c>
      <c r="O477" s="1">
        <v>0.0</v>
      </c>
      <c r="P477" s="1" t="s">
        <v>75</v>
      </c>
      <c r="Q477" s="1" t="s">
        <v>76</v>
      </c>
      <c r="R477" s="1" t="s">
        <v>4635</v>
      </c>
      <c r="U477" s="1" t="s">
        <v>4636</v>
      </c>
      <c r="V477" s="1">
        <v>451.0</v>
      </c>
      <c r="W477" s="3" t="s">
        <v>4637</v>
      </c>
      <c r="X477" s="1">
        <v>718768.0</v>
      </c>
      <c r="Y477" s="1" t="s">
        <v>4638</v>
      </c>
      <c r="Z477" s="3" t="s">
        <v>4639</v>
      </c>
      <c r="AA477" s="3" t="s">
        <v>4640</v>
      </c>
      <c r="AB477" s="1">
        <v>1.0</v>
      </c>
      <c r="AC477" s="1" t="s">
        <v>4641</v>
      </c>
      <c r="AD477" s="1">
        <v>16.0</v>
      </c>
      <c r="AE477" s="1">
        <f t="shared" si="5"/>
        <v>436</v>
      </c>
      <c r="AF477" s="1">
        <v>21.0</v>
      </c>
      <c r="AG477" s="1">
        <v>5.0</v>
      </c>
      <c r="AH477" s="1">
        <v>2.0</v>
      </c>
      <c r="AI477" s="1">
        <v>2.0</v>
      </c>
      <c r="AJ477" s="1">
        <v>4.0</v>
      </c>
      <c r="AK477" s="1">
        <v>28.0</v>
      </c>
      <c r="AL477" s="1">
        <v>1.0</v>
      </c>
      <c r="AM477" s="1">
        <v>0.0</v>
      </c>
      <c r="AN477" s="1">
        <v>0.0</v>
      </c>
      <c r="AO477" s="1">
        <v>5.0</v>
      </c>
      <c r="AP477" s="1">
        <v>9.0</v>
      </c>
      <c r="AQ477" s="1">
        <v>0.0</v>
      </c>
    </row>
    <row r="478">
      <c r="A478" s="1"/>
      <c r="B478" s="1">
        <v>564.0</v>
      </c>
      <c r="C478" s="1" t="s">
        <v>4642</v>
      </c>
      <c r="D478" s="1" t="s">
        <v>4643</v>
      </c>
      <c r="E478" s="1" t="s">
        <v>4644</v>
      </c>
      <c r="F478" s="1" t="s">
        <v>43</v>
      </c>
      <c r="G478" s="2">
        <v>23441.0</v>
      </c>
      <c r="H478" s="1" t="s">
        <v>4645</v>
      </c>
      <c r="I478" s="1">
        <v>17.0</v>
      </c>
      <c r="J478" s="1" t="s">
        <v>2055</v>
      </c>
      <c r="K478" s="1">
        <v>3.0</v>
      </c>
      <c r="L478" s="2">
        <v>42907.0</v>
      </c>
      <c r="O478" s="1">
        <v>0.0</v>
      </c>
      <c r="P478" s="1" t="s">
        <v>75</v>
      </c>
      <c r="Q478" s="1" t="s">
        <v>76</v>
      </c>
      <c r="R478" s="3" t="s">
        <v>4646</v>
      </c>
      <c r="U478" s="1" t="s">
        <v>2484</v>
      </c>
      <c r="V478" s="1">
        <v>526.0</v>
      </c>
      <c r="W478" s="3" t="s">
        <v>4647</v>
      </c>
      <c r="X478" s="1">
        <v>719100.0</v>
      </c>
      <c r="Y478" s="1" t="s">
        <v>4648</v>
      </c>
      <c r="Z478" s="3" t="s">
        <v>4649</v>
      </c>
      <c r="AA478" s="3" t="s">
        <v>4650</v>
      </c>
      <c r="AB478" s="1">
        <v>1.0</v>
      </c>
      <c r="AD478" s="1">
        <v>16.0</v>
      </c>
      <c r="AE478" s="1">
        <f t="shared" si="5"/>
        <v>436</v>
      </c>
      <c r="AF478" s="1">
        <v>22.0</v>
      </c>
      <c r="AG478" s="1">
        <v>3.0</v>
      </c>
      <c r="AH478" s="1">
        <v>0.0</v>
      </c>
      <c r="AI478" s="1">
        <v>0.0</v>
      </c>
      <c r="AJ478" s="1">
        <v>0.0</v>
      </c>
      <c r="AK478" s="1">
        <v>25.0</v>
      </c>
      <c r="AL478" s="1">
        <v>2.0</v>
      </c>
      <c r="AM478" s="1">
        <v>0.0</v>
      </c>
      <c r="AN478" s="1">
        <v>0.0</v>
      </c>
      <c r="AO478" s="1">
        <v>5.0</v>
      </c>
      <c r="AP478" s="1">
        <v>4.0</v>
      </c>
      <c r="AQ478" s="1">
        <v>0.0</v>
      </c>
    </row>
    <row r="479">
      <c r="A479" s="1"/>
      <c r="B479" s="1">
        <v>298.0</v>
      </c>
      <c r="C479" s="1" t="s">
        <v>4651</v>
      </c>
      <c r="D479" s="1" t="s">
        <v>4652</v>
      </c>
      <c r="E479" s="1" t="s">
        <v>905</v>
      </c>
      <c r="F479" s="1" t="s">
        <v>43</v>
      </c>
      <c r="G479" s="2">
        <v>27878.0</v>
      </c>
      <c r="H479" s="1" t="s">
        <v>1273</v>
      </c>
      <c r="I479" s="1">
        <v>68.0</v>
      </c>
      <c r="J479" s="1" t="s">
        <v>1501</v>
      </c>
      <c r="K479" s="1">
        <v>5.0</v>
      </c>
      <c r="L479" s="2">
        <v>42907.0</v>
      </c>
      <c r="O479" s="1">
        <v>0.0</v>
      </c>
      <c r="P479" s="1" t="s">
        <v>46</v>
      </c>
      <c r="Q479" s="1" t="s">
        <v>47</v>
      </c>
      <c r="R479" s="1" t="s">
        <v>4653</v>
      </c>
      <c r="U479" s="1" t="s">
        <v>697</v>
      </c>
      <c r="V479" s="1">
        <v>154.0</v>
      </c>
      <c r="W479" s="3" t="s">
        <v>4654</v>
      </c>
      <c r="X479" s="1">
        <v>642935.0</v>
      </c>
      <c r="Y479" s="1" t="s">
        <v>4655</v>
      </c>
      <c r="Z479" s="3" t="s">
        <v>4656</v>
      </c>
      <c r="AA479" s="3" t="s">
        <v>4657</v>
      </c>
      <c r="AB479" s="1">
        <v>2.0</v>
      </c>
      <c r="AC479" s="1" t="s">
        <v>4658</v>
      </c>
      <c r="AD479" s="1">
        <v>16.0</v>
      </c>
      <c r="AE479" s="1">
        <f t="shared" si="5"/>
        <v>436</v>
      </c>
      <c r="AF479" s="1">
        <v>20.0</v>
      </c>
      <c r="AG479" s="1">
        <v>5.0</v>
      </c>
      <c r="AH479" s="1">
        <v>23.0</v>
      </c>
      <c r="AI479" s="1">
        <v>20.0</v>
      </c>
      <c r="AJ479" s="1">
        <v>7.0</v>
      </c>
      <c r="AK479" s="1">
        <v>448.0</v>
      </c>
      <c r="AL479" s="1">
        <v>21.0</v>
      </c>
      <c r="AM479" s="1">
        <v>0.0</v>
      </c>
      <c r="AN479" s="1">
        <v>0.0</v>
      </c>
      <c r="AO479" s="1">
        <v>23.0</v>
      </c>
      <c r="AP479" s="1">
        <v>21.0</v>
      </c>
      <c r="AQ479" s="1">
        <v>2.0</v>
      </c>
    </row>
    <row r="480">
      <c r="A480" s="1"/>
      <c r="B480" s="1">
        <v>286.0</v>
      </c>
      <c r="C480" s="1" t="s">
        <v>4659</v>
      </c>
      <c r="D480" s="1" t="s">
        <v>4660</v>
      </c>
      <c r="E480" s="1" t="s">
        <v>1341</v>
      </c>
      <c r="F480" s="1" t="s">
        <v>43</v>
      </c>
      <c r="G480" s="2">
        <v>32888.0</v>
      </c>
      <c r="H480" s="1" t="s">
        <v>4661</v>
      </c>
      <c r="I480" s="1">
        <v>22.0</v>
      </c>
      <c r="J480" s="1" t="s">
        <v>1883</v>
      </c>
      <c r="K480" s="1">
        <v>2.0</v>
      </c>
      <c r="L480" s="2">
        <v>42907.0</v>
      </c>
      <c r="O480" s="1">
        <v>0.0</v>
      </c>
      <c r="P480" s="1" t="s">
        <v>75</v>
      </c>
      <c r="Q480" s="1" t="s">
        <v>76</v>
      </c>
      <c r="R480" s="1" t="s">
        <v>4662</v>
      </c>
      <c r="U480" s="1" t="s">
        <v>162</v>
      </c>
      <c r="V480" s="1">
        <v>212.0</v>
      </c>
      <c r="W480" s="3" t="s">
        <v>4663</v>
      </c>
      <c r="X480" s="1">
        <v>719218.0</v>
      </c>
      <c r="Y480" s="1" t="s">
        <v>4664</v>
      </c>
      <c r="Z480" s="3" t="s">
        <v>4665</v>
      </c>
      <c r="AA480" s="3" t="s">
        <v>4666</v>
      </c>
      <c r="AB480" s="1">
        <v>1.0</v>
      </c>
      <c r="AC480" s="1" t="s">
        <v>4667</v>
      </c>
      <c r="AD480" s="1">
        <v>16.0</v>
      </c>
      <c r="AE480" s="1">
        <f t="shared" si="5"/>
        <v>436</v>
      </c>
      <c r="AF480" s="1">
        <v>29.0</v>
      </c>
      <c r="AG480" s="1">
        <v>12.0</v>
      </c>
      <c r="AH480" s="1">
        <v>5.0</v>
      </c>
      <c r="AI480" s="1">
        <v>2.0</v>
      </c>
      <c r="AJ480" s="1">
        <v>0.0</v>
      </c>
      <c r="AK480" s="1">
        <v>22.0</v>
      </c>
      <c r="AL480" s="1">
        <v>8.0</v>
      </c>
      <c r="AM480" s="1">
        <v>0.0</v>
      </c>
      <c r="AN480" s="1">
        <v>0.0</v>
      </c>
      <c r="AO480" s="1">
        <v>5.0</v>
      </c>
      <c r="AP480" s="1">
        <v>0.0</v>
      </c>
      <c r="AQ480" s="1">
        <v>1.0</v>
      </c>
    </row>
    <row r="481">
      <c r="A481" s="1"/>
      <c r="B481" s="1">
        <v>237.0</v>
      </c>
      <c r="C481" s="1" t="s">
        <v>4668</v>
      </c>
      <c r="D481" s="1" t="s">
        <v>4669</v>
      </c>
      <c r="E481" s="1" t="s">
        <v>522</v>
      </c>
      <c r="F481" s="1" t="s">
        <v>43</v>
      </c>
      <c r="G481" s="2">
        <v>26763.0</v>
      </c>
      <c r="H481" s="1" t="s">
        <v>1136</v>
      </c>
      <c r="I481" s="1">
        <v>14.0</v>
      </c>
      <c r="J481" s="1" t="s">
        <v>1137</v>
      </c>
      <c r="K481" s="1">
        <v>4.0</v>
      </c>
      <c r="L481" s="2">
        <v>42907.0</v>
      </c>
      <c r="O481" s="1">
        <v>0.0</v>
      </c>
      <c r="P481" s="1" t="s">
        <v>75</v>
      </c>
      <c r="Q481" s="1" t="s">
        <v>76</v>
      </c>
      <c r="R481" s="1" t="s">
        <v>4670</v>
      </c>
      <c r="U481" s="1" t="s">
        <v>1465</v>
      </c>
      <c r="V481" s="1">
        <v>271.0</v>
      </c>
      <c r="W481" s="3" t="s">
        <v>4671</v>
      </c>
      <c r="X481" s="1">
        <v>719024.0</v>
      </c>
      <c r="Y481" s="1" t="s">
        <v>4672</v>
      </c>
      <c r="Z481" s="3" t="s">
        <v>4673</v>
      </c>
      <c r="AA481" s="3" t="s">
        <v>4674</v>
      </c>
      <c r="AB481" s="1">
        <v>2.0</v>
      </c>
      <c r="AC481" s="1" t="s">
        <v>4675</v>
      </c>
      <c r="AD481" s="1">
        <v>16.0</v>
      </c>
      <c r="AE481" s="1">
        <f t="shared" si="5"/>
        <v>436</v>
      </c>
      <c r="AF481" s="1">
        <v>31.0</v>
      </c>
      <c r="AG481" s="1">
        <v>10.0</v>
      </c>
      <c r="AH481" s="1">
        <v>8.0</v>
      </c>
      <c r="AI481" s="1">
        <v>2.0</v>
      </c>
      <c r="AJ481" s="1">
        <v>14.0</v>
      </c>
      <c r="AK481" s="1">
        <v>49.0</v>
      </c>
      <c r="AL481" s="1">
        <v>2.0</v>
      </c>
      <c r="AM481" s="1">
        <v>0.0</v>
      </c>
      <c r="AN481" s="1">
        <v>0.0</v>
      </c>
      <c r="AO481" s="1">
        <v>7.0</v>
      </c>
      <c r="AP481" s="1">
        <v>39.0</v>
      </c>
      <c r="AQ481" s="1">
        <v>2.0</v>
      </c>
    </row>
    <row r="482">
      <c r="A482" s="1"/>
      <c r="B482" s="1">
        <v>408.0</v>
      </c>
      <c r="C482" s="1" t="s">
        <v>4676</v>
      </c>
      <c r="D482" s="1" t="s">
        <v>4677</v>
      </c>
      <c r="E482" s="1" t="s">
        <v>3837</v>
      </c>
      <c r="F482" s="1" t="s">
        <v>58</v>
      </c>
      <c r="G482" s="2">
        <v>31635.0</v>
      </c>
      <c r="H482" s="1" t="s">
        <v>437</v>
      </c>
      <c r="I482" s="1">
        <v>6.0</v>
      </c>
      <c r="J482" s="1" t="s">
        <v>438</v>
      </c>
      <c r="K482" s="1">
        <v>5.0</v>
      </c>
      <c r="L482" s="2">
        <v>42907.0</v>
      </c>
      <c r="O482" s="1">
        <v>0.0</v>
      </c>
      <c r="P482" s="1" t="s">
        <v>61</v>
      </c>
      <c r="Q482" s="1" t="s">
        <v>62</v>
      </c>
      <c r="R482" s="1" t="s">
        <v>4678</v>
      </c>
      <c r="U482" s="1" t="s">
        <v>936</v>
      </c>
      <c r="V482" s="1">
        <v>150.0</v>
      </c>
      <c r="W482" s="3" t="s">
        <v>4679</v>
      </c>
      <c r="X482" s="1">
        <v>713448.0</v>
      </c>
      <c r="Y482" s="1" t="s">
        <v>4680</v>
      </c>
      <c r="Z482" s="3" t="s">
        <v>4681</v>
      </c>
      <c r="AA482" s="3" t="s">
        <v>4682</v>
      </c>
      <c r="AB482" s="1">
        <v>2.0</v>
      </c>
      <c r="AC482" s="1" t="s">
        <v>4683</v>
      </c>
      <c r="AD482" s="1">
        <v>16.0</v>
      </c>
      <c r="AE482" s="1">
        <f t="shared" si="5"/>
        <v>436</v>
      </c>
      <c r="AF482" s="1">
        <v>22.0</v>
      </c>
      <c r="AG482" s="1">
        <v>25.0</v>
      </c>
      <c r="AH482" s="1">
        <v>26.0</v>
      </c>
      <c r="AI482" s="1">
        <v>3.0</v>
      </c>
      <c r="AJ482" s="1">
        <v>103.0</v>
      </c>
      <c r="AK482" s="1">
        <v>384.0</v>
      </c>
      <c r="AL482" s="1">
        <v>14.0</v>
      </c>
      <c r="AM482" s="1">
        <v>0.0</v>
      </c>
      <c r="AN482" s="1">
        <v>11.0</v>
      </c>
      <c r="AO482" s="1">
        <v>20.0</v>
      </c>
      <c r="AP482" s="1">
        <v>10.0</v>
      </c>
      <c r="AQ482" s="1">
        <v>2.0</v>
      </c>
    </row>
    <row r="483">
      <c r="A483" s="1"/>
      <c r="B483" s="1">
        <v>359.0</v>
      </c>
      <c r="C483" s="1" t="s">
        <v>4684</v>
      </c>
      <c r="D483" s="1" t="s">
        <v>4685</v>
      </c>
      <c r="E483" s="1" t="s">
        <v>4686</v>
      </c>
      <c r="F483" s="1" t="s">
        <v>43</v>
      </c>
      <c r="G483" s="2">
        <v>26092.0</v>
      </c>
      <c r="H483" s="1" t="s">
        <v>4687</v>
      </c>
      <c r="I483" s="1">
        <v>94.0</v>
      </c>
      <c r="J483" s="1" t="s">
        <v>642</v>
      </c>
      <c r="K483" s="1">
        <v>9.0</v>
      </c>
      <c r="L483" s="2">
        <v>42907.0</v>
      </c>
      <c r="O483" s="1">
        <v>0.0</v>
      </c>
      <c r="P483" s="1" t="s">
        <v>115</v>
      </c>
      <c r="Q483" s="1" t="s">
        <v>116</v>
      </c>
      <c r="R483" s="1" t="s">
        <v>4688</v>
      </c>
      <c r="U483" s="1">
        <v>0.0</v>
      </c>
      <c r="V483" s="1">
        <v>517.0</v>
      </c>
      <c r="W483" s="3" t="s">
        <v>4689</v>
      </c>
      <c r="X483" s="1">
        <v>429893.0</v>
      </c>
      <c r="Y483" s="1" t="s">
        <v>4690</v>
      </c>
      <c r="Z483" s="3" t="s">
        <v>4691</v>
      </c>
      <c r="AA483" s="3" t="s">
        <v>4692</v>
      </c>
      <c r="AB483" s="1">
        <v>2.0</v>
      </c>
      <c r="AC483" s="1" t="s">
        <v>4693</v>
      </c>
      <c r="AD483" s="1">
        <v>16.0</v>
      </c>
      <c r="AE483" s="1">
        <f t="shared" si="5"/>
        <v>436</v>
      </c>
      <c r="AF483" s="1">
        <v>14.0</v>
      </c>
      <c r="AG483" s="1">
        <v>5.0</v>
      </c>
      <c r="AH483" s="1">
        <v>18.0</v>
      </c>
      <c r="AI483" s="1">
        <v>18.0</v>
      </c>
      <c r="AJ483" s="1">
        <v>10.0</v>
      </c>
      <c r="AK483" s="1">
        <v>1145.0</v>
      </c>
      <c r="AL483" s="1">
        <v>78.0</v>
      </c>
      <c r="AM483" s="1">
        <v>0.0</v>
      </c>
      <c r="AN483" s="1">
        <v>0.0</v>
      </c>
      <c r="AO483" s="1">
        <v>5.0</v>
      </c>
      <c r="AP483" s="1">
        <v>17.0</v>
      </c>
      <c r="AQ483" s="1">
        <v>2.0</v>
      </c>
    </row>
    <row r="484">
      <c r="A484" s="1"/>
      <c r="B484" s="1">
        <v>340.0</v>
      </c>
      <c r="C484" s="1" t="s">
        <v>4694</v>
      </c>
      <c r="D484" s="1" t="s">
        <v>4695</v>
      </c>
      <c r="E484" s="1" t="s">
        <v>4696</v>
      </c>
      <c r="F484" s="1" t="s">
        <v>43</v>
      </c>
      <c r="G484" s="2">
        <v>17566.0</v>
      </c>
      <c r="H484" s="1" t="s">
        <v>718</v>
      </c>
      <c r="I484" s="1">
        <v>30.0</v>
      </c>
      <c r="J484" s="1" t="s">
        <v>1751</v>
      </c>
      <c r="K484" s="1">
        <v>2.0</v>
      </c>
      <c r="L484" s="2">
        <v>42907.0</v>
      </c>
      <c r="O484" s="1">
        <v>0.0</v>
      </c>
      <c r="P484" s="1" t="s">
        <v>814</v>
      </c>
      <c r="Q484" s="1" t="s">
        <v>837</v>
      </c>
      <c r="R484" s="1" t="s">
        <v>4697</v>
      </c>
      <c r="U484" s="1" t="s">
        <v>304</v>
      </c>
      <c r="V484" s="1">
        <v>58.0</v>
      </c>
      <c r="W484" s="3" t="s">
        <v>4698</v>
      </c>
      <c r="X484" s="1">
        <v>606212.0</v>
      </c>
      <c r="Y484" s="1" t="s">
        <v>4699</v>
      </c>
      <c r="Z484" s="3" t="s">
        <v>4700</v>
      </c>
      <c r="AA484" s="3" t="s">
        <v>4701</v>
      </c>
      <c r="AB484" s="1">
        <v>1.0</v>
      </c>
      <c r="AC484" s="1" t="s">
        <v>4702</v>
      </c>
      <c r="AD484" s="1">
        <v>16.0</v>
      </c>
      <c r="AE484" s="1">
        <f t="shared" si="5"/>
        <v>436</v>
      </c>
      <c r="AF484" s="1">
        <v>11.0</v>
      </c>
      <c r="AG484" s="1">
        <v>2.0</v>
      </c>
      <c r="AH484" s="1">
        <v>33.0</v>
      </c>
      <c r="AI484" s="1">
        <v>40.0</v>
      </c>
      <c r="AJ484" s="1">
        <v>39.0</v>
      </c>
      <c r="AK484" s="1">
        <v>258.0</v>
      </c>
      <c r="AL484" s="1">
        <v>0.0</v>
      </c>
      <c r="AM484" s="1">
        <v>0.0</v>
      </c>
      <c r="AN484" s="1">
        <v>8.0</v>
      </c>
      <c r="AO484" s="1">
        <v>13.0</v>
      </c>
      <c r="AP484" s="1">
        <v>19.0</v>
      </c>
      <c r="AQ484" s="1">
        <v>1.0</v>
      </c>
    </row>
    <row r="485">
      <c r="A485" s="1"/>
      <c r="B485" s="1">
        <v>339.0</v>
      </c>
      <c r="C485" s="1" t="s">
        <v>4703</v>
      </c>
      <c r="D485" s="1" t="s">
        <v>4704</v>
      </c>
      <c r="E485" s="1" t="s">
        <v>4705</v>
      </c>
      <c r="F485" s="1" t="s">
        <v>43</v>
      </c>
      <c r="G485" s="2">
        <v>24701.0</v>
      </c>
      <c r="H485" s="1" t="s">
        <v>811</v>
      </c>
      <c r="I485" s="1" t="s">
        <v>4146</v>
      </c>
      <c r="J485" s="1" t="s">
        <v>4147</v>
      </c>
      <c r="K485" s="1">
        <v>2.0</v>
      </c>
      <c r="L485" s="2">
        <v>42907.0</v>
      </c>
      <c r="O485" s="1">
        <v>0.0</v>
      </c>
      <c r="P485" s="1" t="s">
        <v>814</v>
      </c>
      <c r="Q485" s="1" t="s">
        <v>815</v>
      </c>
      <c r="R485" s="3" t="s">
        <v>4706</v>
      </c>
      <c r="U485" s="1" t="s">
        <v>151</v>
      </c>
      <c r="V485" s="1">
        <v>648.0</v>
      </c>
      <c r="W485" s="3" t="s">
        <v>4707</v>
      </c>
      <c r="X485" s="1">
        <v>719286.0</v>
      </c>
      <c r="Y485" s="1" t="s">
        <v>4708</v>
      </c>
      <c r="Z485" s="3" t="s">
        <v>4709</v>
      </c>
      <c r="AA485" s="3" t="s">
        <v>4710</v>
      </c>
      <c r="AB485" s="1">
        <v>1.0</v>
      </c>
      <c r="AC485" s="1" t="s">
        <v>4711</v>
      </c>
      <c r="AD485" s="1">
        <v>16.0</v>
      </c>
      <c r="AE485" s="1">
        <f t="shared" si="5"/>
        <v>436</v>
      </c>
      <c r="AF485" s="1">
        <v>18.0</v>
      </c>
      <c r="AG485" s="1">
        <v>4.0</v>
      </c>
      <c r="AH485" s="1">
        <v>29.0</v>
      </c>
      <c r="AI485" s="1">
        <v>5.0</v>
      </c>
      <c r="AJ485" s="1">
        <v>56.0</v>
      </c>
      <c r="AK485" s="1">
        <v>229.0</v>
      </c>
      <c r="AL485" s="1">
        <v>3.0</v>
      </c>
      <c r="AM485" s="1">
        <v>0.0</v>
      </c>
      <c r="AN485" s="1">
        <v>0.0</v>
      </c>
      <c r="AO485" s="1">
        <v>6.0</v>
      </c>
      <c r="AP485" s="1">
        <v>15.0</v>
      </c>
      <c r="AQ485" s="1">
        <v>1.0</v>
      </c>
    </row>
    <row r="486">
      <c r="A486" s="1"/>
      <c r="B486" s="1">
        <v>134.0</v>
      </c>
      <c r="C486" s="1" t="s">
        <v>4712</v>
      </c>
      <c r="D486" s="1" t="s">
        <v>4713</v>
      </c>
      <c r="E486" s="1" t="s">
        <v>1361</v>
      </c>
      <c r="F486" s="1" t="s">
        <v>43</v>
      </c>
      <c r="G486" s="2">
        <v>19648.0</v>
      </c>
      <c r="H486" s="1" t="s">
        <v>4714</v>
      </c>
      <c r="I486" s="1">
        <v>13.0</v>
      </c>
      <c r="J486" s="1" t="s">
        <v>279</v>
      </c>
      <c r="K486" s="1">
        <v>9.0</v>
      </c>
      <c r="L486" s="2">
        <v>42907.0</v>
      </c>
      <c r="O486" s="1">
        <v>0.0</v>
      </c>
      <c r="P486" s="1" t="s">
        <v>61</v>
      </c>
      <c r="Q486" s="1" t="s">
        <v>62</v>
      </c>
      <c r="R486" s="1" t="s">
        <v>4715</v>
      </c>
      <c r="U486" s="1" t="s">
        <v>827</v>
      </c>
      <c r="V486" s="1">
        <v>88.0</v>
      </c>
      <c r="W486" s="3" t="s">
        <v>4716</v>
      </c>
      <c r="X486" s="1">
        <v>1029.0</v>
      </c>
      <c r="Y486" s="1" t="s">
        <v>4717</v>
      </c>
      <c r="Z486" s="3" t="s">
        <v>4718</v>
      </c>
      <c r="AA486" s="3" t="s">
        <v>4719</v>
      </c>
      <c r="AB486" s="1">
        <v>1.0</v>
      </c>
      <c r="AC486" s="1" t="s">
        <v>4720</v>
      </c>
      <c r="AD486" s="1">
        <v>16.0</v>
      </c>
      <c r="AE486" s="1">
        <f t="shared" si="5"/>
        <v>436</v>
      </c>
      <c r="AF486" s="1">
        <v>26.0</v>
      </c>
      <c r="AG486" s="1">
        <v>12.0</v>
      </c>
      <c r="AH486" s="1">
        <v>0.0</v>
      </c>
      <c r="AI486" s="1">
        <v>12.0</v>
      </c>
      <c r="AJ486" s="1">
        <v>0.0</v>
      </c>
      <c r="AK486" s="1">
        <v>203.0</v>
      </c>
      <c r="AL486" s="1">
        <v>13.0</v>
      </c>
      <c r="AM486" s="1">
        <v>0.0</v>
      </c>
      <c r="AN486" s="1">
        <v>0.0</v>
      </c>
      <c r="AO486" s="1">
        <v>51.0</v>
      </c>
      <c r="AP486" s="1">
        <v>3.0</v>
      </c>
      <c r="AQ486" s="1">
        <v>0.0</v>
      </c>
    </row>
    <row r="487">
      <c r="A487" s="1"/>
      <c r="B487" s="1">
        <v>532.0</v>
      </c>
      <c r="C487" s="1" t="s">
        <v>4721</v>
      </c>
      <c r="D487" s="1" t="s">
        <v>4722</v>
      </c>
      <c r="E487" s="1" t="s">
        <v>1094</v>
      </c>
      <c r="F487" s="1" t="s">
        <v>58</v>
      </c>
      <c r="G487" s="2">
        <v>29209.0</v>
      </c>
      <c r="H487" s="1" t="s">
        <v>4723</v>
      </c>
      <c r="I487" s="1">
        <v>77.0</v>
      </c>
      <c r="J487" s="1" t="s">
        <v>503</v>
      </c>
      <c r="K487" s="1">
        <v>10.0</v>
      </c>
      <c r="L487" s="2">
        <v>42907.0</v>
      </c>
      <c r="O487" s="1">
        <v>0.0</v>
      </c>
      <c r="P487" s="1" t="s">
        <v>75</v>
      </c>
      <c r="Q487" s="1" t="s">
        <v>76</v>
      </c>
      <c r="R487" s="1" t="s">
        <v>4724</v>
      </c>
      <c r="U487" s="1" t="s">
        <v>118</v>
      </c>
      <c r="V487" s="1">
        <v>341.0</v>
      </c>
      <c r="W487" s="3" t="s">
        <v>4725</v>
      </c>
      <c r="X487" s="1">
        <v>721718.0</v>
      </c>
      <c r="Y487" s="1" t="s">
        <v>4726</v>
      </c>
      <c r="Z487" s="3" t="s">
        <v>4727</v>
      </c>
      <c r="AA487" s="3" t="s">
        <v>4728</v>
      </c>
      <c r="AB487" s="1">
        <v>1.0</v>
      </c>
      <c r="AC487" s="1" t="s">
        <v>4729</v>
      </c>
      <c r="AD487" s="1">
        <v>16.0</v>
      </c>
      <c r="AE487" s="1">
        <f t="shared" si="5"/>
        <v>436</v>
      </c>
      <c r="AF487" s="1">
        <v>23.0</v>
      </c>
      <c r="AG487" s="1">
        <v>8.0</v>
      </c>
      <c r="AH487" s="1">
        <v>9.0</v>
      </c>
      <c r="AI487" s="1">
        <v>3.0</v>
      </c>
      <c r="AJ487" s="1">
        <v>12.0</v>
      </c>
      <c r="AK487" s="1">
        <v>58.0</v>
      </c>
      <c r="AL487" s="1">
        <v>26.0</v>
      </c>
      <c r="AM487" s="1">
        <v>1.0</v>
      </c>
      <c r="AN487" s="1">
        <v>0.0</v>
      </c>
      <c r="AO487" s="1">
        <v>5.0</v>
      </c>
      <c r="AP487" s="1">
        <v>10.0</v>
      </c>
      <c r="AQ487" s="1">
        <v>1.0</v>
      </c>
    </row>
    <row r="488">
      <c r="A488" s="1"/>
      <c r="B488" s="1">
        <v>165.0</v>
      </c>
      <c r="C488" s="1" t="s">
        <v>4730</v>
      </c>
      <c r="D488" s="1" t="s">
        <v>4731</v>
      </c>
      <c r="E488" s="1" t="s">
        <v>4732</v>
      </c>
      <c r="F488" s="1" t="s">
        <v>43</v>
      </c>
      <c r="G488" s="2">
        <v>16635.0</v>
      </c>
      <c r="H488" s="1" t="s">
        <v>4733</v>
      </c>
      <c r="I488" s="1">
        <v>62.0</v>
      </c>
      <c r="J488" s="1" t="s">
        <v>427</v>
      </c>
      <c r="K488" s="1">
        <v>3.0</v>
      </c>
      <c r="L488" s="2">
        <v>42907.0</v>
      </c>
      <c r="O488" s="1">
        <v>0.0</v>
      </c>
      <c r="P488" s="1" t="s">
        <v>814</v>
      </c>
      <c r="Q488" s="1" t="s">
        <v>4734</v>
      </c>
      <c r="U488" s="1" t="s">
        <v>4351</v>
      </c>
      <c r="V488" s="1">
        <v>236.0</v>
      </c>
      <c r="W488" s="3" t="s">
        <v>4735</v>
      </c>
      <c r="X488" s="1">
        <v>720664.0</v>
      </c>
      <c r="Y488" s="1" t="s">
        <v>4736</v>
      </c>
      <c r="Z488" s="3" t="s">
        <v>4737</v>
      </c>
      <c r="AA488" s="3" t="s">
        <v>4738</v>
      </c>
      <c r="AB488" s="1">
        <v>2.0</v>
      </c>
      <c r="AD488" s="1">
        <v>16.0</v>
      </c>
      <c r="AE488" s="1">
        <f t="shared" si="5"/>
        <v>436</v>
      </c>
      <c r="AF488" s="1">
        <v>28.0</v>
      </c>
      <c r="AG488" s="1">
        <v>19.0</v>
      </c>
      <c r="AH488" s="1">
        <v>13.0</v>
      </c>
      <c r="AI488" s="1">
        <v>15.0</v>
      </c>
      <c r="AJ488" s="1">
        <v>5.0</v>
      </c>
      <c r="AK488" s="1">
        <v>190.0</v>
      </c>
      <c r="AL488" s="1">
        <v>0.0</v>
      </c>
      <c r="AM488" s="1">
        <v>0.0</v>
      </c>
      <c r="AN488" s="1">
        <v>0.0</v>
      </c>
      <c r="AO488" s="1">
        <v>6.0</v>
      </c>
      <c r="AP488" s="1">
        <v>6.0</v>
      </c>
      <c r="AQ488" s="1">
        <v>0.0</v>
      </c>
    </row>
    <row r="489">
      <c r="A489" s="1"/>
      <c r="B489" s="1">
        <v>576.0</v>
      </c>
      <c r="C489" s="1" t="s">
        <v>4739</v>
      </c>
      <c r="D489" s="1" t="s">
        <v>4740</v>
      </c>
      <c r="E489" s="1" t="s">
        <v>2707</v>
      </c>
      <c r="F489" s="1" t="s">
        <v>43</v>
      </c>
      <c r="G489" s="2">
        <v>22828.0</v>
      </c>
      <c r="H489" s="1" t="s">
        <v>2442</v>
      </c>
      <c r="I489" s="1">
        <v>29.0</v>
      </c>
      <c r="J489" s="1" t="s">
        <v>393</v>
      </c>
      <c r="K489" s="1">
        <v>6.0</v>
      </c>
      <c r="L489" s="2">
        <v>42907.0</v>
      </c>
      <c r="O489" s="1">
        <v>0.0</v>
      </c>
      <c r="P489" s="1" t="s">
        <v>75</v>
      </c>
      <c r="Q489" s="1" t="s">
        <v>76</v>
      </c>
      <c r="R489" s="1" t="s">
        <v>4741</v>
      </c>
      <c r="U489" s="1" t="s">
        <v>472</v>
      </c>
      <c r="V489" s="1">
        <v>422.0</v>
      </c>
      <c r="W489" s="3" t="s">
        <v>4742</v>
      </c>
      <c r="X489" s="1">
        <v>606171.0</v>
      </c>
      <c r="Y489" s="1" t="s">
        <v>4743</v>
      </c>
      <c r="Z489" s="3" t="s">
        <v>4744</v>
      </c>
      <c r="AA489" s="3" t="s">
        <v>4745</v>
      </c>
      <c r="AB489" s="1">
        <v>1.0</v>
      </c>
      <c r="AC489" s="1" t="s">
        <v>4746</v>
      </c>
      <c r="AD489" s="1">
        <v>16.0</v>
      </c>
      <c r="AE489" s="1">
        <f t="shared" si="5"/>
        <v>436</v>
      </c>
      <c r="AF489" s="1">
        <v>5.0</v>
      </c>
      <c r="AG489" s="1">
        <v>0.0</v>
      </c>
      <c r="AH489" s="1">
        <v>129.0</v>
      </c>
      <c r="AI489" s="1">
        <v>42.0</v>
      </c>
      <c r="AJ489" s="1">
        <v>2.0</v>
      </c>
      <c r="AK489" s="1">
        <v>390.0</v>
      </c>
      <c r="AL489" s="1">
        <v>226.0</v>
      </c>
      <c r="AM489" s="1">
        <v>0.0</v>
      </c>
      <c r="AN489" s="1">
        <v>3.0</v>
      </c>
      <c r="AO489" s="1">
        <v>7.0</v>
      </c>
      <c r="AP489" s="1">
        <v>14.0</v>
      </c>
      <c r="AQ489" s="1">
        <v>2.0</v>
      </c>
    </row>
    <row r="490">
      <c r="A490" s="1"/>
      <c r="B490" s="1">
        <v>54.0</v>
      </c>
      <c r="C490" s="1" t="s">
        <v>4747</v>
      </c>
      <c r="D490" s="1" t="s">
        <v>4748</v>
      </c>
      <c r="E490" s="1" t="s">
        <v>629</v>
      </c>
      <c r="F490" s="1" t="s">
        <v>58</v>
      </c>
      <c r="G490" s="2">
        <v>25400.0</v>
      </c>
      <c r="H490" s="1" t="s">
        <v>266</v>
      </c>
      <c r="I490" s="1">
        <v>83.0</v>
      </c>
      <c r="J490" s="1" t="s">
        <v>1231</v>
      </c>
      <c r="K490" s="1">
        <v>6.0</v>
      </c>
      <c r="L490" s="2">
        <v>42907.0</v>
      </c>
      <c r="O490" s="1">
        <v>0.0</v>
      </c>
      <c r="P490" s="1" t="s">
        <v>75</v>
      </c>
      <c r="Q490" s="1" t="s">
        <v>76</v>
      </c>
      <c r="R490" s="1" t="s">
        <v>4749</v>
      </c>
      <c r="U490" s="1" t="s">
        <v>549</v>
      </c>
      <c r="V490" s="1">
        <v>242.0</v>
      </c>
      <c r="W490" s="3" t="s">
        <v>4750</v>
      </c>
      <c r="X490" s="1">
        <v>721784.0</v>
      </c>
      <c r="Y490" s="1" t="s">
        <v>4751</v>
      </c>
      <c r="Z490" s="3" t="s">
        <v>4752</v>
      </c>
      <c r="AA490" s="3" t="s">
        <v>4753</v>
      </c>
      <c r="AB490" s="1">
        <v>1.0</v>
      </c>
      <c r="AC490" s="1" t="s">
        <v>4754</v>
      </c>
      <c r="AD490" s="1">
        <v>16.0</v>
      </c>
      <c r="AE490" s="1">
        <f t="shared" si="5"/>
        <v>436</v>
      </c>
      <c r="AF490" s="1">
        <v>27.0</v>
      </c>
      <c r="AG490" s="1">
        <v>10.0</v>
      </c>
      <c r="AH490" s="1">
        <v>7.0</v>
      </c>
      <c r="AI490" s="1">
        <v>0.0</v>
      </c>
      <c r="AJ490" s="1">
        <v>0.0</v>
      </c>
      <c r="AK490" s="1">
        <v>48.0</v>
      </c>
      <c r="AL490" s="1">
        <v>13.0</v>
      </c>
      <c r="AM490" s="1">
        <v>1.0</v>
      </c>
      <c r="AN490" s="1">
        <v>0.0</v>
      </c>
      <c r="AO490" s="1">
        <v>5.0</v>
      </c>
      <c r="AP490" s="1">
        <v>5.0</v>
      </c>
      <c r="AQ490" s="1">
        <v>1.0</v>
      </c>
    </row>
    <row r="491">
      <c r="A491" s="1"/>
      <c r="B491" s="1">
        <v>403.0</v>
      </c>
      <c r="C491" s="1" t="s">
        <v>4755</v>
      </c>
      <c r="D491" s="1" t="s">
        <v>4756</v>
      </c>
      <c r="E491" s="1" t="s">
        <v>57</v>
      </c>
      <c r="F491" s="1" t="s">
        <v>58</v>
      </c>
      <c r="G491" s="2">
        <v>30668.0</v>
      </c>
      <c r="H491" s="1" t="s">
        <v>4276</v>
      </c>
      <c r="I491" s="1">
        <v>83.0</v>
      </c>
      <c r="J491" s="1" t="s">
        <v>1231</v>
      </c>
      <c r="K491" s="1">
        <v>7.0</v>
      </c>
      <c r="L491" s="2">
        <v>42907.0</v>
      </c>
      <c r="O491" s="1">
        <v>0.0</v>
      </c>
      <c r="P491" s="1" t="s">
        <v>75</v>
      </c>
      <c r="Q491" s="1" t="s">
        <v>76</v>
      </c>
      <c r="R491" s="1" t="s">
        <v>4757</v>
      </c>
      <c r="U491" s="1" t="s">
        <v>4758</v>
      </c>
      <c r="V491" s="1">
        <v>479.0</v>
      </c>
      <c r="W491" s="3" t="s">
        <v>4759</v>
      </c>
      <c r="X491" s="1">
        <v>721792.0</v>
      </c>
      <c r="Y491" s="1" t="s">
        <v>4760</v>
      </c>
      <c r="Z491" s="3" t="s">
        <v>4761</v>
      </c>
      <c r="AA491" s="3" t="s">
        <v>4762</v>
      </c>
      <c r="AB491" s="1">
        <v>1.0</v>
      </c>
      <c r="AC491" s="1" t="s">
        <v>4763</v>
      </c>
      <c r="AD491" s="1">
        <v>16.0</v>
      </c>
      <c r="AE491" s="1">
        <f t="shared" si="5"/>
        <v>436</v>
      </c>
      <c r="AF491" s="1">
        <v>19.0</v>
      </c>
      <c r="AG491" s="1">
        <v>7.0</v>
      </c>
      <c r="AH491" s="1">
        <v>4.0</v>
      </c>
      <c r="AI491" s="1">
        <v>0.0</v>
      </c>
      <c r="AJ491" s="1">
        <v>0.0</v>
      </c>
      <c r="AK491" s="1">
        <v>30.0</v>
      </c>
      <c r="AL491" s="1">
        <v>2.0</v>
      </c>
      <c r="AM491" s="1">
        <v>0.0</v>
      </c>
      <c r="AN491" s="1">
        <v>0.0</v>
      </c>
      <c r="AO491" s="1">
        <v>8.0</v>
      </c>
      <c r="AP491" s="1">
        <v>6.0</v>
      </c>
      <c r="AQ491" s="1">
        <v>1.0</v>
      </c>
    </row>
    <row r="492">
      <c r="A492" s="1"/>
      <c r="B492" s="1">
        <v>444.0</v>
      </c>
      <c r="C492" s="1" t="s">
        <v>4764</v>
      </c>
      <c r="D492" s="1" t="s">
        <v>4765</v>
      </c>
      <c r="E492" s="1" t="s">
        <v>3905</v>
      </c>
      <c r="F492" s="1" t="s">
        <v>58</v>
      </c>
      <c r="G492" s="2">
        <v>21069.0</v>
      </c>
      <c r="H492" s="1" t="s">
        <v>4766</v>
      </c>
      <c r="I492" s="1">
        <v>977.0</v>
      </c>
      <c r="J492" s="1" t="s">
        <v>4767</v>
      </c>
      <c r="K492" s="1">
        <v>1.0</v>
      </c>
      <c r="L492" s="2">
        <v>42907.0</v>
      </c>
      <c r="O492" s="1">
        <v>0.0</v>
      </c>
      <c r="P492" s="1" t="s">
        <v>61</v>
      </c>
      <c r="Q492" s="1" t="s">
        <v>62</v>
      </c>
      <c r="U492" s="1" t="s">
        <v>4768</v>
      </c>
      <c r="V492" s="1">
        <v>40.0</v>
      </c>
      <c r="W492" s="3" t="s">
        <v>4769</v>
      </c>
      <c r="X492" s="1">
        <v>721126.0</v>
      </c>
      <c r="Y492" s="1" t="s">
        <v>4770</v>
      </c>
      <c r="Z492" s="3" t="s">
        <v>4771</v>
      </c>
      <c r="AA492" s="3" t="s">
        <v>4772</v>
      </c>
      <c r="AB492" s="1">
        <v>1.0</v>
      </c>
      <c r="AD492" s="1">
        <v>16.0</v>
      </c>
      <c r="AE492" s="1">
        <f t="shared" si="5"/>
        <v>436</v>
      </c>
      <c r="AF492" s="1">
        <v>36.0</v>
      </c>
      <c r="AG492" s="1">
        <v>3.0</v>
      </c>
      <c r="AH492" s="1">
        <v>1.0</v>
      </c>
      <c r="AI492" s="1">
        <v>1.0</v>
      </c>
      <c r="AJ492" s="1">
        <v>1.0</v>
      </c>
      <c r="AK492" s="1">
        <v>249.0</v>
      </c>
      <c r="AL492" s="1">
        <v>15.0</v>
      </c>
      <c r="AM492" s="1">
        <v>0.0</v>
      </c>
      <c r="AN492" s="1">
        <v>0.0</v>
      </c>
      <c r="AO492" s="1">
        <v>3.0</v>
      </c>
      <c r="AP492" s="1">
        <v>0.0</v>
      </c>
      <c r="AQ492" s="1">
        <v>1.0</v>
      </c>
    </row>
    <row r="493">
      <c r="A493" s="1"/>
      <c r="B493" s="1">
        <v>473.0</v>
      </c>
      <c r="C493" s="1" t="s">
        <v>4773</v>
      </c>
      <c r="D493" s="1" t="s">
        <v>4774</v>
      </c>
      <c r="E493" s="1" t="s">
        <v>866</v>
      </c>
      <c r="F493" s="1" t="s">
        <v>43</v>
      </c>
      <c r="G493" s="2">
        <v>33568.0</v>
      </c>
      <c r="H493" s="1" t="s">
        <v>4349</v>
      </c>
      <c r="I493" s="1">
        <v>85.0</v>
      </c>
      <c r="J493" s="1" t="s">
        <v>1853</v>
      </c>
      <c r="K493" s="1">
        <v>5.0</v>
      </c>
      <c r="L493" s="2">
        <v>42907.0</v>
      </c>
      <c r="O493" s="1">
        <v>0.0</v>
      </c>
      <c r="P493" s="1" t="s">
        <v>75</v>
      </c>
      <c r="Q493" s="1" t="s">
        <v>76</v>
      </c>
      <c r="R493" s="1" t="s">
        <v>4775</v>
      </c>
      <c r="U493" s="1" t="s">
        <v>269</v>
      </c>
      <c r="V493" s="1">
        <v>466.0</v>
      </c>
      <c r="W493" s="3" t="s">
        <v>4776</v>
      </c>
      <c r="X493" s="1">
        <v>722070.0</v>
      </c>
      <c r="Y493" s="1" t="s">
        <v>4777</v>
      </c>
      <c r="Z493" s="3" t="s">
        <v>4778</v>
      </c>
      <c r="AA493" s="3" t="s">
        <v>4779</v>
      </c>
      <c r="AB493" s="1">
        <v>1.0</v>
      </c>
      <c r="AC493" s="1" t="s">
        <v>4780</v>
      </c>
      <c r="AD493" s="1">
        <v>16.0</v>
      </c>
      <c r="AE493" s="1">
        <f t="shared" si="5"/>
        <v>436</v>
      </c>
      <c r="AF493" s="1">
        <v>29.0</v>
      </c>
      <c r="AG493" s="1">
        <v>8.0</v>
      </c>
      <c r="AH493" s="1">
        <v>8.0</v>
      </c>
      <c r="AI493" s="1">
        <v>1.0</v>
      </c>
      <c r="AJ493" s="1">
        <v>0.0</v>
      </c>
      <c r="AK493" s="1">
        <v>41.0</v>
      </c>
      <c r="AL493" s="1">
        <v>12.0</v>
      </c>
      <c r="AM493" s="1">
        <v>1.0</v>
      </c>
      <c r="AN493" s="1">
        <v>0.0</v>
      </c>
      <c r="AO493" s="1">
        <v>6.0</v>
      </c>
      <c r="AP493" s="1">
        <v>6.0</v>
      </c>
      <c r="AQ493" s="1">
        <v>1.0</v>
      </c>
    </row>
    <row r="494">
      <c r="A494" s="1"/>
      <c r="B494" s="1">
        <v>270.0</v>
      </c>
      <c r="C494" s="1" t="s">
        <v>4781</v>
      </c>
      <c r="D494" s="1" t="s">
        <v>4782</v>
      </c>
      <c r="E494" s="1" t="s">
        <v>4783</v>
      </c>
      <c r="F494" s="1" t="s">
        <v>58</v>
      </c>
      <c r="G494" s="2">
        <v>30305.0</v>
      </c>
      <c r="H494" s="1" t="s">
        <v>4784</v>
      </c>
      <c r="I494" s="1">
        <v>50.0</v>
      </c>
      <c r="J494" s="1" t="s">
        <v>2472</v>
      </c>
      <c r="K494" s="1">
        <v>4.0</v>
      </c>
      <c r="L494" s="2">
        <v>42907.0</v>
      </c>
      <c r="O494" s="1">
        <v>0.0</v>
      </c>
      <c r="P494" s="1" t="s">
        <v>75</v>
      </c>
      <c r="Q494" s="1" t="s">
        <v>76</v>
      </c>
      <c r="R494" s="1" t="s">
        <v>4785</v>
      </c>
      <c r="U494" s="1" t="s">
        <v>234</v>
      </c>
      <c r="V494" s="1">
        <v>633.0</v>
      </c>
      <c r="W494" s="3" t="s">
        <v>4786</v>
      </c>
      <c r="X494" s="1">
        <v>720202.0</v>
      </c>
      <c r="Y494" s="1" t="s">
        <v>4787</v>
      </c>
      <c r="Z494" s="3" t="s">
        <v>4788</v>
      </c>
      <c r="AA494" s="3" t="s">
        <v>4789</v>
      </c>
      <c r="AB494" s="1">
        <v>1.0</v>
      </c>
      <c r="AC494" s="1" t="s">
        <v>4790</v>
      </c>
      <c r="AD494" s="1">
        <v>16.0</v>
      </c>
      <c r="AE494" s="1">
        <f t="shared" si="5"/>
        <v>436</v>
      </c>
      <c r="AF494" s="1">
        <v>44.0</v>
      </c>
      <c r="AG494" s="1">
        <v>15.0</v>
      </c>
      <c r="AH494" s="1">
        <v>9.0</v>
      </c>
      <c r="AI494" s="1">
        <v>1.0</v>
      </c>
      <c r="AJ494" s="1">
        <v>0.0</v>
      </c>
      <c r="AK494" s="1">
        <v>16.0</v>
      </c>
      <c r="AL494" s="1">
        <v>8.0</v>
      </c>
      <c r="AM494" s="1">
        <v>0.0</v>
      </c>
      <c r="AN494" s="1">
        <v>0.0</v>
      </c>
      <c r="AO494" s="1">
        <v>6.0</v>
      </c>
      <c r="AP494" s="1">
        <v>1.0</v>
      </c>
      <c r="AQ494" s="1">
        <v>1.0</v>
      </c>
    </row>
    <row r="495">
      <c r="A495" s="1"/>
      <c r="B495" s="1">
        <v>282.0</v>
      </c>
      <c r="C495" s="1" t="s">
        <v>4791</v>
      </c>
      <c r="D495" s="1" t="s">
        <v>4792</v>
      </c>
      <c r="E495" s="1" t="s">
        <v>3874</v>
      </c>
      <c r="F495" s="1" t="s">
        <v>43</v>
      </c>
      <c r="G495" s="2">
        <v>20978.0</v>
      </c>
      <c r="H495" s="1" t="s">
        <v>4793</v>
      </c>
      <c r="I495" s="1">
        <v>16.0</v>
      </c>
      <c r="J495" s="1" t="s">
        <v>1264</v>
      </c>
      <c r="K495" s="1">
        <v>3.0</v>
      </c>
      <c r="L495" s="2">
        <v>42907.0</v>
      </c>
      <c r="O495" s="1">
        <v>0.0</v>
      </c>
      <c r="P495" s="1" t="s">
        <v>115</v>
      </c>
      <c r="Q495" s="1" t="s">
        <v>116</v>
      </c>
      <c r="R495" s="3" t="s">
        <v>4794</v>
      </c>
      <c r="U495" s="1" t="s">
        <v>4795</v>
      </c>
      <c r="V495" s="1">
        <v>578.0</v>
      </c>
      <c r="W495" s="3" t="s">
        <v>4796</v>
      </c>
      <c r="X495" s="1">
        <v>1809.0</v>
      </c>
      <c r="Y495" s="1" t="s">
        <v>4797</v>
      </c>
      <c r="Z495" s="3" t="s">
        <v>4798</v>
      </c>
      <c r="AA495" s="3" t="s">
        <v>4799</v>
      </c>
      <c r="AB495" s="1">
        <v>1.0</v>
      </c>
      <c r="AC495" s="1" t="s">
        <v>4800</v>
      </c>
      <c r="AD495" s="1">
        <v>16.0</v>
      </c>
      <c r="AE495" s="1">
        <f t="shared" si="5"/>
        <v>436</v>
      </c>
      <c r="AF495" s="1">
        <v>29.0</v>
      </c>
      <c r="AG495" s="1">
        <v>22.0</v>
      </c>
      <c r="AH495" s="1">
        <v>2.0</v>
      </c>
      <c r="AI495" s="1">
        <v>16.0</v>
      </c>
      <c r="AJ495" s="1">
        <v>0.0</v>
      </c>
      <c r="AK495" s="1">
        <v>1001.0</v>
      </c>
      <c r="AL495" s="1">
        <v>69.0</v>
      </c>
      <c r="AM495" s="1">
        <v>0.0</v>
      </c>
      <c r="AN495" s="1">
        <v>0.0</v>
      </c>
      <c r="AO495" s="1">
        <v>5.0</v>
      </c>
      <c r="AP495" s="1">
        <v>10.0</v>
      </c>
      <c r="AQ495" s="1">
        <v>0.0</v>
      </c>
    </row>
    <row r="496">
      <c r="A496" s="1"/>
      <c r="B496" s="1">
        <v>290.0</v>
      </c>
      <c r="C496" s="1" t="s">
        <v>4801</v>
      </c>
      <c r="D496" s="1" t="s">
        <v>4802</v>
      </c>
      <c r="E496" s="1" t="s">
        <v>4803</v>
      </c>
      <c r="F496" s="1" t="s">
        <v>43</v>
      </c>
      <c r="G496" s="2">
        <v>21583.0</v>
      </c>
      <c r="H496" s="1" t="s">
        <v>207</v>
      </c>
      <c r="I496" s="1">
        <v>41.0</v>
      </c>
      <c r="J496" s="1" t="s">
        <v>1741</v>
      </c>
      <c r="K496" s="1">
        <v>3.0</v>
      </c>
      <c r="L496" s="2">
        <v>42907.0</v>
      </c>
      <c r="O496" s="1">
        <v>0.0</v>
      </c>
      <c r="P496" s="1" t="s">
        <v>46</v>
      </c>
      <c r="Q496" s="1" t="s">
        <v>47</v>
      </c>
      <c r="R496" s="1" t="s">
        <v>4804</v>
      </c>
      <c r="U496" s="1" t="s">
        <v>4805</v>
      </c>
      <c r="V496" s="1">
        <v>111.0</v>
      </c>
      <c r="W496" s="3" t="s">
        <v>4806</v>
      </c>
      <c r="X496" s="1">
        <v>1960.0</v>
      </c>
      <c r="Y496" s="1" t="s">
        <v>4807</v>
      </c>
      <c r="Z496" s="3" t="s">
        <v>4808</v>
      </c>
      <c r="AA496" s="3" t="s">
        <v>4809</v>
      </c>
      <c r="AB496" s="1">
        <v>1.0</v>
      </c>
      <c r="AC496" s="1" t="s">
        <v>4810</v>
      </c>
      <c r="AD496" s="1">
        <v>16.0</v>
      </c>
      <c r="AE496" s="1">
        <f t="shared" si="5"/>
        <v>436</v>
      </c>
      <c r="AF496" s="1">
        <v>24.0</v>
      </c>
      <c r="AG496" s="1">
        <v>12.0</v>
      </c>
      <c r="AH496" s="1">
        <v>12.0</v>
      </c>
      <c r="AI496" s="1">
        <v>71.0</v>
      </c>
      <c r="AJ496" s="1">
        <v>10.0</v>
      </c>
      <c r="AK496" s="1">
        <v>612.0</v>
      </c>
      <c r="AL496" s="1">
        <v>27.0</v>
      </c>
      <c r="AM496" s="1">
        <v>2.0</v>
      </c>
      <c r="AN496" s="1">
        <v>0.0</v>
      </c>
      <c r="AO496" s="1">
        <v>7.0</v>
      </c>
      <c r="AP496" s="1">
        <v>23.0</v>
      </c>
      <c r="AQ496" s="1">
        <v>1.0</v>
      </c>
    </row>
    <row r="497">
      <c r="A497" s="1"/>
      <c r="B497" s="1">
        <v>158.0</v>
      </c>
      <c r="C497" s="1" t="s">
        <v>4811</v>
      </c>
      <c r="D497" s="1" t="s">
        <v>3302</v>
      </c>
      <c r="E497" s="1" t="s">
        <v>3658</v>
      </c>
      <c r="F497" s="1" t="s">
        <v>58</v>
      </c>
      <c r="G497" s="2">
        <v>18031.0</v>
      </c>
      <c r="H497" s="1" t="s">
        <v>4812</v>
      </c>
      <c r="I497" s="1">
        <v>62.0</v>
      </c>
      <c r="J497" s="1" t="s">
        <v>427</v>
      </c>
      <c r="K497" s="1">
        <v>2.0</v>
      </c>
      <c r="L497" s="2">
        <v>42907.0</v>
      </c>
      <c r="O497" s="1">
        <v>0.0</v>
      </c>
      <c r="P497" s="1" t="s">
        <v>75</v>
      </c>
      <c r="Q497" s="1" t="s">
        <v>76</v>
      </c>
      <c r="R497" s="1" t="s">
        <v>4813</v>
      </c>
      <c r="U497" s="1" t="s">
        <v>4814</v>
      </c>
      <c r="V497" s="1">
        <v>442.0</v>
      </c>
      <c r="W497" s="3" t="s">
        <v>4815</v>
      </c>
      <c r="X497" s="1">
        <v>334116.0</v>
      </c>
      <c r="Y497" s="1" t="s">
        <v>4816</v>
      </c>
      <c r="Z497" s="3" t="s">
        <v>4817</v>
      </c>
      <c r="AA497" s="3" t="s">
        <v>4818</v>
      </c>
      <c r="AB497" s="1">
        <v>1.0</v>
      </c>
      <c r="AC497" s="1" t="s">
        <v>4819</v>
      </c>
      <c r="AD497" s="1">
        <v>16.0</v>
      </c>
      <c r="AE497" s="1">
        <f t="shared" si="5"/>
        <v>436</v>
      </c>
      <c r="AF497" s="1">
        <v>26.0</v>
      </c>
      <c r="AG497" s="1">
        <v>2.0</v>
      </c>
      <c r="AH497" s="1">
        <v>1.0</v>
      </c>
      <c r="AI497" s="1">
        <v>0.0</v>
      </c>
      <c r="AJ497" s="1">
        <v>0.0</v>
      </c>
      <c r="AK497" s="1">
        <v>16.0</v>
      </c>
      <c r="AL497" s="1">
        <v>7.0</v>
      </c>
      <c r="AM497" s="1">
        <v>0.0</v>
      </c>
      <c r="AN497" s="1">
        <v>0.0</v>
      </c>
      <c r="AO497" s="1">
        <v>7.0</v>
      </c>
      <c r="AP497" s="1">
        <v>15.0</v>
      </c>
      <c r="AQ497" s="1">
        <v>1.0</v>
      </c>
    </row>
    <row r="498">
      <c r="A498" s="1"/>
      <c r="B498" s="1">
        <v>392.0</v>
      </c>
      <c r="C498" s="1" t="s">
        <v>4820</v>
      </c>
      <c r="D498" s="1" t="s">
        <v>4821</v>
      </c>
      <c r="E498" s="1" t="s">
        <v>651</v>
      </c>
      <c r="F498" s="1" t="s">
        <v>58</v>
      </c>
      <c r="G498" s="2">
        <v>32080.0</v>
      </c>
      <c r="H498" s="1" t="s">
        <v>1761</v>
      </c>
      <c r="I498" s="1">
        <v>83.0</v>
      </c>
      <c r="J498" s="1" t="s">
        <v>1231</v>
      </c>
      <c r="K498" s="1">
        <v>2.0</v>
      </c>
      <c r="L498" s="2">
        <v>42907.0</v>
      </c>
      <c r="O498" s="1">
        <v>0.0</v>
      </c>
      <c r="P498" s="1" t="s">
        <v>75</v>
      </c>
      <c r="Q498" s="1" t="s">
        <v>76</v>
      </c>
      <c r="R498" s="1" t="s">
        <v>4822</v>
      </c>
      <c r="U498" s="1" t="s">
        <v>4823</v>
      </c>
      <c r="V498" s="1">
        <v>195.0</v>
      </c>
      <c r="W498" s="3" t="s">
        <v>4824</v>
      </c>
      <c r="X498" s="1">
        <v>721656.0</v>
      </c>
      <c r="Y498" s="1" t="s">
        <v>4825</v>
      </c>
      <c r="Z498" s="3" t="s">
        <v>4826</v>
      </c>
      <c r="AA498" s="3" t="s">
        <v>4827</v>
      </c>
      <c r="AB498" s="1">
        <v>1.0</v>
      </c>
      <c r="AC498" s="1" t="s">
        <v>4828</v>
      </c>
      <c r="AD498" s="1">
        <v>16.0</v>
      </c>
      <c r="AE498" s="1">
        <f t="shared" si="5"/>
        <v>436</v>
      </c>
      <c r="AF498" s="1">
        <v>21.0</v>
      </c>
      <c r="AG498" s="1">
        <v>4.0</v>
      </c>
      <c r="AH498" s="1">
        <v>1.0</v>
      </c>
      <c r="AI498" s="1">
        <v>0.0</v>
      </c>
      <c r="AJ498" s="1">
        <v>0.0</v>
      </c>
      <c r="AK498" s="1">
        <v>91.0</v>
      </c>
      <c r="AL498" s="1">
        <v>72.0</v>
      </c>
      <c r="AM498" s="1">
        <v>0.0</v>
      </c>
      <c r="AN498" s="1">
        <v>0.0</v>
      </c>
      <c r="AO498" s="1">
        <v>5.0</v>
      </c>
      <c r="AP498" s="1">
        <v>1.0</v>
      </c>
      <c r="AQ498" s="1">
        <v>1.0</v>
      </c>
    </row>
    <row r="499">
      <c r="A499" s="1"/>
      <c r="B499" s="1">
        <v>579.0</v>
      </c>
      <c r="C499" s="1" t="s">
        <v>4829</v>
      </c>
      <c r="D499" s="1" t="s">
        <v>4830</v>
      </c>
      <c r="E499" s="1" t="s">
        <v>738</v>
      </c>
      <c r="F499" s="1" t="s">
        <v>58</v>
      </c>
      <c r="G499" s="2">
        <v>31406.0</v>
      </c>
      <c r="H499" s="1" t="s">
        <v>4831</v>
      </c>
      <c r="I499" s="1">
        <v>75.0</v>
      </c>
      <c r="J499" s="1" t="s">
        <v>232</v>
      </c>
      <c r="K499" s="1">
        <v>16.0</v>
      </c>
      <c r="L499" s="2">
        <v>42938.0</v>
      </c>
      <c r="O499" s="1">
        <v>0.0</v>
      </c>
      <c r="P499" s="1" t="s">
        <v>75</v>
      </c>
      <c r="Q499" s="1" t="s">
        <v>76</v>
      </c>
      <c r="R499" s="1" t="s">
        <v>4832</v>
      </c>
      <c r="U499" s="1" t="s">
        <v>2484</v>
      </c>
      <c r="V499" s="1">
        <v>240.0</v>
      </c>
      <c r="W499" s="3" t="s">
        <v>4833</v>
      </c>
      <c r="X499" s="1">
        <v>721956.0</v>
      </c>
      <c r="Y499" s="1" t="s">
        <v>4834</v>
      </c>
      <c r="Z499" s="3" t="s">
        <v>4835</v>
      </c>
      <c r="AA499" s="3" t="s">
        <v>4836</v>
      </c>
      <c r="AB499" s="1">
        <v>1.0</v>
      </c>
      <c r="AC499" s="1" t="s">
        <v>4837</v>
      </c>
      <c r="AD499" s="1">
        <v>16.0</v>
      </c>
      <c r="AE499" s="1">
        <f t="shared" si="5"/>
        <v>431</v>
      </c>
      <c r="AF499" s="1">
        <v>30.0</v>
      </c>
      <c r="AG499" s="1">
        <v>5.0</v>
      </c>
      <c r="AH499" s="1">
        <v>3.0</v>
      </c>
      <c r="AI499" s="1">
        <v>0.0</v>
      </c>
      <c r="AJ499" s="1">
        <v>0.0</v>
      </c>
      <c r="AK499" s="1">
        <v>13.0</v>
      </c>
      <c r="AL499" s="1">
        <v>8.0</v>
      </c>
      <c r="AM499" s="1">
        <v>0.0</v>
      </c>
      <c r="AN499" s="1">
        <v>0.0</v>
      </c>
      <c r="AO499" s="1">
        <v>5.0</v>
      </c>
      <c r="AP499" s="1">
        <v>0.0</v>
      </c>
      <c r="AQ499" s="1">
        <v>1.0</v>
      </c>
    </row>
    <row r="500">
      <c r="A500" s="1"/>
      <c r="B500" s="1">
        <v>195.0</v>
      </c>
      <c r="C500" s="1" t="s">
        <v>4838</v>
      </c>
      <c r="D500" s="1" t="s">
        <v>4839</v>
      </c>
      <c r="E500" s="1" t="s">
        <v>323</v>
      </c>
      <c r="F500" s="1" t="s">
        <v>43</v>
      </c>
      <c r="G500" s="2">
        <v>30828.0</v>
      </c>
      <c r="H500" s="1" t="s">
        <v>4072</v>
      </c>
      <c r="I500" s="1">
        <v>95.0</v>
      </c>
      <c r="J500" s="1" t="s">
        <v>302</v>
      </c>
      <c r="K500" s="1">
        <v>10.0</v>
      </c>
      <c r="L500" s="2">
        <v>42907.0</v>
      </c>
      <c r="O500" s="1">
        <v>0.0</v>
      </c>
      <c r="P500" s="1" t="s">
        <v>75</v>
      </c>
      <c r="Q500" s="1" t="s">
        <v>76</v>
      </c>
      <c r="R500" s="1" t="s">
        <v>4840</v>
      </c>
      <c r="U500" s="1" t="s">
        <v>118</v>
      </c>
      <c r="V500" s="1">
        <v>412.0</v>
      </c>
      <c r="W500" s="3" t="s">
        <v>4841</v>
      </c>
      <c r="X500" s="1">
        <v>720952.0</v>
      </c>
      <c r="Y500" s="1" t="s">
        <v>4842</v>
      </c>
      <c r="Z500" s="3" t="s">
        <v>4843</v>
      </c>
      <c r="AA500" s="3" t="s">
        <v>4844</v>
      </c>
      <c r="AB500" s="1">
        <v>1.0</v>
      </c>
      <c r="AC500" s="1" t="s">
        <v>4845</v>
      </c>
      <c r="AD500" s="1">
        <v>16.0</v>
      </c>
      <c r="AE500" s="1">
        <f t="shared" si="5"/>
        <v>436</v>
      </c>
      <c r="AF500" s="1">
        <v>34.0</v>
      </c>
      <c r="AG500" s="1">
        <v>19.0</v>
      </c>
      <c r="AH500" s="1">
        <v>78.0</v>
      </c>
      <c r="AI500" s="1">
        <v>7.0</v>
      </c>
      <c r="AJ500" s="1">
        <v>14.0</v>
      </c>
      <c r="AK500" s="1">
        <v>65.0</v>
      </c>
      <c r="AL500" s="1">
        <v>26.0</v>
      </c>
      <c r="AM500" s="1">
        <v>0.0</v>
      </c>
      <c r="AN500" s="1">
        <v>0.0</v>
      </c>
      <c r="AO500" s="1">
        <v>5.0</v>
      </c>
      <c r="AP500" s="1">
        <v>2.0</v>
      </c>
      <c r="AQ500" s="1">
        <v>1.0</v>
      </c>
    </row>
    <row r="501">
      <c r="A501" s="1"/>
      <c r="B501" s="1">
        <v>540.0</v>
      </c>
      <c r="C501" s="1" t="s">
        <v>4846</v>
      </c>
      <c r="D501" s="1" t="s">
        <v>4847</v>
      </c>
      <c r="E501" s="1" t="s">
        <v>4848</v>
      </c>
      <c r="F501" s="1" t="s">
        <v>58</v>
      </c>
      <c r="G501" s="2">
        <v>31332.0</v>
      </c>
      <c r="H501" s="1" t="s">
        <v>4849</v>
      </c>
      <c r="I501" s="1">
        <v>26.0</v>
      </c>
      <c r="J501" s="1" t="s">
        <v>1873</v>
      </c>
      <c r="K501" s="1">
        <v>2.0</v>
      </c>
      <c r="L501" s="2">
        <v>42907.0</v>
      </c>
      <c r="O501" s="1">
        <v>0.0</v>
      </c>
      <c r="P501" s="1" t="s">
        <v>75</v>
      </c>
      <c r="Q501" s="1" t="s">
        <v>76</v>
      </c>
      <c r="R501" s="1" t="s">
        <v>4850</v>
      </c>
      <c r="U501" s="1" t="s">
        <v>304</v>
      </c>
      <c r="V501" s="1">
        <v>452.0</v>
      </c>
      <c r="W501" s="3" t="s">
        <v>4851</v>
      </c>
      <c r="X501" s="1">
        <v>719302.0</v>
      </c>
      <c r="Y501" s="1" t="s">
        <v>4852</v>
      </c>
      <c r="Z501" s="3" t="s">
        <v>4853</v>
      </c>
      <c r="AA501" s="3" t="s">
        <v>4854</v>
      </c>
      <c r="AB501" s="1">
        <v>1.0</v>
      </c>
      <c r="AC501" s="1" t="s">
        <v>4855</v>
      </c>
      <c r="AD501" s="1">
        <v>16.0</v>
      </c>
      <c r="AE501" s="1">
        <f t="shared" si="5"/>
        <v>436</v>
      </c>
      <c r="AF501" s="1">
        <v>31.0</v>
      </c>
      <c r="AG501" s="1">
        <v>7.0</v>
      </c>
      <c r="AH501" s="1">
        <v>28.0</v>
      </c>
      <c r="AI501" s="1">
        <v>4.0</v>
      </c>
      <c r="AJ501" s="1">
        <v>4.0</v>
      </c>
      <c r="AK501" s="1">
        <v>126.0</v>
      </c>
      <c r="AL501" s="1">
        <v>58.0</v>
      </c>
      <c r="AM501" s="1">
        <v>1.0</v>
      </c>
      <c r="AN501" s="1">
        <v>0.0</v>
      </c>
      <c r="AO501" s="1">
        <v>5.0</v>
      </c>
      <c r="AP501" s="1">
        <v>3.0</v>
      </c>
      <c r="AQ501" s="1">
        <v>0.0</v>
      </c>
    </row>
    <row r="502">
      <c r="A502" s="1"/>
      <c r="B502" s="1">
        <v>542.0</v>
      </c>
      <c r="C502" s="1" t="s">
        <v>4856</v>
      </c>
      <c r="D502" s="1" t="s">
        <v>4857</v>
      </c>
      <c r="E502" s="1" t="s">
        <v>810</v>
      </c>
      <c r="F502" s="1" t="s">
        <v>43</v>
      </c>
      <c r="G502" s="2">
        <v>21921.0</v>
      </c>
      <c r="H502" s="1" t="s">
        <v>3677</v>
      </c>
      <c r="I502" s="1">
        <v>78.0</v>
      </c>
      <c r="J502" s="1" t="s">
        <v>74</v>
      </c>
      <c r="K502" s="1">
        <v>8.0</v>
      </c>
      <c r="L502" s="2">
        <v>42907.0</v>
      </c>
      <c r="O502" s="1">
        <v>0.0</v>
      </c>
      <c r="P502" s="1" t="s">
        <v>61</v>
      </c>
      <c r="Q502" s="1" t="s">
        <v>62</v>
      </c>
      <c r="R502" s="1" t="s">
        <v>4858</v>
      </c>
      <c r="U502" s="1" t="s">
        <v>234</v>
      </c>
      <c r="V502" s="1">
        <v>148.0</v>
      </c>
      <c r="W502" s="3" t="s">
        <v>4859</v>
      </c>
      <c r="X502" s="1">
        <v>721968.0</v>
      </c>
      <c r="Y502" s="1" t="s">
        <v>4860</v>
      </c>
      <c r="Z502" s="3" t="s">
        <v>4861</v>
      </c>
      <c r="AA502" s="3" t="s">
        <v>4862</v>
      </c>
      <c r="AB502" s="1">
        <v>2.0</v>
      </c>
      <c r="AC502" s="1" t="s">
        <v>4863</v>
      </c>
      <c r="AD502" s="1">
        <v>16.0</v>
      </c>
      <c r="AE502" s="1">
        <f t="shared" si="5"/>
        <v>436</v>
      </c>
      <c r="AF502" s="1">
        <v>22.0</v>
      </c>
      <c r="AG502" s="1">
        <v>1.0</v>
      </c>
      <c r="AH502" s="1">
        <v>10.0</v>
      </c>
      <c r="AI502" s="1">
        <v>1.0</v>
      </c>
      <c r="AJ502" s="1">
        <v>6.0</v>
      </c>
      <c r="AK502" s="1">
        <v>1275.0</v>
      </c>
      <c r="AL502" s="1">
        <v>34.0</v>
      </c>
      <c r="AM502" s="1">
        <v>1.0</v>
      </c>
      <c r="AN502" s="1">
        <v>0.0</v>
      </c>
      <c r="AO502" s="1">
        <v>80.0</v>
      </c>
      <c r="AP502" s="1">
        <v>2.0</v>
      </c>
      <c r="AQ502" s="1">
        <v>1.0</v>
      </c>
    </row>
    <row r="503">
      <c r="A503" s="1"/>
      <c r="B503" s="1">
        <v>535.0</v>
      </c>
      <c r="C503" s="1" t="s">
        <v>4864</v>
      </c>
      <c r="D503" s="1" t="s">
        <v>4865</v>
      </c>
      <c r="E503" s="1" t="s">
        <v>2776</v>
      </c>
      <c r="F503" s="1" t="s">
        <v>43</v>
      </c>
      <c r="G503" s="2">
        <v>26942.0</v>
      </c>
      <c r="H503" s="1" t="s">
        <v>4866</v>
      </c>
      <c r="I503" s="1">
        <v>91.0</v>
      </c>
      <c r="J503" s="1" t="s">
        <v>610</v>
      </c>
      <c r="K503" s="1">
        <v>5.0</v>
      </c>
      <c r="L503" s="2">
        <v>42907.0</v>
      </c>
      <c r="O503" s="1">
        <v>0.0</v>
      </c>
      <c r="P503" s="1" t="s">
        <v>75</v>
      </c>
      <c r="Q503" s="1" t="s">
        <v>76</v>
      </c>
      <c r="R503" s="1" t="s">
        <v>4867</v>
      </c>
      <c r="U503" s="1" t="s">
        <v>1592</v>
      </c>
      <c r="V503" s="1">
        <v>356.0</v>
      </c>
      <c r="W503" s="3" t="s">
        <v>4868</v>
      </c>
      <c r="X503" s="1">
        <v>722260.0</v>
      </c>
      <c r="Y503" s="1" t="s">
        <v>4869</v>
      </c>
      <c r="Z503" s="3" t="s">
        <v>4870</v>
      </c>
      <c r="AA503" s="3" t="s">
        <v>4871</v>
      </c>
      <c r="AB503" s="1">
        <v>1.0</v>
      </c>
      <c r="AC503" s="1" t="s">
        <v>4872</v>
      </c>
      <c r="AD503" s="1">
        <v>16.0</v>
      </c>
      <c r="AE503" s="1">
        <f t="shared" si="5"/>
        <v>436</v>
      </c>
      <c r="AF503" s="1">
        <v>24.0</v>
      </c>
      <c r="AG503" s="1">
        <v>162.0</v>
      </c>
      <c r="AH503" s="1">
        <v>12.0</v>
      </c>
      <c r="AI503" s="1">
        <v>2.0</v>
      </c>
      <c r="AJ503" s="1">
        <v>4.0</v>
      </c>
      <c r="AK503" s="1">
        <v>68.0</v>
      </c>
      <c r="AL503" s="1">
        <v>28.0</v>
      </c>
      <c r="AM503" s="1">
        <v>0.0</v>
      </c>
      <c r="AN503" s="1">
        <v>0.0</v>
      </c>
      <c r="AO503" s="1">
        <v>5.0</v>
      </c>
      <c r="AP503" s="1">
        <v>3.0</v>
      </c>
      <c r="AQ503" s="1">
        <v>0.0</v>
      </c>
    </row>
    <row r="504">
      <c r="A504" s="1"/>
      <c r="B504" s="1">
        <v>462.0</v>
      </c>
      <c r="C504" s="1" t="s">
        <v>4873</v>
      </c>
      <c r="D504" s="1" t="s">
        <v>4874</v>
      </c>
      <c r="E504" s="1" t="s">
        <v>4875</v>
      </c>
      <c r="F504" s="1" t="s">
        <v>58</v>
      </c>
      <c r="G504" s="2">
        <v>19161.0</v>
      </c>
      <c r="H504" s="1" t="s">
        <v>3350</v>
      </c>
      <c r="I504" s="1">
        <v>32.0</v>
      </c>
      <c r="J504" s="1" t="s">
        <v>825</v>
      </c>
      <c r="K504" s="1">
        <v>2.0</v>
      </c>
      <c r="L504" s="2">
        <v>42907.0</v>
      </c>
      <c r="O504" s="1">
        <v>0.0</v>
      </c>
      <c r="P504" s="1" t="s">
        <v>115</v>
      </c>
      <c r="Q504" s="1" t="s">
        <v>116</v>
      </c>
      <c r="R504" s="1" t="s">
        <v>4876</v>
      </c>
      <c r="U504" s="1" t="s">
        <v>2679</v>
      </c>
      <c r="V504" s="1">
        <v>515.0</v>
      </c>
      <c r="W504" s="3" t="s">
        <v>4877</v>
      </c>
      <c r="X504" s="1">
        <v>508.0</v>
      </c>
      <c r="Y504" s="1" t="s">
        <v>4878</v>
      </c>
      <c r="Z504" s="3" t="s">
        <v>4879</v>
      </c>
      <c r="AA504" s="3" t="s">
        <v>4880</v>
      </c>
      <c r="AB504" s="1">
        <v>1.0</v>
      </c>
      <c r="AC504" s="1" t="s">
        <v>4881</v>
      </c>
      <c r="AD504" s="1">
        <v>15.0</v>
      </c>
      <c r="AE504" s="1">
        <f t="shared" si="5"/>
        <v>437</v>
      </c>
      <c r="AF504" s="1">
        <v>24.0</v>
      </c>
      <c r="AG504" s="1">
        <v>20.0</v>
      </c>
      <c r="AH504" s="1">
        <v>35.0</v>
      </c>
      <c r="AI504" s="1">
        <v>7.0</v>
      </c>
      <c r="AJ504" s="1">
        <v>12.0</v>
      </c>
      <c r="AK504" s="1">
        <v>1102.0</v>
      </c>
      <c r="AL504" s="1">
        <v>66.0</v>
      </c>
      <c r="AM504" s="1">
        <v>0.0</v>
      </c>
      <c r="AN504" s="1">
        <v>0.0</v>
      </c>
      <c r="AO504" s="1">
        <v>5.0</v>
      </c>
      <c r="AP504" s="1">
        <v>19.0</v>
      </c>
      <c r="AQ504" s="1">
        <v>5.0</v>
      </c>
    </row>
    <row r="505">
      <c r="A505" s="1"/>
      <c r="B505" s="1">
        <v>303.0</v>
      </c>
      <c r="C505" s="1" t="s">
        <v>4882</v>
      </c>
      <c r="D505" s="1" t="s">
        <v>4883</v>
      </c>
      <c r="E505" s="1" t="s">
        <v>1540</v>
      </c>
      <c r="F505" s="1" t="s">
        <v>43</v>
      </c>
      <c r="G505" s="2">
        <v>23188.0</v>
      </c>
      <c r="H505" s="1" t="s">
        <v>4884</v>
      </c>
      <c r="I505" s="1">
        <v>80.0</v>
      </c>
      <c r="J505" s="1" t="s">
        <v>1148</v>
      </c>
      <c r="K505" s="1">
        <v>5.0</v>
      </c>
      <c r="L505" s="2">
        <v>42907.0</v>
      </c>
      <c r="O505" s="1">
        <v>0.0</v>
      </c>
      <c r="P505" s="1" t="s">
        <v>46</v>
      </c>
      <c r="Q505" s="1" t="s">
        <v>47</v>
      </c>
      <c r="R505" s="1" t="s">
        <v>4885</v>
      </c>
      <c r="U505" s="1" t="s">
        <v>4886</v>
      </c>
      <c r="V505" s="1">
        <v>125.0</v>
      </c>
      <c r="W505" s="3" t="s">
        <v>4887</v>
      </c>
      <c r="X505" s="1">
        <v>267241.0</v>
      </c>
      <c r="Y505" s="1" t="s">
        <v>4888</v>
      </c>
      <c r="Z505" s="3" t="s">
        <v>4889</v>
      </c>
      <c r="AA505" s="3" t="s">
        <v>4890</v>
      </c>
      <c r="AB505" s="1">
        <v>2.0</v>
      </c>
      <c r="AD505" s="1">
        <v>15.0</v>
      </c>
      <c r="AE505" s="1">
        <f t="shared" si="5"/>
        <v>437</v>
      </c>
      <c r="AF505" s="1">
        <v>18.0</v>
      </c>
      <c r="AG505" s="1">
        <v>10.0</v>
      </c>
      <c r="AH505" s="1">
        <v>22.0</v>
      </c>
      <c r="AI505" s="1">
        <v>2.0</v>
      </c>
      <c r="AJ505" s="1">
        <v>1.0</v>
      </c>
      <c r="AK505" s="1">
        <v>477.0</v>
      </c>
      <c r="AL505" s="1">
        <v>31.0</v>
      </c>
      <c r="AM505" s="1">
        <v>0.0</v>
      </c>
      <c r="AN505" s="1">
        <v>0.0</v>
      </c>
      <c r="AO505" s="1">
        <v>15.0</v>
      </c>
      <c r="AP505" s="1">
        <v>19.0</v>
      </c>
      <c r="AQ505" s="1">
        <v>4.0</v>
      </c>
    </row>
    <row r="506">
      <c r="A506" s="1"/>
      <c r="B506" s="1">
        <v>60.0</v>
      </c>
      <c r="C506" s="1" t="s">
        <v>4891</v>
      </c>
      <c r="D506" s="1" t="s">
        <v>3657</v>
      </c>
      <c r="E506" s="1" t="s">
        <v>4892</v>
      </c>
      <c r="F506" s="1" t="s">
        <v>58</v>
      </c>
      <c r="G506" s="2">
        <v>21171.0</v>
      </c>
      <c r="H506" s="1" t="s">
        <v>4893</v>
      </c>
      <c r="I506" s="1">
        <v>45.0</v>
      </c>
      <c r="J506" s="1" t="s">
        <v>2531</v>
      </c>
      <c r="K506" s="1">
        <v>5.0</v>
      </c>
      <c r="L506" s="2">
        <v>42907.0</v>
      </c>
      <c r="O506" s="1">
        <v>0.0</v>
      </c>
      <c r="P506" s="1" t="s">
        <v>61</v>
      </c>
      <c r="Q506" s="1" t="s">
        <v>62</v>
      </c>
      <c r="R506" s="1" t="s">
        <v>4894</v>
      </c>
      <c r="U506" s="1">
        <v>0.0</v>
      </c>
      <c r="V506" s="1">
        <v>20.0</v>
      </c>
      <c r="W506" s="3" t="s">
        <v>4895</v>
      </c>
      <c r="X506" s="1">
        <v>342935.0</v>
      </c>
      <c r="Y506" s="1" t="s">
        <v>4896</v>
      </c>
      <c r="Z506" s="3" t="s">
        <v>4897</v>
      </c>
      <c r="AA506" s="3" t="s">
        <v>4898</v>
      </c>
      <c r="AB506" s="1">
        <v>1.0</v>
      </c>
      <c r="AC506" s="1" t="s">
        <v>4899</v>
      </c>
      <c r="AD506" s="1">
        <v>15.0</v>
      </c>
      <c r="AE506" s="1">
        <f t="shared" si="5"/>
        <v>437</v>
      </c>
      <c r="AF506" s="1">
        <v>32.0</v>
      </c>
      <c r="AG506" s="1">
        <v>19.0</v>
      </c>
      <c r="AH506" s="1">
        <v>2.0</v>
      </c>
      <c r="AI506" s="1">
        <v>0.0</v>
      </c>
      <c r="AJ506" s="1">
        <v>1.0</v>
      </c>
      <c r="AK506" s="1">
        <v>490.0</v>
      </c>
      <c r="AL506" s="1">
        <v>18.0</v>
      </c>
      <c r="AM506" s="1">
        <v>0.0</v>
      </c>
      <c r="AN506" s="1">
        <v>0.0</v>
      </c>
      <c r="AO506" s="1">
        <v>41.0</v>
      </c>
      <c r="AP506" s="1">
        <v>8.0</v>
      </c>
      <c r="AQ506" s="1">
        <v>0.0</v>
      </c>
    </row>
    <row r="507">
      <c r="A507" s="1"/>
      <c r="B507" s="1">
        <v>440.0</v>
      </c>
      <c r="C507" s="1" t="s">
        <v>4900</v>
      </c>
      <c r="D507" s="1" t="s">
        <v>3676</v>
      </c>
      <c r="E507" s="1" t="s">
        <v>4901</v>
      </c>
      <c r="F507" s="1" t="s">
        <v>58</v>
      </c>
      <c r="G507" s="2">
        <v>22018.0</v>
      </c>
      <c r="H507" s="1" t="s">
        <v>4902</v>
      </c>
      <c r="I507" s="1">
        <v>30.0</v>
      </c>
      <c r="J507" s="1" t="s">
        <v>1751</v>
      </c>
      <c r="K507" s="1">
        <v>1.0</v>
      </c>
      <c r="L507" s="2">
        <v>42907.0</v>
      </c>
      <c r="O507" s="1">
        <v>0.0</v>
      </c>
      <c r="P507" s="1" t="s">
        <v>75</v>
      </c>
      <c r="Q507" s="1" t="s">
        <v>76</v>
      </c>
      <c r="R507" s="1" t="s">
        <v>4903</v>
      </c>
      <c r="U507" s="1" t="s">
        <v>4904</v>
      </c>
      <c r="V507" s="1">
        <v>413.0</v>
      </c>
      <c r="W507" s="3" t="s">
        <v>4905</v>
      </c>
      <c r="X507" s="1">
        <v>606202.0</v>
      </c>
      <c r="Y507" s="1" t="s">
        <v>4906</v>
      </c>
      <c r="Z507" s="3" t="s">
        <v>4907</v>
      </c>
      <c r="AA507" s="3" t="s">
        <v>4908</v>
      </c>
      <c r="AB507" s="1">
        <v>2.0</v>
      </c>
      <c r="AC507" s="1" t="s">
        <v>4909</v>
      </c>
      <c r="AD507" s="1">
        <v>15.0</v>
      </c>
      <c r="AE507" s="1">
        <f t="shared" si="5"/>
        <v>437</v>
      </c>
      <c r="AF507" s="1">
        <v>34.0</v>
      </c>
      <c r="AG507" s="1">
        <v>12.0</v>
      </c>
      <c r="AH507" s="1">
        <v>5.0</v>
      </c>
      <c r="AI507" s="1">
        <v>4.0</v>
      </c>
      <c r="AJ507" s="1">
        <v>0.0</v>
      </c>
      <c r="AK507" s="1">
        <v>22.0</v>
      </c>
      <c r="AL507" s="1">
        <v>2.0</v>
      </c>
      <c r="AM507" s="1">
        <v>0.0</v>
      </c>
      <c r="AN507" s="1">
        <v>0.0</v>
      </c>
      <c r="AO507" s="1">
        <v>6.0</v>
      </c>
      <c r="AP507" s="1">
        <v>12.0</v>
      </c>
      <c r="AQ507" s="1">
        <v>2.0</v>
      </c>
    </row>
    <row r="508">
      <c r="A508" s="1"/>
      <c r="B508" s="1">
        <v>481.0</v>
      </c>
      <c r="C508" s="1" t="s">
        <v>4910</v>
      </c>
      <c r="D508" s="1" t="s">
        <v>478</v>
      </c>
      <c r="E508" s="1" t="s">
        <v>694</v>
      </c>
      <c r="F508" s="1" t="s">
        <v>58</v>
      </c>
      <c r="G508" s="2">
        <v>21338.0</v>
      </c>
      <c r="H508" s="1" t="s">
        <v>4793</v>
      </c>
      <c r="I508" s="1">
        <v>14.0</v>
      </c>
      <c r="J508" s="1" t="s">
        <v>1137</v>
      </c>
      <c r="K508" s="1">
        <v>2.0</v>
      </c>
      <c r="L508" s="2">
        <v>42907.0</v>
      </c>
      <c r="O508" s="1">
        <v>0.0</v>
      </c>
      <c r="P508" s="1" t="s">
        <v>115</v>
      </c>
      <c r="Q508" s="1" t="s">
        <v>116</v>
      </c>
      <c r="R508" s="1" t="s">
        <v>4911</v>
      </c>
      <c r="U508" s="1" t="s">
        <v>4912</v>
      </c>
      <c r="V508" s="1">
        <v>509.0</v>
      </c>
      <c r="W508" s="3" t="s">
        <v>4913</v>
      </c>
      <c r="X508" s="1">
        <v>1198.0</v>
      </c>
      <c r="Y508" s="1" t="s">
        <v>4914</v>
      </c>
      <c r="Z508" s="3" t="s">
        <v>4915</v>
      </c>
      <c r="AA508" s="3" t="s">
        <v>4916</v>
      </c>
      <c r="AB508" s="1">
        <v>1.0</v>
      </c>
      <c r="AC508" s="1" t="s">
        <v>4917</v>
      </c>
      <c r="AD508" s="1">
        <v>15.0</v>
      </c>
      <c r="AE508" s="1">
        <f t="shared" si="5"/>
        <v>437</v>
      </c>
      <c r="AF508" s="1">
        <v>19.0</v>
      </c>
      <c r="AG508" s="1">
        <v>9.0</v>
      </c>
      <c r="AH508" s="1">
        <v>16.0</v>
      </c>
      <c r="AI508" s="1">
        <v>52.0</v>
      </c>
      <c r="AJ508" s="1">
        <v>2.0</v>
      </c>
      <c r="AK508" s="1">
        <v>1095.0</v>
      </c>
      <c r="AL508" s="1">
        <v>72.0</v>
      </c>
      <c r="AM508" s="1">
        <v>1.0</v>
      </c>
      <c r="AN508" s="1">
        <v>0.0</v>
      </c>
      <c r="AO508" s="1">
        <v>5.0</v>
      </c>
      <c r="AP508" s="1">
        <v>1.0</v>
      </c>
      <c r="AQ508" s="1">
        <v>3.0</v>
      </c>
    </row>
    <row r="509">
      <c r="A509" s="1"/>
      <c r="B509" s="1">
        <v>377.0</v>
      </c>
      <c r="C509" s="1" t="s">
        <v>4918</v>
      </c>
      <c r="D509" s="1" t="s">
        <v>4919</v>
      </c>
      <c r="E509" s="1" t="s">
        <v>2374</v>
      </c>
      <c r="F509" s="1" t="s">
        <v>43</v>
      </c>
      <c r="G509" s="2">
        <v>22347.0</v>
      </c>
      <c r="H509" s="1" t="s">
        <v>207</v>
      </c>
      <c r="I509" s="1">
        <v>91.0</v>
      </c>
      <c r="J509" s="1" t="s">
        <v>610</v>
      </c>
      <c r="K509" s="1">
        <v>8.0</v>
      </c>
      <c r="L509" s="2">
        <v>42907.0</v>
      </c>
      <c r="O509" s="1">
        <v>0.0</v>
      </c>
      <c r="P509" s="1" t="s">
        <v>814</v>
      </c>
      <c r="Q509" s="1" t="s">
        <v>4920</v>
      </c>
      <c r="R509" s="1" t="s">
        <v>4921</v>
      </c>
      <c r="U509" s="1" t="s">
        <v>4922</v>
      </c>
      <c r="V509" s="1">
        <v>237.0</v>
      </c>
      <c r="W509" s="3" t="s">
        <v>4923</v>
      </c>
      <c r="X509" s="1">
        <v>1206.0</v>
      </c>
      <c r="Y509" s="1" t="s">
        <v>4924</v>
      </c>
      <c r="Z509" s="3" t="s">
        <v>4925</v>
      </c>
      <c r="AA509" s="3" t="s">
        <v>4926</v>
      </c>
      <c r="AB509" s="1">
        <v>2.0</v>
      </c>
      <c r="AC509" s="1" t="s">
        <v>4927</v>
      </c>
      <c r="AD509" s="1">
        <v>15.0</v>
      </c>
      <c r="AE509" s="1">
        <f t="shared" si="5"/>
        <v>437</v>
      </c>
      <c r="AF509" s="1">
        <v>15.0</v>
      </c>
      <c r="AG509" s="1">
        <v>7.0</v>
      </c>
      <c r="AH509" s="1">
        <v>25.0</v>
      </c>
      <c r="AI509" s="1">
        <v>69.0</v>
      </c>
      <c r="AJ509" s="1">
        <v>4.0</v>
      </c>
      <c r="AK509" s="1">
        <v>4.0</v>
      </c>
      <c r="AL509" s="1">
        <v>0.0</v>
      </c>
      <c r="AM509" s="1">
        <v>0.0</v>
      </c>
      <c r="AN509" s="1">
        <v>4.0</v>
      </c>
      <c r="AO509" s="1">
        <v>6.0</v>
      </c>
      <c r="AP509" s="1">
        <v>22.0</v>
      </c>
      <c r="AQ509" s="1">
        <v>0.0</v>
      </c>
    </row>
    <row r="510">
      <c r="A510" s="1"/>
      <c r="B510" s="1">
        <v>583.0</v>
      </c>
      <c r="C510" s="1" t="s">
        <v>4928</v>
      </c>
      <c r="D510" s="1" t="s">
        <v>4929</v>
      </c>
      <c r="E510" s="1" t="s">
        <v>2927</v>
      </c>
      <c r="F510" s="1" t="s">
        <v>43</v>
      </c>
      <c r="G510" s="2">
        <v>26685.0</v>
      </c>
      <c r="H510" s="1" t="s">
        <v>3481</v>
      </c>
      <c r="I510" s="1">
        <v>50.0</v>
      </c>
      <c r="J510" s="1" t="s">
        <v>2472</v>
      </c>
      <c r="K510" s="1">
        <v>3.0</v>
      </c>
      <c r="L510" s="2">
        <v>42938.0</v>
      </c>
      <c r="O510" s="1">
        <v>0.0</v>
      </c>
      <c r="P510" s="1" t="s">
        <v>75</v>
      </c>
      <c r="Q510" s="1" t="s">
        <v>76</v>
      </c>
      <c r="U510" s="1" t="s">
        <v>538</v>
      </c>
      <c r="V510" s="1">
        <v>226.0</v>
      </c>
      <c r="W510" s="3" t="s">
        <v>4930</v>
      </c>
      <c r="X510" s="1">
        <v>720198.0</v>
      </c>
      <c r="Y510" s="1" t="s">
        <v>4931</v>
      </c>
      <c r="Z510" s="3" t="s">
        <v>4932</v>
      </c>
      <c r="AA510" s="3" t="s">
        <v>4933</v>
      </c>
      <c r="AB510" s="1">
        <v>1.0</v>
      </c>
      <c r="AD510" s="1">
        <v>15.0</v>
      </c>
      <c r="AE510" s="1">
        <f t="shared" si="5"/>
        <v>432</v>
      </c>
      <c r="AF510" s="1">
        <v>29.0</v>
      </c>
      <c r="AG510" s="1">
        <v>9.0</v>
      </c>
      <c r="AH510" s="1">
        <v>7.0</v>
      </c>
      <c r="AI510" s="1">
        <v>2.0</v>
      </c>
      <c r="AJ510" s="1">
        <v>13.0</v>
      </c>
      <c r="AK510" s="1">
        <v>55.0</v>
      </c>
      <c r="AL510" s="1">
        <v>14.0</v>
      </c>
      <c r="AM510" s="1">
        <v>0.0</v>
      </c>
      <c r="AN510" s="1">
        <v>0.0</v>
      </c>
      <c r="AO510" s="1">
        <v>5.0</v>
      </c>
      <c r="AP510" s="1">
        <v>8.0</v>
      </c>
      <c r="AQ510" s="1">
        <v>1.0</v>
      </c>
    </row>
    <row r="511">
      <c r="A511" s="1"/>
      <c r="B511" s="1">
        <v>224.0</v>
      </c>
      <c r="C511" s="1" t="s">
        <v>4934</v>
      </c>
      <c r="D511" s="1" t="s">
        <v>4935</v>
      </c>
      <c r="E511" s="1" t="s">
        <v>3340</v>
      </c>
      <c r="F511" s="1" t="s">
        <v>58</v>
      </c>
      <c r="G511" s="2">
        <v>27656.0</v>
      </c>
      <c r="H511" s="1" t="s">
        <v>4936</v>
      </c>
      <c r="I511" s="1">
        <v>44.0</v>
      </c>
      <c r="J511" s="1" t="s">
        <v>492</v>
      </c>
      <c r="K511" s="1">
        <v>7.0</v>
      </c>
      <c r="L511" s="2">
        <v>42907.0</v>
      </c>
      <c r="O511" s="1">
        <v>0.0</v>
      </c>
      <c r="P511" s="1" t="s">
        <v>75</v>
      </c>
      <c r="Q511" s="1" t="s">
        <v>76</v>
      </c>
      <c r="R511" s="1" t="s">
        <v>4937</v>
      </c>
      <c r="U511" s="1" t="s">
        <v>293</v>
      </c>
      <c r="V511" s="1">
        <v>324.0</v>
      </c>
      <c r="W511" s="3" t="s">
        <v>4938</v>
      </c>
      <c r="X511" s="1">
        <v>720038.0</v>
      </c>
      <c r="Y511" s="1" t="s">
        <v>4939</v>
      </c>
      <c r="Z511" s="3" t="s">
        <v>4940</v>
      </c>
      <c r="AA511" s="3" t="s">
        <v>4941</v>
      </c>
      <c r="AB511" s="1">
        <v>1.0</v>
      </c>
      <c r="AC511" s="1" t="s">
        <v>4942</v>
      </c>
      <c r="AD511" s="1">
        <v>15.0</v>
      </c>
      <c r="AE511" s="1">
        <f t="shared" si="5"/>
        <v>437</v>
      </c>
      <c r="AF511" s="1">
        <v>32.0</v>
      </c>
      <c r="AG511" s="1">
        <v>2.0</v>
      </c>
      <c r="AH511" s="1">
        <v>4.0</v>
      </c>
      <c r="AI511" s="1">
        <v>0.0</v>
      </c>
      <c r="AJ511" s="1">
        <v>0.0</v>
      </c>
      <c r="AK511" s="1">
        <v>97.0</v>
      </c>
      <c r="AL511" s="1">
        <v>44.0</v>
      </c>
      <c r="AM511" s="1">
        <v>0.0</v>
      </c>
      <c r="AN511" s="1">
        <v>0.0</v>
      </c>
      <c r="AO511" s="1">
        <v>5.0</v>
      </c>
      <c r="AP511" s="1">
        <v>5.0</v>
      </c>
      <c r="AQ511" s="1">
        <v>2.0</v>
      </c>
    </row>
    <row r="512">
      <c r="A512" s="1"/>
      <c r="B512" s="1">
        <v>38.0</v>
      </c>
      <c r="C512" s="1" t="s">
        <v>4943</v>
      </c>
      <c r="D512" s="1" t="s">
        <v>4792</v>
      </c>
      <c r="E512" s="1" t="s">
        <v>4944</v>
      </c>
      <c r="F512" s="1" t="s">
        <v>43</v>
      </c>
      <c r="G512" s="2">
        <v>24343.0</v>
      </c>
      <c r="H512" s="1" t="s">
        <v>4945</v>
      </c>
      <c r="I512" s="1">
        <v>13.0</v>
      </c>
      <c r="J512" s="1" t="s">
        <v>279</v>
      </c>
      <c r="K512" s="1">
        <v>10.0</v>
      </c>
      <c r="L512" s="2">
        <v>42907.0</v>
      </c>
      <c r="O512" s="1">
        <v>0.0</v>
      </c>
      <c r="P512" s="1" t="s">
        <v>75</v>
      </c>
      <c r="Q512" s="1" t="s">
        <v>2397</v>
      </c>
      <c r="R512" s="1" t="s">
        <v>4946</v>
      </c>
      <c r="U512" s="1" t="s">
        <v>526</v>
      </c>
      <c r="V512" s="1">
        <v>359.0</v>
      </c>
      <c r="W512" s="3" t="s">
        <v>4947</v>
      </c>
      <c r="X512" s="1">
        <v>605518.0</v>
      </c>
      <c r="Y512" s="1" t="s">
        <v>4948</v>
      </c>
      <c r="Z512" s="3" t="s">
        <v>4949</v>
      </c>
      <c r="AA512" s="3" t="s">
        <v>4950</v>
      </c>
      <c r="AB512" s="1">
        <v>1.0</v>
      </c>
      <c r="AC512" s="1" t="s">
        <v>4951</v>
      </c>
      <c r="AD512" s="1">
        <v>15.0</v>
      </c>
      <c r="AE512" s="1">
        <f t="shared" si="5"/>
        <v>437</v>
      </c>
      <c r="AF512" s="1">
        <v>16.0</v>
      </c>
      <c r="AG512" s="1">
        <v>10.0</v>
      </c>
      <c r="AH512" s="1">
        <v>39.0</v>
      </c>
      <c r="AI512" s="1">
        <v>17.0</v>
      </c>
      <c r="AJ512" s="1">
        <v>34.0</v>
      </c>
      <c r="AK512" s="1">
        <v>117.0</v>
      </c>
      <c r="AL512" s="1">
        <v>45.0</v>
      </c>
      <c r="AM512" s="1">
        <v>0.0</v>
      </c>
      <c r="AN512" s="1">
        <v>0.0</v>
      </c>
      <c r="AO512" s="1">
        <v>8.0</v>
      </c>
      <c r="AP512" s="1">
        <v>5.0</v>
      </c>
      <c r="AQ512" s="1">
        <v>1.0</v>
      </c>
    </row>
    <row r="513">
      <c r="A513" s="1"/>
      <c r="B513" s="1">
        <v>12.0</v>
      </c>
      <c r="C513" s="1" t="s">
        <v>4952</v>
      </c>
      <c r="D513" s="1" t="s">
        <v>4953</v>
      </c>
      <c r="E513" s="1" t="s">
        <v>4954</v>
      </c>
      <c r="F513" s="1" t="s">
        <v>58</v>
      </c>
      <c r="G513" s="2">
        <v>22503.0</v>
      </c>
      <c r="H513" s="1" t="s">
        <v>4955</v>
      </c>
      <c r="I513" s="1">
        <v>75.0</v>
      </c>
      <c r="J513" s="1" t="s">
        <v>232</v>
      </c>
      <c r="K513" s="1">
        <v>10.0</v>
      </c>
      <c r="L513" s="2">
        <v>42907.0</v>
      </c>
      <c r="O513" s="1">
        <v>0.0</v>
      </c>
      <c r="P513" s="1" t="s">
        <v>75</v>
      </c>
      <c r="Q513" s="1" t="s">
        <v>76</v>
      </c>
      <c r="R513" s="1" t="s">
        <v>4956</v>
      </c>
      <c r="U513" s="1" t="s">
        <v>90</v>
      </c>
      <c r="V513" s="1">
        <v>282.0</v>
      </c>
      <c r="W513" s="3" t="s">
        <v>4957</v>
      </c>
      <c r="X513" s="1">
        <v>643205.0</v>
      </c>
      <c r="Y513" s="1" t="s">
        <v>4958</v>
      </c>
      <c r="Z513" s="3" t="s">
        <v>4959</v>
      </c>
      <c r="AA513" s="3" t="s">
        <v>4960</v>
      </c>
      <c r="AB513" s="1">
        <v>2.0</v>
      </c>
      <c r="AC513" s="1" t="s">
        <v>4961</v>
      </c>
      <c r="AD513" s="1">
        <v>15.0</v>
      </c>
      <c r="AE513" s="1">
        <f t="shared" si="5"/>
        <v>437</v>
      </c>
      <c r="AF513" s="1">
        <v>19.0</v>
      </c>
      <c r="AG513" s="1">
        <v>9.0</v>
      </c>
      <c r="AH513" s="1">
        <v>20.0</v>
      </c>
      <c r="AI513" s="1">
        <v>11.0</v>
      </c>
      <c r="AJ513" s="1">
        <v>5.0</v>
      </c>
      <c r="AK513" s="1">
        <v>42.0</v>
      </c>
      <c r="AL513" s="1">
        <v>13.0</v>
      </c>
      <c r="AM513" s="1">
        <v>1.0</v>
      </c>
      <c r="AN513" s="1">
        <v>0.0</v>
      </c>
      <c r="AO513" s="1">
        <v>5.0</v>
      </c>
      <c r="AP513" s="1">
        <v>1.0</v>
      </c>
      <c r="AQ513" s="1">
        <v>3.0</v>
      </c>
    </row>
    <row r="514">
      <c r="A514" s="1"/>
      <c r="B514" s="1">
        <v>257.0</v>
      </c>
      <c r="C514" s="1" t="s">
        <v>4962</v>
      </c>
      <c r="D514" s="1" t="s">
        <v>4963</v>
      </c>
      <c r="E514" s="1" t="s">
        <v>242</v>
      </c>
      <c r="F514" s="1" t="s">
        <v>43</v>
      </c>
      <c r="G514" s="2">
        <v>26153.0</v>
      </c>
      <c r="H514" s="1" t="s">
        <v>59</v>
      </c>
      <c r="I514" s="1">
        <v>73.0</v>
      </c>
      <c r="J514" s="1" t="s">
        <v>60</v>
      </c>
      <c r="K514" s="1">
        <v>4.0</v>
      </c>
      <c r="L514" s="2">
        <v>42907.0</v>
      </c>
      <c r="O514" s="1">
        <v>0.0</v>
      </c>
      <c r="P514" s="1" t="s">
        <v>280</v>
      </c>
      <c r="Q514" s="1" t="s">
        <v>281</v>
      </c>
      <c r="R514" s="1" t="s">
        <v>4964</v>
      </c>
      <c r="U514" s="1" t="s">
        <v>198</v>
      </c>
      <c r="V514" s="1">
        <v>248.0</v>
      </c>
      <c r="W514" s="3" t="s">
        <v>4965</v>
      </c>
      <c r="X514" s="1">
        <v>721418.0</v>
      </c>
      <c r="Y514" s="1" t="s">
        <v>4966</v>
      </c>
      <c r="Z514" s="3" t="s">
        <v>4967</v>
      </c>
      <c r="AA514" s="3" t="s">
        <v>4968</v>
      </c>
      <c r="AB514" s="1">
        <v>1.0</v>
      </c>
      <c r="AC514" s="1" t="s">
        <v>4969</v>
      </c>
      <c r="AD514" s="1">
        <v>15.0</v>
      </c>
      <c r="AE514" s="1">
        <f t="shared" si="5"/>
        <v>437</v>
      </c>
      <c r="AF514" s="1">
        <v>18.0</v>
      </c>
      <c r="AG514" s="1">
        <v>9.0</v>
      </c>
      <c r="AH514" s="1">
        <v>69.0</v>
      </c>
      <c r="AI514" s="1">
        <v>23.0</v>
      </c>
      <c r="AJ514" s="1">
        <v>13.0</v>
      </c>
      <c r="AK514" s="1">
        <v>282.0</v>
      </c>
      <c r="AL514" s="1">
        <v>39.0</v>
      </c>
      <c r="AM514" s="1">
        <v>1.0</v>
      </c>
      <c r="AN514" s="1">
        <v>1.0</v>
      </c>
      <c r="AO514" s="1">
        <v>5.0</v>
      </c>
      <c r="AP514" s="1">
        <v>9.0</v>
      </c>
      <c r="AQ514" s="1">
        <v>0.0</v>
      </c>
    </row>
    <row r="515">
      <c r="A515" s="1"/>
      <c r="B515" s="1">
        <v>360.0</v>
      </c>
      <c r="C515" s="1" t="s">
        <v>4970</v>
      </c>
      <c r="D515" s="1" t="s">
        <v>4971</v>
      </c>
      <c r="E515" s="1" t="s">
        <v>4972</v>
      </c>
      <c r="F515" s="1" t="s">
        <v>58</v>
      </c>
      <c r="G515" s="2">
        <v>19737.0</v>
      </c>
      <c r="H515" s="1" t="s">
        <v>4973</v>
      </c>
      <c r="I515" s="1">
        <v>64.0</v>
      </c>
      <c r="J515" s="1" t="s">
        <v>579</v>
      </c>
      <c r="K515" s="1">
        <v>1.0</v>
      </c>
      <c r="L515" s="2">
        <v>42907.0</v>
      </c>
      <c r="O515" s="1">
        <v>0.0</v>
      </c>
      <c r="P515" s="1" t="s">
        <v>280</v>
      </c>
      <c r="Q515" s="1" t="s">
        <v>281</v>
      </c>
      <c r="R515" s="3" t="s">
        <v>4974</v>
      </c>
      <c r="U515" s="1" t="s">
        <v>4975</v>
      </c>
      <c r="V515" s="1">
        <v>263.0</v>
      </c>
      <c r="W515" s="3" t="s">
        <v>4976</v>
      </c>
      <c r="X515" s="1">
        <v>720720.0</v>
      </c>
      <c r="Y515" s="1" t="s">
        <v>4977</v>
      </c>
      <c r="Z515" s="3" t="s">
        <v>4978</v>
      </c>
      <c r="AA515" s="3" t="s">
        <v>4979</v>
      </c>
      <c r="AB515" s="1">
        <v>2.0</v>
      </c>
      <c r="AC515" s="1" t="s">
        <v>4980</v>
      </c>
      <c r="AD515" s="1">
        <v>15.0</v>
      </c>
      <c r="AE515" s="1">
        <f t="shared" si="5"/>
        <v>437</v>
      </c>
      <c r="AF515" s="1">
        <v>30.0</v>
      </c>
      <c r="AG515" s="1">
        <v>4.0</v>
      </c>
      <c r="AH515" s="1">
        <v>5.0</v>
      </c>
      <c r="AI515" s="1">
        <v>1.0</v>
      </c>
      <c r="AJ515" s="1">
        <v>0.0</v>
      </c>
      <c r="AK515" s="1">
        <v>218.0</v>
      </c>
      <c r="AL515" s="1">
        <v>19.0</v>
      </c>
      <c r="AM515" s="1">
        <v>0.0</v>
      </c>
      <c r="AN515" s="1">
        <v>0.0</v>
      </c>
      <c r="AO515" s="1">
        <v>5.0</v>
      </c>
      <c r="AP515" s="1">
        <v>0.0</v>
      </c>
      <c r="AQ515" s="1">
        <v>2.0</v>
      </c>
    </row>
    <row r="516">
      <c r="A516" s="1"/>
      <c r="B516" s="1">
        <v>81.0</v>
      </c>
      <c r="C516" s="1" t="s">
        <v>4981</v>
      </c>
      <c r="D516" s="1" t="s">
        <v>4982</v>
      </c>
      <c r="E516" s="1" t="s">
        <v>4983</v>
      </c>
      <c r="F516" s="1" t="s">
        <v>43</v>
      </c>
      <c r="G516" s="2">
        <v>27032.0</v>
      </c>
      <c r="H516" s="1" t="s">
        <v>231</v>
      </c>
      <c r="I516" s="1">
        <v>77.0</v>
      </c>
      <c r="J516" s="1" t="s">
        <v>503</v>
      </c>
      <c r="K516" s="1">
        <v>5.0</v>
      </c>
      <c r="L516" s="2">
        <v>42907.0</v>
      </c>
      <c r="O516" s="1">
        <v>0.0</v>
      </c>
      <c r="P516" s="1" t="s">
        <v>46</v>
      </c>
      <c r="Q516" s="1" t="s">
        <v>47</v>
      </c>
      <c r="R516" s="1" t="s">
        <v>4984</v>
      </c>
      <c r="U516" s="1" t="s">
        <v>2484</v>
      </c>
      <c r="V516" s="1">
        <v>124.0</v>
      </c>
      <c r="W516" s="3" t="s">
        <v>4985</v>
      </c>
      <c r="X516" s="1">
        <v>335758.0</v>
      </c>
      <c r="Y516" s="1" t="s">
        <v>4986</v>
      </c>
      <c r="Z516" s="3" t="s">
        <v>4987</v>
      </c>
      <c r="AA516" s="3" t="s">
        <v>4988</v>
      </c>
      <c r="AB516" s="1">
        <v>2.0</v>
      </c>
      <c r="AC516" s="1" t="s">
        <v>4989</v>
      </c>
      <c r="AD516" s="1">
        <v>15.0</v>
      </c>
      <c r="AE516" s="1">
        <f t="shared" si="5"/>
        <v>437</v>
      </c>
      <c r="AF516" s="1">
        <v>5.0</v>
      </c>
      <c r="AG516" s="1">
        <v>1.0</v>
      </c>
      <c r="AH516" s="1">
        <v>20.0</v>
      </c>
      <c r="AI516" s="1">
        <v>21.0</v>
      </c>
      <c r="AJ516" s="1">
        <v>0.0</v>
      </c>
      <c r="AK516" s="1">
        <v>245.0</v>
      </c>
      <c r="AL516" s="1">
        <v>14.0</v>
      </c>
      <c r="AM516" s="1">
        <v>0.0</v>
      </c>
      <c r="AN516" s="1">
        <v>0.0</v>
      </c>
      <c r="AO516" s="1">
        <v>9.0</v>
      </c>
      <c r="AP516" s="1">
        <v>0.0</v>
      </c>
      <c r="AQ516" s="1">
        <v>1.0</v>
      </c>
    </row>
    <row r="517">
      <c r="A517" s="1"/>
      <c r="B517" s="1">
        <v>438.0</v>
      </c>
      <c r="C517" s="1" t="s">
        <v>4990</v>
      </c>
      <c r="D517" s="1" t="s">
        <v>4991</v>
      </c>
      <c r="E517" s="1" t="s">
        <v>4992</v>
      </c>
      <c r="F517" s="1" t="s">
        <v>43</v>
      </c>
      <c r="G517" s="2">
        <v>27870.0</v>
      </c>
      <c r="H517" s="1" t="s">
        <v>1903</v>
      </c>
      <c r="I517" s="1">
        <v>56.0</v>
      </c>
      <c r="J517" s="1" t="s">
        <v>1343</v>
      </c>
      <c r="K517" s="1">
        <v>5.0</v>
      </c>
      <c r="L517" s="2">
        <v>42907.0</v>
      </c>
      <c r="O517" s="1">
        <v>0.0</v>
      </c>
      <c r="P517" s="1" t="s">
        <v>75</v>
      </c>
      <c r="Q517" s="1" t="s">
        <v>76</v>
      </c>
      <c r="R517" s="1" t="s">
        <v>4993</v>
      </c>
      <c r="U517" s="1" t="s">
        <v>4994</v>
      </c>
      <c r="V517" s="1">
        <v>354.0</v>
      </c>
      <c r="W517" s="3" t="s">
        <v>4995</v>
      </c>
      <c r="X517" s="1">
        <v>343493.0</v>
      </c>
      <c r="Y517" s="1" t="s">
        <v>4996</v>
      </c>
      <c r="Z517" s="3" t="s">
        <v>4997</v>
      </c>
      <c r="AA517" s="3" t="s">
        <v>4998</v>
      </c>
      <c r="AB517" s="1">
        <v>1.0</v>
      </c>
      <c r="AC517" s="1" t="s">
        <v>4999</v>
      </c>
      <c r="AD517" s="1">
        <v>15.0</v>
      </c>
      <c r="AE517" s="1">
        <f t="shared" si="5"/>
        <v>437</v>
      </c>
      <c r="AF517" s="1">
        <v>30.0</v>
      </c>
      <c r="AG517" s="1">
        <v>5.0</v>
      </c>
      <c r="AH517" s="1">
        <v>0.0</v>
      </c>
      <c r="AI517" s="1">
        <v>0.0</v>
      </c>
      <c r="AJ517" s="1">
        <v>0.0</v>
      </c>
      <c r="AK517" s="1">
        <v>6.0</v>
      </c>
      <c r="AL517" s="1">
        <v>1.0</v>
      </c>
      <c r="AM517" s="1">
        <v>0.0</v>
      </c>
      <c r="AN517" s="1">
        <v>0.0</v>
      </c>
      <c r="AO517" s="1">
        <v>5.0</v>
      </c>
      <c r="AP517" s="1">
        <v>9.0</v>
      </c>
      <c r="AQ517" s="1">
        <v>0.0</v>
      </c>
    </row>
    <row r="518">
      <c r="A518" s="1"/>
      <c r="B518" s="1">
        <v>448.0</v>
      </c>
      <c r="C518" s="1" t="s">
        <v>5000</v>
      </c>
      <c r="D518" s="1" t="s">
        <v>5001</v>
      </c>
      <c r="E518" s="1" t="s">
        <v>856</v>
      </c>
      <c r="F518" s="1" t="s">
        <v>43</v>
      </c>
      <c r="G518" s="2">
        <v>19557.0</v>
      </c>
      <c r="H518" s="1" t="s">
        <v>5002</v>
      </c>
      <c r="I518" s="1">
        <v>49.0</v>
      </c>
      <c r="J518" s="1" t="s">
        <v>220</v>
      </c>
      <c r="K518" s="1">
        <v>3.0</v>
      </c>
      <c r="L518" s="2">
        <v>42907.0</v>
      </c>
      <c r="O518" s="1">
        <v>0.0</v>
      </c>
      <c r="P518" s="1" t="s">
        <v>61</v>
      </c>
      <c r="Q518" s="1" t="s">
        <v>62</v>
      </c>
      <c r="R518" s="1" t="s">
        <v>5003</v>
      </c>
      <c r="U518" s="1" t="s">
        <v>2484</v>
      </c>
      <c r="V518" s="1">
        <v>36.0</v>
      </c>
      <c r="W518" s="3" t="s">
        <v>5004</v>
      </c>
      <c r="X518" s="1">
        <v>2792.0</v>
      </c>
      <c r="Y518" s="1" t="s">
        <v>5005</v>
      </c>
      <c r="Z518" s="3" t="s">
        <v>5006</v>
      </c>
      <c r="AA518" s="3" t="s">
        <v>5007</v>
      </c>
      <c r="AB518" s="1">
        <v>2.0</v>
      </c>
      <c r="AC518" s="1" t="s">
        <v>5008</v>
      </c>
      <c r="AD518" s="1">
        <v>15.0</v>
      </c>
      <c r="AE518" s="1">
        <f t="shared" si="5"/>
        <v>437</v>
      </c>
      <c r="AF518" s="1">
        <v>21.0</v>
      </c>
      <c r="AG518" s="1">
        <v>16.0</v>
      </c>
      <c r="AH518" s="1">
        <v>39.0</v>
      </c>
      <c r="AI518" s="1">
        <v>17.0</v>
      </c>
      <c r="AJ518" s="1">
        <v>19.0</v>
      </c>
      <c r="AK518" s="1">
        <v>413.0</v>
      </c>
      <c r="AL518" s="1">
        <v>16.0</v>
      </c>
      <c r="AM518" s="1">
        <v>0.0</v>
      </c>
      <c r="AN518" s="1">
        <v>0.0</v>
      </c>
      <c r="AO518" s="1">
        <v>38.0</v>
      </c>
      <c r="AP518" s="1">
        <v>7.0</v>
      </c>
      <c r="AQ518" s="1">
        <v>1.0</v>
      </c>
    </row>
    <row r="519">
      <c r="A519" s="1"/>
      <c r="B519" s="1">
        <v>496.0</v>
      </c>
      <c r="C519" s="1" t="s">
        <v>5009</v>
      </c>
      <c r="D519" s="1" t="s">
        <v>5010</v>
      </c>
      <c r="E519" s="1" t="s">
        <v>86</v>
      </c>
      <c r="F519" s="1" t="s">
        <v>43</v>
      </c>
      <c r="G519" s="2">
        <v>28120.0</v>
      </c>
      <c r="H519" s="1" t="s">
        <v>5011</v>
      </c>
      <c r="I519" s="1">
        <v>76.0</v>
      </c>
      <c r="J519" s="1" t="s">
        <v>371</v>
      </c>
      <c r="K519" s="1">
        <v>10.0</v>
      </c>
      <c r="L519" s="2">
        <v>42907.0</v>
      </c>
      <c r="O519" s="1">
        <v>0.0</v>
      </c>
      <c r="P519" s="1" t="s">
        <v>75</v>
      </c>
      <c r="Q519" s="1" t="s">
        <v>76</v>
      </c>
      <c r="R519" s="1" t="s">
        <v>5012</v>
      </c>
      <c r="U519" s="1" t="s">
        <v>162</v>
      </c>
      <c r="V519" s="1">
        <v>625.0</v>
      </c>
      <c r="W519" s="3" t="s">
        <v>5013</v>
      </c>
      <c r="X519" s="1">
        <v>721522.0</v>
      </c>
      <c r="Y519" s="1" t="s">
        <v>5014</v>
      </c>
      <c r="Z519" s="3" t="s">
        <v>5015</v>
      </c>
      <c r="AA519" s="3" t="s">
        <v>5016</v>
      </c>
      <c r="AB519" s="1">
        <v>1.0</v>
      </c>
      <c r="AC519" s="1" t="s">
        <v>5017</v>
      </c>
      <c r="AD519" s="1">
        <v>14.0</v>
      </c>
      <c r="AE519" s="1">
        <f t="shared" si="5"/>
        <v>438</v>
      </c>
      <c r="AF519" s="1">
        <v>28.0</v>
      </c>
      <c r="AG519" s="1">
        <v>2.0</v>
      </c>
      <c r="AH519" s="1">
        <v>6.0</v>
      </c>
      <c r="AI519" s="1">
        <v>0.0</v>
      </c>
      <c r="AJ519" s="1">
        <v>0.0</v>
      </c>
      <c r="AK519" s="1">
        <v>44.0</v>
      </c>
      <c r="AL519" s="1">
        <v>3.0</v>
      </c>
      <c r="AM519" s="1">
        <v>0.0</v>
      </c>
      <c r="AN519" s="1">
        <v>0.0</v>
      </c>
      <c r="AO519" s="1">
        <v>6.0</v>
      </c>
      <c r="AP519" s="1">
        <v>4.0</v>
      </c>
      <c r="AQ519" s="1">
        <v>2.0</v>
      </c>
    </row>
    <row r="520">
      <c r="A520" s="1"/>
      <c r="B520" s="1">
        <v>337.0</v>
      </c>
      <c r="C520" s="1" t="s">
        <v>5018</v>
      </c>
      <c r="D520" s="1" t="s">
        <v>5019</v>
      </c>
      <c r="E520" s="1" t="s">
        <v>5020</v>
      </c>
      <c r="F520" s="1" t="s">
        <v>58</v>
      </c>
      <c r="G520" s="2">
        <v>22809.0</v>
      </c>
      <c r="H520" s="1" t="s">
        <v>5021</v>
      </c>
      <c r="I520" s="1">
        <v>44.0</v>
      </c>
      <c r="J520" s="1" t="s">
        <v>492</v>
      </c>
      <c r="K520" s="1">
        <v>3.0</v>
      </c>
      <c r="L520" s="2">
        <v>42907.0</v>
      </c>
      <c r="O520" s="1">
        <v>0.0</v>
      </c>
      <c r="P520" s="1" t="s">
        <v>75</v>
      </c>
      <c r="Q520" s="1" t="s">
        <v>76</v>
      </c>
      <c r="R520" s="1" t="s">
        <v>5022</v>
      </c>
      <c r="U520" s="1" t="s">
        <v>2484</v>
      </c>
      <c r="V520" s="1">
        <v>550.0</v>
      </c>
      <c r="W520" s="3" t="s">
        <v>5023</v>
      </c>
      <c r="X520" s="1">
        <v>720116.0</v>
      </c>
      <c r="Y520" s="1" t="s">
        <v>5024</v>
      </c>
      <c r="Z520" s="3" t="s">
        <v>5025</v>
      </c>
      <c r="AA520" s="3" t="s">
        <v>5026</v>
      </c>
      <c r="AB520" s="1">
        <v>1.0</v>
      </c>
      <c r="AC520" s="1" t="s">
        <v>5027</v>
      </c>
      <c r="AD520" s="1">
        <v>14.0</v>
      </c>
      <c r="AE520" s="1">
        <f t="shared" si="5"/>
        <v>438</v>
      </c>
      <c r="AF520" s="1">
        <v>29.0</v>
      </c>
      <c r="AG520" s="1">
        <v>7.0</v>
      </c>
      <c r="AH520" s="1">
        <v>4.0</v>
      </c>
      <c r="AI520" s="1">
        <v>0.0</v>
      </c>
      <c r="AJ520" s="1">
        <v>0.0</v>
      </c>
      <c r="AK520" s="1">
        <v>9.0</v>
      </c>
      <c r="AL520" s="1">
        <v>1.0</v>
      </c>
      <c r="AM520" s="1">
        <v>0.0</v>
      </c>
      <c r="AN520" s="1">
        <v>0.0</v>
      </c>
      <c r="AO520" s="1">
        <v>5.0</v>
      </c>
      <c r="AP520" s="1">
        <v>1.0</v>
      </c>
      <c r="AQ520" s="1">
        <v>1.0</v>
      </c>
    </row>
    <row r="521">
      <c r="A521" s="1"/>
      <c r="B521" s="1">
        <v>346.0</v>
      </c>
      <c r="C521" s="1" t="s">
        <v>5028</v>
      </c>
      <c r="D521" s="1" t="s">
        <v>5029</v>
      </c>
      <c r="E521" s="1" t="s">
        <v>5030</v>
      </c>
      <c r="F521" s="1" t="s">
        <v>43</v>
      </c>
      <c r="G521" s="2">
        <v>30431.0</v>
      </c>
      <c r="H521" s="1" t="s">
        <v>1663</v>
      </c>
      <c r="I521" s="1">
        <v>999.0</v>
      </c>
      <c r="J521" s="1" t="s">
        <v>256</v>
      </c>
      <c r="K521" s="1">
        <v>9.0</v>
      </c>
      <c r="L521" s="2">
        <v>42907.0</v>
      </c>
      <c r="O521" s="1">
        <v>0.0</v>
      </c>
      <c r="P521" s="1" t="s">
        <v>814</v>
      </c>
      <c r="Q521" s="1" t="s">
        <v>2397</v>
      </c>
      <c r="R521" s="1" t="s">
        <v>5031</v>
      </c>
      <c r="U521" s="1" t="s">
        <v>162</v>
      </c>
      <c r="V521" s="1">
        <v>640.0</v>
      </c>
      <c r="W521" s="3" t="s">
        <v>5032</v>
      </c>
      <c r="X521" s="1">
        <v>720996.0</v>
      </c>
      <c r="Y521" s="1" t="s">
        <v>5033</v>
      </c>
      <c r="Z521" s="3" t="s">
        <v>5034</v>
      </c>
      <c r="AA521" s="3" t="s">
        <v>5035</v>
      </c>
      <c r="AB521" s="1">
        <v>1.0</v>
      </c>
      <c r="AC521" s="1" t="s">
        <v>5036</v>
      </c>
      <c r="AD521" s="1">
        <v>14.0</v>
      </c>
      <c r="AE521" s="1">
        <f t="shared" si="5"/>
        <v>438</v>
      </c>
      <c r="AF521" s="1">
        <v>16.0</v>
      </c>
      <c r="AG521" s="1">
        <v>5.0</v>
      </c>
      <c r="AH521" s="1">
        <v>8.0</v>
      </c>
      <c r="AI521" s="1">
        <v>11.0</v>
      </c>
      <c r="AJ521" s="1">
        <v>11.0</v>
      </c>
      <c r="AK521" s="1">
        <v>13.0</v>
      </c>
      <c r="AL521" s="1">
        <v>0.0</v>
      </c>
      <c r="AM521" s="1">
        <v>0.0</v>
      </c>
      <c r="AN521" s="1">
        <v>0.0</v>
      </c>
      <c r="AO521" s="1">
        <v>2.0</v>
      </c>
      <c r="AP521" s="1">
        <v>30.0</v>
      </c>
      <c r="AQ521" s="1">
        <v>1.0</v>
      </c>
    </row>
    <row r="522">
      <c r="A522" s="1"/>
      <c r="B522" s="1">
        <v>389.0</v>
      </c>
      <c r="C522" s="1" t="s">
        <v>5037</v>
      </c>
      <c r="D522" s="1" t="s">
        <v>5038</v>
      </c>
      <c r="E522" s="1" t="s">
        <v>254</v>
      </c>
      <c r="F522" s="1" t="s">
        <v>43</v>
      </c>
      <c r="G522" s="2">
        <v>28992.0</v>
      </c>
      <c r="H522" s="1" t="s">
        <v>5039</v>
      </c>
      <c r="I522" s="1">
        <v>47.0</v>
      </c>
      <c r="J522" s="1" t="s">
        <v>907</v>
      </c>
      <c r="K522" s="1">
        <v>2.0</v>
      </c>
      <c r="L522" s="2">
        <v>42907.0</v>
      </c>
      <c r="O522" s="1">
        <v>0.0</v>
      </c>
      <c r="P522" s="1" t="s">
        <v>75</v>
      </c>
      <c r="Q522" s="1" t="s">
        <v>76</v>
      </c>
      <c r="R522" s="1" t="s">
        <v>5040</v>
      </c>
      <c r="U522" s="1" t="s">
        <v>5041</v>
      </c>
      <c r="V522" s="1">
        <v>474.0</v>
      </c>
      <c r="W522" s="3" t="s">
        <v>5042</v>
      </c>
      <c r="X522" s="1">
        <v>720030.0</v>
      </c>
      <c r="Y522" s="1" t="s">
        <v>5043</v>
      </c>
      <c r="Z522" s="3" t="s">
        <v>5044</v>
      </c>
      <c r="AA522" s="3" t="s">
        <v>5045</v>
      </c>
      <c r="AB522" s="1">
        <v>1.0</v>
      </c>
      <c r="AC522" s="1" t="s">
        <v>5046</v>
      </c>
      <c r="AD522" s="1">
        <v>14.0</v>
      </c>
      <c r="AE522" s="1">
        <f t="shared" si="5"/>
        <v>438</v>
      </c>
      <c r="AF522" s="1">
        <v>34.0</v>
      </c>
      <c r="AG522" s="1">
        <v>19.0</v>
      </c>
      <c r="AH522" s="1">
        <v>4.0</v>
      </c>
      <c r="AI522" s="1">
        <v>0.0</v>
      </c>
      <c r="AJ522" s="1">
        <v>0.0</v>
      </c>
      <c r="AK522" s="1">
        <v>51.0</v>
      </c>
      <c r="AL522" s="1">
        <v>14.0</v>
      </c>
      <c r="AM522" s="1">
        <v>0.0</v>
      </c>
      <c r="AN522" s="1">
        <v>0.0</v>
      </c>
      <c r="AO522" s="1">
        <v>5.0</v>
      </c>
      <c r="AP522" s="1">
        <v>4.0</v>
      </c>
      <c r="AQ522" s="1">
        <v>0.0</v>
      </c>
    </row>
    <row r="523">
      <c r="A523" s="1"/>
      <c r="B523" s="1">
        <v>401.0</v>
      </c>
      <c r="C523" s="1" t="s">
        <v>5047</v>
      </c>
      <c r="D523" s="1" t="s">
        <v>5048</v>
      </c>
      <c r="E523" s="1" t="s">
        <v>42</v>
      </c>
      <c r="F523" s="1" t="s">
        <v>43</v>
      </c>
      <c r="G523" s="2">
        <v>21485.0</v>
      </c>
      <c r="H523" s="1" t="s">
        <v>5049</v>
      </c>
      <c r="I523" s="1">
        <v>988.0</v>
      </c>
      <c r="J523" s="1" t="s">
        <v>5050</v>
      </c>
      <c r="K523" s="1">
        <v>2.0</v>
      </c>
      <c r="L523" s="2">
        <v>42907.0</v>
      </c>
      <c r="O523" s="1">
        <v>0.0</v>
      </c>
      <c r="P523" s="1" t="s">
        <v>46</v>
      </c>
      <c r="Q523" s="1" t="s">
        <v>5051</v>
      </c>
      <c r="R523" s="1" t="s">
        <v>5052</v>
      </c>
      <c r="U523" s="1" t="s">
        <v>5053</v>
      </c>
      <c r="V523" s="1">
        <v>104.0</v>
      </c>
      <c r="W523" s="3" t="s">
        <v>5054</v>
      </c>
      <c r="X523" s="1">
        <v>610775.0</v>
      </c>
      <c r="Y523" s="1" t="s">
        <v>5055</v>
      </c>
      <c r="Z523" s="3" t="s">
        <v>5056</v>
      </c>
      <c r="AA523" s="3" t="s">
        <v>5057</v>
      </c>
      <c r="AB523" s="1">
        <v>2.0</v>
      </c>
      <c r="AC523" s="1" t="s">
        <v>5058</v>
      </c>
      <c r="AD523" s="1">
        <v>14.0</v>
      </c>
      <c r="AE523" s="1">
        <f t="shared" si="5"/>
        <v>438</v>
      </c>
      <c r="AF523" s="1">
        <v>25.0</v>
      </c>
      <c r="AG523" s="1">
        <v>8.0</v>
      </c>
      <c r="AH523" s="1">
        <v>30.0</v>
      </c>
      <c r="AI523" s="1">
        <v>5.0</v>
      </c>
      <c r="AJ523" s="1">
        <v>16.0</v>
      </c>
      <c r="AK523" s="1">
        <v>449.0</v>
      </c>
      <c r="AL523" s="1">
        <v>29.0</v>
      </c>
      <c r="AM523" s="1">
        <v>0.0</v>
      </c>
      <c r="AN523" s="1">
        <v>0.0</v>
      </c>
      <c r="AO523" s="1">
        <v>5.0</v>
      </c>
      <c r="AP523" s="1">
        <v>11.0</v>
      </c>
      <c r="AQ523" s="1">
        <v>2.0</v>
      </c>
    </row>
    <row r="524">
      <c r="A524" s="1"/>
      <c r="B524" s="1">
        <v>77.0</v>
      </c>
      <c r="C524" s="1" t="s">
        <v>5059</v>
      </c>
      <c r="D524" s="1" t="s">
        <v>5060</v>
      </c>
      <c r="E524" s="1" t="s">
        <v>1652</v>
      </c>
      <c r="F524" s="1" t="s">
        <v>43</v>
      </c>
      <c r="G524" s="2">
        <v>22388.0</v>
      </c>
      <c r="H524" s="1" t="s">
        <v>2918</v>
      </c>
      <c r="I524" s="1">
        <v>77.0</v>
      </c>
      <c r="J524" s="1" t="s">
        <v>503</v>
      </c>
      <c r="K524" s="1">
        <v>3.0</v>
      </c>
      <c r="L524" s="2">
        <v>42907.0</v>
      </c>
      <c r="O524" s="1">
        <v>0.0</v>
      </c>
      <c r="P524" s="1" t="s">
        <v>46</v>
      </c>
      <c r="Q524" s="1" t="s">
        <v>47</v>
      </c>
      <c r="R524" s="1" t="s">
        <v>5061</v>
      </c>
      <c r="U524" s="1" t="s">
        <v>304</v>
      </c>
      <c r="V524" s="1">
        <v>132.0</v>
      </c>
      <c r="W524" s="3" t="s">
        <v>5062</v>
      </c>
      <c r="X524" s="1">
        <v>267801.0</v>
      </c>
      <c r="Y524" s="1" t="s">
        <v>5063</v>
      </c>
      <c r="Z524" s="3" t="s">
        <v>5064</v>
      </c>
      <c r="AA524" s="3" t="s">
        <v>5065</v>
      </c>
      <c r="AB524" s="1">
        <v>1.0</v>
      </c>
      <c r="AC524" s="1" t="s">
        <v>5066</v>
      </c>
      <c r="AD524" s="1">
        <v>14.0</v>
      </c>
      <c r="AE524" s="1">
        <f t="shared" si="5"/>
        <v>438</v>
      </c>
      <c r="AF524" s="1">
        <v>13.0</v>
      </c>
      <c r="AG524" s="1">
        <v>6.0</v>
      </c>
      <c r="AH524" s="1">
        <v>39.0</v>
      </c>
      <c r="AI524" s="1">
        <v>5.0</v>
      </c>
      <c r="AJ524" s="1">
        <v>4.0</v>
      </c>
      <c r="AK524" s="1">
        <v>229.0</v>
      </c>
      <c r="AL524" s="1">
        <v>14.0</v>
      </c>
      <c r="AM524" s="1">
        <v>0.0</v>
      </c>
      <c r="AN524" s="1">
        <v>0.0</v>
      </c>
      <c r="AO524" s="1">
        <v>4.0</v>
      </c>
      <c r="AP524" s="1">
        <v>11.0</v>
      </c>
      <c r="AQ524" s="1">
        <v>3.0</v>
      </c>
    </row>
    <row r="525">
      <c r="A525" s="1"/>
      <c r="B525" s="1">
        <v>309.0</v>
      </c>
      <c r="C525" s="1" t="s">
        <v>5067</v>
      </c>
      <c r="D525" s="1" t="s">
        <v>5068</v>
      </c>
      <c r="E525" s="1" t="s">
        <v>5069</v>
      </c>
      <c r="F525" s="1" t="s">
        <v>58</v>
      </c>
      <c r="G525" s="2">
        <v>29312.0</v>
      </c>
      <c r="H525" s="1" t="s">
        <v>5070</v>
      </c>
      <c r="I525" s="1">
        <v>69.0</v>
      </c>
      <c r="J525" s="1" t="s">
        <v>1363</v>
      </c>
      <c r="K525" s="1">
        <v>7.0</v>
      </c>
      <c r="L525" s="2">
        <v>42907.0</v>
      </c>
      <c r="O525" s="1">
        <v>0.0</v>
      </c>
      <c r="P525" s="1" t="s">
        <v>75</v>
      </c>
      <c r="Q525" s="1" t="s">
        <v>76</v>
      </c>
      <c r="R525" s="1" t="s">
        <v>5071</v>
      </c>
      <c r="U525" s="1" t="s">
        <v>5072</v>
      </c>
      <c r="V525" s="1">
        <v>573.0</v>
      </c>
      <c r="W525" s="3" t="s">
        <v>5073</v>
      </c>
      <c r="X525" s="1">
        <v>722300.0</v>
      </c>
      <c r="Y525" s="1" t="s">
        <v>5074</v>
      </c>
      <c r="Z525" s="3" t="s">
        <v>5075</v>
      </c>
      <c r="AA525" s="3" t="s">
        <v>5076</v>
      </c>
      <c r="AB525" s="1">
        <v>1.0</v>
      </c>
      <c r="AC525" s="1" t="s">
        <v>5077</v>
      </c>
      <c r="AD525" s="1">
        <v>14.0</v>
      </c>
      <c r="AE525" s="1">
        <f t="shared" si="5"/>
        <v>438</v>
      </c>
      <c r="AF525" s="1">
        <v>28.0</v>
      </c>
      <c r="AG525" s="1">
        <v>6.0</v>
      </c>
      <c r="AH525" s="1">
        <v>5.0</v>
      </c>
      <c r="AI525" s="1">
        <v>0.0</v>
      </c>
      <c r="AJ525" s="1">
        <v>0.0</v>
      </c>
      <c r="AK525" s="1">
        <v>14.0</v>
      </c>
      <c r="AL525" s="1">
        <v>1.0</v>
      </c>
      <c r="AM525" s="1">
        <v>0.0</v>
      </c>
      <c r="AN525" s="1">
        <v>0.0</v>
      </c>
      <c r="AO525" s="1">
        <v>5.0</v>
      </c>
      <c r="AP525" s="1">
        <v>4.0</v>
      </c>
      <c r="AQ525" s="1">
        <v>1.0</v>
      </c>
    </row>
    <row r="526">
      <c r="A526" s="1"/>
      <c r="B526" s="1">
        <v>235.0</v>
      </c>
      <c r="C526" s="1" t="s">
        <v>5078</v>
      </c>
      <c r="D526" s="1" t="s">
        <v>5079</v>
      </c>
      <c r="E526" s="1" t="s">
        <v>5080</v>
      </c>
      <c r="F526" s="1" t="s">
        <v>43</v>
      </c>
      <c r="G526" s="2">
        <v>24769.0</v>
      </c>
      <c r="H526" s="1" t="s">
        <v>3975</v>
      </c>
      <c r="I526" s="1">
        <v>93.0</v>
      </c>
      <c r="J526" s="1" t="s">
        <v>196</v>
      </c>
      <c r="K526" s="1">
        <v>5.0</v>
      </c>
      <c r="L526" s="2">
        <v>42907.0</v>
      </c>
      <c r="O526" s="1">
        <v>0.0</v>
      </c>
      <c r="P526" s="1" t="s">
        <v>46</v>
      </c>
      <c r="Q526" s="1" t="s">
        <v>47</v>
      </c>
      <c r="R526" s="1" t="s">
        <v>5081</v>
      </c>
      <c r="U526" s="1" t="s">
        <v>5082</v>
      </c>
      <c r="V526" s="1">
        <v>135.0</v>
      </c>
      <c r="W526" s="3" t="s">
        <v>5083</v>
      </c>
      <c r="X526" s="1">
        <v>268019.0</v>
      </c>
      <c r="Y526" s="1" t="s">
        <v>5084</v>
      </c>
      <c r="Z526" s="3" t="s">
        <v>5085</v>
      </c>
      <c r="AA526" s="3" t="s">
        <v>5086</v>
      </c>
      <c r="AB526" s="1">
        <v>2.0</v>
      </c>
      <c r="AC526" s="1" t="s">
        <v>5087</v>
      </c>
      <c r="AD526" s="1">
        <v>14.0</v>
      </c>
      <c r="AE526" s="1">
        <f t="shared" si="5"/>
        <v>438</v>
      </c>
      <c r="AF526" s="1">
        <v>15.0</v>
      </c>
      <c r="AG526" s="1">
        <v>24.0</v>
      </c>
      <c r="AH526" s="1">
        <v>34.0</v>
      </c>
      <c r="AI526" s="1">
        <v>34.0</v>
      </c>
      <c r="AJ526" s="1">
        <v>31.0</v>
      </c>
      <c r="AK526" s="1">
        <v>487.0</v>
      </c>
      <c r="AL526" s="1">
        <v>34.0</v>
      </c>
      <c r="AM526" s="1">
        <v>0.0</v>
      </c>
      <c r="AN526" s="1">
        <v>0.0</v>
      </c>
      <c r="AO526" s="1">
        <v>15.0</v>
      </c>
      <c r="AP526" s="1">
        <v>5.0</v>
      </c>
      <c r="AQ526" s="1">
        <v>3.0</v>
      </c>
    </row>
    <row r="527">
      <c r="A527" s="1"/>
      <c r="B527" s="1">
        <v>322.0</v>
      </c>
      <c r="C527" s="1" t="s">
        <v>5088</v>
      </c>
      <c r="D527" s="1" t="s">
        <v>5089</v>
      </c>
      <c r="E527" s="1" t="s">
        <v>856</v>
      </c>
      <c r="F527" s="1" t="s">
        <v>43</v>
      </c>
      <c r="G527" s="2">
        <v>30705.0</v>
      </c>
      <c r="H527" s="1" t="s">
        <v>2609</v>
      </c>
      <c r="I527" s="1">
        <v>29.0</v>
      </c>
      <c r="J527" s="1" t="s">
        <v>393</v>
      </c>
      <c r="K527" s="1">
        <v>2.0</v>
      </c>
      <c r="L527" s="2">
        <v>42907.0</v>
      </c>
      <c r="O527" s="1">
        <v>0.0</v>
      </c>
      <c r="P527" s="1" t="s">
        <v>75</v>
      </c>
      <c r="Q527" s="1" t="s">
        <v>76</v>
      </c>
      <c r="R527" s="1" t="s">
        <v>5090</v>
      </c>
      <c r="U527" s="1" t="s">
        <v>5091</v>
      </c>
      <c r="V527" s="1">
        <v>568.0</v>
      </c>
      <c r="W527" s="3" t="s">
        <v>5092</v>
      </c>
      <c r="X527" s="1">
        <v>719396.0</v>
      </c>
      <c r="Y527" s="1" t="s">
        <v>5093</v>
      </c>
      <c r="Z527" s="3" t="s">
        <v>5094</v>
      </c>
      <c r="AA527" s="3" t="s">
        <v>5095</v>
      </c>
      <c r="AB527" s="1">
        <v>1.0</v>
      </c>
      <c r="AC527" s="1" t="s">
        <v>5096</v>
      </c>
      <c r="AD527" s="1">
        <v>14.0</v>
      </c>
      <c r="AE527" s="1">
        <f t="shared" si="5"/>
        <v>438</v>
      </c>
      <c r="AF527" s="1">
        <v>27.0</v>
      </c>
      <c r="AG527" s="1">
        <v>22.0</v>
      </c>
      <c r="AH527" s="1">
        <v>8.0</v>
      </c>
      <c r="AI527" s="1">
        <v>1.0</v>
      </c>
      <c r="AJ527" s="1">
        <v>2.0</v>
      </c>
      <c r="AK527" s="1">
        <v>10.0</v>
      </c>
      <c r="AL527" s="1">
        <v>2.0</v>
      </c>
      <c r="AM527" s="1">
        <v>1.0</v>
      </c>
      <c r="AN527" s="1">
        <v>0.0</v>
      </c>
      <c r="AO527" s="1">
        <v>5.0</v>
      </c>
      <c r="AP527" s="1">
        <v>10.0</v>
      </c>
      <c r="AQ527" s="1">
        <v>0.0</v>
      </c>
    </row>
    <row r="528">
      <c r="A528" s="1"/>
      <c r="B528" s="1">
        <v>586.0</v>
      </c>
      <c r="C528" s="1" t="s">
        <v>5097</v>
      </c>
      <c r="D528" s="1" t="s">
        <v>5098</v>
      </c>
      <c r="E528" s="1" t="s">
        <v>5099</v>
      </c>
      <c r="F528" s="1" t="s">
        <v>58</v>
      </c>
      <c r="G528" s="2">
        <v>23726.0</v>
      </c>
      <c r="H528" s="1" t="s">
        <v>1500</v>
      </c>
      <c r="I528" s="1">
        <v>84.0</v>
      </c>
      <c r="J528" s="1" t="s">
        <v>719</v>
      </c>
      <c r="K528" s="1">
        <v>4.0</v>
      </c>
      <c r="L528" s="2">
        <v>42969.0</v>
      </c>
      <c r="O528" s="1">
        <v>0.0</v>
      </c>
      <c r="P528" s="1" t="s">
        <v>814</v>
      </c>
      <c r="Q528" s="1" t="s">
        <v>4734</v>
      </c>
      <c r="R528" s="1" t="s">
        <v>5100</v>
      </c>
      <c r="U528" s="1" t="s">
        <v>5101</v>
      </c>
      <c r="V528" s="1">
        <v>67.0</v>
      </c>
      <c r="W528" s="3" t="s">
        <v>5102</v>
      </c>
      <c r="X528" s="1">
        <v>721932.0</v>
      </c>
      <c r="Y528" s="1" t="s">
        <v>5103</v>
      </c>
      <c r="Z528" s="3" t="s">
        <v>5104</v>
      </c>
      <c r="AA528" s="3" t="s">
        <v>5105</v>
      </c>
      <c r="AB528" s="1">
        <v>2.0</v>
      </c>
      <c r="AC528" s="1" t="s">
        <v>5106</v>
      </c>
      <c r="AD528" s="1">
        <v>14.0</v>
      </c>
      <c r="AE528" s="1">
        <f t="shared" si="5"/>
        <v>429</v>
      </c>
      <c r="AF528" s="1">
        <v>20.0</v>
      </c>
      <c r="AG528" s="1">
        <v>23.0</v>
      </c>
      <c r="AH528" s="1">
        <v>65.0</v>
      </c>
      <c r="AI528" s="1">
        <v>7.0</v>
      </c>
      <c r="AJ528" s="1">
        <v>189.0</v>
      </c>
      <c r="AK528" s="1">
        <v>208.0</v>
      </c>
      <c r="AL528" s="1">
        <v>0.0</v>
      </c>
      <c r="AM528" s="1">
        <v>0.0</v>
      </c>
      <c r="AN528" s="1">
        <v>4.0</v>
      </c>
      <c r="AO528" s="1">
        <v>9.0</v>
      </c>
      <c r="AP528" s="1">
        <v>22.0</v>
      </c>
      <c r="AQ528" s="1">
        <v>2.0</v>
      </c>
    </row>
    <row r="529">
      <c r="A529" s="1"/>
      <c r="B529" s="1">
        <v>463.0</v>
      </c>
      <c r="C529" s="1" t="s">
        <v>5107</v>
      </c>
      <c r="D529" s="1" t="s">
        <v>5108</v>
      </c>
      <c r="E529" s="1" t="s">
        <v>5109</v>
      </c>
      <c r="F529" s="1" t="s">
        <v>58</v>
      </c>
      <c r="G529" s="2">
        <v>18338.0</v>
      </c>
      <c r="H529" s="1" t="s">
        <v>5110</v>
      </c>
      <c r="I529" s="1">
        <v>972.0</v>
      </c>
      <c r="J529" s="1" t="s">
        <v>5111</v>
      </c>
      <c r="K529" s="1">
        <v>1.0</v>
      </c>
      <c r="L529" s="2">
        <v>42907.0</v>
      </c>
      <c r="O529" s="1">
        <v>0.0</v>
      </c>
      <c r="P529" s="1" t="s">
        <v>115</v>
      </c>
      <c r="Q529" s="1" t="s">
        <v>5112</v>
      </c>
      <c r="U529" s="1" t="s">
        <v>957</v>
      </c>
      <c r="V529" s="1">
        <v>581.0</v>
      </c>
      <c r="W529" s="3" t="s">
        <v>5113</v>
      </c>
      <c r="X529" s="1">
        <v>720988.0</v>
      </c>
      <c r="Y529" s="1" t="s">
        <v>5114</v>
      </c>
      <c r="Z529" s="3" t="s">
        <v>5115</v>
      </c>
      <c r="AA529" s="3" t="s">
        <v>5116</v>
      </c>
      <c r="AB529" s="1">
        <v>1.0</v>
      </c>
      <c r="AD529" s="1">
        <v>14.0</v>
      </c>
      <c r="AE529" s="1">
        <f t="shared" si="5"/>
        <v>438</v>
      </c>
      <c r="AF529" s="1">
        <v>22.0</v>
      </c>
      <c r="AG529" s="1">
        <v>3.0</v>
      </c>
      <c r="AH529" s="1">
        <v>12.0</v>
      </c>
      <c r="AI529" s="1">
        <v>3.0</v>
      </c>
      <c r="AJ529" s="1">
        <v>4.0</v>
      </c>
      <c r="AK529" s="1">
        <v>1120.0</v>
      </c>
      <c r="AL529" s="1">
        <v>75.0</v>
      </c>
      <c r="AM529" s="1">
        <v>0.0</v>
      </c>
      <c r="AN529" s="1">
        <v>0.0</v>
      </c>
      <c r="AO529" s="1">
        <v>5.0</v>
      </c>
      <c r="AP529" s="1">
        <v>6.0</v>
      </c>
      <c r="AQ529" s="1">
        <v>3.0</v>
      </c>
    </row>
    <row r="530">
      <c r="A530" s="1"/>
      <c r="B530" s="1">
        <v>269.0</v>
      </c>
      <c r="C530" s="1" t="s">
        <v>5117</v>
      </c>
      <c r="D530" s="1" t="s">
        <v>5118</v>
      </c>
      <c r="E530" s="1" t="s">
        <v>3101</v>
      </c>
      <c r="F530" s="1" t="s">
        <v>58</v>
      </c>
      <c r="G530" s="2">
        <v>24706.0</v>
      </c>
      <c r="H530" s="1" t="s">
        <v>857</v>
      </c>
      <c r="I530" s="1">
        <v>34.0</v>
      </c>
      <c r="J530" s="1" t="s">
        <v>1252</v>
      </c>
      <c r="K530" s="1">
        <v>1.0</v>
      </c>
      <c r="L530" s="2">
        <v>42907.0</v>
      </c>
      <c r="O530" s="1">
        <v>0.0</v>
      </c>
      <c r="P530" s="1" t="s">
        <v>75</v>
      </c>
      <c r="Q530" s="1" t="s">
        <v>76</v>
      </c>
      <c r="R530" s="1" t="s">
        <v>5119</v>
      </c>
      <c r="U530" s="1" t="s">
        <v>5120</v>
      </c>
      <c r="V530" s="1">
        <v>492.0</v>
      </c>
      <c r="W530" s="3" t="s">
        <v>5121</v>
      </c>
      <c r="X530" s="1">
        <v>719668.0</v>
      </c>
      <c r="Y530" s="1" t="s">
        <v>5122</v>
      </c>
      <c r="Z530" s="3" t="s">
        <v>5123</v>
      </c>
      <c r="AA530" s="3" t="s">
        <v>5124</v>
      </c>
      <c r="AB530" s="1">
        <v>2.0</v>
      </c>
      <c r="AC530" s="1" t="s">
        <v>5125</v>
      </c>
      <c r="AD530" s="1">
        <v>14.0</v>
      </c>
      <c r="AE530" s="1">
        <f t="shared" si="5"/>
        <v>438</v>
      </c>
      <c r="AF530" s="1">
        <v>17.0</v>
      </c>
      <c r="AG530" s="1">
        <v>7.0</v>
      </c>
      <c r="AH530" s="1">
        <v>1.0</v>
      </c>
      <c r="AI530" s="1">
        <v>9.0</v>
      </c>
      <c r="AJ530" s="1">
        <v>0.0</v>
      </c>
      <c r="AK530" s="1">
        <v>10.0</v>
      </c>
      <c r="AL530" s="1">
        <v>1.0</v>
      </c>
      <c r="AM530" s="1">
        <v>0.0</v>
      </c>
      <c r="AN530" s="1">
        <v>0.0</v>
      </c>
      <c r="AO530" s="1">
        <v>5.0</v>
      </c>
      <c r="AP530" s="1">
        <v>6.0</v>
      </c>
      <c r="AQ530" s="1">
        <v>1.0</v>
      </c>
    </row>
    <row r="531">
      <c r="A531" s="1"/>
      <c r="B531" s="1">
        <v>422.0</v>
      </c>
      <c r="C531" s="1" t="s">
        <v>5126</v>
      </c>
      <c r="D531" s="1" t="s">
        <v>5127</v>
      </c>
      <c r="E531" s="1" t="s">
        <v>1361</v>
      </c>
      <c r="F531" s="1" t="s">
        <v>43</v>
      </c>
      <c r="G531" s="2">
        <v>19650.0</v>
      </c>
      <c r="H531" s="1" t="s">
        <v>5128</v>
      </c>
      <c r="I531" s="1">
        <v>13.0</v>
      </c>
      <c r="J531" s="1" t="s">
        <v>279</v>
      </c>
      <c r="K531" s="1">
        <v>15.0</v>
      </c>
      <c r="L531" s="2">
        <v>42907.0</v>
      </c>
      <c r="O531" s="1">
        <v>0.0</v>
      </c>
      <c r="P531" s="1" t="s">
        <v>61</v>
      </c>
      <c r="Q531" s="1" t="s">
        <v>62</v>
      </c>
      <c r="R531" s="1" t="s">
        <v>5129</v>
      </c>
      <c r="U531" s="1" t="s">
        <v>5130</v>
      </c>
      <c r="V531" s="1">
        <v>101.0</v>
      </c>
      <c r="W531" s="3" t="s">
        <v>5131</v>
      </c>
      <c r="X531" s="1">
        <v>330788.0</v>
      </c>
      <c r="Y531" s="1" t="s">
        <v>5132</v>
      </c>
      <c r="Z531" s="3" t="s">
        <v>5133</v>
      </c>
      <c r="AA531" s="3" t="s">
        <v>5134</v>
      </c>
      <c r="AB531" s="1">
        <v>2.0</v>
      </c>
      <c r="AC531" s="1" t="s">
        <v>5135</v>
      </c>
      <c r="AD531" s="1">
        <v>14.0</v>
      </c>
      <c r="AE531" s="1">
        <f t="shared" si="5"/>
        <v>438</v>
      </c>
      <c r="AF531" s="1">
        <v>18.0</v>
      </c>
      <c r="AG531" s="1">
        <v>0.0</v>
      </c>
      <c r="AH531" s="1">
        <v>0.0</v>
      </c>
      <c r="AI531" s="1">
        <v>1.0</v>
      </c>
      <c r="AJ531" s="1">
        <v>7.0</v>
      </c>
      <c r="AK531" s="1">
        <v>236.0</v>
      </c>
      <c r="AL531" s="1">
        <v>13.0</v>
      </c>
      <c r="AM531" s="1">
        <v>0.0</v>
      </c>
      <c r="AN531" s="1">
        <v>1.0</v>
      </c>
      <c r="AO531" s="1">
        <v>16.0</v>
      </c>
      <c r="AP531" s="1">
        <v>0.0</v>
      </c>
      <c r="AQ531" s="1">
        <v>0.0</v>
      </c>
    </row>
    <row r="532">
      <c r="A532" s="1"/>
      <c r="B532" s="1">
        <v>299.0</v>
      </c>
      <c r="C532" s="1" t="s">
        <v>5136</v>
      </c>
      <c r="D532" s="1" t="s">
        <v>5137</v>
      </c>
      <c r="E532" s="1" t="s">
        <v>5138</v>
      </c>
      <c r="F532" s="1" t="s">
        <v>58</v>
      </c>
      <c r="G532" s="2">
        <v>27524.0</v>
      </c>
      <c r="H532" s="1" t="s">
        <v>5139</v>
      </c>
      <c r="I532" s="1">
        <v>987.0</v>
      </c>
      <c r="J532" s="1" t="s">
        <v>5140</v>
      </c>
      <c r="K532" s="1">
        <v>1.0</v>
      </c>
      <c r="L532" s="2">
        <v>42907.0</v>
      </c>
      <c r="O532" s="1">
        <v>0.0</v>
      </c>
      <c r="P532" s="1" t="s">
        <v>46</v>
      </c>
      <c r="Q532" s="1" t="s">
        <v>5141</v>
      </c>
      <c r="R532" s="1" t="s">
        <v>5142</v>
      </c>
      <c r="U532" s="1" t="s">
        <v>5143</v>
      </c>
      <c r="V532" s="1">
        <v>130.0</v>
      </c>
      <c r="W532" s="3" t="s">
        <v>5144</v>
      </c>
      <c r="X532" s="1">
        <v>702052.0</v>
      </c>
      <c r="Y532" s="1" t="s">
        <v>5145</v>
      </c>
      <c r="Z532" s="3" t="s">
        <v>5146</v>
      </c>
      <c r="AA532" s="3" t="s">
        <v>5147</v>
      </c>
      <c r="AB532" s="1">
        <v>1.0</v>
      </c>
      <c r="AC532" s="1" t="s">
        <v>5148</v>
      </c>
      <c r="AD532" s="1">
        <v>14.0</v>
      </c>
      <c r="AE532" s="1">
        <f t="shared" si="5"/>
        <v>438</v>
      </c>
      <c r="AF532" s="1">
        <v>32.0</v>
      </c>
      <c r="AG532" s="1">
        <v>23.0</v>
      </c>
      <c r="AH532" s="1">
        <v>28.0</v>
      </c>
      <c r="AI532" s="1">
        <v>16.0</v>
      </c>
      <c r="AJ532" s="1">
        <v>12.0</v>
      </c>
      <c r="AK532" s="1">
        <v>445.0</v>
      </c>
      <c r="AL532" s="1">
        <v>26.0</v>
      </c>
      <c r="AM532" s="1">
        <v>0.0</v>
      </c>
      <c r="AN532" s="1">
        <v>0.0</v>
      </c>
      <c r="AO532" s="1">
        <v>16.0</v>
      </c>
      <c r="AP532" s="1">
        <v>6.0</v>
      </c>
      <c r="AQ532" s="1">
        <v>1.0</v>
      </c>
    </row>
    <row r="533">
      <c r="A533" s="1"/>
      <c r="B533" s="1">
        <v>103.0</v>
      </c>
      <c r="C533" s="1" t="s">
        <v>5149</v>
      </c>
      <c r="D533" s="1" t="s">
        <v>5150</v>
      </c>
      <c r="E533" s="1" t="s">
        <v>1540</v>
      </c>
      <c r="F533" s="1" t="s">
        <v>43</v>
      </c>
      <c r="G533" s="2">
        <v>30286.0</v>
      </c>
      <c r="H533" s="1" t="s">
        <v>5151</v>
      </c>
      <c r="I533" s="1">
        <v>1.0</v>
      </c>
      <c r="J533" s="1" t="s">
        <v>88</v>
      </c>
      <c r="K533" s="1">
        <v>4.0</v>
      </c>
      <c r="L533" s="2">
        <v>42907.0</v>
      </c>
      <c r="O533" s="1">
        <v>0.0</v>
      </c>
      <c r="P533" s="1" t="s">
        <v>75</v>
      </c>
      <c r="Q533" s="1" t="s">
        <v>76</v>
      </c>
      <c r="R533" s="3" t="s">
        <v>5152</v>
      </c>
      <c r="U533" s="1" t="s">
        <v>5153</v>
      </c>
      <c r="V533" s="1">
        <v>544.0</v>
      </c>
      <c r="W533" s="3" t="s">
        <v>5154</v>
      </c>
      <c r="X533" s="1">
        <v>718682.0</v>
      </c>
      <c r="Y533" s="1" t="s">
        <v>5155</v>
      </c>
      <c r="Z533" s="3" t="s">
        <v>5156</v>
      </c>
      <c r="AA533" s="3" t="s">
        <v>5157</v>
      </c>
      <c r="AB533" s="1">
        <v>1.0</v>
      </c>
      <c r="AC533" s="1" t="s">
        <v>5158</v>
      </c>
      <c r="AD533" s="1">
        <v>14.0</v>
      </c>
      <c r="AE533" s="1">
        <f t="shared" si="5"/>
        <v>438</v>
      </c>
      <c r="AF533" s="1">
        <v>28.0</v>
      </c>
      <c r="AG533" s="1">
        <v>6.0</v>
      </c>
      <c r="AH533" s="1">
        <v>5.0</v>
      </c>
      <c r="AI533" s="1">
        <v>4.0</v>
      </c>
      <c r="AJ533" s="1">
        <v>27.0</v>
      </c>
      <c r="AK533" s="1">
        <v>75.0</v>
      </c>
      <c r="AL533" s="1">
        <v>15.0</v>
      </c>
      <c r="AM533" s="1">
        <v>0.0</v>
      </c>
      <c r="AN533" s="1">
        <v>0.0</v>
      </c>
      <c r="AO533" s="1">
        <v>6.0</v>
      </c>
      <c r="AP533" s="1">
        <v>3.0</v>
      </c>
      <c r="AQ533" s="1">
        <v>0.0</v>
      </c>
    </row>
    <row r="534">
      <c r="A534" s="1"/>
      <c r="B534" s="1">
        <v>293.0</v>
      </c>
      <c r="C534" s="1" t="s">
        <v>5159</v>
      </c>
      <c r="D534" s="1" t="s">
        <v>5160</v>
      </c>
      <c r="E534" s="1" t="s">
        <v>242</v>
      </c>
      <c r="F534" s="1" t="s">
        <v>43</v>
      </c>
      <c r="G534" s="2">
        <v>21207.0</v>
      </c>
      <c r="H534" s="1" t="s">
        <v>857</v>
      </c>
      <c r="I534" s="1">
        <v>34.0</v>
      </c>
      <c r="J534" s="1" t="s">
        <v>1252</v>
      </c>
      <c r="K534" s="1">
        <v>9.0</v>
      </c>
      <c r="L534" s="2">
        <v>42907.0</v>
      </c>
      <c r="O534" s="1">
        <v>0.0</v>
      </c>
      <c r="P534" s="1" t="s">
        <v>75</v>
      </c>
      <c r="Q534" s="1" t="s">
        <v>76</v>
      </c>
      <c r="R534" s="1" t="s">
        <v>5161</v>
      </c>
      <c r="U534" s="1" t="s">
        <v>198</v>
      </c>
      <c r="V534" s="1">
        <v>389.0</v>
      </c>
      <c r="W534" s="3" t="s">
        <v>5162</v>
      </c>
      <c r="X534" s="1">
        <v>606639.0</v>
      </c>
      <c r="Y534" s="1" t="s">
        <v>5163</v>
      </c>
      <c r="Z534" s="3" t="s">
        <v>5164</v>
      </c>
      <c r="AA534" s="3" t="s">
        <v>5165</v>
      </c>
      <c r="AB534" s="1">
        <v>1.0</v>
      </c>
      <c r="AC534" s="1" t="s">
        <v>5166</v>
      </c>
      <c r="AD534" s="1">
        <v>14.0</v>
      </c>
      <c r="AE534" s="1">
        <f t="shared" si="5"/>
        <v>438</v>
      </c>
      <c r="AF534" s="1">
        <v>35.0</v>
      </c>
      <c r="AG534" s="1">
        <v>15.0</v>
      </c>
      <c r="AH534" s="1">
        <v>1.0</v>
      </c>
      <c r="AI534" s="1">
        <v>2.0</v>
      </c>
      <c r="AJ534" s="1">
        <v>1.0</v>
      </c>
      <c r="AK534" s="1">
        <v>64.0</v>
      </c>
      <c r="AL534" s="1">
        <v>13.0</v>
      </c>
      <c r="AM534" s="1">
        <v>0.0</v>
      </c>
      <c r="AN534" s="1">
        <v>0.0</v>
      </c>
      <c r="AO534" s="1">
        <v>6.0</v>
      </c>
      <c r="AP534" s="1">
        <v>19.0</v>
      </c>
      <c r="AQ534" s="1">
        <v>0.0</v>
      </c>
    </row>
    <row r="535">
      <c r="A535" s="1"/>
      <c r="B535" s="1">
        <v>15.0</v>
      </c>
      <c r="C535" s="1" t="s">
        <v>5167</v>
      </c>
      <c r="D535" s="1" t="s">
        <v>5168</v>
      </c>
      <c r="E535" s="1" t="s">
        <v>2355</v>
      </c>
      <c r="F535" s="1" t="s">
        <v>58</v>
      </c>
      <c r="G535" s="2">
        <v>28055.0</v>
      </c>
      <c r="H535" s="1" t="s">
        <v>5169</v>
      </c>
      <c r="I535" s="1">
        <v>52.0</v>
      </c>
      <c r="J535" s="1" t="s">
        <v>3028</v>
      </c>
      <c r="K535" s="1">
        <v>1.0</v>
      </c>
      <c r="L535" s="2">
        <v>42907.0</v>
      </c>
      <c r="O535" s="1">
        <v>0.0</v>
      </c>
      <c r="P535" s="1" t="s">
        <v>75</v>
      </c>
      <c r="Q535" s="1" t="s">
        <v>76</v>
      </c>
      <c r="R535" s="1" t="s">
        <v>5170</v>
      </c>
      <c r="U535" s="1" t="s">
        <v>5171</v>
      </c>
      <c r="V535" s="1">
        <v>600.0</v>
      </c>
      <c r="W535" s="3" t="s">
        <v>5172</v>
      </c>
      <c r="X535" s="1">
        <v>720242.0</v>
      </c>
      <c r="Y535" s="1" t="s">
        <v>5173</v>
      </c>
      <c r="Z535" s="3" t="s">
        <v>5174</v>
      </c>
      <c r="AA535" s="3" t="s">
        <v>5175</v>
      </c>
      <c r="AB535" s="1">
        <v>1.0</v>
      </c>
      <c r="AC535" s="1" t="s">
        <v>5176</v>
      </c>
      <c r="AD535" s="1">
        <v>13.0</v>
      </c>
      <c r="AE535" s="1">
        <f t="shared" si="5"/>
        <v>439</v>
      </c>
      <c r="AF535" s="1">
        <v>20.0</v>
      </c>
      <c r="AG535" s="1">
        <v>6.0</v>
      </c>
      <c r="AH535" s="1">
        <v>5.0</v>
      </c>
      <c r="AI535" s="1">
        <v>2.0</v>
      </c>
      <c r="AJ535" s="1">
        <v>0.0</v>
      </c>
      <c r="AK535" s="1">
        <v>106.0</v>
      </c>
      <c r="AL535" s="1">
        <v>45.0</v>
      </c>
      <c r="AM535" s="1">
        <v>0.0</v>
      </c>
      <c r="AN535" s="1">
        <v>0.0</v>
      </c>
      <c r="AO535" s="1">
        <v>6.0</v>
      </c>
      <c r="AP535" s="1">
        <v>1.0</v>
      </c>
      <c r="AQ535" s="1">
        <v>0.0</v>
      </c>
    </row>
    <row r="536">
      <c r="A536" s="1"/>
      <c r="B536" s="1">
        <v>121.0</v>
      </c>
      <c r="C536" s="1" t="s">
        <v>5177</v>
      </c>
      <c r="D536" s="1" t="s">
        <v>5178</v>
      </c>
      <c r="E536" s="1" t="s">
        <v>5179</v>
      </c>
      <c r="F536" s="1" t="s">
        <v>43</v>
      </c>
      <c r="G536" s="2">
        <v>28950.0</v>
      </c>
      <c r="H536" s="1" t="s">
        <v>5180</v>
      </c>
      <c r="I536" s="1">
        <v>35.0</v>
      </c>
      <c r="J536" s="1" t="s">
        <v>415</v>
      </c>
      <c r="K536" s="1">
        <v>8.0</v>
      </c>
      <c r="L536" s="2">
        <v>42907.0</v>
      </c>
      <c r="O536" s="1">
        <v>0.0</v>
      </c>
      <c r="P536" s="1" t="s">
        <v>75</v>
      </c>
      <c r="Q536" s="1" t="s">
        <v>76</v>
      </c>
      <c r="R536" s="1" t="s">
        <v>5181</v>
      </c>
      <c r="U536" s="1" t="s">
        <v>304</v>
      </c>
      <c r="V536" s="1">
        <v>419.0</v>
      </c>
      <c r="W536" s="3" t="s">
        <v>5182</v>
      </c>
      <c r="X536" s="1">
        <v>719770.0</v>
      </c>
      <c r="Y536" s="1" t="s">
        <v>5183</v>
      </c>
      <c r="Z536" s="3" t="s">
        <v>5184</v>
      </c>
      <c r="AA536" s="3" t="s">
        <v>5185</v>
      </c>
      <c r="AB536" s="1">
        <v>1.0</v>
      </c>
      <c r="AC536" s="1" t="s">
        <v>5186</v>
      </c>
      <c r="AD536" s="1">
        <v>13.0</v>
      </c>
      <c r="AE536" s="1">
        <f t="shared" si="5"/>
        <v>439</v>
      </c>
      <c r="AF536" s="1">
        <v>12.0</v>
      </c>
      <c r="AG536" s="1">
        <v>1.0</v>
      </c>
      <c r="AH536" s="1">
        <v>3.0</v>
      </c>
      <c r="AI536" s="1">
        <v>12.0</v>
      </c>
      <c r="AJ536" s="1">
        <v>0.0</v>
      </c>
      <c r="AK536" s="1">
        <v>5.0</v>
      </c>
      <c r="AL536" s="1">
        <v>1.0</v>
      </c>
      <c r="AM536" s="1">
        <v>0.0</v>
      </c>
      <c r="AN536" s="1">
        <v>0.0</v>
      </c>
      <c r="AO536" s="1">
        <v>5.0</v>
      </c>
      <c r="AP536" s="1">
        <v>0.0</v>
      </c>
      <c r="AQ536" s="1">
        <v>1.0</v>
      </c>
    </row>
    <row r="537">
      <c r="A537" s="1"/>
      <c r="B537" s="1">
        <v>450.0</v>
      </c>
      <c r="C537" s="1" t="s">
        <v>5187</v>
      </c>
      <c r="D537" s="1" t="s">
        <v>5188</v>
      </c>
      <c r="E537" s="1" t="s">
        <v>5189</v>
      </c>
      <c r="F537" s="1" t="s">
        <v>43</v>
      </c>
      <c r="G537" s="2">
        <v>20279.0</v>
      </c>
      <c r="H537" s="1" t="s">
        <v>5190</v>
      </c>
      <c r="I537" s="1">
        <v>42.0</v>
      </c>
      <c r="J537" s="1" t="s">
        <v>536</v>
      </c>
      <c r="K537" s="1">
        <v>4.0</v>
      </c>
      <c r="L537" s="2">
        <v>42907.0</v>
      </c>
      <c r="O537" s="1">
        <v>0.0</v>
      </c>
      <c r="P537" s="1" t="s">
        <v>61</v>
      </c>
      <c r="Q537" s="1" t="s">
        <v>62</v>
      </c>
      <c r="R537" s="1" t="s">
        <v>5191</v>
      </c>
      <c r="U537" s="1" t="s">
        <v>5192</v>
      </c>
      <c r="V537" s="1">
        <v>64.0</v>
      </c>
      <c r="W537" s="3" t="s">
        <v>5193</v>
      </c>
      <c r="X537" s="1">
        <v>267429.0</v>
      </c>
      <c r="Y537" s="1" t="s">
        <v>5194</v>
      </c>
      <c r="Z537" s="3" t="s">
        <v>5195</v>
      </c>
      <c r="AA537" s="3" t="s">
        <v>5196</v>
      </c>
      <c r="AB537" s="1">
        <v>1.0</v>
      </c>
      <c r="AC537" s="1" t="s">
        <v>5197</v>
      </c>
      <c r="AD537" s="1">
        <v>13.0</v>
      </c>
      <c r="AE537" s="1">
        <f t="shared" si="5"/>
        <v>439</v>
      </c>
      <c r="AF537" s="1">
        <v>38.0</v>
      </c>
      <c r="AG537" s="1">
        <v>14.0</v>
      </c>
      <c r="AH537" s="1">
        <v>20.0</v>
      </c>
      <c r="AI537" s="1">
        <v>22.0</v>
      </c>
      <c r="AJ537" s="1">
        <v>91.0</v>
      </c>
      <c r="AK537" s="1">
        <v>1938.0</v>
      </c>
      <c r="AL537" s="1">
        <v>55.0</v>
      </c>
      <c r="AM537" s="1">
        <v>0.0</v>
      </c>
      <c r="AN537" s="1">
        <v>4.0</v>
      </c>
      <c r="AO537" s="1">
        <v>65.0</v>
      </c>
      <c r="AP537" s="1">
        <v>19.0</v>
      </c>
      <c r="AQ537" s="1">
        <v>2.0</v>
      </c>
    </row>
    <row r="538">
      <c r="A538" s="1"/>
      <c r="B538" s="1">
        <v>347.0</v>
      </c>
      <c r="C538" s="1" t="s">
        <v>5198</v>
      </c>
      <c r="D538" s="1" t="s">
        <v>5199</v>
      </c>
      <c r="E538" s="1" t="s">
        <v>501</v>
      </c>
      <c r="F538" s="1" t="s">
        <v>43</v>
      </c>
      <c r="G538" s="2">
        <v>20028.0</v>
      </c>
      <c r="H538" s="1" t="s">
        <v>5200</v>
      </c>
      <c r="I538" s="1">
        <v>86.0</v>
      </c>
      <c r="J538" s="1" t="s">
        <v>513</v>
      </c>
      <c r="K538" s="1">
        <v>3.0</v>
      </c>
      <c r="L538" s="2">
        <v>42907.0</v>
      </c>
      <c r="O538" s="1">
        <v>0.0</v>
      </c>
      <c r="P538" s="1" t="s">
        <v>75</v>
      </c>
      <c r="Q538" s="1" t="s">
        <v>76</v>
      </c>
      <c r="R538" s="1" t="s">
        <v>5201</v>
      </c>
      <c r="U538" s="1" t="s">
        <v>304</v>
      </c>
      <c r="V538" s="1">
        <v>417.0</v>
      </c>
      <c r="W538" s="3" t="s">
        <v>5202</v>
      </c>
      <c r="X538" s="1">
        <v>336439.0</v>
      </c>
      <c r="Y538" s="1" t="s">
        <v>5203</v>
      </c>
      <c r="Z538" s="3" t="s">
        <v>5204</v>
      </c>
      <c r="AA538" s="3" t="s">
        <v>5205</v>
      </c>
      <c r="AB538" s="1">
        <v>1.0</v>
      </c>
      <c r="AC538" s="1" t="s">
        <v>5206</v>
      </c>
      <c r="AD538" s="1">
        <v>13.0</v>
      </c>
      <c r="AE538" s="1">
        <f t="shared" si="5"/>
        <v>439</v>
      </c>
      <c r="AF538" s="1">
        <v>17.0</v>
      </c>
      <c r="AG538" s="1">
        <v>4.0</v>
      </c>
      <c r="AH538" s="1">
        <v>2.0</v>
      </c>
      <c r="AI538" s="1">
        <v>0.0</v>
      </c>
      <c r="AJ538" s="1">
        <v>0.0</v>
      </c>
      <c r="AK538" s="1">
        <v>59.0</v>
      </c>
      <c r="AL538" s="1">
        <v>25.0</v>
      </c>
      <c r="AM538" s="1">
        <v>0.0</v>
      </c>
      <c r="AN538" s="1">
        <v>0.0</v>
      </c>
      <c r="AO538" s="1">
        <v>5.0</v>
      </c>
      <c r="AP538" s="1">
        <v>9.0</v>
      </c>
      <c r="AQ538" s="1">
        <v>1.0</v>
      </c>
    </row>
    <row r="539">
      <c r="A539" s="1"/>
      <c r="B539" s="1">
        <v>580.0</v>
      </c>
      <c r="C539" s="1" t="s">
        <v>5207</v>
      </c>
      <c r="D539" s="1" t="s">
        <v>5208</v>
      </c>
      <c r="E539" s="1" t="s">
        <v>469</v>
      </c>
      <c r="F539" s="1" t="s">
        <v>43</v>
      </c>
      <c r="G539" s="2">
        <v>27865.0</v>
      </c>
      <c r="H539" s="1" t="s">
        <v>5209</v>
      </c>
      <c r="I539" s="1">
        <v>40.0</v>
      </c>
      <c r="J539" s="1" t="s">
        <v>664</v>
      </c>
      <c r="K539" s="1">
        <v>1.0</v>
      </c>
      <c r="L539" s="2">
        <v>42938.0</v>
      </c>
      <c r="O539" s="1">
        <v>0.0</v>
      </c>
      <c r="P539" s="1" t="s">
        <v>280</v>
      </c>
      <c r="Q539" s="1" t="s">
        <v>281</v>
      </c>
      <c r="U539" s="1" t="s">
        <v>5210</v>
      </c>
      <c r="V539" s="1">
        <v>249.0</v>
      </c>
      <c r="W539" s="3" t="s">
        <v>5211</v>
      </c>
      <c r="X539" s="1">
        <v>719918.0</v>
      </c>
      <c r="Y539" s="1" t="s">
        <v>5212</v>
      </c>
      <c r="Z539" s="3" t="s">
        <v>5213</v>
      </c>
      <c r="AA539" s="3" t="s">
        <v>5214</v>
      </c>
      <c r="AB539" s="1">
        <v>2.0</v>
      </c>
      <c r="AD539" s="1">
        <v>13.0</v>
      </c>
      <c r="AE539" s="1">
        <f t="shared" si="5"/>
        <v>434</v>
      </c>
      <c r="AF539" s="1">
        <v>23.0</v>
      </c>
      <c r="AG539" s="1">
        <v>10.0</v>
      </c>
      <c r="AH539" s="1">
        <v>1.0</v>
      </c>
      <c r="AI539" s="1">
        <v>0.0</v>
      </c>
      <c r="AJ539" s="1">
        <v>0.0</v>
      </c>
      <c r="AK539" s="1">
        <v>189.0</v>
      </c>
      <c r="AL539" s="1">
        <v>15.0</v>
      </c>
      <c r="AM539" s="1">
        <v>0.0</v>
      </c>
      <c r="AN539" s="1">
        <v>0.0</v>
      </c>
      <c r="AO539" s="1">
        <v>5.0</v>
      </c>
      <c r="AP539" s="1">
        <v>0.0</v>
      </c>
      <c r="AQ539" s="1">
        <v>0.0</v>
      </c>
    </row>
    <row r="540">
      <c r="A540" s="1"/>
      <c r="B540" s="1">
        <v>93.0</v>
      </c>
      <c r="C540" s="1" t="s">
        <v>5215</v>
      </c>
      <c r="D540" s="1" t="s">
        <v>5216</v>
      </c>
      <c r="E540" s="1" t="s">
        <v>3249</v>
      </c>
      <c r="F540" s="1" t="s">
        <v>58</v>
      </c>
      <c r="G540" s="2">
        <v>22258.0</v>
      </c>
      <c r="H540" s="1" t="s">
        <v>207</v>
      </c>
      <c r="I540" s="1">
        <v>19.0</v>
      </c>
      <c r="J540" s="1" t="s">
        <v>524</v>
      </c>
      <c r="K540" s="1">
        <v>2.0</v>
      </c>
      <c r="L540" s="2">
        <v>42907.0</v>
      </c>
      <c r="O540" s="1">
        <v>0.0</v>
      </c>
      <c r="P540" s="1" t="s">
        <v>61</v>
      </c>
      <c r="Q540" s="1" t="s">
        <v>62</v>
      </c>
      <c r="R540" s="3" t="s">
        <v>5217</v>
      </c>
      <c r="U540" s="1" t="s">
        <v>78</v>
      </c>
      <c r="V540" s="1">
        <v>5.0</v>
      </c>
      <c r="W540" s="3" t="s">
        <v>5218</v>
      </c>
      <c r="X540" s="1">
        <v>719272.0</v>
      </c>
      <c r="Y540" s="1" t="s">
        <v>5219</v>
      </c>
      <c r="Z540" s="3" t="s">
        <v>5220</v>
      </c>
      <c r="AA540" s="3" t="s">
        <v>5221</v>
      </c>
      <c r="AB540" s="1">
        <v>2.0</v>
      </c>
      <c r="AC540" s="1" t="s">
        <v>5222</v>
      </c>
      <c r="AD540" s="1">
        <v>13.0</v>
      </c>
      <c r="AE540" s="1">
        <f t="shared" si="5"/>
        <v>439</v>
      </c>
      <c r="AF540" s="1">
        <v>23.0</v>
      </c>
      <c r="AG540" s="1">
        <v>4.0</v>
      </c>
      <c r="AH540" s="1">
        <v>4.0</v>
      </c>
      <c r="AI540" s="1">
        <v>3.0</v>
      </c>
      <c r="AJ540" s="1">
        <v>0.0</v>
      </c>
      <c r="AK540" s="1">
        <v>491.0</v>
      </c>
      <c r="AL540" s="1">
        <v>20.0</v>
      </c>
      <c r="AM540" s="1">
        <v>0.0</v>
      </c>
      <c r="AN540" s="1">
        <v>0.0</v>
      </c>
      <c r="AO540" s="1">
        <v>31.0</v>
      </c>
      <c r="AP540" s="1">
        <v>25.0</v>
      </c>
      <c r="AQ540" s="1">
        <v>1.0</v>
      </c>
    </row>
    <row r="541">
      <c r="A541" s="1"/>
      <c r="B541" s="1">
        <v>396.0</v>
      </c>
      <c r="C541" s="1" t="s">
        <v>5223</v>
      </c>
      <c r="D541" s="1" t="s">
        <v>5224</v>
      </c>
      <c r="E541" s="1" t="s">
        <v>1822</v>
      </c>
      <c r="F541" s="1" t="s">
        <v>43</v>
      </c>
      <c r="G541" s="2">
        <v>27999.0</v>
      </c>
      <c r="H541" s="1" t="s">
        <v>1852</v>
      </c>
      <c r="I541" s="1">
        <v>41.0</v>
      </c>
      <c r="J541" s="1" t="s">
        <v>1741</v>
      </c>
      <c r="K541" s="1">
        <v>2.0</v>
      </c>
      <c r="L541" s="2">
        <v>42907.0</v>
      </c>
      <c r="O541" s="1">
        <v>0.0</v>
      </c>
      <c r="P541" s="1" t="s">
        <v>61</v>
      </c>
      <c r="Q541" s="1" t="s">
        <v>62</v>
      </c>
      <c r="R541" s="1" t="s">
        <v>5225</v>
      </c>
      <c r="U541" s="1" t="s">
        <v>162</v>
      </c>
      <c r="V541" s="1">
        <v>139.0</v>
      </c>
      <c r="W541" s="3" t="s">
        <v>5226</v>
      </c>
      <c r="X541" s="1">
        <v>719946.0</v>
      </c>
      <c r="Y541" s="1" t="s">
        <v>5227</v>
      </c>
      <c r="Z541" s="3" t="s">
        <v>5228</v>
      </c>
      <c r="AA541" s="3" t="s">
        <v>5229</v>
      </c>
      <c r="AB541" s="1">
        <v>1.0</v>
      </c>
      <c r="AC541" s="1" t="s">
        <v>5230</v>
      </c>
      <c r="AD541" s="1">
        <v>13.0</v>
      </c>
      <c r="AE541" s="1">
        <f t="shared" si="5"/>
        <v>439</v>
      </c>
      <c r="AF541" s="1">
        <v>11.0</v>
      </c>
      <c r="AG541" s="1">
        <v>2.0</v>
      </c>
      <c r="AH541" s="1">
        <v>10.0</v>
      </c>
      <c r="AI541" s="1">
        <v>4.0</v>
      </c>
      <c r="AJ541" s="1">
        <v>6.0</v>
      </c>
      <c r="AK541" s="1">
        <v>795.0</v>
      </c>
      <c r="AL541" s="1">
        <v>36.0</v>
      </c>
      <c r="AM541" s="1">
        <v>0.0</v>
      </c>
      <c r="AN541" s="1">
        <v>8.0</v>
      </c>
      <c r="AO541" s="1">
        <v>57.0</v>
      </c>
      <c r="AP541" s="1">
        <v>22.0</v>
      </c>
      <c r="AQ541" s="1">
        <v>1.0</v>
      </c>
    </row>
    <row r="542">
      <c r="A542" s="1"/>
      <c r="B542" s="1">
        <v>366.0</v>
      </c>
      <c r="C542" s="1" t="s">
        <v>5231</v>
      </c>
      <c r="D542" s="1" t="s">
        <v>5232</v>
      </c>
      <c r="E542" s="1" t="s">
        <v>1045</v>
      </c>
      <c r="F542" s="1" t="s">
        <v>58</v>
      </c>
      <c r="G542" s="2">
        <v>22418.0</v>
      </c>
      <c r="H542" s="1" t="s">
        <v>5233</v>
      </c>
      <c r="I542" s="1">
        <v>974.0</v>
      </c>
      <c r="J542" s="1" t="s">
        <v>2717</v>
      </c>
      <c r="K542" s="1">
        <v>6.0</v>
      </c>
      <c r="L542" s="2">
        <v>42907.0</v>
      </c>
      <c r="O542" s="1">
        <v>0.0</v>
      </c>
      <c r="P542" s="1" t="s">
        <v>61</v>
      </c>
      <c r="Q542" s="1" t="s">
        <v>62</v>
      </c>
      <c r="U542" s="1" t="s">
        <v>151</v>
      </c>
      <c r="V542" s="1">
        <v>44.0</v>
      </c>
      <c r="W542" s="3" t="s">
        <v>5234</v>
      </c>
      <c r="X542" s="1">
        <v>721070.0</v>
      </c>
      <c r="Y542" s="1" t="s">
        <v>5235</v>
      </c>
      <c r="Z542" s="3" t="s">
        <v>5236</v>
      </c>
      <c r="AA542" s="3" t="s">
        <v>5237</v>
      </c>
      <c r="AB542" s="1">
        <v>2.0</v>
      </c>
      <c r="AD542" s="1">
        <v>13.0</v>
      </c>
      <c r="AE542" s="1">
        <f t="shared" si="5"/>
        <v>439</v>
      </c>
      <c r="AF542" s="1">
        <v>18.0</v>
      </c>
      <c r="AG542" s="1">
        <v>5.0</v>
      </c>
      <c r="AH542" s="1">
        <v>23.0</v>
      </c>
      <c r="AI542" s="1">
        <v>1.0</v>
      </c>
      <c r="AJ542" s="1">
        <v>47.0</v>
      </c>
      <c r="AK542" s="1">
        <v>402.0</v>
      </c>
      <c r="AL542" s="1">
        <v>21.0</v>
      </c>
      <c r="AM542" s="1">
        <v>0.0</v>
      </c>
      <c r="AN542" s="1">
        <v>0.0</v>
      </c>
      <c r="AO542" s="1">
        <v>11.0</v>
      </c>
      <c r="AP542" s="1">
        <v>0.0</v>
      </c>
      <c r="AQ542" s="1">
        <v>1.0</v>
      </c>
    </row>
    <row r="543">
      <c r="A543" s="1"/>
      <c r="B543" s="1">
        <v>107.0</v>
      </c>
      <c r="C543" s="1" t="s">
        <v>5238</v>
      </c>
      <c r="D543" s="1" t="s">
        <v>5239</v>
      </c>
      <c r="E543" s="1" t="s">
        <v>905</v>
      </c>
      <c r="F543" s="1" t="s">
        <v>43</v>
      </c>
      <c r="G543" s="2">
        <v>27201.0</v>
      </c>
      <c r="H543" s="1" t="s">
        <v>1914</v>
      </c>
      <c r="I543" s="1">
        <v>971.0</v>
      </c>
      <c r="J543" s="1" t="s">
        <v>5240</v>
      </c>
      <c r="K543" s="1">
        <v>1.0</v>
      </c>
      <c r="L543" s="2">
        <v>42907.0</v>
      </c>
      <c r="O543" s="1">
        <v>0.0</v>
      </c>
      <c r="P543" s="1" t="s">
        <v>75</v>
      </c>
      <c r="Q543" s="1" t="s">
        <v>76</v>
      </c>
      <c r="R543" s="1" t="s">
        <v>5241</v>
      </c>
      <c r="U543" s="1" t="s">
        <v>5242</v>
      </c>
      <c r="V543" s="1">
        <v>311.0</v>
      </c>
      <c r="W543" s="3" t="s">
        <v>5243</v>
      </c>
      <c r="X543" s="1">
        <v>720960.0</v>
      </c>
      <c r="Y543" s="1" t="s">
        <v>5244</v>
      </c>
      <c r="Z543" s="3" t="s">
        <v>5245</v>
      </c>
      <c r="AA543" s="3" t="s">
        <v>5246</v>
      </c>
      <c r="AB543" s="1">
        <v>1.0</v>
      </c>
      <c r="AC543" s="1" t="s">
        <v>5247</v>
      </c>
      <c r="AD543" s="1">
        <v>13.0</v>
      </c>
      <c r="AE543" s="1">
        <f t="shared" si="5"/>
        <v>439</v>
      </c>
      <c r="AF543" s="1">
        <v>30.0</v>
      </c>
      <c r="AG543" s="1">
        <v>17.0</v>
      </c>
      <c r="AH543" s="1">
        <v>39.0</v>
      </c>
      <c r="AI543" s="1">
        <v>5.0</v>
      </c>
      <c r="AJ543" s="1">
        <v>39.0</v>
      </c>
      <c r="AK543" s="1">
        <v>280.0</v>
      </c>
      <c r="AL543" s="1">
        <v>146.0</v>
      </c>
      <c r="AM543" s="1">
        <v>1.0</v>
      </c>
      <c r="AN543" s="1">
        <v>0.0</v>
      </c>
      <c r="AO543" s="1">
        <v>5.0</v>
      </c>
      <c r="AP543" s="1">
        <v>2.0</v>
      </c>
      <c r="AQ543" s="1">
        <v>1.0</v>
      </c>
    </row>
    <row r="544">
      <c r="A544" s="1"/>
      <c r="B544" s="1">
        <v>22.0</v>
      </c>
      <c r="C544" s="1" t="s">
        <v>5248</v>
      </c>
      <c r="D544" s="1" t="s">
        <v>5249</v>
      </c>
      <c r="E544" s="1" t="s">
        <v>2889</v>
      </c>
      <c r="F544" s="1" t="s">
        <v>43</v>
      </c>
      <c r="G544" s="2">
        <v>21820.0</v>
      </c>
      <c r="H544" s="1" t="s">
        <v>5250</v>
      </c>
      <c r="I544" s="1">
        <v>973.0</v>
      </c>
      <c r="J544" s="1" t="s">
        <v>5251</v>
      </c>
      <c r="K544" s="1">
        <v>1.0</v>
      </c>
      <c r="L544" s="2">
        <v>42907.0</v>
      </c>
      <c r="O544" s="1">
        <v>0.0</v>
      </c>
      <c r="P544" s="1" t="s">
        <v>101</v>
      </c>
      <c r="Q544" s="1" t="s">
        <v>5112</v>
      </c>
      <c r="R544" s="1" t="s">
        <v>5252</v>
      </c>
      <c r="U544" s="1" t="s">
        <v>5253</v>
      </c>
      <c r="V544" s="1">
        <v>597.0</v>
      </c>
      <c r="W544" s="3" t="s">
        <v>5254</v>
      </c>
      <c r="X544" s="1">
        <v>610667.0</v>
      </c>
      <c r="Y544" s="1" t="s">
        <v>5255</v>
      </c>
      <c r="Z544" s="3" t="s">
        <v>5256</v>
      </c>
      <c r="AA544" s="3" t="s">
        <v>5257</v>
      </c>
      <c r="AB544" s="1">
        <v>2.0</v>
      </c>
      <c r="AC544" s="1" t="s">
        <v>5258</v>
      </c>
      <c r="AD544" s="1">
        <v>13.0</v>
      </c>
      <c r="AE544" s="1">
        <f t="shared" si="5"/>
        <v>439</v>
      </c>
      <c r="AF544" s="1">
        <v>33.0</v>
      </c>
      <c r="AG544" s="1">
        <v>23.0</v>
      </c>
      <c r="AH544" s="1">
        <v>26.0</v>
      </c>
      <c r="AI544" s="1">
        <v>0.0</v>
      </c>
      <c r="AJ544" s="1">
        <v>11.0</v>
      </c>
      <c r="AK544" s="1">
        <v>679.0</v>
      </c>
      <c r="AL544" s="1">
        <v>33.0</v>
      </c>
      <c r="AM544" s="1">
        <v>0.0</v>
      </c>
      <c r="AN544" s="1">
        <v>0.0</v>
      </c>
      <c r="AO544" s="1">
        <v>9.0</v>
      </c>
      <c r="AP544" s="1">
        <v>23.0</v>
      </c>
      <c r="AQ544" s="1">
        <v>4.0</v>
      </c>
    </row>
    <row r="545">
      <c r="A545" s="1"/>
      <c r="B545" s="1">
        <v>349.0</v>
      </c>
      <c r="C545" s="1" t="s">
        <v>5259</v>
      </c>
      <c r="D545" s="1" t="s">
        <v>5260</v>
      </c>
      <c r="E545" s="1" t="s">
        <v>589</v>
      </c>
      <c r="F545" s="1" t="s">
        <v>43</v>
      </c>
      <c r="G545" s="2">
        <v>21464.0</v>
      </c>
      <c r="H545" s="1" t="s">
        <v>5049</v>
      </c>
      <c r="I545" s="1">
        <v>69.0</v>
      </c>
      <c r="J545" s="1" t="s">
        <v>1363</v>
      </c>
      <c r="K545" s="1">
        <v>6.0</v>
      </c>
      <c r="L545" s="2">
        <v>42907.0</v>
      </c>
      <c r="O545" s="1">
        <v>0.0</v>
      </c>
      <c r="P545" s="1" t="s">
        <v>75</v>
      </c>
      <c r="Q545" s="1" t="s">
        <v>76</v>
      </c>
      <c r="R545" s="1" t="s">
        <v>5261</v>
      </c>
      <c r="U545" s="1" t="s">
        <v>198</v>
      </c>
      <c r="V545" s="1">
        <v>272.0</v>
      </c>
      <c r="W545" s="3" t="s">
        <v>5262</v>
      </c>
      <c r="X545" s="1">
        <v>721344.0</v>
      </c>
      <c r="Y545" s="1" t="s">
        <v>5263</v>
      </c>
      <c r="Z545" s="3" t="s">
        <v>5264</v>
      </c>
      <c r="AA545" s="3" t="s">
        <v>5265</v>
      </c>
      <c r="AB545" s="1">
        <v>1.0</v>
      </c>
      <c r="AC545" s="1" t="s">
        <v>5266</v>
      </c>
      <c r="AD545" s="1">
        <v>12.0</v>
      </c>
      <c r="AE545" s="1">
        <f t="shared" si="5"/>
        <v>440</v>
      </c>
      <c r="AF545" s="1">
        <v>19.0</v>
      </c>
      <c r="AG545" s="1">
        <v>1.0</v>
      </c>
      <c r="AH545" s="1">
        <v>0.0</v>
      </c>
      <c r="AI545" s="1">
        <v>4.0</v>
      </c>
      <c r="AJ545" s="1">
        <v>1.0</v>
      </c>
      <c r="AK545" s="1">
        <v>17.0</v>
      </c>
      <c r="AL545" s="1">
        <v>9.0</v>
      </c>
      <c r="AM545" s="1">
        <v>0.0</v>
      </c>
      <c r="AN545" s="1">
        <v>0.0</v>
      </c>
      <c r="AO545" s="1">
        <v>5.0</v>
      </c>
      <c r="AP545" s="1">
        <v>1.0</v>
      </c>
      <c r="AQ545" s="1">
        <v>0.0</v>
      </c>
    </row>
    <row r="546">
      <c r="A546" s="1"/>
      <c r="B546" s="1">
        <v>354.0</v>
      </c>
      <c r="C546" s="1" t="s">
        <v>5267</v>
      </c>
      <c r="D546" s="1" t="s">
        <v>5268</v>
      </c>
      <c r="E546" s="1" t="s">
        <v>1146</v>
      </c>
      <c r="F546" s="1" t="s">
        <v>43</v>
      </c>
      <c r="G546" s="2">
        <v>20942.0</v>
      </c>
      <c r="H546" s="1" t="s">
        <v>5269</v>
      </c>
      <c r="I546" s="1">
        <v>84.0</v>
      </c>
      <c r="J546" s="1" t="s">
        <v>719</v>
      </c>
      <c r="K546" s="1">
        <v>2.0</v>
      </c>
      <c r="L546" s="2">
        <v>42907.0</v>
      </c>
      <c r="O546" s="1">
        <v>0.0</v>
      </c>
      <c r="P546" s="1" t="s">
        <v>61</v>
      </c>
      <c r="Q546" s="1" t="s">
        <v>62</v>
      </c>
      <c r="R546" s="1" t="s">
        <v>5270</v>
      </c>
      <c r="U546" s="1" t="s">
        <v>5271</v>
      </c>
      <c r="V546" s="1">
        <v>52.0</v>
      </c>
      <c r="W546" s="3" t="s">
        <v>5272</v>
      </c>
      <c r="X546" s="1">
        <v>336316.0</v>
      </c>
      <c r="Y546" s="1" t="s">
        <v>5273</v>
      </c>
      <c r="Z546" s="3" t="s">
        <v>5274</v>
      </c>
      <c r="AA546" s="3" t="s">
        <v>5275</v>
      </c>
      <c r="AB546" s="1">
        <v>2.0</v>
      </c>
      <c r="AC546" s="1" t="s">
        <v>5276</v>
      </c>
      <c r="AD546" s="1">
        <v>12.0</v>
      </c>
      <c r="AE546" s="1">
        <f t="shared" si="5"/>
        <v>440</v>
      </c>
      <c r="AF546" s="1">
        <v>18.0</v>
      </c>
      <c r="AG546" s="1">
        <v>15.0</v>
      </c>
      <c r="AH546" s="1">
        <v>1.0</v>
      </c>
      <c r="AI546" s="1">
        <v>1.0</v>
      </c>
      <c r="AJ546" s="1">
        <v>0.0</v>
      </c>
      <c r="AK546" s="1">
        <v>484.0</v>
      </c>
      <c r="AL546" s="1">
        <v>17.0</v>
      </c>
      <c r="AM546" s="1">
        <v>0.0</v>
      </c>
      <c r="AN546" s="1">
        <v>1.0</v>
      </c>
      <c r="AO546" s="1">
        <v>58.0</v>
      </c>
      <c r="AP546" s="1">
        <v>14.0</v>
      </c>
      <c r="AQ546" s="1">
        <v>0.0</v>
      </c>
    </row>
    <row r="547">
      <c r="A547" s="1"/>
      <c r="B547" s="1">
        <v>544.0</v>
      </c>
      <c r="C547" s="1" t="s">
        <v>5277</v>
      </c>
      <c r="D547" s="1" t="s">
        <v>5278</v>
      </c>
      <c r="E547" s="1" t="s">
        <v>312</v>
      </c>
      <c r="F547" s="1" t="s">
        <v>58</v>
      </c>
      <c r="G547" s="2">
        <v>23985.0</v>
      </c>
      <c r="H547" s="1" t="s">
        <v>5279</v>
      </c>
      <c r="I547" s="1">
        <v>69.0</v>
      </c>
      <c r="J547" s="1" t="s">
        <v>1363</v>
      </c>
      <c r="K547" s="1">
        <v>13.0</v>
      </c>
      <c r="L547" s="2">
        <v>42907.0</v>
      </c>
      <c r="O547" s="1">
        <v>0.0</v>
      </c>
      <c r="P547" s="1" t="s">
        <v>75</v>
      </c>
      <c r="Q547" s="1" t="s">
        <v>76</v>
      </c>
      <c r="U547" s="1" t="s">
        <v>5280</v>
      </c>
      <c r="V547" s="1">
        <v>624.0</v>
      </c>
      <c r="W547" s="3" t="s">
        <v>5281</v>
      </c>
      <c r="X547" s="1">
        <v>721352.0</v>
      </c>
      <c r="Y547" s="1" t="s">
        <v>5282</v>
      </c>
      <c r="Z547" s="3" t="s">
        <v>5283</v>
      </c>
      <c r="AA547" s="3" t="s">
        <v>5284</v>
      </c>
      <c r="AB547" s="1">
        <v>1.0</v>
      </c>
      <c r="AD547" s="1">
        <v>12.0</v>
      </c>
      <c r="AE547" s="1">
        <f t="shared" si="5"/>
        <v>440</v>
      </c>
      <c r="AF547" s="1">
        <v>17.0</v>
      </c>
      <c r="AG547" s="1">
        <v>4.0</v>
      </c>
      <c r="AH547" s="1">
        <v>3.0</v>
      </c>
      <c r="AI547" s="1">
        <v>2.0</v>
      </c>
      <c r="AJ547" s="1">
        <v>0.0</v>
      </c>
      <c r="AK547" s="1">
        <v>53.0</v>
      </c>
      <c r="AL547" s="1">
        <v>14.0</v>
      </c>
      <c r="AM547" s="1">
        <v>0.0</v>
      </c>
      <c r="AN547" s="1">
        <v>0.0</v>
      </c>
      <c r="AO547" s="1">
        <v>6.0</v>
      </c>
      <c r="AP547" s="1">
        <v>5.0</v>
      </c>
      <c r="AQ547" s="1">
        <v>1.0</v>
      </c>
    </row>
    <row r="548">
      <c r="A548" s="1"/>
      <c r="B548" s="1">
        <v>120.0</v>
      </c>
      <c r="C548" s="1" t="s">
        <v>5285</v>
      </c>
      <c r="D548" s="1" t="s">
        <v>5286</v>
      </c>
      <c r="E548" s="1" t="s">
        <v>4045</v>
      </c>
      <c r="F548" s="1" t="s">
        <v>43</v>
      </c>
      <c r="G548" s="2">
        <v>23205.0</v>
      </c>
      <c r="H548" s="1" t="s">
        <v>1541</v>
      </c>
      <c r="I548" s="1">
        <v>88.0</v>
      </c>
      <c r="J548" s="1" t="s">
        <v>1542</v>
      </c>
      <c r="K548" s="1">
        <v>4.0</v>
      </c>
      <c r="L548" s="2">
        <v>42907.0</v>
      </c>
      <c r="O548" s="1">
        <v>0.0</v>
      </c>
      <c r="P548" s="1" t="s">
        <v>61</v>
      </c>
      <c r="Q548" s="1" t="s">
        <v>62</v>
      </c>
      <c r="R548" s="1" t="s">
        <v>5287</v>
      </c>
      <c r="U548" s="1" t="s">
        <v>5288</v>
      </c>
      <c r="V548" s="1">
        <v>127.0</v>
      </c>
      <c r="W548" s="3" t="s">
        <v>5289</v>
      </c>
      <c r="X548" s="1">
        <v>267324.0</v>
      </c>
      <c r="Y548" s="1" t="s">
        <v>5290</v>
      </c>
      <c r="Z548" s="3" t="s">
        <v>5291</v>
      </c>
      <c r="AA548" s="3" t="s">
        <v>5292</v>
      </c>
      <c r="AB548" s="1">
        <v>2.0</v>
      </c>
      <c r="AC548" s="1" t="s">
        <v>5293</v>
      </c>
      <c r="AD548" s="1">
        <v>12.0</v>
      </c>
      <c r="AE548" s="1">
        <f t="shared" si="5"/>
        <v>440</v>
      </c>
      <c r="AF548" s="1">
        <v>24.0</v>
      </c>
      <c r="AG548" s="1">
        <v>5.0</v>
      </c>
      <c r="AH548" s="1">
        <v>3.0</v>
      </c>
      <c r="AI548" s="1">
        <v>0.0</v>
      </c>
      <c r="AJ548" s="1">
        <v>17.0</v>
      </c>
      <c r="AK548" s="1">
        <v>299.0</v>
      </c>
      <c r="AL548" s="1">
        <v>13.0</v>
      </c>
      <c r="AM548" s="1">
        <v>0.0</v>
      </c>
      <c r="AN548" s="1">
        <v>1.0</v>
      </c>
      <c r="AO548" s="1">
        <v>31.0</v>
      </c>
      <c r="AP548" s="1">
        <v>34.0</v>
      </c>
      <c r="AQ548" s="1">
        <v>1.0</v>
      </c>
    </row>
    <row r="549">
      <c r="A549" s="1"/>
      <c r="B549" s="1">
        <v>410.0</v>
      </c>
      <c r="C549" s="1" t="s">
        <v>5294</v>
      </c>
      <c r="D549" s="1" t="s">
        <v>5295</v>
      </c>
      <c r="E549" s="1" t="s">
        <v>5296</v>
      </c>
      <c r="F549" s="1" t="s">
        <v>43</v>
      </c>
      <c r="G549" s="2">
        <v>19372.0</v>
      </c>
      <c r="H549" s="1" t="s">
        <v>5297</v>
      </c>
      <c r="I549" s="1">
        <v>972.0</v>
      </c>
      <c r="J549" s="1" t="s">
        <v>5111</v>
      </c>
      <c r="K549" s="1">
        <v>3.0</v>
      </c>
      <c r="L549" s="2">
        <v>42907.0</v>
      </c>
      <c r="O549" s="1">
        <v>0.0</v>
      </c>
      <c r="P549" s="1" t="s">
        <v>115</v>
      </c>
      <c r="Q549" s="1" t="s">
        <v>5112</v>
      </c>
      <c r="R549" s="1" t="s">
        <v>5298</v>
      </c>
      <c r="U549" s="1" t="s">
        <v>5299</v>
      </c>
      <c r="V549" s="1">
        <v>501.0</v>
      </c>
      <c r="W549" s="3" t="s">
        <v>5300</v>
      </c>
      <c r="X549" s="1">
        <v>337483.0</v>
      </c>
      <c r="Y549" s="1" t="s">
        <v>5301</v>
      </c>
      <c r="Z549" s="3" t="s">
        <v>5302</v>
      </c>
      <c r="AA549" s="3" t="s">
        <v>5303</v>
      </c>
      <c r="AB549" s="1">
        <v>1.0</v>
      </c>
      <c r="AC549" s="1" t="s">
        <v>5304</v>
      </c>
      <c r="AD549" s="1">
        <v>12.0</v>
      </c>
      <c r="AE549" s="1">
        <f t="shared" si="5"/>
        <v>440</v>
      </c>
      <c r="AF549" s="1">
        <v>15.0</v>
      </c>
      <c r="AG549" s="1">
        <v>31.0</v>
      </c>
      <c r="AH549" s="1">
        <v>61.0</v>
      </c>
      <c r="AI549" s="1">
        <v>37.0</v>
      </c>
      <c r="AJ549" s="1">
        <v>37.0</v>
      </c>
      <c r="AK549" s="1">
        <v>1150.0</v>
      </c>
      <c r="AL549" s="1">
        <v>88.0</v>
      </c>
      <c r="AM549" s="1">
        <v>2.0</v>
      </c>
      <c r="AN549" s="1">
        <v>0.0</v>
      </c>
      <c r="AO549" s="1">
        <v>6.0</v>
      </c>
      <c r="AP549" s="1">
        <v>0.0</v>
      </c>
      <c r="AQ549" s="1">
        <v>2.0</v>
      </c>
    </row>
    <row r="550">
      <c r="A550" s="1"/>
      <c r="B550" s="1">
        <v>156.0</v>
      </c>
      <c r="C550" s="1" t="s">
        <v>5305</v>
      </c>
      <c r="D550" s="1" t="s">
        <v>5306</v>
      </c>
      <c r="E550" s="1" t="s">
        <v>2991</v>
      </c>
      <c r="F550" s="1" t="s">
        <v>43</v>
      </c>
      <c r="G550" s="2">
        <v>16531.0</v>
      </c>
      <c r="H550" s="1" t="s">
        <v>718</v>
      </c>
      <c r="I550" s="1">
        <v>13.0</v>
      </c>
      <c r="J550" s="1" t="s">
        <v>279</v>
      </c>
      <c r="K550" s="1">
        <v>6.0</v>
      </c>
      <c r="L550" s="2">
        <v>42907.0</v>
      </c>
      <c r="O550" s="1">
        <v>0.0</v>
      </c>
      <c r="P550" s="1" t="s">
        <v>61</v>
      </c>
      <c r="Q550" s="1" t="s">
        <v>62</v>
      </c>
      <c r="R550" s="1" t="s">
        <v>5307</v>
      </c>
      <c r="U550" s="1" t="s">
        <v>5308</v>
      </c>
      <c r="V550" s="1">
        <v>84.0</v>
      </c>
      <c r="W550" s="3" t="s">
        <v>5309</v>
      </c>
      <c r="X550" s="1">
        <v>2796.0</v>
      </c>
      <c r="Y550" s="1" t="s">
        <v>5310</v>
      </c>
      <c r="Z550" s="3" t="s">
        <v>5311</v>
      </c>
      <c r="AA550" s="3" t="s">
        <v>5312</v>
      </c>
      <c r="AB550" s="1">
        <v>3.0</v>
      </c>
      <c r="AC550" s="1" t="s">
        <v>5313</v>
      </c>
      <c r="AD550" s="1">
        <v>12.0</v>
      </c>
      <c r="AE550" s="1">
        <f t="shared" si="5"/>
        <v>440</v>
      </c>
      <c r="AF550" s="1">
        <v>8.0</v>
      </c>
      <c r="AG550" s="1">
        <v>9.0</v>
      </c>
      <c r="AH550" s="1">
        <v>3.0</v>
      </c>
      <c r="AI550" s="1">
        <v>29.0</v>
      </c>
      <c r="AJ550" s="1">
        <v>4.0</v>
      </c>
      <c r="AK550" s="1">
        <v>257.0</v>
      </c>
      <c r="AL550" s="1">
        <v>14.0</v>
      </c>
      <c r="AM550" s="1">
        <v>1.0</v>
      </c>
      <c r="AN550" s="1">
        <v>2.0</v>
      </c>
      <c r="AO550" s="1">
        <v>37.0</v>
      </c>
      <c r="AP550" s="1">
        <v>14.0</v>
      </c>
      <c r="AQ550" s="1">
        <v>2.0</v>
      </c>
    </row>
    <row r="551">
      <c r="A551" s="1"/>
      <c r="B551" s="1">
        <v>491.0</v>
      </c>
      <c r="C551" s="1" t="s">
        <v>5314</v>
      </c>
      <c r="D551" s="1" t="s">
        <v>5315</v>
      </c>
      <c r="E551" s="1" t="s">
        <v>1551</v>
      </c>
      <c r="F551" s="1" t="s">
        <v>58</v>
      </c>
      <c r="G551" s="2">
        <v>20581.0</v>
      </c>
      <c r="H551" s="1" t="s">
        <v>5316</v>
      </c>
      <c r="I551" s="1">
        <v>971.0</v>
      </c>
      <c r="J551" s="1" t="s">
        <v>5240</v>
      </c>
      <c r="K551" s="1">
        <v>4.0</v>
      </c>
      <c r="L551" s="2">
        <v>42907.0</v>
      </c>
      <c r="O551" s="1">
        <v>0.0</v>
      </c>
      <c r="P551" s="1" t="s">
        <v>115</v>
      </c>
      <c r="Q551" s="1" t="s">
        <v>5112</v>
      </c>
      <c r="R551" s="3" t="s">
        <v>5317</v>
      </c>
      <c r="U551" s="1" t="s">
        <v>2348</v>
      </c>
      <c r="V551" s="1">
        <v>496.0</v>
      </c>
      <c r="W551" s="3" t="s">
        <v>5318</v>
      </c>
      <c r="X551" s="1">
        <v>643145.0</v>
      </c>
      <c r="Y551" s="1" t="s">
        <v>5319</v>
      </c>
      <c r="Z551" s="3" t="s">
        <v>5320</v>
      </c>
      <c r="AA551" s="3" t="s">
        <v>5321</v>
      </c>
      <c r="AB551" s="1">
        <v>2.0</v>
      </c>
      <c r="AC551" s="1" t="s">
        <v>5322</v>
      </c>
      <c r="AD551" s="1">
        <v>12.0</v>
      </c>
      <c r="AE551" s="1">
        <f t="shared" si="5"/>
        <v>440</v>
      </c>
      <c r="AF551" s="1">
        <v>20.0</v>
      </c>
      <c r="AG551" s="1">
        <v>9.0</v>
      </c>
      <c r="AH551" s="1">
        <v>10.0</v>
      </c>
      <c r="AI551" s="1">
        <v>7.0</v>
      </c>
      <c r="AJ551" s="1">
        <v>26.0</v>
      </c>
      <c r="AK551" s="1">
        <v>1172.0</v>
      </c>
      <c r="AL551" s="1">
        <v>80.0</v>
      </c>
      <c r="AM551" s="1">
        <v>0.0</v>
      </c>
      <c r="AN551" s="1">
        <v>0.0</v>
      </c>
      <c r="AO551" s="1">
        <v>5.0</v>
      </c>
      <c r="AP551" s="1">
        <v>0.0</v>
      </c>
      <c r="AQ551" s="1">
        <v>1.0</v>
      </c>
    </row>
    <row r="552">
      <c r="A552" s="1"/>
      <c r="B552" s="1">
        <v>217.0</v>
      </c>
      <c r="C552" s="1" t="s">
        <v>5323</v>
      </c>
      <c r="D552" s="1" t="s">
        <v>5324</v>
      </c>
      <c r="E552" s="1" t="s">
        <v>1695</v>
      </c>
      <c r="F552" s="1" t="s">
        <v>58</v>
      </c>
      <c r="G552" s="2">
        <v>24859.0</v>
      </c>
      <c r="H552" s="1" t="s">
        <v>5325</v>
      </c>
      <c r="I552" s="1">
        <v>974.0</v>
      </c>
      <c r="J552" s="1" t="s">
        <v>2717</v>
      </c>
      <c r="K552" s="1">
        <v>3.0</v>
      </c>
      <c r="L552" s="2">
        <v>42907.0</v>
      </c>
      <c r="O552" s="1">
        <v>0.0</v>
      </c>
      <c r="P552" s="1" t="s">
        <v>61</v>
      </c>
      <c r="Q552" s="1" t="s">
        <v>62</v>
      </c>
      <c r="R552" s="1" t="s">
        <v>5326</v>
      </c>
      <c r="U552" s="1" t="s">
        <v>3558</v>
      </c>
      <c r="V552" s="1">
        <v>109.0</v>
      </c>
      <c r="W552" s="3" t="s">
        <v>5327</v>
      </c>
      <c r="X552" s="1">
        <v>721046.0</v>
      </c>
      <c r="Y552" s="1" t="s">
        <v>5328</v>
      </c>
      <c r="Z552" s="3" t="s">
        <v>5329</v>
      </c>
      <c r="AA552" s="3" t="s">
        <v>5330</v>
      </c>
      <c r="AB552" s="1">
        <v>1.0</v>
      </c>
      <c r="AC552" s="1" t="s">
        <v>5331</v>
      </c>
      <c r="AD552" s="1">
        <v>11.0</v>
      </c>
      <c r="AE552" s="1">
        <f t="shared" si="5"/>
        <v>441</v>
      </c>
      <c r="AF552" s="1">
        <v>20.0</v>
      </c>
      <c r="AG552" s="1">
        <v>4.0</v>
      </c>
      <c r="AH552" s="1">
        <v>8.0</v>
      </c>
      <c r="AI552" s="1">
        <v>5.0</v>
      </c>
      <c r="AJ552" s="1">
        <v>3.0</v>
      </c>
      <c r="AK552" s="1">
        <v>656.0</v>
      </c>
      <c r="AL552" s="1">
        <v>30.0</v>
      </c>
      <c r="AM552" s="1">
        <v>0.0</v>
      </c>
      <c r="AN552" s="1">
        <v>0.0</v>
      </c>
      <c r="AO552" s="1">
        <v>46.0</v>
      </c>
      <c r="AP552" s="1">
        <v>6.0</v>
      </c>
      <c r="AQ552" s="1">
        <v>2.0</v>
      </c>
    </row>
    <row r="553">
      <c r="A553" s="1"/>
      <c r="B553" s="1">
        <v>563.0</v>
      </c>
      <c r="C553" s="1" t="s">
        <v>5332</v>
      </c>
      <c r="D553" s="1" t="s">
        <v>5333</v>
      </c>
      <c r="E553" s="1" t="s">
        <v>5334</v>
      </c>
      <c r="F553" s="1" t="s">
        <v>43</v>
      </c>
      <c r="G553" s="2">
        <v>25498.0</v>
      </c>
      <c r="H553" s="1" t="s">
        <v>5139</v>
      </c>
      <c r="I553" s="1">
        <v>987.0</v>
      </c>
      <c r="J553" s="1" t="s">
        <v>5140</v>
      </c>
      <c r="K553" s="1">
        <v>3.0</v>
      </c>
      <c r="L553" s="2">
        <v>42907.0</v>
      </c>
      <c r="O553" s="1">
        <v>0.0</v>
      </c>
      <c r="P553" s="1" t="s">
        <v>101</v>
      </c>
      <c r="Q553" s="1" t="s">
        <v>5335</v>
      </c>
      <c r="R553" s="1" t="s">
        <v>5336</v>
      </c>
      <c r="U553" s="1" t="s">
        <v>440</v>
      </c>
      <c r="V553" s="1">
        <v>582.0</v>
      </c>
      <c r="W553" s="3" t="s">
        <v>5337</v>
      </c>
      <c r="X553" s="1">
        <v>721118.0</v>
      </c>
      <c r="Y553" s="1" t="s">
        <v>5338</v>
      </c>
      <c r="Z553" s="3" t="s">
        <v>5339</v>
      </c>
      <c r="AA553" s="3" t="s">
        <v>5340</v>
      </c>
      <c r="AB553" s="1">
        <v>1.0</v>
      </c>
      <c r="AC553" s="1" t="s">
        <v>5341</v>
      </c>
      <c r="AD553" s="1">
        <v>11.0</v>
      </c>
      <c r="AE553" s="1">
        <f t="shared" si="5"/>
        <v>441</v>
      </c>
      <c r="AF553" s="1">
        <v>24.0</v>
      </c>
      <c r="AG553" s="1">
        <v>8.0</v>
      </c>
      <c r="AH553" s="1">
        <v>11.0</v>
      </c>
      <c r="AI553" s="1">
        <v>5.0</v>
      </c>
      <c r="AJ553" s="1">
        <v>0.0</v>
      </c>
      <c r="AK553" s="1">
        <v>640.0</v>
      </c>
      <c r="AL553" s="1">
        <v>28.0</v>
      </c>
      <c r="AM553" s="1">
        <v>0.0</v>
      </c>
      <c r="AN553" s="1">
        <v>0.0</v>
      </c>
      <c r="AO553" s="1">
        <v>13.0</v>
      </c>
      <c r="AP553" s="1">
        <v>0.0</v>
      </c>
      <c r="AQ553" s="1">
        <v>4.0</v>
      </c>
    </row>
    <row r="554">
      <c r="A554" s="1"/>
      <c r="B554" s="1">
        <v>126.0</v>
      </c>
      <c r="C554" s="1" t="s">
        <v>5342</v>
      </c>
      <c r="D554" s="1" t="s">
        <v>5343</v>
      </c>
      <c r="E554" s="1" t="s">
        <v>42</v>
      </c>
      <c r="F554" s="1" t="s">
        <v>43</v>
      </c>
      <c r="G554" s="2">
        <v>23206.0</v>
      </c>
      <c r="H554" s="1" t="s">
        <v>672</v>
      </c>
      <c r="I554" s="1">
        <v>81.0</v>
      </c>
      <c r="J554" s="1" t="s">
        <v>673</v>
      </c>
      <c r="K554" s="1">
        <v>1.0</v>
      </c>
      <c r="L554" s="2">
        <v>42907.0</v>
      </c>
      <c r="O554" s="1">
        <v>0.0</v>
      </c>
      <c r="P554" s="1" t="s">
        <v>75</v>
      </c>
      <c r="Q554" s="1" t="s">
        <v>76</v>
      </c>
      <c r="R554" s="1" t="s">
        <v>5344</v>
      </c>
      <c r="U554" s="1" t="s">
        <v>5345</v>
      </c>
      <c r="V554" s="1">
        <v>469.0</v>
      </c>
      <c r="W554" s="3" t="s">
        <v>5346</v>
      </c>
      <c r="X554" s="1">
        <v>267673.0</v>
      </c>
      <c r="Y554" s="1" t="s">
        <v>5347</v>
      </c>
      <c r="Z554" s="3" t="s">
        <v>5348</v>
      </c>
      <c r="AA554" s="3" t="s">
        <v>5349</v>
      </c>
      <c r="AB554" s="1">
        <v>2.0</v>
      </c>
      <c r="AC554" s="1" t="s">
        <v>5350</v>
      </c>
      <c r="AD554" s="1">
        <v>11.0</v>
      </c>
      <c r="AE554" s="1">
        <f t="shared" si="5"/>
        <v>441</v>
      </c>
      <c r="AF554" s="1">
        <v>16.0</v>
      </c>
      <c r="AG554" s="1">
        <v>7.0</v>
      </c>
      <c r="AH554" s="1">
        <v>19.0</v>
      </c>
      <c r="AI554" s="1">
        <v>4.0</v>
      </c>
      <c r="AJ554" s="1">
        <v>8.0</v>
      </c>
      <c r="AK554" s="1">
        <v>15.0</v>
      </c>
      <c r="AL554" s="1">
        <v>1.0</v>
      </c>
      <c r="AM554" s="1">
        <v>0.0</v>
      </c>
      <c r="AN554" s="1">
        <v>2.0</v>
      </c>
      <c r="AO554" s="1">
        <v>7.0</v>
      </c>
      <c r="AP554" s="1">
        <v>12.0</v>
      </c>
      <c r="AQ554" s="1">
        <v>1.0</v>
      </c>
    </row>
    <row r="555">
      <c r="A555" s="1"/>
      <c r="B555" s="1">
        <v>300.0</v>
      </c>
      <c r="C555" s="1" t="s">
        <v>5351</v>
      </c>
      <c r="D555" s="1" t="s">
        <v>5352</v>
      </c>
      <c r="E555" s="1" t="s">
        <v>3905</v>
      </c>
      <c r="F555" s="1" t="s">
        <v>58</v>
      </c>
      <c r="G555" s="2">
        <v>18186.0</v>
      </c>
      <c r="H555" s="1" t="s">
        <v>5353</v>
      </c>
      <c r="I555" s="1">
        <v>27.0</v>
      </c>
      <c r="J555" s="1" t="s">
        <v>2698</v>
      </c>
      <c r="K555" s="1">
        <v>5.0</v>
      </c>
      <c r="L555" s="2">
        <v>42907.0</v>
      </c>
      <c r="O555" s="1">
        <v>0.0</v>
      </c>
      <c r="P555" s="1" t="s">
        <v>75</v>
      </c>
      <c r="Q555" s="1" t="s">
        <v>76</v>
      </c>
      <c r="R555" s="3" t="s">
        <v>5354</v>
      </c>
      <c r="U555" s="1" t="s">
        <v>5355</v>
      </c>
      <c r="V555" s="1">
        <v>304.0</v>
      </c>
      <c r="W555" s="3" t="s">
        <v>5356</v>
      </c>
      <c r="X555" s="1">
        <v>719364.0</v>
      </c>
      <c r="Y555" s="1" t="s">
        <v>5357</v>
      </c>
      <c r="Z555" s="3" t="s">
        <v>5358</v>
      </c>
      <c r="AA555" s="3" t="s">
        <v>5359</v>
      </c>
      <c r="AB555" s="1">
        <v>1.0</v>
      </c>
      <c r="AD555" s="1">
        <v>11.0</v>
      </c>
      <c r="AE555" s="1">
        <f t="shared" si="5"/>
        <v>441</v>
      </c>
      <c r="AF555" s="1">
        <v>13.0</v>
      </c>
      <c r="AG555" s="1">
        <v>2.0</v>
      </c>
      <c r="AH555" s="1">
        <v>3.0</v>
      </c>
      <c r="AI555" s="1">
        <v>0.0</v>
      </c>
      <c r="AJ555" s="1">
        <v>0.0</v>
      </c>
      <c r="AK555" s="1">
        <v>56.0</v>
      </c>
      <c r="AL555" s="1">
        <v>13.0</v>
      </c>
      <c r="AM555" s="1">
        <v>0.0</v>
      </c>
      <c r="AN555" s="1">
        <v>0.0</v>
      </c>
      <c r="AO555" s="1">
        <v>6.0</v>
      </c>
      <c r="AP555" s="1">
        <v>29.0</v>
      </c>
      <c r="AQ555" s="1">
        <v>2.0</v>
      </c>
    </row>
    <row r="556">
      <c r="A556" s="5"/>
      <c r="B556" s="5">
        <v>470.0</v>
      </c>
      <c r="C556" s="5" t="s">
        <v>5360</v>
      </c>
      <c r="D556" s="5" t="s">
        <v>5361</v>
      </c>
      <c r="E556" s="5" t="s">
        <v>413</v>
      </c>
      <c r="F556" s="5" t="s">
        <v>43</v>
      </c>
      <c r="G556" s="6">
        <v>26162.0</v>
      </c>
      <c r="H556" s="5" t="s">
        <v>1291</v>
      </c>
      <c r="I556" s="5">
        <v>92.0</v>
      </c>
      <c r="J556" s="5" t="s">
        <v>781</v>
      </c>
      <c r="K556" s="5">
        <v>9.0</v>
      </c>
      <c r="L556" s="6">
        <v>42907.0</v>
      </c>
      <c r="M556" s="7"/>
      <c r="N556" s="7"/>
      <c r="O556" s="5">
        <v>0.0</v>
      </c>
      <c r="P556" s="5" t="s">
        <v>75</v>
      </c>
      <c r="Q556" s="5" t="s">
        <v>76</v>
      </c>
      <c r="R556" s="5" t="s">
        <v>5362</v>
      </c>
      <c r="S556" s="7"/>
      <c r="T556" s="7"/>
      <c r="U556" s="5" t="s">
        <v>4458</v>
      </c>
      <c r="V556" s="5">
        <v>381.0</v>
      </c>
      <c r="W556" s="8" t="s">
        <v>5363</v>
      </c>
      <c r="X556" s="5">
        <v>346876.0</v>
      </c>
      <c r="Y556" s="5" t="s">
        <v>5364</v>
      </c>
      <c r="Z556" s="8" t="s">
        <v>5365</v>
      </c>
      <c r="AA556" s="8" t="s">
        <v>5366</v>
      </c>
      <c r="AB556" s="5">
        <v>1.0</v>
      </c>
      <c r="AC556" s="5" t="s">
        <v>5367</v>
      </c>
      <c r="AD556" s="5">
        <v>11.0</v>
      </c>
      <c r="AE556" s="5">
        <f t="shared" si="5"/>
        <v>441</v>
      </c>
      <c r="AF556" s="5">
        <v>5.0</v>
      </c>
      <c r="AG556" s="5">
        <v>0.0</v>
      </c>
      <c r="AH556" s="5">
        <v>3.0</v>
      </c>
      <c r="AI556" s="5">
        <v>13.0</v>
      </c>
      <c r="AJ556" s="5">
        <v>0.0</v>
      </c>
      <c r="AK556" s="5">
        <v>189.0</v>
      </c>
      <c r="AL556" s="5">
        <v>11.0</v>
      </c>
      <c r="AM556" s="5">
        <v>0.0</v>
      </c>
      <c r="AN556" s="5">
        <v>0.0</v>
      </c>
      <c r="AO556" s="5">
        <v>9.0</v>
      </c>
      <c r="AP556" s="5">
        <v>7.0</v>
      </c>
      <c r="AQ556" s="5">
        <v>0.0</v>
      </c>
      <c r="AR556" s="7"/>
      <c r="AS556" s="7"/>
    </row>
    <row r="557">
      <c r="A557" s="1"/>
      <c r="B557" s="1">
        <v>91.0</v>
      </c>
      <c r="C557" s="1" t="s">
        <v>5368</v>
      </c>
      <c r="D557" s="1" t="s">
        <v>5369</v>
      </c>
      <c r="E557" s="1" t="s">
        <v>5370</v>
      </c>
      <c r="F557" s="1" t="s">
        <v>58</v>
      </c>
      <c r="G557" s="2">
        <v>29294.0</v>
      </c>
      <c r="H557" s="1" t="s">
        <v>370</v>
      </c>
      <c r="I557" s="1">
        <v>76.0</v>
      </c>
      <c r="J557" s="1" t="s">
        <v>371</v>
      </c>
      <c r="K557" s="1">
        <v>4.0</v>
      </c>
      <c r="L557" s="2">
        <v>42907.0</v>
      </c>
      <c r="O557" s="1">
        <v>0.0</v>
      </c>
      <c r="P557" s="1" t="s">
        <v>75</v>
      </c>
      <c r="Q557" s="1" t="s">
        <v>76</v>
      </c>
      <c r="R557" s="3" t="s">
        <v>5371</v>
      </c>
      <c r="U557" s="1" t="s">
        <v>78</v>
      </c>
      <c r="V557" s="1">
        <v>291.0</v>
      </c>
      <c r="W557" s="3" t="s">
        <v>5372</v>
      </c>
      <c r="X557" s="1">
        <v>722118.0</v>
      </c>
      <c r="Y557" s="1" t="s">
        <v>5373</v>
      </c>
      <c r="Z557" s="3" t="s">
        <v>5374</v>
      </c>
      <c r="AA557" s="3" t="s">
        <v>5375</v>
      </c>
      <c r="AB557" s="1">
        <v>1.0</v>
      </c>
      <c r="AC557" s="1" t="s">
        <v>5376</v>
      </c>
      <c r="AD557" s="1">
        <v>11.0</v>
      </c>
      <c r="AE557" s="1">
        <f t="shared" si="5"/>
        <v>441</v>
      </c>
      <c r="AF557" s="1">
        <v>16.0</v>
      </c>
      <c r="AG557" s="1">
        <v>2.0</v>
      </c>
      <c r="AH557" s="1">
        <v>15.0</v>
      </c>
      <c r="AI557" s="1">
        <v>8.0</v>
      </c>
      <c r="AJ557" s="1">
        <v>2.0</v>
      </c>
      <c r="AK557" s="1">
        <v>94.0</v>
      </c>
      <c r="AL557" s="1">
        <v>39.0</v>
      </c>
      <c r="AM557" s="1">
        <v>1.0</v>
      </c>
      <c r="AN557" s="1">
        <v>0.0</v>
      </c>
      <c r="AO557" s="1">
        <v>5.0</v>
      </c>
      <c r="AP557" s="1">
        <v>3.0</v>
      </c>
      <c r="AQ557" s="1">
        <v>0.0</v>
      </c>
    </row>
    <row r="558">
      <c r="A558" s="1"/>
      <c r="B558" s="1">
        <v>466.0</v>
      </c>
      <c r="C558" s="1" t="s">
        <v>5377</v>
      </c>
      <c r="D558" s="1" t="s">
        <v>5378</v>
      </c>
      <c r="E558" s="1" t="s">
        <v>5379</v>
      </c>
      <c r="F558" s="1" t="s">
        <v>43</v>
      </c>
      <c r="G558" s="2">
        <v>21632.0</v>
      </c>
      <c r="H558" s="1" t="s">
        <v>5380</v>
      </c>
      <c r="I558" s="1">
        <v>976.0</v>
      </c>
      <c r="J558" s="1" t="s">
        <v>5381</v>
      </c>
      <c r="K558" s="1">
        <v>2.0</v>
      </c>
      <c r="L558" s="2">
        <v>42907.0</v>
      </c>
      <c r="O558" s="1">
        <v>0.0</v>
      </c>
      <c r="P558" s="1" t="s">
        <v>61</v>
      </c>
      <c r="Q558" s="1" t="s">
        <v>62</v>
      </c>
      <c r="R558" s="1" t="s">
        <v>5382</v>
      </c>
      <c r="U558" s="1" t="s">
        <v>304</v>
      </c>
      <c r="V558" s="1">
        <v>98.0</v>
      </c>
      <c r="W558" s="3" t="s">
        <v>5383</v>
      </c>
      <c r="X558" s="1">
        <v>267901.0</v>
      </c>
      <c r="Y558" s="1" t="s">
        <v>5384</v>
      </c>
      <c r="Z558" s="3" t="s">
        <v>5385</v>
      </c>
      <c r="AA558" s="3" t="s">
        <v>5386</v>
      </c>
      <c r="AB558" s="1">
        <v>1.0</v>
      </c>
      <c r="AD558" s="1">
        <v>10.0</v>
      </c>
      <c r="AE558" s="1">
        <f t="shared" si="5"/>
        <v>442</v>
      </c>
      <c r="AF558" s="1">
        <v>15.0</v>
      </c>
      <c r="AG558" s="1">
        <v>10.0</v>
      </c>
      <c r="AH558" s="1">
        <v>20.0</v>
      </c>
      <c r="AI558" s="1">
        <v>2.0</v>
      </c>
      <c r="AJ558" s="1">
        <v>6.0</v>
      </c>
      <c r="AK558" s="1">
        <v>288.0</v>
      </c>
      <c r="AL558" s="1">
        <v>22.0</v>
      </c>
      <c r="AM558" s="1">
        <v>0.0</v>
      </c>
      <c r="AN558" s="1">
        <v>0.0</v>
      </c>
      <c r="AO558" s="1">
        <v>9.0</v>
      </c>
      <c r="AP558" s="1">
        <v>6.0</v>
      </c>
      <c r="AQ558" s="1">
        <v>2.0</v>
      </c>
    </row>
    <row r="559">
      <c r="A559" s="1"/>
      <c r="B559" s="1">
        <v>111.0</v>
      </c>
      <c r="C559" s="1" t="s">
        <v>5387</v>
      </c>
      <c r="D559" s="1" t="s">
        <v>5388</v>
      </c>
      <c r="E559" s="1" t="s">
        <v>5389</v>
      </c>
      <c r="F559" s="1" t="s">
        <v>58</v>
      </c>
      <c r="G559" s="2">
        <v>28569.0</v>
      </c>
      <c r="H559" s="1" t="s">
        <v>5390</v>
      </c>
      <c r="I559" s="1">
        <v>999.0</v>
      </c>
      <c r="J559" s="1" t="s">
        <v>256</v>
      </c>
      <c r="K559" s="1">
        <v>10.0</v>
      </c>
      <c r="L559" s="2">
        <v>42907.0</v>
      </c>
      <c r="O559" s="1">
        <v>0.0</v>
      </c>
      <c r="P559" s="1" t="s">
        <v>75</v>
      </c>
      <c r="Q559" s="1" t="s">
        <v>76</v>
      </c>
      <c r="R559" s="1" t="s">
        <v>5391</v>
      </c>
      <c r="U559" s="1" t="s">
        <v>2484</v>
      </c>
      <c r="V559" s="1">
        <v>555.0</v>
      </c>
      <c r="W559" s="3" t="s">
        <v>5392</v>
      </c>
      <c r="X559" s="1">
        <v>721004.0</v>
      </c>
      <c r="Y559" s="1" t="s">
        <v>5393</v>
      </c>
      <c r="Z559" s="3" t="s">
        <v>5394</v>
      </c>
      <c r="AA559" s="3" t="s">
        <v>5395</v>
      </c>
      <c r="AB559" s="1">
        <v>1.0</v>
      </c>
      <c r="AC559" s="1" t="s">
        <v>5396</v>
      </c>
      <c r="AD559" s="1">
        <v>10.0</v>
      </c>
      <c r="AE559" s="1">
        <f t="shared" si="5"/>
        <v>442</v>
      </c>
      <c r="AF559" s="1">
        <v>18.0</v>
      </c>
      <c r="AG559" s="1">
        <v>3.0</v>
      </c>
      <c r="AH559" s="1">
        <v>0.0</v>
      </c>
      <c r="AI559" s="1">
        <v>0.0</v>
      </c>
      <c r="AJ559" s="1">
        <v>3.0</v>
      </c>
      <c r="AK559" s="1">
        <v>34.0</v>
      </c>
      <c r="AL559" s="1">
        <v>11.0</v>
      </c>
      <c r="AM559" s="1">
        <v>0.0</v>
      </c>
      <c r="AN559" s="1">
        <v>0.0</v>
      </c>
      <c r="AO559" s="1">
        <v>5.0</v>
      </c>
      <c r="AP559" s="1">
        <v>4.0</v>
      </c>
      <c r="AQ559" s="1">
        <v>0.0</v>
      </c>
    </row>
    <row r="560">
      <c r="A560" s="1"/>
      <c r="B560" s="1">
        <v>204.0</v>
      </c>
      <c r="C560" s="1" t="s">
        <v>5397</v>
      </c>
      <c r="D560" s="1" t="s">
        <v>5398</v>
      </c>
      <c r="E560" s="1" t="s">
        <v>915</v>
      </c>
      <c r="F560" s="1" t="s">
        <v>43</v>
      </c>
      <c r="G560" s="2">
        <v>23665.0</v>
      </c>
      <c r="H560" s="1" t="s">
        <v>5325</v>
      </c>
      <c r="I560" s="1">
        <v>974.0</v>
      </c>
      <c r="J560" s="1" t="s">
        <v>2717</v>
      </c>
      <c r="K560" s="1">
        <v>4.0</v>
      </c>
      <c r="L560" s="2">
        <v>42907.0</v>
      </c>
      <c r="O560" s="1">
        <v>0.0</v>
      </c>
      <c r="P560" s="1" t="s">
        <v>61</v>
      </c>
      <c r="Q560" s="1" t="s">
        <v>62</v>
      </c>
      <c r="R560" s="1" t="s">
        <v>5399</v>
      </c>
      <c r="U560" s="1" t="s">
        <v>5400</v>
      </c>
      <c r="V560" s="1">
        <v>110.0</v>
      </c>
      <c r="W560" s="3" t="s">
        <v>5401</v>
      </c>
      <c r="X560" s="1">
        <v>721054.0</v>
      </c>
      <c r="Y560" s="1" t="s">
        <v>5402</v>
      </c>
      <c r="Z560" s="3" t="s">
        <v>5403</v>
      </c>
      <c r="AA560" s="3" t="s">
        <v>5404</v>
      </c>
      <c r="AB560" s="1">
        <v>2.0</v>
      </c>
      <c r="AC560" s="1" t="s">
        <v>5405</v>
      </c>
      <c r="AD560" s="1">
        <v>10.0</v>
      </c>
      <c r="AE560" s="1">
        <f t="shared" si="5"/>
        <v>442</v>
      </c>
      <c r="AF560" s="1">
        <v>26.0</v>
      </c>
      <c r="AG560" s="1">
        <v>13.0</v>
      </c>
      <c r="AH560" s="1">
        <v>23.0</v>
      </c>
      <c r="AI560" s="1">
        <v>1.0</v>
      </c>
      <c r="AJ560" s="1">
        <v>22.0</v>
      </c>
      <c r="AK560" s="1">
        <v>369.0</v>
      </c>
      <c r="AL560" s="1">
        <v>16.0</v>
      </c>
      <c r="AM560" s="1">
        <v>0.0</v>
      </c>
      <c r="AN560" s="1">
        <v>0.0</v>
      </c>
      <c r="AO560" s="1">
        <v>23.0</v>
      </c>
      <c r="AP560" s="1">
        <v>14.0</v>
      </c>
      <c r="AQ560" s="1">
        <v>3.0</v>
      </c>
    </row>
    <row r="561">
      <c r="A561" s="1"/>
      <c r="B561" s="1">
        <v>338.0</v>
      </c>
      <c r="C561" s="1" t="s">
        <v>5406</v>
      </c>
      <c r="D561" s="1" t="s">
        <v>1450</v>
      </c>
      <c r="E561" s="1" t="s">
        <v>413</v>
      </c>
      <c r="F561" s="1" t="s">
        <v>43</v>
      </c>
      <c r="G561" s="2">
        <v>28216.0</v>
      </c>
      <c r="H561" s="1" t="s">
        <v>1571</v>
      </c>
      <c r="I561" s="1">
        <v>974.0</v>
      </c>
      <c r="J561" s="1" t="s">
        <v>2717</v>
      </c>
      <c r="K561" s="1">
        <v>7.0</v>
      </c>
      <c r="L561" s="2">
        <v>42907.0</v>
      </c>
      <c r="O561" s="1">
        <v>0.0</v>
      </c>
      <c r="P561" s="1" t="s">
        <v>280</v>
      </c>
      <c r="Q561" s="1" t="s">
        <v>281</v>
      </c>
      <c r="R561" s="1" t="s">
        <v>5407</v>
      </c>
      <c r="U561" s="1" t="s">
        <v>5408</v>
      </c>
      <c r="V561" s="1">
        <v>258.0</v>
      </c>
      <c r="W561" s="3" t="s">
        <v>5409</v>
      </c>
      <c r="X561" s="1">
        <v>610733.0</v>
      </c>
      <c r="Y561" s="1" t="s">
        <v>5410</v>
      </c>
      <c r="Z561" s="3" t="s">
        <v>5411</v>
      </c>
      <c r="AA561" s="3" t="s">
        <v>5412</v>
      </c>
      <c r="AB561" s="1">
        <v>2.0</v>
      </c>
      <c r="AC561" s="1" t="s">
        <v>5413</v>
      </c>
      <c r="AD561" s="1">
        <v>10.0</v>
      </c>
      <c r="AE561" s="1">
        <f t="shared" si="5"/>
        <v>442</v>
      </c>
      <c r="AF561" s="1">
        <v>11.0</v>
      </c>
      <c r="AG561" s="1">
        <v>2.0</v>
      </c>
      <c r="AH561" s="1">
        <v>4.0</v>
      </c>
      <c r="AI561" s="1">
        <v>1.0</v>
      </c>
      <c r="AJ561" s="1">
        <v>0.0</v>
      </c>
      <c r="AK561" s="1">
        <v>231.0</v>
      </c>
      <c r="AL561" s="1">
        <v>26.0</v>
      </c>
      <c r="AM561" s="1">
        <v>0.0</v>
      </c>
      <c r="AN561" s="1">
        <v>0.0</v>
      </c>
      <c r="AO561" s="1">
        <v>5.0</v>
      </c>
      <c r="AP561" s="1">
        <v>0.0</v>
      </c>
      <c r="AQ561" s="1">
        <v>2.0</v>
      </c>
    </row>
    <row r="562">
      <c r="A562" s="1"/>
      <c r="B562" s="1">
        <v>536.0</v>
      </c>
      <c r="C562" s="1" t="s">
        <v>5414</v>
      </c>
      <c r="D562" s="1" t="s">
        <v>5415</v>
      </c>
      <c r="E562" s="1" t="s">
        <v>5416</v>
      </c>
      <c r="F562" s="1" t="s">
        <v>58</v>
      </c>
      <c r="G562" s="2">
        <v>27465.0</v>
      </c>
      <c r="H562" s="1" t="s">
        <v>5417</v>
      </c>
      <c r="I562" s="1">
        <v>971.0</v>
      </c>
      <c r="J562" s="1" t="s">
        <v>5240</v>
      </c>
      <c r="K562" s="1">
        <v>2.0</v>
      </c>
      <c r="L562" s="2">
        <v>42907.0</v>
      </c>
      <c r="O562" s="1">
        <v>0.0</v>
      </c>
      <c r="P562" s="1" t="s">
        <v>280</v>
      </c>
      <c r="Q562" s="1" t="s">
        <v>281</v>
      </c>
      <c r="R562" s="3" t="s">
        <v>5418</v>
      </c>
      <c r="U562" s="1" t="s">
        <v>429</v>
      </c>
      <c r="V562" s="1">
        <v>189.0</v>
      </c>
      <c r="W562" s="3" t="s">
        <v>5419</v>
      </c>
      <c r="X562" s="1">
        <v>720968.0</v>
      </c>
      <c r="Y562" s="1" t="s">
        <v>5420</v>
      </c>
      <c r="Z562" s="3" t="s">
        <v>5421</v>
      </c>
      <c r="AA562" s="3" t="s">
        <v>5422</v>
      </c>
      <c r="AB562" s="1">
        <v>1.0</v>
      </c>
      <c r="AD562" s="1">
        <v>9.0</v>
      </c>
      <c r="AE562" s="1">
        <f t="shared" si="5"/>
        <v>443</v>
      </c>
      <c r="AF562" s="1">
        <v>23.0</v>
      </c>
      <c r="AG562" s="1">
        <v>11.0</v>
      </c>
      <c r="AH562" s="1">
        <v>6.0</v>
      </c>
      <c r="AI562" s="1">
        <v>1.0</v>
      </c>
      <c r="AJ562" s="1">
        <v>0.0</v>
      </c>
      <c r="AK562" s="1">
        <v>292.0</v>
      </c>
      <c r="AL562" s="1">
        <v>30.0</v>
      </c>
      <c r="AM562" s="1">
        <v>0.0</v>
      </c>
      <c r="AN562" s="1">
        <v>0.0</v>
      </c>
      <c r="AO562" s="1">
        <v>5.0</v>
      </c>
      <c r="AP562" s="1">
        <v>3.0</v>
      </c>
      <c r="AQ562" s="1">
        <v>3.0</v>
      </c>
    </row>
    <row r="563">
      <c r="A563" s="1"/>
      <c r="B563" s="1">
        <v>241.0</v>
      </c>
      <c r="C563" s="1" t="s">
        <v>5423</v>
      </c>
      <c r="D563" s="1" t="s">
        <v>5424</v>
      </c>
      <c r="E563" s="1" t="s">
        <v>42</v>
      </c>
      <c r="F563" s="1" t="s">
        <v>43</v>
      </c>
      <c r="G563" s="2">
        <v>24848.0</v>
      </c>
      <c r="H563" s="1" t="s">
        <v>5425</v>
      </c>
      <c r="I563" s="1">
        <v>988.0</v>
      </c>
      <c r="J563" s="1" t="s">
        <v>5050</v>
      </c>
      <c r="K563" s="1">
        <v>1.0</v>
      </c>
      <c r="L563" s="2">
        <v>42907.0</v>
      </c>
      <c r="O563" s="1">
        <v>0.0</v>
      </c>
      <c r="P563" s="1" t="s">
        <v>46</v>
      </c>
      <c r="Q563" s="1" t="s">
        <v>5051</v>
      </c>
      <c r="U563" s="1" t="s">
        <v>118</v>
      </c>
      <c r="V563" s="1">
        <v>120.0</v>
      </c>
      <c r="W563" s="3" t="s">
        <v>5426</v>
      </c>
      <c r="X563" s="1">
        <v>721094.0</v>
      </c>
      <c r="Y563" s="1" t="s">
        <v>5427</v>
      </c>
      <c r="Z563" s="3" t="s">
        <v>5428</v>
      </c>
      <c r="AA563" s="3" t="s">
        <v>5429</v>
      </c>
      <c r="AB563" s="1">
        <v>1.0</v>
      </c>
      <c r="AD563" s="1">
        <v>9.0</v>
      </c>
      <c r="AE563" s="1">
        <f t="shared" si="5"/>
        <v>443</v>
      </c>
      <c r="AF563" s="1">
        <v>17.0</v>
      </c>
      <c r="AG563" s="1">
        <v>3.0</v>
      </c>
      <c r="AH563" s="1">
        <v>40.0</v>
      </c>
      <c r="AI563" s="1">
        <v>14.0</v>
      </c>
      <c r="AJ563" s="1">
        <v>15.0</v>
      </c>
      <c r="AK563" s="1">
        <v>471.0</v>
      </c>
      <c r="AL563" s="1">
        <v>33.0</v>
      </c>
      <c r="AM563" s="1">
        <v>0.0</v>
      </c>
      <c r="AN563" s="1">
        <v>0.0</v>
      </c>
      <c r="AO563" s="1">
        <v>6.0</v>
      </c>
      <c r="AP563" s="1">
        <v>3.0</v>
      </c>
      <c r="AQ563" s="1">
        <v>1.0</v>
      </c>
    </row>
    <row r="564">
      <c r="A564" s="1"/>
      <c r="B564" s="1">
        <v>455.0</v>
      </c>
      <c r="C564" s="1" t="s">
        <v>5430</v>
      </c>
      <c r="D564" s="1" t="s">
        <v>5431</v>
      </c>
      <c r="E564" s="1" t="s">
        <v>5432</v>
      </c>
      <c r="F564" s="1" t="s">
        <v>43</v>
      </c>
      <c r="G564" s="2">
        <v>20509.0</v>
      </c>
      <c r="H564" s="1" t="s">
        <v>5433</v>
      </c>
      <c r="I564" s="1">
        <v>971.0</v>
      </c>
      <c r="J564" s="1" t="s">
        <v>5240</v>
      </c>
      <c r="K564" s="1">
        <v>3.0</v>
      </c>
      <c r="L564" s="2">
        <v>42907.0</v>
      </c>
      <c r="O564" s="1">
        <v>0.0</v>
      </c>
      <c r="P564" s="1" t="s">
        <v>280</v>
      </c>
      <c r="Q564" s="1" t="s">
        <v>281</v>
      </c>
      <c r="R564" s="3" t="s">
        <v>5434</v>
      </c>
      <c r="U564" s="1" t="s">
        <v>5435</v>
      </c>
      <c r="V564" s="1">
        <v>188.0</v>
      </c>
      <c r="W564" s="3" t="s">
        <v>5436</v>
      </c>
      <c r="X564" s="1">
        <v>720976.0</v>
      </c>
      <c r="Y564" s="1" t="s">
        <v>5437</v>
      </c>
      <c r="Z564" s="3" t="s">
        <v>5438</v>
      </c>
      <c r="AA564" s="3" t="s">
        <v>5439</v>
      </c>
      <c r="AB564" s="1">
        <v>1.0</v>
      </c>
      <c r="AC564" s="1" t="s">
        <v>5440</v>
      </c>
      <c r="AD564" s="1">
        <v>9.0</v>
      </c>
      <c r="AE564" s="1">
        <f t="shared" si="5"/>
        <v>443</v>
      </c>
      <c r="AF564" s="1">
        <v>22.0</v>
      </c>
      <c r="AG564" s="1">
        <v>13.0</v>
      </c>
      <c r="AH564" s="1">
        <v>8.0</v>
      </c>
      <c r="AI564" s="1">
        <v>1.0</v>
      </c>
      <c r="AJ564" s="1">
        <v>6.0</v>
      </c>
      <c r="AK564" s="1">
        <v>220.0</v>
      </c>
      <c r="AL564" s="1">
        <v>21.0</v>
      </c>
      <c r="AM564" s="1">
        <v>0.0</v>
      </c>
      <c r="AN564" s="1">
        <v>0.0</v>
      </c>
      <c r="AO564" s="1">
        <v>6.0</v>
      </c>
      <c r="AP564" s="1">
        <v>8.0</v>
      </c>
      <c r="AQ564" s="1">
        <v>2.0</v>
      </c>
    </row>
    <row r="565">
      <c r="A565" s="1"/>
      <c r="B565" s="1">
        <v>464.0</v>
      </c>
      <c r="C565" s="1" t="s">
        <v>5441</v>
      </c>
      <c r="D565" s="1" t="s">
        <v>5442</v>
      </c>
      <c r="E565" s="1" t="s">
        <v>1902</v>
      </c>
      <c r="F565" s="1" t="s">
        <v>58</v>
      </c>
      <c r="G565" s="2">
        <v>26466.0</v>
      </c>
      <c r="H565" s="1" t="s">
        <v>5443</v>
      </c>
      <c r="I565" s="1">
        <v>987.0</v>
      </c>
      <c r="J565" s="1" t="s">
        <v>5140</v>
      </c>
      <c r="K565" s="1">
        <v>2.0</v>
      </c>
      <c r="L565" s="2">
        <v>42907.0</v>
      </c>
      <c r="O565" s="1">
        <v>0.0</v>
      </c>
      <c r="P565" s="1" t="s">
        <v>46</v>
      </c>
      <c r="Q565" s="1" t="s">
        <v>5141</v>
      </c>
      <c r="R565" s="3" t="s">
        <v>5444</v>
      </c>
      <c r="U565" s="1" t="s">
        <v>269</v>
      </c>
      <c r="V565" s="1">
        <v>145.0</v>
      </c>
      <c r="W565" s="3" t="s">
        <v>5445</v>
      </c>
      <c r="X565" s="1">
        <v>721110.0</v>
      </c>
      <c r="Y565" s="1" t="s">
        <v>5446</v>
      </c>
      <c r="Z565" s="3" t="s">
        <v>5447</v>
      </c>
      <c r="AA565" s="3" t="s">
        <v>5448</v>
      </c>
      <c r="AB565" s="1">
        <v>1.0</v>
      </c>
      <c r="AD565" s="1">
        <v>9.0</v>
      </c>
      <c r="AE565" s="1">
        <f t="shared" si="5"/>
        <v>443</v>
      </c>
      <c r="AF565" s="1">
        <v>10.0</v>
      </c>
      <c r="AG565" s="1">
        <v>3.0</v>
      </c>
      <c r="AH565" s="1">
        <v>21.0</v>
      </c>
      <c r="AI565" s="1">
        <v>13.0</v>
      </c>
      <c r="AJ565" s="1">
        <v>4.0</v>
      </c>
      <c r="AK565" s="1">
        <v>462.0</v>
      </c>
      <c r="AL565" s="1">
        <v>30.0</v>
      </c>
      <c r="AM565" s="1">
        <v>0.0</v>
      </c>
      <c r="AN565" s="1">
        <v>0.0</v>
      </c>
      <c r="AO565" s="1">
        <v>5.0</v>
      </c>
      <c r="AP565" s="1">
        <v>2.0</v>
      </c>
      <c r="AQ565" s="1">
        <v>1.0</v>
      </c>
    </row>
    <row r="566">
      <c r="A566" s="1"/>
      <c r="B566" s="1">
        <v>511.0</v>
      </c>
      <c r="C566" s="1" t="s">
        <v>5449</v>
      </c>
      <c r="D566" s="1" t="s">
        <v>5450</v>
      </c>
      <c r="E566" s="1" t="s">
        <v>2119</v>
      </c>
      <c r="F566" s="1" t="s">
        <v>58</v>
      </c>
      <c r="G566" s="2">
        <v>18499.0</v>
      </c>
      <c r="H566" s="1" t="s">
        <v>5451</v>
      </c>
      <c r="I566" s="1">
        <v>974.0</v>
      </c>
      <c r="J566" s="1" t="s">
        <v>2717</v>
      </c>
      <c r="K566" s="1">
        <v>2.0</v>
      </c>
      <c r="L566" s="2">
        <v>42907.0</v>
      </c>
      <c r="O566" s="1">
        <v>0.0</v>
      </c>
      <c r="P566" s="1" t="s">
        <v>101</v>
      </c>
      <c r="Q566" s="1" t="s">
        <v>102</v>
      </c>
      <c r="R566" s="1" t="s">
        <v>5452</v>
      </c>
      <c r="U566" s="1" t="s">
        <v>5453</v>
      </c>
      <c r="V566" s="1">
        <v>594.0</v>
      </c>
      <c r="W566" s="3" t="s">
        <v>5454</v>
      </c>
      <c r="X566" s="1">
        <v>441.0</v>
      </c>
      <c r="Y566" s="1" t="s">
        <v>5455</v>
      </c>
      <c r="Z566" s="3" t="s">
        <v>5456</v>
      </c>
      <c r="AA566" s="3" t="s">
        <v>5457</v>
      </c>
      <c r="AB566" s="1">
        <v>1.0</v>
      </c>
      <c r="AC566" s="1" t="s">
        <v>5458</v>
      </c>
      <c r="AD566" s="1">
        <v>8.0</v>
      </c>
      <c r="AE566" s="1">
        <f t="shared" si="5"/>
        <v>444</v>
      </c>
      <c r="AF566" s="1">
        <v>8.0</v>
      </c>
      <c r="AG566" s="1">
        <v>8.0</v>
      </c>
      <c r="AH566" s="1">
        <v>22.0</v>
      </c>
      <c r="AI566" s="1">
        <v>10.0</v>
      </c>
      <c r="AJ566" s="1">
        <v>15.0</v>
      </c>
      <c r="AK566" s="1">
        <v>657.0</v>
      </c>
      <c r="AL566" s="1">
        <v>28.0</v>
      </c>
      <c r="AM566" s="1">
        <v>1.0</v>
      </c>
      <c r="AN566" s="1">
        <v>1.0</v>
      </c>
      <c r="AO566" s="1">
        <v>10.0</v>
      </c>
      <c r="AP566" s="1">
        <v>18.0</v>
      </c>
      <c r="AQ566" s="1">
        <v>2.0</v>
      </c>
    </row>
    <row r="567">
      <c r="A567" s="1"/>
      <c r="B567" s="1">
        <v>14.0</v>
      </c>
      <c r="C567" s="1" t="s">
        <v>5459</v>
      </c>
      <c r="D567" s="1" t="s">
        <v>5460</v>
      </c>
      <c r="E567" s="1" t="s">
        <v>905</v>
      </c>
      <c r="F567" s="1" t="s">
        <v>43</v>
      </c>
      <c r="G567" s="2">
        <v>18780.0</v>
      </c>
      <c r="H567" s="1" t="s">
        <v>695</v>
      </c>
      <c r="I567" s="1">
        <v>60.0</v>
      </c>
      <c r="J567" s="1" t="s">
        <v>769</v>
      </c>
      <c r="K567" s="1">
        <v>1.0</v>
      </c>
      <c r="L567" s="2">
        <v>42907.0</v>
      </c>
      <c r="O567" s="1">
        <v>0.0</v>
      </c>
      <c r="P567" s="1" t="s">
        <v>61</v>
      </c>
      <c r="Q567" s="1" t="s">
        <v>62</v>
      </c>
      <c r="R567" s="1" t="s">
        <v>5461</v>
      </c>
      <c r="U567" s="1" t="s">
        <v>5462</v>
      </c>
      <c r="V567" s="1">
        <v>100.0</v>
      </c>
      <c r="W567" s="3" t="s">
        <v>5463</v>
      </c>
      <c r="X567" s="1">
        <v>998.0</v>
      </c>
      <c r="Y567" s="1" t="s">
        <v>5464</v>
      </c>
      <c r="Z567" s="3" t="s">
        <v>5465</v>
      </c>
      <c r="AA567" s="3" t="s">
        <v>5466</v>
      </c>
      <c r="AB567" s="1">
        <v>1.0</v>
      </c>
      <c r="AC567" s="1" t="s">
        <v>5467</v>
      </c>
      <c r="AD567" s="1">
        <v>8.0</v>
      </c>
      <c r="AE567" s="1">
        <f t="shared" si="5"/>
        <v>444</v>
      </c>
      <c r="AF567" s="1">
        <v>9.0</v>
      </c>
      <c r="AG567" s="1">
        <v>1.0</v>
      </c>
      <c r="AH567" s="1">
        <v>4.0</v>
      </c>
      <c r="AI567" s="1">
        <v>2.0</v>
      </c>
      <c r="AJ567" s="1">
        <v>0.0</v>
      </c>
      <c r="AK567" s="1">
        <v>423.0</v>
      </c>
      <c r="AL567" s="1">
        <v>17.0</v>
      </c>
      <c r="AM567" s="1">
        <v>0.0</v>
      </c>
      <c r="AN567" s="1">
        <v>3.0</v>
      </c>
      <c r="AO567" s="1">
        <v>43.0</v>
      </c>
      <c r="AP567" s="1">
        <v>33.0</v>
      </c>
      <c r="AQ567" s="1">
        <v>1.0</v>
      </c>
    </row>
    <row r="568">
      <c r="A568" s="1"/>
      <c r="B568" s="1">
        <v>513.0</v>
      </c>
      <c r="C568" s="1" t="s">
        <v>5468</v>
      </c>
      <c r="D568" s="1" t="s">
        <v>5469</v>
      </c>
      <c r="E568" s="1" t="s">
        <v>4644</v>
      </c>
      <c r="F568" s="1" t="s">
        <v>43</v>
      </c>
      <c r="G568" s="2">
        <v>23877.0</v>
      </c>
      <c r="H568" s="1" t="s">
        <v>5470</v>
      </c>
      <c r="I568" s="1">
        <v>972.0</v>
      </c>
      <c r="J568" s="1" t="s">
        <v>5111</v>
      </c>
      <c r="K568" s="1">
        <v>4.0</v>
      </c>
      <c r="L568" s="2">
        <v>42907.0</v>
      </c>
      <c r="O568" s="1">
        <v>0.0</v>
      </c>
      <c r="P568" s="1" t="s">
        <v>101</v>
      </c>
      <c r="Q568" s="1" t="s">
        <v>5471</v>
      </c>
      <c r="U568" s="1" t="s">
        <v>482</v>
      </c>
      <c r="V568" s="1">
        <v>595.0</v>
      </c>
      <c r="W568" s="3" t="s">
        <v>5472</v>
      </c>
      <c r="X568" s="1">
        <v>610654.0</v>
      </c>
      <c r="Y568" s="1" t="s">
        <v>5473</v>
      </c>
      <c r="Z568" s="3" t="s">
        <v>5474</v>
      </c>
      <c r="AA568" s="3" t="s">
        <v>5475</v>
      </c>
      <c r="AB568" s="1">
        <v>1.0</v>
      </c>
      <c r="AD568" s="1">
        <v>8.0</v>
      </c>
      <c r="AE568" s="1">
        <f t="shared" si="5"/>
        <v>444</v>
      </c>
      <c r="AF568" s="1">
        <v>8.0</v>
      </c>
      <c r="AG568" s="1">
        <v>12.0</v>
      </c>
      <c r="AH568" s="1">
        <v>45.0</v>
      </c>
      <c r="AI568" s="1">
        <v>13.0</v>
      </c>
      <c r="AJ568" s="1">
        <v>42.0</v>
      </c>
      <c r="AK568" s="1">
        <v>675.0</v>
      </c>
      <c r="AL568" s="1">
        <v>27.0</v>
      </c>
      <c r="AM568" s="1">
        <v>0.0</v>
      </c>
      <c r="AN568" s="1">
        <v>0.0</v>
      </c>
      <c r="AO568" s="1">
        <v>11.0</v>
      </c>
      <c r="AP568" s="1">
        <v>1.0</v>
      </c>
      <c r="AQ568" s="1">
        <v>1.0</v>
      </c>
    </row>
    <row r="569">
      <c r="A569" s="1"/>
      <c r="B569" s="1">
        <v>582.0</v>
      </c>
      <c r="C569" s="1" t="s">
        <v>5476</v>
      </c>
      <c r="D569" s="1" t="s">
        <v>5477</v>
      </c>
      <c r="E569" s="1" t="s">
        <v>1540</v>
      </c>
      <c r="F569" s="1" t="s">
        <v>43</v>
      </c>
      <c r="G569" s="2">
        <v>23551.0</v>
      </c>
      <c r="H569" s="1" t="s">
        <v>5478</v>
      </c>
      <c r="I569" s="1">
        <v>975.0</v>
      </c>
      <c r="J569" s="1" t="s">
        <v>5479</v>
      </c>
      <c r="K569" s="1">
        <v>1.0</v>
      </c>
      <c r="L569" s="2">
        <v>42938.0</v>
      </c>
      <c r="O569" s="1">
        <v>0.0</v>
      </c>
      <c r="P569" s="1" t="s">
        <v>75</v>
      </c>
      <c r="Q569" s="1" t="s">
        <v>5480</v>
      </c>
      <c r="R569" s="1" t="s">
        <v>5481</v>
      </c>
      <c r="U569" s="1" t="s">
        <v>5482</v>
      </c>
      <c r="V569" s="1">
        <v>599.0</v>
      </c>
      <c r="W569" s="3" t="s">
        <v>5483</v>
      </c>
      <c r="X569" s="1">
        <v>702054.0</v>
      </c>
      <c r="Y569" s="1" t="s">
        <v>5484</v>
      </c>
      <c r="Z569" s="3" t="s">
        <v>5485</v>
      </c>
      <c r="AA569" s="3" t="s">
        <v>5486</v>
      </c>
      <c r="AB569" s="1">
        <v>1.0</v>
      </c>
      <c r="AC569" s="1" t="s">
        <v>5487</v>
      </c>
      <c r="AD569" s="1">
        <v>7.0</v>
      </c>
      <c r="AE569" s="1">
        <f t="shared" si="5"/>
        <v>440</v>
      </c>
      <c r="AF569" s="1">
        <v>18.0</v>
      </c>
      <c r="AG569" s="1">
        <v>7.0</v>
      </c>
      <c r="AH569" s="1">
        <v>6.0</v>
      </c>
      <c r="AI569" s="1">
        <v>0.0</v>
      </c>
      <c r="AJ569" s="1">
        <v>0.0</v>
      </c>
      <c r="AK569" s="1">
        <v>67.0</v>
      </c>
      <c r="AL569" s="1">
        <v>18.0</v>
      </c>
      <c r="AM569" s="1">
        <v>0.0</v>
      </c>
      <c r="AN569" s="1">
        <v>0.0</v>
      </c>
      <c r="AO569" s="1">
        <v>6.0</v>
      </c>
      <c r="AP569" s="1">
        <v>1.0</v>
      </c>
      <c r="AQ569" s="1">
        <v>0.0</v>
      </c>
    </row>
    <row r="570">
      <c r="A570" s="1"/>
      <c r="B570" s="1">
        <v>61.0</v>
      </c>
      <c r="C570" s="1" t="s">
        <v>5488</v>
      </c>
      <c r="D570" s="1" t="s">
        <v>5489</v>
      </c>
      <c r="E570" s="1" t="s">
        <v>619</v>
      </c>
      <c r="F570" s="1" t="s">
        <v>58</v>
      </c>
      <c r="G570" s="2">
        <v>22932.0</v>
      </c>
      <c r="H570" s="1" t="s">
        <v>5490</v>
      </c>
      <c r="I570" s="1">
        <v>6.0</v>
      </c>
      <c r="J570" s="1" t="s">
        <v>438</v>
      </c>
      <c r="K570" s="1">
        <v>9.0</v>
      </c>
      <c r="L570" s="2">
        <v>42907.0</v>
      </c>
      <c r="O570" s="1">
        <v>0.0</v>
      </c>
      <c r="P570" s="1" t="s">
        <v>61</v>
      </c>
      <c r="Q570" s="1" t="s">
        <v>62</v>
      </c>
      <c r="R570" s="1" t="s">
        <v>5491</v>
      </c>
      <c r="U570" s="1" t="s">
        <v>2484</v>
      </c>
      <c r="V570" s="1">
        <v>85.0</v>
      </c>
      <c r="W570" s="3" t="s">
        <v>5492</v>
      </c>
      <c r="X570" s="1">
        <v>267794.0</v>
      </c>
      <c r="Y570" s="1" t="s">
        <v>5493</v>
      </c>
      <c r="Z570" s="3" t="s">
        <v>5494</v>
      </c>
      <c r="AA570" s="3" t="s">
        <v>5495</v>
      </c>
      <c r="AB570" s="1">
        <v>1.0</v>
      </c>
      <c r="AC570" s="1" t="s">
        <v>5496</v>
      </c>
      <c r="AD570" s="1">
        <v>7.0</v>
      </c>
      <c r="AE570" s="1">
        <f t="shared" si="5"/>
        <v>445</v>
      </c>
      <c r="AF570" s="1">
        <v>8.0</v>
      </c>
      <c r="AG570" s="1">
        <v>0.0</v>
      </c>
      <c r="AH570" s="1">
        <v>0.0</v>
      </c>
      <c r="AI570" s="1">
        <v>0.0</v>
      </c>
      <c r="AJ570" s="1">
        <v>1.0</v>
      </c>
      <c r="AK570" s="1">
        <v>346.0</v>
      </c>
      <c r="AL570" s="1">
        <v>18.0</v>
      </c>
      <c r="AM570" s="1">
        <v>0.0</v>
      </c>
      <c r="AN570" s="1">
        <v>1.0</v>
      </c>
      <c r="AO570" s="1">
        <v>23.0</v>
      </c>
      <c r="AP570" s="1">
        <v>13.0</v>
      </c>
      <c r="AQ570" s="1">
        <v>0.0</v>
      </c>
    </row>
    <row r="571">
      <c r="A571" s="1"/>
      <c r="B571" s="1">
        <v>240.0</v>
      </c>
      <c r="C571" s="1" t="s">
        <v>5497</v>
      </c>
      <c r="D571" s="1" t="s">
        <v>5498</v>
      </c>
      <c r="E571" s="1" t="s">
        <v>1361</v>
      </c>
      <c r="F571" s="1" t="s">
        <v>43</v>
      </c>
      <c r="G571" s="2">
        <v>14036.0</v>
      </c>
      <c r="H571" s="1" t="s">
        <v>437</v>
      </c>
      <c r="I571" s="1">
        <v>6.0</v>
      </c>
      <c r="J571" s="1" t="s">
        <v>438</v>
      </c>
      <c r="K571" s="1">
        <v>8.0</v>
      </c>
      <c r="L571" s="2">
        <v>42907.0</v>
      </c>
      <c r="O571" s="1">
        <v>0.0</v>
      </c>
      <c r="P571" s="1" t="s">
        <v>61</v>
      </c>
      <c r="Q571" s="1" t="s">
        <v>62</v>
      </c>
      <c r="U571" s="1" t="s">
        <v>5499</v>
      </c>
      <c r="V571" s="1">
        <v>83.0</v>
      </c>
      <c r="W571" s="3" t="s">
        <v>5500</v>
      </c>
      <c r="X571" s="1">
        <v>223837.0</v>
      </c>
      <c r="Y571" s="1" t="s">
        <v>5501</v>
      </c>
      <c r="Z571" s="3" t="s">
        <v>5502</v>
      </c>
      <c r="AA571" s="3" t="s">
        <v>5503</v>
      </c>
      <c r="AB571" s="1">
        <v>1.0</v>
      </c>
      <c r="AD571" s="1">
        <v>5.0</v>
      </c>
      <c r="AE571" s="1">
        <f t="shared" si="5"/>
        <v>447</v>
      </c>
      <c r="AF571" s="1">
        <v>5.0</v>
      </c>
      <c r="AG571" s="1">
        <v>0.0</v>
      </c>
      <c r="AH571" s="1">
        <v>11.0</v>
      </c>
      <c r="AI571" s="1">
        <v>8.0</v>
      </c>
      <c r="AJ571" s="1">
        <v>0.0</v>
      </c>
      <c r="AK571" s="1">
        <v>582.0</v>
      </c>
      <c r="AL571" s="1">
        <v>32.0</v>
      </c>
      <c r="AM571" s="1">
        <v>0.0</v>
      </c>
      <c r="AN571" s="1">
        <v>2.0</v>
      </c>
      <c r="AO571" s="1">
        <v>61.0</v>
      </c>
      <c r="AP571" s="1">
        <v>13.0</v>
      </c>
      <c r="AQ571" s="1">
        <v>0.0</v>
      </c>
    </row>
    <row r="572">
      <c r="A572" s="1"/>
      <c r="B572" s="1">
        <v>211.0</v>
      </c>
      <c r="C572" s="1" t="s">
        <v>5504</v>
      </c>
      <c r="D572" s="1" t="s">
        <v>5505</v>
      </c>
      <c r="E572" s="1" t="s">
        <v>4983</v>
      </c>
      <c r="F572" s="1" t="s">
        <v>43</v>
      </c>
      <c r="G572" s="2">
        <v>23650.0</v>
      </c>
      <c r="H572" s="1" t="s">
        <v>1095</v>
      </c>
      <c r="I572" s="1">
        <v>91.0</v>
      </c>
      <c r="J572" s="1" t="s">
        <v>610</v>
      </c>
      <c r="K572" s="1">
        <v>2.0</v>
      </c>
      <c r="L572" s="2">
        <v>42907.0</v>
      </c>
      <c r="O572" s="1">
        <v>0.0</v>
      </c>
      <c r="P572" s="1" t="s">
        <v>61</v>
      </c>
      <c r="Q572" s="1" t="s">
        <v>62</v>
      </c>
      <c r="R572" s="1" t="s">
        <v>5506</v>
      </c>
      <c r="U572" s="1" t="s">
        <v>5507</v>
      </c>
      <c r="V572" s="1">
        <v>7.0</v>
      </c>
      <c r="W572" s="3" t="s">
        <v>5508</v>
      </c>
      <c r="X572" s="1">
        <v>2086.0</v>
      </c>
      <c r="Y572" s="1" t="s">
        <v>5509</v>
      </c>
      <c r="Z572" s="3" t="s">
        <v>5510</v>
      </c>
      <c r="AA572" s="3" t="s">
        <v>5511</v>
      </c>
      <c r="AB572" s="1">
        <v>1.0</v>
      </c>
      <c r="AC572" s="1" t="s">
        <v>5512</v>
      </c>
      <c r="AD572" s="1">
        <v>5.0</v>
      </c>
      <c r="AE572" s="1">
        <f t="shared" si="5"/>
        <v>447</v>
      </c>
      <c r="AF572" s="1">
        <v>2.0</v>
      </c>
      <c r="AG572" s="1">
        <v>0.0</v>
      </c>
      <c r="AH572" s="1">
        <v>1.0</v>
      </c>
      <c r="AI572" s="1">
        <v>7.0</v>
      </c>
      <c r="AJ572" s="1">
        <v>8.0</v>
      </c>
      <c r="AK572" s="1">
        <v>812.0</v>
      </c>
      <c r="AL572" s="1">
        <v>32.0</v>
      </c>
      <c r="AM572" s="1">
        <v>0.0</v>
      </c>
      <c r="AN572" s="1">
        <v>0.0</v>
      </c>
      <c r="AO572" s="1">
        <v>36.0</v>
      </c>
      <c r="AP572" s="1">
        <v>28.0</v>
      </c>
      <c r="AQ572" s="1">
        <v>1.0</v>
      </c>
    </row>
    <row r="573">
      <c r="A573" s="1"/>
      <c r="B573" s="1">
        <v>405.0</v>
      </c>
      <c r="C573" s="1" t="s">
        <v>5513</v>
      </c>
      <c r="D573" s="1" t="s">
        <v>5514</v>
      </c>
      <c r="E573" s="1" t="s">
        <v>5515</v>
      </c>
      <c r="F573" s="1" t="s">
        <v>43</v>
      </c>
      <c r="G573" s="2">
        <v>22484.0</v>
      </c>
      <c r="H573" s="1" t="s">
        <v>5516</v>
      </c>
      <c r="I573" s="1">
        <v>972.0</v>
      </c>
      <c r="J573" s="1" t="s">
        <v>5111</v>
      </c>
      <c r="K573" s="1">
        <v>2.0</v>
      </c>
      <c r="L573" s="2">
        <v>42907.0</v>
      </c>
      <c r="O573" s="1">
        <v>0.0</v>
      </c>
      <c r="P573" s="1" t="s">
        <v>101</v>
      </c>
      <c r="Q573" s="1" t="s">
        <v>102</v>
      </c>
      <c r="R573" s="1" t="s">
        <v>5517</v>
      </c>
      <c r="U573" s="1" t="s">
        <v>1465</v>
      </c>
      <c r="V573" s="1">
        <v>596.0</v>
      </c>
      <c r="W573" s="3" t="s">
        <v>5518</v>
      </c>
      <c r="X573" s="1">
        <v>610634.0</v>
      </c>
      <c r="Y573" s="1" t="s">
        <v>5519</v>
      </c>
      <c r="Z573" s="3" t="s">
        <v>5520</v>
      </c>
      <c r="AA573" s="3" t="s">
        <v>5521</v>
      </c>
      <c r="AB573" s="1">
        <v>1.0</v>
      </c>
      <c r="AC573" s="1" t="s">
        <v>5522</v>
      </c>
      <c r="AD573" s="1">
        <v>3.0</v>
      </c>
      <c r="AE573" s="1">
        <f t="shared" si="5"/>
        <v>449</v>
      </c>
      <c r="AF573" s="1">
        <v>4.0</v>
      </c>
      <c r="AG573" s="1">
        <v>0.0</v>
      </c>
      <c r="AH573" s="1">
        <v>0.0</v>
      </c>
      <c r="AI573" s="1">
        <v>0.0</v>
      </c>
      <c r="AJ573" s="1">
        <v>0.0</v>
      </c>
      <c r="AK573" s="1">
        <v>666.0</v>
      </c>
      <c r="AL573" s="1">
        <v>33.0</v>
      </c>
      <c r="AM573" s="1">
        <v>0.0</v>
      </c>
      <c r="AN573" s="1">
        <v>0.0</v>
      </c>
      <c r="AO573" s="1">
        <v>9.0</v>
      </c>
      <c r="AP573" s="1">
        <v>17.0</v>
      </c>
      <c r="AQ573" s="1">
        <v>0.0</v>
      </c>
    </row>
    <row r="574">
      <c r="A574" s="1"/>
      <c r="B574" s="1">
        <v>587.0</v>
      </c>
      <c r="C574" s="1" t="s">
        <v>5523</v>
      </c>
      <c r="D574" s="1" t="s">
        <v>5524</v>
      </c>
      <c r="E574" s="1" t="s">
        <v>619</v>
      </c>
      <c r="F574" s="1" t="s">
        <v>58</v>
      </c>
      <c r="G574" s="2">
        <v>21486.0</v>
      </c>
      <c r="H574" s="1">
        <v>0.0</v>
      </c>
      <c r="I574" s="1">
        <v>7.0</v>
      </c>
      <c r="J574" s="1" t="s">
        <v>2269</v>
      </c>
      <c r="K574" s="1">
        <v>2.0</v>
      </c>
      <c r="L574" s="2">
        <v>43094.0</v>
      </c>
      <c r="O574" s="1">
        <v>0.0</v>
      </c>
      <c r="P574" s="1" t="s">
        <v>115</v>
      </c>
      <c r="U574" s="1" t="s">
        <v>5525</v>
      </c>
      <c r="V574" s="1">
        <v>512.0</v>
      </c>
      <c r="W574" s="3" t="s">
        <v>5526</v>
      </c>
      <c r="X574" s="1">
        <v>340357.0</v>
      </c>
      <c r="Y574" s="1" t="s">
        <v>5527</v>
      </c>
      <c r="Z574" s="3" t="s">
        <v>5528</v>
      </c>
      <c r="AA574" s="3" t="s">
        <v>5529</v>
      </c>
      <c r="AB574" s="1">
        <v>1.0</v>
      </c>
      <c r="AD574" s="1">
        <v>3.0</v>
      </c>
      <c r="AE574" s="1">
        <f t="shared" si="5"/>
        <v>422</v>
      </c>
      <c r="AF574" s="1">
        <v>3.0</v>
      </c>
      <c r="AG574" s="1">
        <v>2.0</v>
      </c>
      <c r="AH574" s="1">
        <v>2.0</v>
      </c>
      <c r="AI574" s="1">
        <v>0.0</v>
      </c>
      <c r="AJ574" s="1">
        <v>0.0</v>
      </c>
      <c r="AK574" s="1">
        <v>27.0</v>
      </c>
      <c r="AL574" s="1">
        <v>1.0</v>
      </c>
      <c r="AM574" s="1">
        <v>0.0</v>
      </c>
      <c r="AN574" s="1">
        <v>0.0</v>
      </c>
      <c r="AO574" s="1">
        <v>1.0</v>
      </c>
      <c r="AP574" s="1">
        <v>0.0</v>
      </c>
      <c r="AQ574" s="1">
        <v>2.0</v>
      </c>
    </row>
    <row r="575">
      <c r="A575" s="1"/>
      <c r="B575" s="1">
        <v>109.0</v>
      </c>
      <c r="C575" s="1" t="s">
        <v>5530</v>
      </c>
      <c r="D575" s="1" t="s">
        <v>5531</v>
      </c>
      <c r="E575" s="1" t="s">
        <v>5532</v>
      </c>
      <c r="F575" s="1" t="s">
        <v>43</v>
      </c>
      <c r="G575" s="2">
        <v>32268.0</v>
      </c>
      <c r="H575" s="1" t="s">
        <v>3993</v>
      </c>
      <c r="I575" s="1">
        <v>90.0</v>
      </c>
      <c r="J575" s="1" t="s">
        <v>3994</v>
      </c>
      <c r="K575" s="1">
        <v>1.0</v>
      </c>
      <c r="L575" s="2">
        <v>43136.0</v>
      </c>
      <c r="O575" s="1">
        <v>0.0</v>
      </c>
      <c r="P575" s="1" t="s">
        <v>61</v>
      </c>
      <c r="Q575" s="1" t="s">
        <v>62</v>
      </c>
      <c r="R575" s="1" t="s">
        <v>5533</v>
      </c>
      <c r="U575" s="1" t="s">
        <v>162</v>
      </c>
      <c r="V575" s="1">
        <v>39.0</v>
      </c>
      <c r="W575" s="3" t="s">
        <v>5534</v>
      </c>
      <c r="X575" s="1">
        <v>721816.0</v>
      </c>
      <c r="Y575" s="1" t="s">
        <v>5535</v>
      </c>
      <c r="Z575" s="3" t="s">
        <v>5536</v>
      </c>
      <c r="AA575" s="3" t="s">
        <v>5537</v>
      </c>
      <c r="AB575" s="1">
        <v>2.0</v>
      </c>
      <c r="AC575" s="1" t="s">
        <v>5538</v>
      </c>
      <c r="AD575" s="1">
        <v>0.0</v>
      </c>
      <c r="AE575" s="1">
        <f t="shared" si="5"/>
        <v>419</v>
      </c>
      <c r="AF575" s="1">
        <v>0.0</v>
      </c>
      <c r="AG575" s="1">
        <v>0.0</v>
      </c>
      <c r="AH575" s="1">
        <v>0.0</v>
      </c>
      <c r="AI575" s="1">
        <v>0.0</v>
      </c>
      <c r="AJ575" s="1">
        <v>0.0</v>
      </c>
      <c r="AK575" s="1">
        <v>0.0</v>
      </c>
      <c r="AL575" s="1">
        <v>0.0</v>
      </c>
      <c r="AM575" s="1">
        <v>0.0</v>
      </c>
      <c r="AN575" s="1">
        <v>0.0</v>
      </c>
      <c r="AO575" s="1">
        <v>0.0</v>
      </c>
      <c r="AP575" s="1">
        <v>0.0</v>
      </c>
      <c r="AQ575" s="1">
        <v>0.0</v>
      </c>
    </row>
    <row r="576">
      <c r="A576" s="1"/>
      <c r="B576" s="1">
        <v>588.0</v>
      </c>
      <c r="C576" s="1" t="s">
        <v>5539</v>
      </c>
      <c r="D576" s="1" t="s">
        <v>5540</v>
      </c>
      <c r="E576" s="1" t="s">
        <v>1792</v>
      </c>
      <c r="F576" s="1" t="s">
        <v>43</v>
      </c>
      <c r="G576" s="2">
        <v>27597.0</v>
      </c>
      <c r="H576" s="1" t="s">
        <v>5541</v>
      </c>
      <c r="I576" s="1">
        <v>95.0</v>
      </c>
      <c r="J576" s="1" t="s">
        <v>302</v>
      </c>
      <c r="K576" s="1">
        <v>1.0</v>
      </c>
      <c r="L576" s="2">
        <v>43136.0</v>
      </c>
      <c r="O576" s="1">
        <v>0.0</v>
      </c>
      <c r="P576" s="1" t="s">
        <v>61</v>
      </c>
      <c r="U576" s="1" t="s">
        <v>304</v>
      </c>
      <c r="V576" s="1">
        <v>70.0</v>
      </c>
      <c r="W576" s="3" t="s">
        <v>5542</v>
      </c>
      <c r="X576" s="1">
        <v>748954.0</v>
      </c>
      <c r="Y576" s="1" t="s">
        <v>5543</v>
      </c>
      <c r="Z576" s="3" t="s">
        <v>5544</v>
      </c>
      <c r="AA576" s="3" t="s">
        <v>5545</v>
      </c>
      <c r="AB576" s="1">
        <v>1.0</v>
      </c>
      <c r="AD576" s="1">
        <v>0.0</v>
      </c>
      <c r="AE576" s="1">
        <f t="shared" si="5"/>
        <v>419</v>
      </c>
      <c r="AF576" s="1">
        <v>0.0</v>
      </c>
      <c r="AG576" s="1">
        <v>0.0</v>
      </c>
      <c r="AH576" s="1">
        <v>0.0</v>
      </c>
      <c r="AI576" s="1">
        <v>0.0</v>
      </c>
      <c r="AJ576" s="1">
        <v>0.0</v>
      </c>
      <c r="AK576" s="1">
        <v>0.0</v>
      </c>
      <c r="AL576" s="1">
        <v>0.0</v>
      </c>
      <c r="AM576" s="1">
        <v>0.0</v>
      </c>
      <c r="AN576" s="1">
        <v>0.0</v>
      </c>
      <c r="AO576" s="1">
        <v>0.0</v>
      </c>
      <c r="AP576" s="1">
        <v>0.0</v>
      </c>
      <c r="AQ576" s="1">
        <v>0.0</v>
      </c>
    </row>
  </sheetData>
  <conditionalFormatting sqref="AE6:AE576">
    <cfRule type="cellIs" dxfId="0" priority="1" operator="greaterThan">
      <formula>0</formula>
    </cfRule>
  </conditionalFormatting>
  <hyperlinks>
    <hyperlink r:id="rId1" ref="W6"/>
    <hyperlink r:id="rId2" ref="Z6"/>
    <hyperlink r:id="rId3" ref="AA6"/>
    <hyperlink r:id="rId4" ref="W7"/>
    <hyperlink r:id="rId5" ref="Z7"/>
    <hyperlink r:id="rId6" ref="AA7"/>
    <hyperlink r:id="rId7" ref="W8"/>
    <hyperlink r:id="rId8" ref="Z8"/>
    <hyperlink r:id="rId9" ref="AA8"/>
    <hyperlink r:id="rId10" ref="W9"/>
    <hyperlink r:id="rId11" ref="Z9"/>
    <hyperlink r:id="rId12" ref="AA9"/>
    <hyperlink r:id="rId13" ref="W10"/>
    <hyperlink r:id="rId14" ref="Z10"/>
    <hyperlink r:id="rId15" ref="AA10"/>
    <hyperlink r:id="rId16" ref="W11"/>
    <hyperlink r:id="rId17" ref="Z11"/>
    <hyperlink r:id="rId18" ref="AA11"/>
    <hyperlink r:id="rId19" ref="W12"/>
    <hyperlink r:id="rId20" ref="Z12"/>
    <hyperlink r:id="rId21" ref="AA12"/>
    <hyperlink r:id="rId22" ref="W13"/>
    <hyperlink r:id="rId23" ref="Z13"/>
    <hyperlink r:id="rId24" ref="AA13"/>
    <hyperlink r:id="rId25" ref="W14"/>
    <hyperlink r:id="rId26" ref="Z14"/>
    <hyperlink r:id="rId27" ref="AA14"/>
    <hyperlink r:id="rId28" ref="W15"/>
    <hyperlink r:id="rId29" ref="Z15"/>
    <hyperlink r:id="rId30" ref="AA15"/>
    <hyperlink r:id="rId31" ref="W16"/>
    <hyperlink r:id="rId32" ref="Z16"/>
    <hyperlink r:id="rId33" ref="AA16"/>
    <hyperlink r:id="rId34" ref="W17"/>
    <hyperlink r:id="rId35" ref="Z17"/>
    <hyperlink r:id="rId36" ref="AA17"/>
    <hyperlink r:id="rId37" ref="W18"/>
    <hyperlink r:id="rId38" ref="Z18"/>
    <hyperlink r:id="rId39" ref="AA18"/>
    <hyperlink r:id="rId40" ref="R19"/>
    <hyperlink r:id="rId41" ref="W19"/>
    <hyperlink r:id="rId42" ref="Z19"/>
    <hyperlink r:id="rId43" ref="AA19"/>
    <hyperlink r:id="rId44" ref="W20"/>
    <hyperlink r:id="rId45" ref="Z20"/>
    <hyperlink r:id="rId46" ref="AA20"/>
    <hyperlink r:id="rId47" ref="W21"/>
    <hyperlink r:id="rId48" ref="Z21"/>
    <hyperlink r:id="rId49" ref="AA21"/>
    <hyperlink r:id="rId50" ref="W22"/>
    <hyperlink r:id="rId51" ref="Z22"/>
    <hyperlink r:id="rId52" ref="AA22"/>
    <hyperlink r:id="rId53" ref="W23"/>
    <hyperlink r:id="rId54" ref="Z23"/>
    <hyperlink r:id="rId55" ref="AA23"/>
    <hyperlink r:id="rId56" ref="W24"/>
    <hyperlink r:id="rId57" ref="Z24"/>
    <hyperlink r:id="rId58" ref="AA24"/>
    <hyperlink r:id="rId59" ref="W25"/>
    <hyperlink r:id="rId60" ref="Z25"/>
    <hyperlink r:id="rId61" ref="AA25"/>
    <hyperlink r:id="rId62" ref="W26"/>
    <hyperlink r:id="rId63" ref="Z26"/>
    <hyperlink r:id="rId64" ref="AA26"/>
    <hyperlink r:id="rId65" ref="W27"/>
    <hyperlink r:id="rId66" ref="Z27"/>
    <hyperlink r:id="rId67" ref="AA27"/>
    <hyperlink r:id="rId68" ref="R28"/>
    <hyperlink r:id="rId69" ref="W28"/>
    <hyperlink r:id="rId70" ref="Z28"/>
    <hyperlink r:id="rId71" ref="AA28"/>
    <hyperlink r:id="rId72" ref="W29"/>
    <hyperlink r:id="rId73" ref="Z29"/>
    <hyperlink r:id="rId74" ref="AA29"/>
    <hyperlink r:id="rId75" ref="W30"/>
    <hyperlink r:id="rId76" ref="Z30"/>
    <hyperlink r:id="rId77" ref="AA30"/>
    <hyperlink r:id="rId78" ref="W31"/>
    <hyperlink r:id="rId79" ref="Z31"/>
    <hyperlink r:id="rId80" ref="AA31"/>
    <hyperlink r:id="rId81" ref="W32"/>
    <hyperlink r:id="rId82" ref="Z32"/>
    <hyperlink r:id="rId83" ref="AA32"/>
    <hyperlink r:id="rId84" ref="R33"/>
    <hyperlink r:id="rId85" ref="W33"/>
    <hyperlink r:id="rId86" ref="Z33"/>
    <hyperlink r:id="rId87" ref="AA33"/>
    <hyperlink r:id="rId88" ref="W34"/>
    <hyperlink r:id="rId89" ref="Z34"/>
    <hyperlink r:id="rId90" ref="AA34"/>
    <hyperlink r:id="rId91" ref="W35"/>
    <hyperlink r:id="rId92" ref="Z35"/>
    <hyperlink r:id="rId93" ref="AA35"/>
    <hyperlink r:id="rId94" ref="W36"/>
    <hyperlink r:id="rId95" ref="Z36"/>
    <hyperlink r:id="rId96" ref="AA36"/>
    <hyperlink r:id="rId97" ref="W37"/>
    <hyperlink r:id="rId98" ref="Z37"/>
    <hyperlink r:id="rId99" ref="AA37"/>
    <hyperlink r:id="rId100" ref="W38"/>
    <hyperlink r:id="rId101" ref="Z38"/>
    <hyperlink r:id="rId102" ref="AA38"/>
    <hyperlink r:id="rId103" ref="W39"/>
    <hyperlink r:id="rId104" ref="Z39"/>
    <hyperlink r:id="rId105" ref="AA39"/>
    <hyperlink r:id="rId106" ref="R40"/>
    <hyperlink r:id="rId107" ref="W40"/>
    <hyperlink r:id="rId108" ref="Z40"/>
    <hyperlink r:id="rId109" ref="AA40"/>
    <hyperlink r:id="rId110" ref="W41"/>
    <hyperlink r:id="rId111" ref="Z41"/>
    <hyperlink r:id="rId112" ref="AA41"/>
    <hyperlink r:id="rId113" ref="W42"/>
    <hyperlink r:id="rId114" ref="Z42"/>
    <hyperlink r:id="rId115" ref="AA42"/>
    <hyperlink r:id="rId116" ref="W43"/>
    <hyperlink r:id="rId117" ref="Z43"/>
    <hyperlink r:id="rId118" ref="AA43"/>
    <hyperlink r:id="rId119" ref="W44"/>
    <hyperlink r:id="rId120" ref="Z44"/>
    <hyperlink r:id="rId121" ref="AA44"/>
    <hyperlink r:id="rId122" ref="W45"/>
    <hyperlink r:id="rId123" ref="Z45"/>
    <hyperlink r:id="rId124" ref="AA45"/>
    <hyperlink r:id="rId125" ref="W46"/>
    <hyperlink r:id="rId126" ref="Z46"/>
    <hyperlink r:id="rId127" ref="AA46"/>
    <hyperlink r:id="rId128" ref="W47"/>
    <hyperlink r:id="rId129" ref="Z47"/>
    <hyperlink r:id="rId130" ref="AA47"/>
    <hyperlink r:id="rId131" ref="W48"/>
    <hyperlink r:id="rId132" ref="Z48"/>
    <hyperlink r:id="rId133" ref="AA48"/>
    <hyperlink r:id="rId134" ref="W49"/>
    <hyperlink r:id="rId135" ref="Z49"/>
    <hyperlink r:id="rId136" ref="AA49"/>
    <hyperlink r:id="rId137" ref="W50"/>
    <hyperlink r:id="rId138" ref="Z50"/>
    <hyperlink r:id="rId139" ref="AA50"/>
    <hyperlink r:id="rId140" ref="W51"/>
    <hyperlink r:id="rId141" ref="Z51"/>
    <hyperlink r:id="rId142" ref="AA51"/>
    <hyperlink r:id="rId143" ref="W52"/>
    <hyperlink r:id="rId144" ref="Z52"/>
    <hyperlink r:id="rId145" ref="AA52"/>
    <hyperlink r:id="rId146" ref="R53"/>
    <hyperlink r:id="rId147" ref="W53"/>
    <hyperlink r:id="rId148" ref="Z53"/>
    <hyperlink r:id="rId149" ref="AA53"/>
    <hyperlink r:id="rId150" ref="W54"/>
    <hyperlink r:id="rId151" ref="Z54"/>
    <hyperlink r:id="rId152" ref="AA54"/>
    <hyperlink r:id="rId153" ref="W55"/>
    <hyperlink r:id="rId154" ref="Z55"/>
    <hyperlink r:id="rId155" ref="AA55"/>
    <hyperlink r:id="rId156" ref="W56"/>
    <hyperlink r:id="rId157" ref="Z56"/>
    <hyperlink r:id="rId158" ref="AA56"/>
    <hyperlink r:id="rId159" ref="W57"/>
    <hyperlink r:id="rId160" ref="Z57"/>
    <hyperlink r:id="rId161" ref="AA57"/>
    <hyperlink r:id="rId162" ref="W58"/>
    <hyperlink r:id="rId163" ref="Z58"/>
    <hyperlink r:id="rId164" ref="AA58"/>
    <hyperlink r:id="rId165" ref="W59"/>
    <hyperlink r:id="rId166" ref="Z59"/>
    <hyperlink r:id="rId167" ref="AA59"/>
    <hyperlink r:id="rId168" ref="W60"/>
    <hyperlink r:id="rId169" ref="Z60"/>
    <hyperlink r:id="rId170" ref="AA60"/>
    <hyperlink r:id="rId171" ref="W61"/>
    <hyperlink r:id="rId172" ref="Z61"/>
    <hyperlink r:id="rId173" ref="AA61"/>
    <hyperlink r:id="rId174" ref="W62"/>
    <hyperlink r:id="rId175" ref="Z62"/>
    <hyperlink r:id="rId176" ref="AA62"/>
    <hyperlink r:id="rId177" ref="W63"/>
    <hyperlink r:id="rId178" ref="Z63"/>
    <hyperlink r:id="rId179" ref="AA63"/>
    <hyperlink r:id="rId180" ref="W64"/>
    <hyperlink r:id="rId181" ref="Z64"/>
    <hyperlink r:id="rId182" ref="AA64"/>
    <hyperlink r:id="rId183" ref="W65"/>
    <hyperlink r:id="rId184" ref="Z65"/>
    <hyperlink r:id="rId185" ref="AA65"/>
    <hyperlink r:id="rId186" ref="W66"/>
    <hyperlink r:id="rId187" ref="Z66"/>
    <hyperlink r:id="rId188" ref="AA66"/>
    <hyperlink r:id="rId189" ref="W67"/>
    <hyperlink r:id="rId190" ref="Z67"/>
    <hyperlink r:id="rId191" ref="AA67"/>
    <hyperlink r:id="rId192" ref="W68"/>
    <hyperlink r:id="rId193" ref="Z68"/>
    <hyperlink r:id="rId194" ref="AA68"/>
    <hyperlink r:id="rId195" ref="W69"/>
    <hyperlink r:id="rId196" ref="Z69"/>
    <hyperlink r:id="rId197" ref="AA69"/>
    <hyperlink r:id="rId198" ref="W70"/>
    <hyperlink r:id="rId199" ref="Z70"/>
    <hyperlink r:id="rId200" ref="AA70"/>
    <hyperlink r:id="rId201" ref="W71"/>
    <hyperlink r:id="rId202" ref="Z71"/>
    <hyperlink r:id="rId203" ref="AA71"/>
    <hyperlink r:id="rId204" ref="W72"/>
    <hyperlink r:id="rId205" ref="Z72"/>
    <hyperlink r:id="rId206" ref="AA72"/>
    <hyperlink r:id="rId207" ref="W73"/>
    <hyperlink r:id="rId208" ref="Z73"/>
    <hyperlink r:id="rId209" ref="AA73"/>
    <hyperlink r:id="rId210" ref="R74"/>
    <hyperlink r:id="rId211" ref="W74"/>
    <hyperlink r:id="rId212" ref="Z74"/>
    <hyperlink r:id="rId213" ref="AA74"/>
    <hyperlink r:id="rId214" ref="W75"/>
    <hyperlink r:id="rId215" ref="Z75"/>
    <hyperlink r:id="rId216" ref="AA75"/>
    <hyperlink r:id="rId217" ref="W76"/>
    <hyperlink r:id="rId218" ref="Z76"/>
    <hyperlink r:id="rId219" ref="AA76"/>
    <hyperlink r:id="rId220" ref="W77"/>
    <hyperlink r:id="rId221" ref="Z77"/>
    <hyperlink r:id="rId222" ref="AA77"/>
    <hyperlink r:id="rId223" ref="W78"/>
    <hyperlink r:id="rId224" ref="Z78"/>
    <hyperlink r:id="rId225" ref="AA78"/>
    <hyperlink r:id="rId226" ref="R79"/>
    <hyperlink r:id="rId227" ref="W79"/>
    <hyperlink r:id="rId228" ref="Z79"/>
    <hyperlink r:id="rId229" ref="AA79"/>
    <hyperlink r:id="rId230" ref="W80"/>
    <hyperlink r:id="rId231" ref="Z80"/>
    <hyperlink r:id="rId232" ref="AA80"/>
    <hyperlink r:id="rId233" ref="R81"/>
    <hyperlink r:id="rId234" ref="W81"/>
    <hyperlink r:id="rId235" ref="Z81"/>
    <hyperlink r:id="rId236" ref="AA81"/>
    <hyperlink r:id="rId237" ref="W82"/>
    <hyperlink r:id="rId238" ref="Z82"/>
    <hyperlink r:id="rId239" ref="AA82"/>
    <hyperlink r:id="rId240" ref="W83"/>
    <hyperlink r:id="rId241" ref="Z83"/>
    <hyperlink r:id="rId242" ref="AA83"/>
    <hyperlink r:id="rId243" ref="W84"/>
    <hyperlink r:id="rId244" ref="Z84"/>
    <hyperlink r:id="rId245" ref="AA84"/>
    <hyperlink r:id="rId246" ref="W85"/>
    <hyperlink r:id="rId247" ref="Z85"/>
    <hyperlink r:id="rId248" ref="AA85"/>
    <hyperlink r:id="rId249" ref="W86"/>
    <hyperlink r:id="rId250" ref="Z86"/>
    <hyperlink r:id="rId251" ref="AA86"/>
    <hyperlink r:id="rId252" ref="W87"/>
    <hyperlink r:id="rId253" ref="Z87"/>
    <hyperlink r:id="rId254" ref="AA87"/>
    <hyperlink r:id="rId255" ref="W88"/>
    <hyperlink r:id="rId256" ref="Z88"/>
    <hyperlink r:id="rId257" ref="AA88"/>
    <hyperlink r:id="rId258" ref="W89"/>
    <hyperlink r:id="rId259" ref="Z89"/>
    <hyperlink r:id="rId260" ref="AA89"/>
    <hyperlink r:id="rId261" ref="W90"/>
    <hyperlink r:id="rId262" ref="Z90"/>
    <hyperlink r:id="rId263" ref="AA90"/>
    <hyperlink r:id="rId264" ref="W91"/>
    <hyperlink r:id="rId265" ref="Z91"/>
    <hyperlink r:id="rId266" ref="AA91"/>
    <hyperlink r:id="rId267" ref="W92"/>
    <hyperlink r:id="rId268" ref="Z92"/>
    <hyperlink r:id="rId269" ref="AA92"/>
    <hyperlink r:id="rId270" ref="W93"/>
    <hyperlink r:id="rId271" ref="Z93"/>
    <hyperlink r:id="rId272" ref="AA93"/>
    <hyperlink r:id="rId273" ref="W94"/>
    <hyperlink r:id="rId274" ref="Z94"/>
    <hyperlink r:id="rId275" ref="AA94"/>
    <hyperlink r:id="rId276" ref="W95"/>
    <hyperlink r:id="rId277" ref="Z95"/>
    <hyperlink r:id="rId278" ref="AA95"/>
    <hyperlink r:id="rId279" ref="W96"/>
    <hyperlink r:id="rId280" ref="Z96"/>
    <hyperlink r:id="rId281" ref="AA96"/>
    <hyperlink r:id="rId282" ref="W97"/>
    <hyperlink r:id="rId283" ref="Z97"/>
    <hyperlink r:id="rId284" ref="AA97"/>
    <hyperlink r:id="rId285" ref="W98"/>
    <hyperlink r:id="rId286" ref="Z98"/>
    <hyperlink r:id="rId287" ref="AA98"/>
    <hyperlink r:id="rId288" ref="W99"/>
    <hyperlink r:id="rId289" ref="Z99"/>
    <hyperlink r:id="rId290" ref="AA99"/>
    <hyperlink r:id="rId291" ref="W100"/>
    <hyperlink r:id="rId292" ref="Z100"/>
    <hyperlink r:id="rId293" ref="AA100"/>
    <hyperlink r:id="rId294" ref="W101"/>
    <hyperlink r:id="rId295" ref="Z101"/>
    <hyperlink r:id="rId296" ref="AA101"/>
    <hyperlink r:id="rId297" ref="W102"/>
    <hyperlink r:id="rId298" ref="Z102"/>
    <hyperlink r:id="rId299" ref="AA102"/>
    <hyperlink r:id="rId300" ref="W103"/>
    <hyperlink r:id="rId301" ref="Z103"/>
    <hyperlink r:id="rId302" ref="AA103"/>
    <hyperlink r:id="rId303" ref="W104"/>
    <hyperlink r:id="rId304" ref="Z104"/>
    <hyperlink r:id="rId305" ref="AA104"/>
    <hyperlink r:id="rId306" ref="R105"/>
    <hyperlink r:id="rId307" ref="W105"/>
    <hyperlink r:id="rId308" ref="Z105"/>
    <hyperlink r:id="rId309" ref="AA105"/>
    <hyperlink r:id="rId310" ref="W106"/>
    <hyperlink r:id="rId311" ref="Z106"/>
    <hyperlink r:id="rId312" ref="AA106"/>
    <hyperlink r:id="rId313" ref="W107"/>
    <hyperlink r:id="rId314" ref="Z107"/>
    <hyperlink r:id="rId315" ref="AA107"/>
    <hyperlink r:id="rId316" ref="W108"/>
    <hyperlink r:id="rId317" ref="Z108"/>
    <hyperlink r:id="rId318" ref="AA108"/>
    <hyperlink r:id="rId319" ref="W109"/>
    <hyperlink r:id="rId320" ref="Z109"/>
    <hyperlink r:id="rId321" ref="AA109"/>
    <hyperlink r:id="rId322" ref="W110"/>
    <hyperlink r:id="rId323" ref="Z110"/>
    <hyperlink r:id="rId324" ref="AA110"/>
    <hyperlink r:id="rId325" ref="W111"/>
    <hyperlink r:id="rId326" ref="Z111"/>
    <hyperlink r:id="rId327" ref="AA111"/>
    <hyperlink r:id="rId328" ref="W112"/>
    <hyperlink r:id="rId329" ref="Z112"/>
    <hyperlink r:id="rId330" ref="AA112"/>
    <hyperlink r:id="rId331" ref="W113"/>
    <hyperlink r:id="rId332" ref="Z113"/>
    <hyperlink r:id="rId333" ref="AA113"/>
    <hyperlink r:id="rId334" ref="W114"/>
    <hyperlink r:id="rId335" ref="Z114"/>
    <hyperlink r:id="rId336" ref="AA114"/>
    <hyperlink r:id="rId337" ref="R115"/>
    <hyperlink r:id="rId338" ref="W115"/>
    <hyperlink r:id="rId339" ref="Z115"/>
    <hyperlink r:id="rId340" ref="AA115"/>
    <hyperlink r:id="rId341" ref="W116"/>
    <hyperlink r:id="rId342" ref="Z116"/>
    <hyperlink r:id="rId343" ref="AA116"/>
    <hyperlink r:id="rId344" ref="W117"/>
    <hyperlink r:id="rId345" ref="Z117"/>
    <hyperlink r:id="rId346" ref="AA117"/>
    <hyperlink r:id="rId347" ref="W118"/>
    <hyperlink r:id="rId348" ref="Z118"/>
    <hyperlink r:id="rId349" ref="AA118"/>
    <hyperlink r:id="rId350" ref="W119"/>
    <hyperlink r:id="rId351" ref="Z119"/>
    <hyperlink r:id="rId352" ref="AA119"/>
    <hyperlink r:id="rId353" ref="W120"/>
    <hyperlink r:id="rId354" ref="Z120"/>
    <hyperlink r:id="rId355" ref="AA120"/>
    <hyperlink r:id="rId356" ref="W121"/>
    <hyperlink r:id="rId357" ref="Z121"/>
    <hyperlink r:id="rId358" ref="AA121"/>
    <hyperlink r:id="rId359" ref="W122"/>
    <hyperlink r:id="rId360" ref="Z122"/>
    <hyperlink r:id="rId361" ref="AA122"/>
    <hyperlink r:id="rId362" ref="R123"/>
    <hyperlink r:id="rId363" ref="W123"/>
    <hyperlink r:id="rId364" ref="Z123"/>
    <hyperlink r:id="rId365" ref="AA123"/>
    <hyperlink r:id="rId366" ref="W124"/>
    <hyperlink r:id="rId367" ref="Z124"/>
    <hyperlink r:id="rId368" ref="AA124"/>
    <hyperlink r:id="rId369" ref="W125"/>
    <hyperlink r:id="rId370" ref="Z125"/>
    <hyperlink r:id="rId371" ref="AA125"/>
    <hyperlink r:id="rId372" ref="W126"/>
    <hyperlink r:id="rId373" ref="Z126"/>
    <hyperlink r:id="rId374" ref="AA126"/>
    <hyperlink r:id="rId375" ref="R127"/>
    <hyperlink r:id="rId376" ref="W127"/>
    <hyperlink r:id="rId377" ref="Z127"/>
    <hyperlink r:id="rId378" ref="AA127"/>
    <hyperlink r:id="rId379" ref="W128"/>
    <hyperlink r:id="rId380" ref="Z128"/>
    <hyperlink r:id="rId381" ref="AA128"/>
    <hyperlink r:id="rId382" ref="R129"/>
    <hyperlink r:id="rId383" ref="W129"/>
    <hyperlink r:id="rId384" ref="Z129"/>
    <hyperlink r:id="rId385" ref="AA129"/>
    <hyperlink r:id="rId386" ref="W130"/>
    <hyperlink r:id="rId387" ref="Z130"/>
    <hyperlink r:id="rId388" ref="AA130"/>
    <hyperlink r:id="rId389" ref="W131"/>
    <hyperlink r:id="rId390" ref="Z131"/>
    <hyperlink r:id="rId391" ref="AA131"/>
    <hyperlink r:id="rId392" ref="W132"/>
    <hyperlink r:id="rId393" ref="Z132"/>
    <hyperlink r:id="rId394" ref="AA132"/>
    <hyperlink r:id="rId395" ref="W133"/>
    <hyperlink r:id="rId396" ref="Z133"/>
    <hyperlink r:id="rId397" ref="AA133"/>
    <hyperlink r:id="rId398" ref="W134"/>
    <hyperlink r:id="rId399" ref="Z134"/>
    <hyperlink r:id="rId400" ref="AA134"/>
    <hyperlink r:id="rId401" ref="W135"/>
    <hyperlink r:id="rId402" ref="Z135"/>
    <hyperlink r:id="rId403" ref="AA135"/>
    <hyperlink r:id="rId404" ref="W136"/>
    <hyperlink r:id="rId405" ref="Z136"/>
    <hyperlink r:id="rId406" ref="AA136"/>
    <hyperlink r:id="rId407" ref="W137"/>
    <hyperlink r:id="rId408" ref="Z137"/>
    <hyperlink r:id="rId409" ref="AA137"/>
    <hyperlink r:id="rId410" ref="W138"/>
    <hyperlink r:id="rId411" ref="Z138"/>
    <hyperlink r:id="rId412" ref="AA138"/>
    <hyperlink r:id="rId413" ref="W139"/>
    <hyperlink r:id="rId414" ref="Z139"/>
    <hyperlink r:id="rId415" ref="AA139"/>
    <hyperlink r:id="rId416" ref="W140"/>
    <hyperlink r:id="rId417" ref="Z140"/>
    <hyperlink r:id="rId418" ref="AA140"/>
    <hyperlink r:id="rId419" ref="W141"/>
    <hyperlink r:id="rId420" ref="Z141"/>
    <hyperlink r:id="rId421" ref="AA141"/>
    <hyperlink r:id="rId422" ref="W142"/>
    <hyperlink r:id="rId423" ref="Z142"/>
    <hyperlink r:id="rId424" ref="AA142"/>
    <hyperlink r:id="rId425" ref="W143"/>
    <hyperlink r:id="rId426" ref="Z143"/>
    <hyperlink r:id="rId427" ref="AA143"/>
    <hyperlink r:id="rId428" ref="R144"/>
    <hyperlink r:id="rId429" ref="W144"/>
    <hyperlink r:id="rId430" ref="Z144"/>
    <hyperlink r:id="rId431" ref="AA144"/>
    <hyperlink r:id="rId432" ref="W145"/>
    <hyperlink r:id="rId433" ref="Z145"/>
    <hyperlink r:id="rId434" ref="AA145"/>
    <hyperlink r:id="rId435" ref="W146"/>
    <hyperlink r:id="rId436" ref="Z146"/>
    <hyperlink r:id="rId437" ref="AA146"/>
    <hyperlink r:id="rId438" ref="W147"/>
    <hyperlink r:id="rId439" ref="Z147"/>
    <hyperlink r:id="rId440" ref="AA147"/>
    <hyperlink r:id="rId441" ref="W148"/>
    <hyperlink r:id="rId442" ref="Z148"/>
    <hyperlink r:id="rId443" ref="AA148"/>
    <hyperlink r:id="rId444" ref="W149"/>
    <hyperlink r:id="rId445" ref="Z149"/>
    <hyperlink r:id="rId446" ref="AA149"/>
    <hyperlink r:id="rId447" ref="W150"/>
    <hyperlink r:id="rId448" ref="Z150"/>
    <hyperlink r:id="rId449" ref="AA150"/>
    <hyperlink r:id="rId450" ref="W151"/>
    <hyperlink r:id="rId451" ref="Z151"/>
    <hyperlink r:id="rId452" ref="AA151"/>
    <hyperlink r:id="rId453" ref="W152"/>
    <hyperlink r:id="rId454" ref="Z152"/>
    <hyperlink r:id="rId455" ref="AA152"/>
    <hyperlink r:id="rId456" ref="W153"/>
    <hyperlink r:id="rId457" ref="Z153"/>
    <hyperlink r:id="rId458" ref="AA153"/>
    <hyperlink r:id="rId459" ref="W154"/>
    <hyperlink r:id="rId460" ref="Z154"/>
    <hyperlink r:id="rId461" ref="AA154"/>
    <hyperlink r:id="rId462" ref="R155"/>
    <hyperlink r:id="rId463" ref="W155"/>
    <hyperlink r:id="rId464" ref="Z155"/>
    <hyperlink r:id="rId465" ref="AA155"/>
    <hyperlink r:id="rId466" ref="W156"/>
    <hyperlink r:id="rId467" ref="Z156"/>
    <hyperlink r:id="rId468" ref="AA156"/>
    <hyperlink r:id="rId469" ref="W157"/>
    <hyperlink r:id="rId470" ref="Z157"/>
    <hyperlink r:id="rId471" ref="AA157"/>
    <hyperlink r:id="rId472" ref="W158"/>
    <hyperlink r:id="rId473" ref="Z158"/>
    <hyperlink r:id="rId474" ref="AA158"/>
    <hyperlink r:id="rId475" ref="W159"/>
    <hyperlink r:id="rId476" ref="Z159"/>
    <hyperlink r:id="rId477" ref="AA159"/>
    <hyperlink r:id="rId478" ref="W160"/>
    <hyperlink r:id="rId479" ref="Z160"/>
    <hyperlink r:id="rId480" ref="AA160"/>
    <hyperlink r:id="rId481" ref="W161"/>
    <hyperlink r:id="rId482" ref="Z161"/>
    <hyperlink r:id="rId483" ref="AA161"/>
    <hyperlink r:id="rId484" ref="W162"/>
    <hyperlink r:id="rId485" ref="Z162"/>
    <hyperlink r:id="rId486" ref="AA162"/>
    <hyperlink r:id="rId487" ref="W163"/>
    <hyperlink r:id="rId488" ref="Z163"/>
    <hyperlink r:id="rId489" ref="AA163"/>
    <hyperlink r:id="rId490" ref="W164"/>
    <hyperlink r:id="rId491" ref="Z164"/>
    <hyperlink r:id="rId492" ref="AA164"/>
    <hyperlink r:id="rId493" ref="W165"/>
    <hyperlink r:id="rId494" ref="Z165"/>
    <hyperlink r:id="rId495" ref="AA165"/>
    <hyperlink r:id="rId496" ref="W166"/>
    <hyperlink r:id="rId497" ref="Z166"/>
    <hyperlink r:id="rId498" ref="AA166"/>
    <hyperlink r:id="rId499" ref="W167"/>
    <hyperlink r:id="rId500" ref="Z167"/>
    <hyperlink r:id="rId501" ref="AA167"/>
    <hyperlink r:id="rId502" ref="R168"/>
    <hyperlink r:id="rId503" ref="W168"/>
    <hyperlink r:id="rId504" ref="Z168"/>
    <hyperlink r:id="rId505" ref="AA168"/>
    <hyperlink r:id="rId506" ref="W169"/>
    <hyperlink r:id="rId507" ref="Z169"/>
    <hyperlink r:id="rId508" ref="AA169"/>
    <hyperlink r:id="rId509" ref="W170"/>
    <hyperlink r:id="rId510" ref="Z170"/>
    <hyperlink r:id="rId511" ref="AA170"/>
    <hyperlink r:id="rId512" ref="W171"/>
    <hyperlink r:id="rId513" ref="Z171"/>
    <hyperlink r:id="rId514" ref="AA171"/>
    <hyperlink r:id="rId515" ref="W172"/>
    <hyperlink r:id="rId516" ref="Z172"/>
    <hyperlink r:id="rId517" ref="AA172"/>
    <hyperlink r:id="rId518" ref="R173"/>
    <hyperlink r:id="rId519" ref="W173"/>
    <hyperlink r:id="rId520" ref="Z173"/>
    <hyperlink r:id="rId521" ref="AA173"/>
    <hyperlink r:id="rId522" ref="W174"/>
    <hyperlink r:id="rId523" ref="Z174"/>
    <hyperlink r:id="rId524" ref="AA174"/>
    <hyperlink r:id="rId525" ref="W175"/>
    <hyperlink r:id="rId526" ref="Z175"/>
    <hyperlink r:id="rId527" ref="AA175"/>
    <hyperlink r:id="rId528" ref="W176"/>
    <hyperlink r:id="rId529" ref="Z176"/>
    <hyperlink r:id="rId530" ref="AA176"/>
    <hyperlink r:id="rId531" ref="W177"/>
    <hyperlink r:id="rId532" ref="Z177"/>
    <hyperlink r:id="rId533" ref="AA177"/>
    <hyperlink r:id="rId534" ref="R178"/>
    <hyperlink r:id="rId535" ref="W178"/>
    <hyperlink r:id="rId536" ref="Z178"/>
    <hyperlink r:id="rId537" ref="AA178"/>
    <hyperlink r:id="rId538" ref="R179"/>
    <hyperlink r:id="rId539" ref="W179"/>
    <hyperlink r:id="rId540" ref="Z179"/>
    <hyperlink r:id="rId541" ref="AA179"/>
    <hyperlink r:id="rId542" ref="W180"/>
    <hyperlink r:id="rId543" ref="Z180"/>
    <hyperlink r:id="rId544" ref="AA180"/>
    <hyperlink r:id="rId545" ref="W181"/>
    <hyperlink r:id="rId546" ref="Z181"/>
    <hyperlink r:id="rId547" ref="AA181"/>
    <hyperlink r:id="rId548" ref="W182"/>
    <hyperlink r:id="rId549" ref="Z182"/>
    <hyperlink r:id="rId550" ref="AA182"/>
    <hyperlink r:id="rId551" ref="W183"/>
    <hyperlink r:id="rId552" ref="Z183"/>
    <hyperlink r:id="rId553" ref="AA183"/>
    <hyperlink r:id="rId554" ref="W184"/>
    <hyperlink r:id="rId555" ref="Z184"/>
    <hyperlink r:id="rId556" ref="AA184"/>
    <hyperlink r:id="rId557" ref="W185"/>
    <hyperlink r:id="rId558" ref="Z185"/>
    <hyperlink r:id="rId559" ref="AA185"/>
    <hyperlink r:id="rId560" ref="W186"/>
    <hyperlink r:id="rId561" ref="Z186"/>
    <hyperlink r:id="rId562" ref="AA186"/>
    <hyperlink r:id="rId563" ref="W187"/>
    <hyperlink r:id="rId564" ref="Z187"/>
    <hyperlink r:id="rId565" ref="AA187"/>
    <hyperlink r:id="rId566" ref="W188"/>
    <hyperlink r:id="rId567" ref="Z188"/>
    <hyperlink r:id="rId568" ref="AA188"/>
    <hyperlink r:id="rId569" ref="W189"/>
    <hyperlink r:id="rId570" ref="Z189"/>
    <hyperlink r:id="rId571" ref="AA189"/>
    <hyperlink r:id="rId572" ref="W190"/>
    <hyperlink r:id="rId573" ref="Z190"/>
    <hyperlink r:id="rId574" ref="AA190"/>
    <hyperlink r:id="rId575" ref="W191"/>
    <hyperlink r:id="rId576" ref="Z191"/>
    <hyperlink r:id="rId577" ref="AA191"/>
    <hyperlink r:id="rId578" ref="W192"/>
    <hyperlink r:id="rId579" ref="Z192"/>
    <hyperlink r:id="rId580" ref="AA192"/>
    <hyperlink r:id="rId581" ref="W193"/>
    <hyperlink r:id="rId582" ref="Z193"/>
    <hyperlink r:id="rId583" ref="AA193"/>
    <hyperlink r:id="rId584" ref="W194"/>
    <hyperlink r:id="rId585" ref="Z194"/>
    <hyperlink r:id="rId586" ref="AA194"/>
    <hyperlink r:id="rId587" ref="R195"/>
    <hyperlink r:id="rId588" ref="W195"/>
    <hyperlink r:id="rId589" ref="Z195"/>
    <hyperlink r:id="rId590" ref="AA195"/>
    <hyperlink r:id="rId591" ref="W196"/>
    <hyperlink r:id="rId592" ref="Z196"/>
    <hyperlink r:id="rId593" ref="AA196"/>
    <hyperlink r:id="rId594" ref="W197"/>
    <hyperlink r:id="rId595" ref="Z197"/>
    <hyperlink r:id="rId596" ref="AA197"/>
    <hyperlink r:id="rId597" ref="W198"/>
    <hyperlink r:id="rId598" ref="Z198"/>
    <hyperlink r:id="rId599" ref="AA198"/>
    <hyperlink r:id="rId600" ref="W199"/>
    <hyperlink r:id="rId601" ref="Z199"/>
    <hyperlink r:id="rId602" ref="AA199"/>
    <hyperlink r:id="rId603" ref="W200"/>
    <hyperlink r:id="rId604" ref="Z200"/>
    <hyperlink r:id="rId605" ref="AA200"/>
    <hyperlink r:id="rId606" ref="W201"/>
    <hyperlink r:id="rId607" ref="Z201"/>
    <hyperlink r:id="rId608" ref="AA201"/>
    <hyperlink r:id="rId609" ref="R202"/>
    <hyperlink r:id="rId610" ref="W202"/>
    <hyperlink r:id="rId611" ref="Z202"/>
    <hyperlink r:id="rId612" ref="AA202"/>
    <hyperlink r:id="rId613" ref="W203"/>
    <hyperlink r:id="rId614" ref="Z203"/>
    <hyperlink r:id="rId615" ref="AA203"/>
    <hyperlink r:id="rId616" ref="R204"/>
    <hyperlink r:id="rId617" ref="W204"/>
    <hyperlink r:id="rId618" ref="Z204"/>
    <hyperlink r:id="rId619" ref="AA204"/>
    <hyperlink r:id="rId620" ref="W205"/>
    <hyperlink r:id="rId621" ref="Z205"/>
    <hyperlink r:id="rId622" ref="AA205"/>
    <hyperlink r:id="rId623" ref="W206"/>
    <hyperlink r:id="rId624" ref="Z206"/>
    <hyperlink r:id="rId625" ref="AA206"/>
    <hyperlink r:id="rId626" ref="R207"/>
    <hyperlink r:id="rId627" ref="W207"/>
    <hyperlink r:id="rId628" ref="Z207"/>
    <hyperlink r:id="rId629" ref="AA207"/>
    <hyperlink r:id="rId630" ref="W208"/>
    <hyperlink r:id="rId631" ref="Z208"/>
    <hyperlink r:id="rId632" ref="AA208"/>
    <hyperlink r:id="rId633" ref="W209"/>
    <hyperlink r:id="rId634" ref="Z209"/>
    <hyperlink r:id="rId635" ref="AA209"/>
    <hyperlink r:id="rId636" ref="W210"/>
    <hyperlink r:id="rId637" ref="Z210"/>
    <hyperlink r:id="rId638" ref="AA210"/>
    <hyperlink r:id="rId639" ref="W211"/>
    <hyperlink r:id="rId640" ref="Z211"/>
    <hyperlink r:id="rId641" ref="AA211"/>
    <hyperlink r:id="rId642" ref="W212"/>
    <hyperlink r:id="rId643" ref="Z212"/>
    <hyperlink r:id="rId644" ref="AA212"/>
    <hyperlink r:id="rId645" ref="W213"/>
    <hyperlink r:id="rId646" ref="Z213"/>
    <hyperlink r:id="rId647" ref="AA213"/>
    <hyperlink r:id="rId648" ref="W214"/>
    <hyperlink r:id="rId649" ref="Z214"/>
    <hyperlink r:id="rId650" ref="AA214"/>
    <hyperlink r:id="rId651" ref="W215"/>
    <hyperlink r:id="rId652" ref="Z215"/>
    <hyperlink r:id="rId653" ref="AA215"/>
    <hyperlink r:id="rId654" ref="W216"/>
    <hyperlink r:id="rId655" ref="Z216"/>
    <hyperlink r:id="rId656" ref="AA216"/>
    <hyperlink r:id="rId657" ref="W217"/>
    <hyperlink r:id="rId658" ref="Z217"/>
    <hyperlink r:id="rId659" ref="AA217"/>
    <hyperlink r:id="rId660" ref="W218"/>
    <hyperlink r:id="rId661" ref="Z218"/>
    <hyperlink r:id="rId662" ref="AA218"/>
    <hyperlink r:id="rId663" ref="W219"/>
    <hyperlink r:id="rId664" ref="Z219"/>
    <hyperlink r:id="rId665" ref="AA219"/>
    <hyperlink r:id="rId666" ref="W220"/>
    <hyperlink r:id="rId667" ref="Z220"/>
    <hyperlink r:id="rId668" ref="AA220"/>
    <hyperlink r:id="rId669" ref="W221"/>
    <hyperlink r:id="rId670" ref="Z221"/>
    <hyperlink r:id="rId671" ref="AA221"/>
    <hyperlink r:id="rId672" ref="R222"/>
    <hyperlink r:id="rId673" ref="W222"/>
    <hyperlink r:id="rId674" ref="Z222"/>
    <hyperlink r:id="rId675" ref="AA222"/>
    <hyperlink r:id="rId676" ref="W223"/>
    <hyperlink r:id="rId677" ref="Z223"/>
    <hyperlink r:id="rId678" ref="AA223"/>
    <hyperlink r:id="rId679" ref="W224"/>
    <hyperlink r:id="rId680" ref="Z224"/>
    <hyperlink r:id="rId681" ref="AA224"/>
    <hyperlink r:id="rId682" ref="W225"/>
    <hyperlink r:id="rId683" ref="Z225"/>
    <hyperlink r:id="rId684" ref="AA225"/>
    <hyperlink r:id="rId685" ref="W226"/>
    <hyperlink r:id="rId686" ref="Z226"/>
    <hyperlink r:id="rId687" ref="AA226"/>
    <hyperlink r:id="rId688" ref="W227"/>
    <hyperlink r:id="rId689" ref="Z227"/>
    <hyperlink r:id="rId690" ref="AA227"/>
    <hyperlink r:id="rId691" ref="R228"/>
    <hyperlink r:id="rId692" ref="W228"/>
    <hyperlink r:id="rId693" ref="Z228"/>
    <hyperlink r:id="rId694" ref="AA228"/>
    <hyperlink r:id="rId695" ref="R229"/>
    <hyperlink r:id="rId696" ref="W229"/>
    <hyperlink r:id="rId697" ref="Z229"/>
    <hyperlink r:id="rId698" ref="AA229"/>
    <hyperlink r:id="rId699" ref="W230"/>
    <hyperlink r:id="rId700" ref="Z230"/>
    <hyperlink r:id="rId701" ref="AA230"/>
    <hyperlink r:id="rId702" ref="W231"/>
    <hyperlink r:id="rId703" ref="Z231"/>
    <hyperlink r:id="rId704" ref="AA231"/>
    <hyperlink r:id="rId705" ref="W232"/>
    <hyperlink r:id="rId706" ref="Z232"/>
    <hyperlink r:id="rId707" ref="AA232"/>
    <hyperlink r:id="rId708" ref="R233"/>
    <hyperlink r:id="rId709" ref="W233"/>
    <hyperlink r:id="rId710" ref="Z233"/>
    <hyperlink r:id="rId711" ref="AA233"/>
    <hyperlink r:id="rId712" ref="W234"/>
    <hyperlink r:id="rId713" ref="Z234"/>
    <hyperlink r:id="rId714" ref="AA234"/>
    <hyperlink r:id="rId715" ref="W235"/>
    <hyperlink r:id="rId716" ref="Z235"/>
    <hyperlink r:id="rId717" ref="AA235"/>
    <hyperlink r:id="rId718" ref="W236"/>
    <hyperlink r:id="rId719" ref="Z236"/>
    <hyperlink r:id="rId720" ref="AA236"/>
    <hyperlink r:id="rId721" ref="W237"/>
    <hyperlink r:id="rId722" ref="Z237"/>
    <hyperlink r:id="rId723" ref="AA237"/>
    <hyperlink r:id="rId724" ref="W238"/>
    <hyperlink r:id="rId725" ref="Z238"/>
    <hyperlink r:id="rId726" ref="AA238"/>
    <hyperlink r:id="rId727" ref="R239"/>
    <hyperlink r:id="rId728" ref="W239"/>
    <hyperlink r:id="rId729" ref="Z239"/>
    <hyperlink r:id="rId730" ref="AA239"/>
    <hyperlink r:id="rId731" ref="W240"/>
    <hyperlink r:id="rId732" ref="Z240"/>
    <hyperlink r:id="rId733" ref="AA240"/>
    <hyperlink r:id="rId734" ref="W241"/>
    <hyperlink r:id="rId735" ref="Z241"/>
    <hyperlink r:id="rId736" ref="AA241"/>
    <hyperlink r:id="rId737" ref="W242"/>
    <hyperlink r:id="rId738" ref="Z242"/>
    <hyperlink r:id="rId739" ref="AA242"/>
    <hyperlink r:id="rId740" ref="W243"/>
    <hyperlink r:id="rId741" ref="Z243"/>
    <hyperlink r:id="rId742" ref="AA243"/>
    <hyperlink r:id="rId743" ref="W244"/>
    <hyperlink r:id="rId744" ref="Z244"/>
    <hyperlink r:id="rId745" ref="AA244"/>
    <hyperlink r:id="rId746" ref="W245"/>
    <hyperlink r:id="rId747" ref="Z245"/>
    <hyperlink r:id="rId748" ref="AA245"/>
    <hyperlink r:id="rId749" ref="W246"/>
    <hyperlink r:id="rId750" ref="Z246"/>
    <hyperlink r:id="rId751" ref="AA246"/>
    <hyperlink r:id="rId752" ref="W247"/>
    <hyperlink r:id="rId753" ref="Z247"/>
    <hyperlink r:id="rId754" ref="AA247"/>
    <hyperlink r:id="rId755" ref="W248"/>
    <hyperlink r:id="rId756" ref="Z248"/>
    <hyperlink r:id="rId757" ref="AA248"/>
    <hyperlink r:id="rId758" ref="W249"/>
    <hyperlink r:id="rId759" ref="Z249"/>
    <hyperlink r:id="rId760" ref="AA249"/>
    <hyperlink r:id="rId761" ref="W250"/>
    <hyperlink r:id="rId762" ref="Z250"/>
    <hyperlink r:id="rId763" ref="AA250"/>
    <hyperlink r:id="rId764" ref="W251"/>
    <hyperlink r:id="rId765" ref="Z251"/>
    <hyperlink r:id="rId766" ref="AA251"/>
    <hyperlink r:id="rId767" ref="W252"/>
    <hyperlink r:id="rId768" ref="Z252"/>
    <hyperlink r:id="rId769" ref="AA252"/>
    <hyperlink r:id="rId770" ref="W253"/>
    <hyperlink r:id="rId771" ref="Z253"/>
    <hyperlink r:id="rId772" ref="AA253"/>
    <hyperlink r:id="rId773" ref="W254"/>
    <hyperlink r:id="rId774" ref="Z254"/>
    <hyperlink r:id="rId775" ref="AA254"/>
    <hyperlink r:id="rId776" ref="W255"/>
    <hyperlink r:id="rId777" ref="Z255"/>
    <hyperlink r:id="rId778" ref="AA255"/>
    <hyperlink r:id="rId779" ref="W256"/>
    <hyperlink r:id="rId780" ref="Z256"/>
    <hyperlink r:id="rId781" ref="AA256"/>
    <hyperlink r:id="rId782" ref="W257"/>
    <hyperlink r:id="rId783" ref="Z257"/>
    <hyperlink r:id="rId784" ref="AA257"/>
    <hyperlink r:id="rId785" ref="W258"/>
    <hyperlink r:id="rId786" ref="Z258"/>
    <hyperlink r:id="rId787" ref="AA258"/>
    <hyperlink r:id="rId788" ref="W259"/>
    <hyperlink r:id="rId789" ref="Z259"/>
    <hyperlink r:id="rId790" ref="AA259"/>
    <hyperlink r:id="rId791" ref="W260"/>
    <hyperlink r:id="rId792" ref="Z260"/>
    <hyperlink r:id="rId793" ref="AA260"/>
    <hyperlink r:id="rId794" ref="W261"/>
    <hyperlink r:id="rId795" ref="Z261"/>
    <hyperlink r:id="rId796" ref="AA261"/>
    <hyperlink r:id="rId797" ref="W262"/>
    <hyperlink r:id="rId798" ref="Z262"/>
    <hyperlink r:id="rId799" ref="AA262"/>
    <hyperlink r:id="rId800" ref="W263"/>
    <hyperlink r:id="rId801" ref="Z263"/>
    <hyperlink r:id="rId802" ref="AA263"/>
    <hyperlink r:id="rId803" ref="W264"/>
    <hyperlink r:id="rId804" ref="Z264"/>
    <hyperlink r:id="rId805" ref="AA264"/>
    <hyperlink r:id="rId806" ref="W265"/>
    <hyperlink r:id="rId807" ref="Z265"/>
    <hyperlink r:id="rId808" ref="AA265"/>
    <hyperlink r:id="rId809" ref="W266"/>
    <hyperlink r:id="rId810" ref="Z266"/>
    <hyperlink r:id="rId811" ref="AA266"/>
    <hyperlink r:id="rId812" ref="R267"/>
    <hyperlink r:id="rId813" ref="W267"/>
    <hyperlink r:id="rId814" ref="Z267"/>
    <hyperlink r:id="rId815" ref="AA267"/>
    <hyperlink r:id="rId816" ref="W268"/>
    <hyperlink r:id="rId817" ref="Z268"/>
    <hyperlink r:id="rId818" ref="AA268"/>
    <hyperlink r:id="rId819" ref="W269"/>
    <hyperlink r:id="rId820" ref="Z269"/>
    <hyperlink r:id="rId821" ref="AA269"/>
    <hyperlink r:id="rId822" ref="R270"/>
    <hyperlink r:id="rId823" ref="W270"/>
    <hyperlink r:id="rId824" ref="Z270"/>
    <hyperlink r:id="rId825" ref="AA270"/>
    <hyperlink r:id="rId826" ref="R271"/>
    <hyperlink r:id="rId827" ref="W271"/>
    <hyperlink r:id="rId828" ref="Z271"/>
    <hyperlink r:id="rId829" ref="AA271"/>
    <hyperlink r:id="rId830" ref="W272"/>
    <hyperlink r:id="rId831" ref="Z272"/>
    <hyperlink r:id="rId832" ref="AA272"/>
    <hyperlink r:id="rId833" ref="W273"/>
    <hyperlink r:id="rId834" ref="Z273"/>
    <hyperlink r:id="rId835" ref="AA273"/>
    <hyperlink r:id="rId836" ref="W274"/>
    <hyperlink r:id="rId837" ref="Z274"/>
    <hyperlink r:id="rId838" ref="AA274"/>
    <hyperlink r:id="rId839" ref="W275"/>
    <hyperlink r:id="rId840" ref="Z275"/>
    <hyperlink r:id="rId841" ref="AA275"/>
    <hyperlink r:id="rId842" ref="W276"/>
    <hyperlink r:id="rId843" ref="Z276"/>
    <hyperlink r:id="rId844" ref="AA276"/>
    <hyperlink r:id="rId845" ref="W277"/>
    <hyperlink r:id="rId846" ref="Z277"/>
    <hyperlink r:id="rId847" ref="AA277"/>
    <hyperlink r:id="rId848" ref="R278"/>
    <hyperlink r:id="rId849" ref="W278"/>
    <hyperlink r:id="rId850" ref="Z278"/>
    <hyperlink r:id="rId851" ref="AA278"/>
    <hyperlink r:id="rId852" ref="W279"/>
    <hyperlink r:id="rId853" ref="Z279"/>
    <hyperlink r:id="rId854" ref="AA279"/>
    <hyperlink r:id="rId855" ref="W280"/>
    <hyperlink r:id="rId856" ref="Z280"/>
    <hyperlink r:id="rId857" ref="AA280"/>
    <hyperlink r:id="rId858" ref="W281"/>
    <hyperlink r:id="rId859" ref="Z281"/>
    <hyperlink r:id="rId860" ref="AA281"/>
    <hyperlink r:id="rId861" ref="W282"/>
    <hyperlink r:id="rId862" ref="Z282"/>
    <hyperlink r:id="rId863" ref="AA282"/>
    <hyperlink r:id="rId864" ref="W283"/>
    <hyperlink r:id="rId865" ref="Z283"/>
    <hyperlink r:id="rId866" ref="AA283"/>
    <hyperlink r:id="rId867" ref="W284"/>
    <hyperlink r:id="rId868" ref="Z284"/>
    <hyperlink r:id="rId869" ref="AA284"/>
    <hyperlink r:id="rId870" ref="W285"/>
    <hyperlink r:id="rId871" ref="Z285"/>
    <hyperlink r:id="rId872" ref="AA285"/>
    <hyperlink r:id="rId873" ref="W286"/>
    <hyperlink r:id="rId874" ref="Z286"/>
    <hyperlink r:id="rId875" ref="AA286"/>
    <hyperlink r:id="rId876" ref="W287"/>
    <hyperlink r:id="rId877" ref="Z287"/>
    <hyperlink r:id="rId878" ref="AA287"/>
    <hyperlink r:id="rId879" ref="W288"/>
    <hyperlink r:id="rId880" ref="Z288"/>
    <hyperlink r:id="rId881" ref="AA288"/>
    <hyperlink r:id="rId882" ref="W289"/>
    <hyperlink r:id="rId883" ref="Z289"/>
    <hyperlink r:id="rId884" ref="AA289"/>
    <hyperlink r:id="rId885" ref="W290"/>
    <hyperlink r:id="rId886" ref="Z290"/>
    <hyperlink r:id="rId887" ref="AA290"/>
    <hyperlink r:id="rId888" ref="W291"/>
    <hyperlink r:id="rId889" ref="Z291"/>
    <hyperlink r:id="rId890" ref="AA291"/>
    <hyperlink r:id="rId891" ref="W292"/>
    <hyperlink r:id="rId892" ref="Z292"/>
    <hyperlink r:id="rId893" ref="AA292"/>
    <hyperlink r:id="rId894" ref="W293"/>
    <hyperlink r:id="rId895" ref="Z293"/>
    <hyperlink r:id="rId896" ref="AA293"/>
    <hyperlink r:id="rId897" ref="W294"/>
    <hyperlink r:id="rId898" ref="Z294"/>
    <hyperlink r:id="rId899" ref="AA294"/>
    <hyperlink r:id="rId900" ref="W295"/>
    <hyperlink r:id="rId901" ref="Z295"/>
    <hyperlink r:id="rId902" ref="AA295"/>
    <hyperlink r:id="rId903" ref="W296"/>
    <hyperlink r:id="rId904" ref="Z296"/>
    <hyperlink r:id="rId905" ref="AA296"/>
    <hyperlink r:id="rId906" ref="W297"/>
    <hyperlink r:id="rId907" ref="Z297"/>
    <hyperlink r:id="rId908" ref="AA297"/>
    <hyperlink r:id="rId909" ref="W298"/>
    <hyperlink r:id="rId910" ref="Z298"/>
    <hyperlink r:id="rId911" ref="AA298"/>
    <hyperlink r:id="rId912" ref="W299"/>
    <hyperlink r:id="rId913" ref="Z299"/>
    <hyperlink r:id="rId914" ref="AA299"/>
    <hyperlink r:id="rId915" ref="W300"/>
    <hyperlink r:id="rId916" ref="Z300"/>
    <hyperlink r:id="rId917" ref="AA300"/>
    <hyperlink r:id="rId918" ref="R301"/>
    <hyperlink r:id="rId919" ref="W301"/>
    <hyperlink r:id="rId920" ref="Z301"/>
    <hyperlink r:id="rId921" ref="AA301"/>
    <hyperlink r:id="rId922" ref="W302"/>
    <hyperlink r:id="rId923" ref="Z302"/>
    <hyperlink r:id="rId924" ref="AA302"/>
    <hyperlink r:id="rId925" ref="W303"/>
    <hyperlink r:id="rId926" ref="Z303"/>
    <hyperlink r:id="rId927" ref="AA303"/>
    <hyperlink r:id="rId928" ref="W304"/>
    <hyperlink r:id="rId929" ref="Z304"/>
    <hyperlink r:id="rId930" ref="AA304"/>
    <hyperlink r:id="rId931" ref="W305"/>
    <hyperlink r:id="rId932" ref="Z305"/>
    <hyperlink r:id="rId933" ref="AA305"/>
    <hyperlink r:id="rId934" ref="W306"/>
    <hyperlink r:id="rId935" ref="Z306"/>
    <hyperlink r:id="rId936" ref="AA306"/>
    <hyperlink r:id="rId937" ref="W307"/>
    <hyperlink r:id="rId938" ref="Z307"/>
    <hyperlink r:id="rId939" ref="AA307"/>
    <hyperlink r:id="rId940" ref="W308"/>
    <hyperlink r:id="rId941" ref="Z308"/>
    <hyperlink r:id="rId942" ref="AA308"/>
    <hyperlink r:id="rId943" ref="W309"/>
    <hyperlink r:id="rId944" ref="Z309"/>
    <hyperlink r:id="rId945" ref="AA309"/>
    <hyperlink r:id="rId946" ref="W310"/>
    <hyperlink r:id="rId947" ref="Z310"/>
    <hyperlink r:id="rId948" ref="AA310"/>
    <hyperlink r:id="rId949" ref="W311"/>
    <hyperlink r:id="rId950" ref="Z311"/>
    <hyperlink r:id="rId951" ref="AA311"/>
    <hyperlink r:id="rId952" ref="W312"/>
    <hyperlink r:id="rId953" ref="Z312"/>
    <hyperlink r:id="rId954" ref="AA312"/>
    <hyperlink r:id="rId955" ref="W313"/>
    <hyperlink r:id="rId956" ref="Z313"/>
    <hyperlink r:id="rId957" ref="AA313"/>
    <hyperlink r:id="rId958" ref="W314"/>
    <hyperlink r:id="rId959" ref="Z314"/>
    <hyperlink r:id="rId960" ref="AA314"/>
    <hyperlink r:id="rId961" ref="R315"/>
    <hyperlink r:id="rId962" ref="W315"/>
    <hyperlink r:id="rId963" ref="Z315"/>
    <hyperlink r:id="rId964" ref="AA315"/>
    <hyperlink r:id="rId965" ref="W316"/>
    <hyperlink r:id="rId966" ref="Z316"/>
    <hyperlink r:id="rId967" ref="AA316"/>
    <hyperlink r:id="rId968" ref="W317"/>
    <hyperlink r:id="rId969" ref="Z317"/>
    <hyperlink r:id="rId970" ref="AA317"/>
    <hyperlink r:id="rId971" ref="W318"/>
    <hyperlink r:id="rId972" ref="Z318"/>
    <hyperlink r:id="rId973" ref="AA318"/>
    <hyperlink r:id="rId974" ref="W319"/>
    <hyperlink r:id="rId975" ref="Z319"/>
    <hyperlink r:id="rId976" ref="AA319"/>
    <hyperlink r:id="rId977" ref="W320"/>
    <hyperlink r:id="rId978" ref="Z320"/>
    <hyperlink r:id="rId979" ref="AA320"/>
    <hyperlink r:id="rId980" ref="W321"/>
    <hyperlink r:id="rId981" ref="Z321"/>
    <hyperlink r:id="rId982" ref="AA321"/>
    <hyperlink r:id="rId983" ref="W322"/>
    <hyperlink r:id="rId984" ref="Z322"/>
    <hyperlink r:id="rId985" ref="AA322"/>
    <hyperlink r:id="rId986" ref="W323"/>
    <hyperlink r:id="rId987" ref="Z323"/>
    <hyperlink r:id="rId988" ref="AA323"/>
    <hyperlink r:id="rId989" ref="W324"/>
    <hyperlink r:id="rId990" ref="Z324"/>
    <hyperlink r:id="rId991" ref="AA324"/>
    <hyperlink r:id="rId992" ref="W325"/>
    <hyperlink r:id="rId993" ref="Z325"/>
    <hyperlink r:id="rId994" ref="AA325"/>
    <hyperlink r:id="rId995" ref="W326"/>
    <hyperlink r:id="rId996" ref="Z326"/>
    <hyperlink r:id="rId997" ref="AA326"/>
    <hyperlink r:id="rId998" ref="W327"/>
    <hyperlink r:id="rId999" ref="Z327"/>
    <hyperlink r:id="rId1000" ref="AA327"/>
    <hyperlink r:id="rId1001" ref="W328"/>
    <hyperlink r:id="rId1002" ref="Z328"/>
    <hyperlink r:id="rId1003" ref="AA328"/>
    <hyperlink r:id="rId1004" ref="W329"/>
    <hyperlink r:id="rId1005" ref="Z329"/>
    <hyperlink r:id="rId1006" ref="AA329"/>
    <hyperlink r:id="rId1007" ref="W330"/>
    <hyperlink r:id="rId1008" ref="Z330"/>
    <hyperlink r:id="rId1009" ref="AA330"/>
    <hyperlink r:id="rId1010" ref="W331"/>
    <hyperlink r:id="rId1011" ref="Z331"/>
    <hyperlink r:id="rId1012" ref="AA331"/>
    <hyperlink r:id="rId1013" ref="W332"/>
    <hyperlink r:id="rId1014" ref="Z332"/>
    <hyperlink r:id="rId1015" ref="AA332"/>
    <hyperlink r:id="rId1016" ref="W333"/>
    <hyperlink r:id="rId1017" ref="Z333"/>
    <hyperlink r:id="rId1018" ref="AA333"/>
    <hyperlink r:id="rId1019" ref="W334"/>
    <hyperlink r:id="rId1020" ref="Z334"/>
    <hyperlink r:id="rId1021" ref="AA334"/>
    <hyperlink r:id="rId1022" ref="W335"/>
    <hyperlink r:id="rId1023" ref="Z335"/>
    <hyperlink r:id="rId1024" ref="AA335"/>
    <hyperlink r:id="rId1025" ref="W336"/>
    <hyperlink r:id="rId1026" ref="Z336"/>
    <hyperlink r:id="rId1027" ref="AA336"/>
    <hyperlink r:id="rId1028" ref="W337"/>
    <hyperlink r:id="rId1029" ref="Z337"/>
    <hyperlink r:id="rId1030" ref="AA337"/>
    <hyperlink r:id="rId1031" ref="W338"/>
    <hyperlink r:id="rId1032" ref="Z338"/>
    <hyperlink r:id="rId1033" ref="AA338"/>
    <hyperlink r:id="rId1034" ref="W339"/>
    <hyperlink r:id="rId1035" ref="Z339"/>
    <hyperlink r:id="rId1036" ref="AA339"/>
    <hyperlink r:id="rId1037" ref="W340"/>
    <hyperlink r:id="rId1038" ref="Z340"/>
    <hyperlink r:id="rId1039" ref="AA340"/>
    <hyperlink r:id="rId1040" ref="R341"/>
    <hyperlink r:id="rId1041" ref="W341"/>
    <hyperlink r:id="rId1042" ref="Z341"/>
    <hyperlink r:id="rId1043" ref="AA341"/>
    <hyperlink r:id="rId1044" ref="R342"/>
    <hyperlink r:id="rId1045" ref="W342"/>
    <hyperlink r:id="rId1046" ref="Z342"/>
    <hyperlink r:id="rId1047" ref="AA342"/>
    <hyperlink r:id="rId1048" ref="R343"/>
    <hyperlink r:id="rId1049" ref="W343"/>
    <hyperlink r:id="rId1050" ref="Z343"/>
    <hyperlink r:id="rId1051" ref="AA343"/>
    <hyperlink r:id="rId1052" ref="W344"/>
    <hyperlink r:id="rId1053" ref="Z344"/>
    <hyperlink r:id="rId1054" ref="AA344"/>
    <hyperlink r:id="rId1055" ref="W345"/>
    <hyperlink r:id="rId1056" ref="Z345"/>
    <hyperlink r:id="rId1057" ref="AA345"/>
    <hyperlink r:id="rId1058" ref="W346"/>
    <hyperlink r:id="rId1059" ref="Z346"/>
    <hyperlink r:id="rId1060" ref="AA346"/>
    <hyperlink r:id="rId1061" ref="W347"/>
    <hyperlink r:id="rId1062" ref="Z347"/>
    <hyperlink r:id="rId1063" ref="AA347"/>
    <hyperlink r:id="rId1064" ref="R348"/>
    <hyperlink r:id="rId1065" ref="W348"/>
    <hyperlink r:id="rId1066" ref="Z348"/>
    <hyperlink r:id="rId1067" ref="AA348"/>
    <hyperlink r:id="rId1068" ref="W349"/>
    <hyperlink r:id="rId1069" ref="Z349"/>
    <hyperlink r:id="rId1070" ref="AA349"/>
    <hyperlink r:id="rId1071" ref="W350"/>
    <hyperlink r:id="rId1072" ref="Z350"/>
    <hyperlink r:id="rId1073" ref="AA350"/>
    <hyperlink r:id="rId1074" ref="W351"/>
    <hyperlink r:id="rId1075" ref="Z351"/>
    <hyperlink r:id="rId1076" ref="AA351"/>
    <hyperlink r:id="rId1077" ref="W352"/>
    <hyperlink r:id="rId1078" ref="Z352"/>
    <hyperlink r:id="rId1079" ref="AA352"/>
    <hyperlink r:id="rId1080" ref="W353"/>
    <hyperlink r:id="rId1081" ref="Z353"/>
    <hyperlink r:id="rId1082" ref="AA353"/>
    <hyperlink r:id="rId1083" ref="W354"/>
    <hyperlink r:id="rId1084" ref="Z354"/>
    <hyperlink r:id="rId1085" ref="AA354"/>
    <hyperlink r:id="rId1086" ref="W355"/>
    <hyperlink r:id="rId1087" ref="Z355"/>
    <hyperlink r:id="rId1088" ref="AA355"/>
    <hyperlink r:id="rId1089" ref="W356"/>
    <hyperlink r:id="rId1090" ref="Z356"/>
    <hyperlink r:id="rId1091" ref="AA356"/>
    <hyperlink r:id="rId1092" ref="W357"/>
    <hyperlink r:id="rId1093" ref="Z357"/>
    <hyperlink r:id="rId1094" ref="AA357"/>
    <hyperlink r:id="rId1095" ref="W358"/>
    <hyperlink r:id="rId1096" ref="Z358"/>
    <hyperlink r:id="rId1097" ref="AA358"/>
    <hyperlink r:id="rId1098" ref="W359"/>
    <hyperlink r:id="rId1099" ref="Z359"/>
    <hyperlink r:id="rId1100" ref="AA359"/>
    <hyperlink r:id="rId1101" ref="W360"/>
    <hyperlink r:id="rId1102" ref="Z360"/>
    <hyperlink r:id="rId1103" ref="AA360"/>
    <hyperlink r:id="rId1104" ref="W361"/>
    <hyperlink r:id="rId1105" ref="Z361"/>
    <hyperlink r:id="rId1106" ref="AA361"/>
    <hyperlink r:id="rId1107" ref="W362"/>
    <hyperlink r:id="rId1108" ref="Z362"/>
    <hyperlink r:id="rId1109" ref="AA362"/>
    <hyperlink r:id="rId1110" ref="W363"/>
    <hyperlink r:id="rId1111" ref="Z363"/>
    <hyperlink r:id="rId1112" ref="AA363"/>
    <hyperlink r:id="rId1113" ref="W364"/>
    <hyperlink r:id="rId1114" ref="Z364"/>
    <hyperlink r:id="rId1115" ref="AA364"/>
    <hyperlink r:id="rId1116" ref="W365"/>
    <hyperlink r:id="rId1117" ref="Z365"/>
    <hyperlink r:id="rId1118" ref="AA365"/>
    <hyperlink r:id="rId1119" ref="W366"/>
    <hyperlink r:id="rId1120" ref="Z366"/>
    <hyperlink r:id="rId1121" ref="AA366"/>
    <hyperlink r:id="rId1122" ref="W367"/>
    <hyperlink r:id="rId1123" ref="Z367"/>
    <hyperlink r:id="rId1124" ref="AA367"/>
    <hyperlink r:id="rId1125" ref="W368"/>
    <hyperlink r:id="rId1126" ref="Z368"/>
    <hyperlink r:id="rId1127" ref="AA368"/>
    <hyperlink r:id="rId1128" ref="W369"/>
    <hyperlink r:id="rId1129" ref="Z369"/>
    <hyperlink r:id="rId1130" ref="AA369"/>
    <hyperlink r:id="rId1131" ref="W370"/>
    <hyperlink r:id="rId1132" ref="Z370"/>
    <hyperlink r:id="rId1133" ref="AA370"/>
    <hyperlink r:id="rId1134" ref="W371"/>
    <hyperlink r:id="rId1135" ref="Z371"/>
    <hyperlink r:id="rId1136" ref="AA371"/>
    <hyperlink r:id="rId1137" ref="W372"/>
    <hyperlink r:id="rId1138" ref="Z372"/>
    <hyperlink r:id="rId1139" ref="AA372"/>
    <hyperlink r:id="rId1140" ref="W373"/>
    <hyperlink r:id="rId1141" ref="Z373"/>
    <hyperlink r:id="rId1142" ref="AA373"/>
    <hyperlink r:id="rId1143" ref="R374"/>
    <hyperlink r:id="rId1144" ref="W374"/>
    <hyperlink r:id="rId1145" ref="Z374"/>
    <hyperlink r:id="rId1146" ref="AA374"/>
    <hyperlink r:id="rId1147" ref="R375"/>
    <hyperlink r:id="rId1148" ref="W375"/>
    <hyperlink r:id="rId1149" ref="Z375"/>
    <hyperlink r:id="rId1150" ref="AA375"/>
    <hyperlink r:id="rId1151" ref="R376"/>
    <hyperlink r:id="rId1152" ref="W376"/>
    <hyperlink r:id="rId1153" ref="Z376"/>
    <hyperlink r:id="rId1154" ref="AA376"/>
    <hyperlink r:id="rId1155" ref="W377"/>
    <hyperlink r:id="rId1156" ref="Z377"/>
    <hyperlink r:id="rId1157" ref="AA377"/>
    <hyperlink r:id="rId1158" ref="R378"/>
    <hyperlink r:id="rId1159" ref="W378"/>
    <hyperlink r:id="rId1160" ref="Z378"/>
    <hyperlink r:id="rId1161" ref="AA378"/>
    <hyperlink r:id="rId1162" ref="W379"/>
    <hyperlink r:id="rId1163" ref="Z379"/>
    <hyperlink r:id="rId1164" ref="AA379"/>
    <hyperlink r:id="rId1165" ref="W380"/>
    <hyperlink r:id="rId1166" ref="Z380"/>
    <hyperlink r:id="rId1167" ref="AA380"/>
    <hyperlink r:id="rId1168" ref="W381"/>
    <hyperlink r:id="rId1169" ref="Z381"/>
    <hyperlink r:id="rId1170" ref="AA381"/>
    <hyperlink r:id="rId1171" ref="R382"/>
    <hyperlink r:id="rId1172" ref="W382"/>
    <hyperlink r:id="rId1173" ref="Z382"/>
    <hyperlink r:id="rId1174" ref="AA382"/>
    <hyperlink r:id="rId1175" ref="W383"/>
    <hyperlink r:id="rId1176" ref="Z383"/>
    <hyperlink r:id="rId1177" ref="AA383"/>
    <hyperlink r:id="rId1178" ref="W384"/>
    <hyperlink r:id="rId1179" ref="Z384"/>
    <hyperlink r:id="rId1180" ref="AA384"/>
    <hyperlink r:id="rId1181" ref="W385"/>
    <hyperlink r:id="rId1182" ref="Z385"/>
    <hyperlink r:id="rId1183" ref="AA385"/>
    <hyperlink r:id="rId1184" ref="W386"/>
    <hyperlink r:id="rId1185" ref="Z386"/>
    <hyperlink r:id="rId1186" ref="AA386"/>
    <hyperlink r:id="rId1187" ref="W387"/>
    <hyperlink r:id="rId1188" ref="Z387"/>
    <hyperlink r:id="rId1189" ref="AA387"/>
    <hyperlink r:id="rId1190" ref="R388"/>
    <hyperlink r:id="rId1191" ref="W388"/>
    <hyperlink r:id="rId1192" ref="Z388"/>
    <hyperlink r:id="rId1193" ref="AA388"/>
    <hyperlink r:id="rId1194" ref="W389"/>
    <hyperlink r:id="rId1195" ref="Z389"/>
    <hyperlink r:id="rId1196" ref="AA389"/>
    <hyperlink r:id="rId1197" ref="W390"/>
    <hyperlink r:id="rId1198" ref="Z390"/>
    <hyperlink r:id="rId1199" ref="AA390"/>
    <hyperlink r:id="rId1200" ref="W391"/>
    <hyperlink r:id="rId1201" ref="Z391"/>
    <hyperlink r:id="rId1202" ref="AA391"/>
    <hyperlink r:id="rId1203" ref="W392"/>
    <hyperlink r:id="rId1204" ref="Z392"/>
    <hyperlink r:id="rId1205" ref="AA392"/>
    <hyperlink r:id="rId1206" ref="W393"/>
    <hyperlink r:id="rId1207" ref="Z393"/>
    <hyperlink r:id="rId1208" ref="AA393"/>
    <hyperlink r:id="rId1209" ref="W394"/>
    <hyperlink r:id="rId1210" ref="Z394"/>
    <hyperlink r:id="rId1211" ref="AA394"/>
    <hyperlink r:id="rId1212" ref="W395"/>
    <hyperlink r:id="rId1213" ref="Z395"/>
    <hyperlink r:id="rId1214" ref="AA395"/>
    <hyperlink r:id="rId1215" ref="W396"/>
    <hyperlink r:id="rId1216" ref="Z396"/>
    <hyperlink r:id="rId1217" ref="AA396"/>
    <hyperlink r:id="rId1218" ref="W397"/>
    <hyperlink r:id="rId1219" ref="Z397"/>
    <hyperlink r:id="rId1220" ref="AA397"/>
    <hyperlink r:id="rId1221" ref="W398"/>
    <hyperlink r:id="rId1222" ref="Z398"/>
    <hyperlink r:id="rId1223" ref="AA398"/>
    <hyperlink r:id="rId1224" ref="R399"/>
    <hyperlink r:id="rId1225" ref="W399"/>
    <hyperlink r:id="rId1226" ref="Z399"/>
    <hyperlink r:id="rId1227" ref="AA399"/>
    <hyperlink r:id="rId1228" ref="R400"/>
    <hyperlink r:id="rId1229" ref="W400"/>
    <hyperlink r:id="rId1230" ref="Z400"/>
    <hyperlink r:id="rId1231" ref="AA400"/>
    <hyperlink r:id="rId1232" ref="W401"/>
    <hyperlink r:id="rId1233" ref="Z401"/>
    <hyperlink r:id="rId1234" ref="AA401"/>
    <hyperlink r:id="rId1235" ref="W402"/>
    <hyperlink r:id="rId1236" ref="Z402"/>
    <hyperlink r:id="rId1237" ref="AA402"/>
    <hyperlink r:id="rId1238" ref="W403"/>
    <hyperlink r:id="rId1239" ref="Z403"/>
    <hyperlink r:id="rId1240" ref="AA403"/>
    <hyperlink r:id="rId1241" ref="W404"/>
    <hyperlink r:id="rId1242" ref="Z404"/>
    <hyperlink r:id="rId1243" ref="AA404"/>
    <hyperlink r:id="rId1244" ref="W405"/>
    <hyperlink r:id="rId1245" ref="Z405"/>
    <hyperlink r:id="rId1246" ref="AA405"/>
    <hyperlink r:id="rId1247" ref="W406"/>
    <hyperlink r:id="rId1248" ref="Z406"/>
    <hyperlink r:id="rId1249" ref="AA406"/>
    <hyperlink r:id="rId1250" ref="W407"/>
    <hyperlink r:id="rId1251" ref="Z407"/>
    <hyperlink r:id="rId1252" ref="AA407"/>
    <hyperlink r:id="rId1253" ref="W408"/>
    <hyperlink r:id="rId1254" ref="Z408"/>
    <hyperlink r:id="rId1255" ref="AA408"/>
    <hyperlink r:id="rId1256" ref="W409"/>
    <hyperlink r:id="rId1257" ref="Z409"/>
    <hyperlink r:id="rId1258" ref="AA409"/>
    <hyperlink r:id="rId1259" ref="R410"/>
    <hyperlink r:id="rId1260" ref="W410"/>
    <hyperlink r:id="rId1261" ref="Z410"/>
    <hyperlink r:id="rId1262" ref="AA410"/>
    <hyperlink r:id="rId1263" ref="W411"/>
    <hyperlink r:id="rId1264" ref="Z411"/>
    <hyperlink r:id="rId1265" ref="AA411"/>
    <hyperlink r:id="rId1266" ref="W412"/>
    <hyperlink r:id="rId1267" ref="Z412"/>
    <hyperlink r:id="rId1268" ref="AA412"/>
    <hyperlink r:id="rId1269" ref="W413"/>
    <hyperlink r:id="rId1270" ref="Z413"/>
    <hyperlink r:id="rId1271" ref="AA413"/>
    <hyperlink r:id="rId1272" ref="W414"/>
    <hyperlink r:id="rId1273" ref="Z414"/>
    <hyperlink r:id="rId1274" ref="AA414"/>
    <hyperlink r:id="rId1275" ref="W415"/>
    <hyperlink r:id="rId1276" ref="Z415"/>
    <hyperlink r:id="rId1277" ref="AA415"/>
    <hyperlink r:id="rId1278" ref="W416"/>
    <hyperlink r:id="rId1279" ref="Z416"/>
    <hyperlink r:id="rId1280" ref="AA416"/>
    <hyperlink r:id="rId1281" ref="W417"/>
    <hyperlink r:id="rId1282" ref="Z417"/>
    <hyperlink r:id="rId1283" ref="AA417"/>
    <hyperlink r:id="rId1284" ref="R418"/>
    <hyperlink r:id="rId1285" ref="W418"/>
    <hyperlink r:id="rId1286" ref="Z418"/>
    <hyperlink r:id="rId1287" ref="AA418"/>
    <hyperlink r:id="rId1288" ref="W419"/>
    <hyperlink r:id="rId1289" ref="Z419"/>
    <hyperlink r:id="rId1290" ref="AA419"/>
    <hyperlink r:id="rId1291" ref="R420"/>
    <hyperlink r:id="rId1292" ref="W420"/>
    <hyperlink r:id="rId1293" ref="Z420"/>
    <hyperlink r:id="rId1294" ref="AA420"/>
    <hyperlink r:id="rId1295" ref="W421"/>
    <hyperlink r:id="rId1296" ref="Z421"/>
    <hyperlink r:id="rId1297" ref="AA421"/>
    <hyperlink r:id="rId1298" ref="W422"/>
    <hyperlink r:id="rId1299" ref="Z422"/>
    <hyperlink r:id="rId1300" ref="AA422"/>
    <hyperlink r:id="rId1301" ref="W423"/>
    <hyperlink r:id="rId1302" ref="Z423"/>
    <hyperlink r:id="rId1303" ref="AA423"/>
    <hyperlink r:id="rId1304" ref="W424"/>
    <hyperlink r:id="rId1305" ref="Z424"/>
    <hyperlink r:id="rId1306" ref="AA424"/>
    <hyperlink r:id="rId1307" ref="W425"/>
    <hyperlink r:id="rId1308" ref="Z425"/>
    <hyperlink r:id="rId1309" ref="AA425"/>
    <hyperlink r:id="rId1310" ref="W426"/>
    <hyperlink r:id="rId1311" ref="Z426"/>
    <hyperlink r:id="rId1312" ref="AA426"/>
    <hyperlink r:id="rId1313" ref="R427"/>
    <hyperlink r:id="rId1314" ref="W427"/>
    <hyperlink r:id="rId1315" ref="Z427"/>
    <hyperlink r:id="rId1316" ref="AA427"/>
    <hyperlink r:id="rId1317" ref="W428"/>
    <hyperlink r:id="rId1318" ref="Z428"/>
    <hyperlink r:id="rId1319" ref="AA428"/>
    <hyperlink r:id="rId1320" ref="W429"/>
    <hyperlink r:id="rId1321" ref="Z429"/>
    <hyperlink r:id="rId1322" ref="AA429"/>
    <hyperlink r:id="rId1323" ref="W430"/>
    <hyperlink r:id="rId1324" ref="Z430"/>
    <hyperlink r:id="rId1325" ref="AA430"/>
    <hyperlink r:id="rId1326" ref="R431"/>
    <hyperlink r:id="rId1327" ref="W431"/>
    <hyperlink r:id="rId1328" ref="Z431"/>
    <hyperlink r:id="rId1329" ref="AA431"/>
    <hyperlink r:id="rId1330" ref="R432"/>
    <hyperlink r:id="rId1331" ref="W432"/>
    <hyperlink r:id="rId1332" ref="Z432"/>
    <hyperlink r:id="rId1333" ref="AA432"/>
    <hyperlink r:id="rId1334" ref="W433"/>
    <hyperlink r:id="rId1335" ref="Z433"/>
    <hyperlink r:id="rId1336" ref="AA433"/>
    <hyperlink r:id="rId1337" ref="W434"/>
    <hyperlink r:id="rId1338" ref="Z434"/>
    <hyperlink r:id="rId1339" ref="AA434"/>
    <hyperlink r:id="rId1340" ref="W435"/>
    <hyperlink r:id="rId1341" ref="Z435"/>
    <hyperlink r:id="rId1342" ref="AA435"/>
    <hyperlink r:id="rId1343" ref="W436"/>
    <hyperlink r:id="rId1344" ref="Z436"/>
    <hyperlink r:id="rId1345" ref="AA436"/>
    <hyperlink r:id="rId1346" ref="W437"/>
    <hyperlink r:id="rId1347" ref="Z437"/>
    <hyperlink r:id="rId1348" ref="AA437"/>
    <hyperlink r:id="rId1349" ref="W438"/>
    <hyperlink r:id="rId1350" ref="Z438"/>
    <hyperlink r:id="rId1351" ref="AA438"/>
    <hyperlink r:id="rId1352" ref="W439"/>
    <hyperlink r:id="rId1353" ref="Z439"/>
    <hyperlink r:id="rId1354" ref="AA439"/>
    <hyperlink r:id="rId1355" ref="R440"/>
    <hyperlink r:id="rId1356" ref="W440"/>
    <hyperlink r:id="rId1357" ref="Z440"/>
    <hyperlink r:id="rId1358" ref="AA440"/>
    <hyperlink r:id="rId1359" ref="W441"/>
    <hyperlink r:id="rId1360" ref="Z441"/>
    <hyperlink r:id="rId1361" ref="AA441"/>
    <hyperlink r:id="rId1362" ref="W442"/>
    <hyperlink r:id="rId1363" ref="Z442"/>
    <hyperlink r:id="rId1364" ref="AA442"/>
    <hyperlink r:id="rId1365" ref="W443"/>
    <hyperlink r:id="rId1366" ref="Z443"/>
    <hyperlink r:id="rId1367" ref="AA443"/>
    <hyperlink r:id="rId1368" ref="W444"/>
    <hyperlink r:id="rId1369" ref="Z444"/>
    <hyperlink r:id="rId1370" ref="AA444"/>
    <hyperlink r:id="rId1371" ref="W445"/>
    <hyperlink r:id="rId1372" ref="Z445"/>
    <hyperlink r:id="rId1373" ref="AA445"/>
    <hyperlink r:id="rId1374" ref="W446"/>
    <hyperlink r:id="rId1375" ref="Z446"/>
    <hyperlink r:id="rId1376" ref="AA446"/>
    <hyperlink r:id="rId1377" ref="W447"/>
    <hyperlink r:id="rId1378" ref="Z447"/>
    <hyperlink r:id="rId1379" ref="AA447"/>
    <hyperlink r:id="rId1380" ref="W448"/>
    <hyperlink r:id="rId1381" ref="Z448"/>
    <hyperlink r:id="rId1382" ref="AA448"/>
    <hyperlink r:id="rId1383" ref="W449"/>
    <hyperlink r:id="rId1384" ref="Z449"/>
    <hyperlink r:id="rId1385" ref="AA449"/>
    <hyperlink r:id="rId1386" ref="W450"/>
    <hyperlink r:id="rId1387" ref="Z450"/>
    <hyperlink r:id="rId1388" ref="AA450"/>
    <hyperlink r:id="rId1389" ref="W451"/>
    <hyperlink r:id="rId1390" ref="Z451"/>
    <hyperlink r:id="rId1391" ref="AA451"/>
    <hyperlink r:id="rId1392" ref="W452"/>
    <hyperlink r:id="rId1393" ref="Z452"/>
    <hyperlink r:id="rId1394" ref="AA452"/>
    <hyperlink r:id="rId1395" ref="W453"/>
    <hyperlink r:id="rId1396" ref="Z453"/>
    <hyperlink r:id="rId1397" ref="AA453"/>
    <hyperlink r:id="rId1398" ref="W454"/>
    <hyperlink r:id="rId1399" ref="Z454"/>
    <hyperlink r:id="rId1400" ref="AA454"/>
    <hyperlink r:id="rId1401" ref="W455"/>
    <hyperlink r:id="rId1402" ref="Z455"/>
    <hyperlink r:id="rId1403" ref="AA455"/>
    <hyperlink r:id="rId1404" ref="W456"/>
    <hyperlink r:id="rId1405" ref="Z456"/>
    <hyperlink r:id="rId1406" ref="AA456"/>
    <hyperlink r:id="rId1407" ref="W457"/>
    <hyperlink r:id="rId1408" ref="Z457"/>
    <hyperlink r:id="rId1409" ref="AA457"/>
    <hyperlink r:id="rId1410" ref="R458"/>
    <hyperlink r:id="rId1411" ref="W458"/>
    <hyperlink r:id="rId1412" ref="Z458"/>
    <hyperlink r:id="rId1413" ref="AA458"/>
    <hyperlink r:id="rId1414" ref="W459"/>
    <hyperlink r:id="rId1415" ref="Z459"/>
    <hyperlink r:id="rId1416" ref="AA459"/>
    <hyperlink r:id="rId1417" ref="W460"/>
    <hyperlink r:id="rId1418" ref="Z460"/>
    <hyperlink r:id="rId1419" ref="AA460"/>
    <hyperlink r:id="rId1420" ref="W461"/>
    <hyperlink r:id="rId1421" ref="Z461"/>
    <hyperlink r:id="rId1422" ref="AA461"/>
    <hyperlink r:id="rId1423" ref="W462"/>
    <hyperlink r:id="rId1424" ref="Z462"/>
    <hyperlink r:id="rId1425" ref="AA462"/>
    <hyperlink r:id="rId1426" ref="R463"/>
    <hyperlink r:id="rId1427" ref="W463"/>
    <hyperlink r:id="rId1428" ref="Z463"/>
    <hyperlink r:id="rId1429" ref="AA463"/>
    <hyperlink r:id="rId1430" ref="W464"/>
    <hyperlink r:id="rId1431" ref="Z464"/>
    <hyperlink r:id="rId1432" ref="AA464"/>
    <hyperlink r:id="rId1433" ref="W465"/>
    <hyperlink r:id="rId1434" ref="Z465"/>
    <hyperlink r:id="rId1435" ref="AA465"/>
    <hyperlink r:id="rId1436" ref="W466"/>
    <hyperlink r:id="rId1437" ref="Z466"/>
    <hyperlink r:id="rId1438" ref="AA466"/>
    <hyperlink r:id="rId1439" ref="R467"/>
    <hyperlink r:id="rId1440" ref="W467"/>
    <hyperlink r:id="rId1441" ref="Z467"/>
    <hyperlink r:id="rId1442" ref="AA467"/>
    <hyperlink r:id="rId1443" ref="W468"/>
    <hyperlink r:id="rId1444" ref="Z468"/>
    <hyperlink r:id="rId1445" ref="AA468"/>
    <hyperlink r:id="rId1446" ref="W469"/>
    <hyperlink r:id="rId1447" ref="Z469"/>
    <hyperlink r:id="rId1448" ref="AA469"/>
    <hyperlink r:id="rId1449" ref="W470"/>
    <hyperlink r:id="rId1450" ref="Z470"/>
    <hyperlink r:id="rId1451" ref="AA470"/>
    <hyperlink r:id="rId1452" ref="W471"/>
    <hyperlink r:id="rId1453" ref="Z471"/>
    <hyperlink r:id="rId1454" ref="AA471"/>
    <hyperlink r:id="rId1455" ref="W472"/>
    <hyperlink r:id="rId1456" ref="Z472"/>
    <hyperlink r:id="rId1457" ref="AA472"/>
    <hyperlink r:id="rId1458" ref="W473"/>
    <hyperlink r:id="rId1459" ref="Z473"/>
    <hyperlink r:id="rId1460" ref="AA473"/>
    <hyperlink r:id="rId1461" ref="W474"/>
    <hyperlink r:id="rId1462" ref="Z474"/>
    <hyperlink r:id="rId1463" ref="AA474"/>
    <hyperlink r:id="rId1464" ref="W475"/>
    <hyperlink r:id="rId1465" ref="Z475"/>
    <hyperlink r:id="rId1466" ref="AA475"/>
    <hyperlink r:id="rId1467" ref="R476"/>
    <hyperlink r:id="rId1468" ref="W476"/>
    <hyperlink r:id="rId1469" ref="Z476"/>
    <hyperlink r:id="rId1470" ref="AA476"/>
    <hyperlink r:id="rId1471" ref="W477"/>
    <hyperlink r:id="rId1472" ref="Z477"/>
    <hyperlink r:id="rId1473" ref="AA477"/>
    <hyperlink r:id="rId1474" ref="R478"/>
    <hyperlink r:id="rId1475" ref="W478"/>
    <hyperlink r:id="rId1476" ref="Z478"/>
    <hyperlink r:id="rId1477" ref="AA478"/>
    <hyperlink r:id="rId1478" ref="W479"/>
    <hyperlink r:id="rId1479" ref="Z479"/>
    <hyperlink r:id="rId1480" ref="AA479"/>
    <hyperlink r:id="rId1481" ref="W480"/>
    <hyperlink r:id="rId1482" ref="Z480"/>
    <hyperlink r:id="rId1483" ref="AA480"/>
    <hyperlink r:id="rId1484" ref="W481"/>
    <hyperlink r:id="rId1485" ref="Z481"/>
    <hyperlink r:id="rId1486" ref="AA481"/>
    <hyperlink r:id="rId1487" ref="W482"/>
    <hyperlink r:id="rId1488" ref="Z482"/>
    <hyperlink r:id="rId1489" ref="AA482"/>
    <hyperlink r:id="rId1490" ref="W483"/>
    <hyperlink r:id="rId1491" ref="Z483"/>
    <hyperlink r:id="rId1492" ref="AA483"/>
    <hyperlink r:id="rId1493" ref="W484"/>
    <hyperlink r:id="rId1494" ref="Z484"/>
    <hyperlink r:id="rId1495" ref="AA484"/>
    <hyperlink r:id="rId1496" ref="R485"/>
    <hyperlink r:id="rId1497" ref="W485"/>
    <hyperlink r:id="rId1498" ref="Z485"/>
    <hyperlink r:id="rId1499" ref="AA485"/>
    <hyperlink r:id="rId1500" ref="W486"/>
    <hyperlink r:id="rId1501" ref="Z486"/>
    <hyperlink r:id="rId1502" ref="AA486"/>
    <hyperlink r:id="rId1503" ref="W487"/>
    <hyperlink r:id="rId1504" ref="Z487"/>
    <hyperlink r:id="rId1505" ref="AA487"/>
    <hyperlink r:id="rId1506" ref="W488"/>
    <hyperlink r:id="rId1507" ref="Z488"/>
    <hyperlink r:id="rId1508" ref="AA488"/>
    <hyperlink r:id="rId1509" ref="W489"/>
    <hyperlink r:id="rId1510" ref="Z489"/>
    <hyperlink r:id="rId1511" ref="AA489"/>
    <hyperlink r:id="rId1512" ref="W490"/>
    <hyperlink r:id="rId1513" ref="Z490"/>
    <hyperlink r:id="rId1514" ref="AA490"/>
    <hyperlink r:id="rId1515" ref="W491"/>
    <hyperlink r:id="rId1516" ref="Z491"/>
    <hyperlink r:id="rId1517" ref="AA491"/>
    <hyperlink r:id="rId1518" ref="W492"/>
    <hyperlink r:id="rId1519" ref="Z492"/>
    <hyperlink r:id="rId1520" ref="AA492"/>
    <hyperlink r:id="rId1521" ref="W493"/>
    <hyperlink r:id="rId1522" ref="Z493"/>
    <hyperlink r:id="rId1523" ref="AA493"/>
    <hyperlink r:id="rId1524" ref="W494"/>
    <hyperlink r:id="rId1525" ref="Z494"/>
    <hyperlink r:id="rId1526" ref="AA494"/>
    <hyperlink r:id="rId1527" ref="R495"/>
    <hyperlink r:id="rId1528" ref="W495"/>
    <hyperlink r:id="rId1529" ref="Z495"/>
    <hyperlink r:id="rId1530" ref="AA495"/>
    <hyperlink r:id="rId1531" ref="W496"/>
    <hyperlink r:id="rId1532" ref="Z496"/>
    <hyperlink r:id="rId1533" ref="AA496"/>
    <hyperlink r:id="rId1534" ref="W497"/>
    <hyperlink r:id="rId1535" ref="Z497"/>
    <hyperlink r:id="rId1536" ref="AA497"/>
    <hyperlink r:id="rId1537" ref="W498"/>
    <hyperlink r:id="rId1538" ref="Z498"/>
    <hyperlink r:id="rId1539" ref="AA498"/>
    <hyperlink r:id="rId1540" ref="W499"/>
    <hyperlink r:id="rId1541" ref="Z499"/>
    <hyperlink r:id="rId1542" ref="AA499"/>
    <hyperlink r:id="rId1543" ref="W500"/>
    <hyperlink r:id="rId1544" ref="Z500"/>
    <hyperlink r:id="rId1545" ref="AA500"/>
    <hyperlink r:id="rId1546" ref="W501"/>
    <hyperlink r:id="rId1547" ref="Z501"/>
    <hyperlink r:id="rId1548" ref="AA501"/>
    <hyperlink r:id="rId1549" ref="W502"/>
    <hyperlink r:id="rId1550" ref="Z502"/>
    <hyperlink r:id="rId1551" ref="AA502"/>
    <hyperlink r:id="rId1552" ref="W503"/>
    <hyperlink r:id="rId1553" ref="Z503"/>
    <hyperlink r:id="rId1554" ref="AA503"/>
    <hyperlink r:id="rId1555" ref="W504"/>
    <hyperlink r:id="rId1556" ref="Z504"/>
    <hyperlink r:id="rId1557" ref="AA504"/>
    <hyperlink r:id="rId1558" ref="W505"/>
    <hyperlink r:id="rId1559" ref="Z505"/>
    <hyperlink r:id="rId1560" ref="AA505"/>
    <hyperlink r:id="rId1561" ref="W506"/>
    <hyperlink r:id="rId1562" ref="Z506"/>
    <hyperlink r:id="rId1563" ref="AA506"/>
    <hyperlink r:id="rId1564" ref="W507"/>
    <hyperlink r:id="rId1565" ref="Z507"/>
    <hyperlink r:id="rId1566" ref="AA507"/>
    <hyperlink r:id="rId1567" ref="W508"/>
    <hyperlink r:id="rId1568" ref="Z508"/>
    <hyperlink r:id="rId1569" ref="AA508"/>
    <hyperlink r:id="rId1570" ref="W509"/>
    <hyperlink r:id="rId1571" ref="Z509"/>
    <hyperlink r:id="rId1572" ref="AA509"/>
    <hyperlink r:id="rId1573" ref="W510"/>
    <hyperlink r:id="rId1574" ref="Z510"/>
    <hyperlink r:id="rId1575" ref="AA510"/>
    <hyperlink r:id="rId1576" ref="W511"/>
    <hyperlink r:id="rId1577" ref="Z511"/>
    <hyperlink r:id="rId1578" ref="AA511"/>
    <hyperlink r:id="rId1579" ref="W512"/>
    <hyperlink r:id="rId1580" ref="Z512"/>
    <hyperlink r:id="rId1581" ref="AA512"/>
    <hyperlink r:id="rId1582" ref="W513"/>
    <hyperlink r:id="rId1583" ref="Z513"/>
    <hyperlink r:id="rId1584" ref="AA513"/>
    <hyperlink r:id="rId1585" ref="W514"/>
    <hyperlink r:id="rId1586" ref="Z514"/>
    <hyperlink r:id="rId1587" ref="AA514"/>
    <hyperlink r:id="rId1588" ref="R515"/>
    <hyperlink r:id="rId1589" ref="W515"/>
    <hyperlink r:id="rId1590" ref="Z515"/>
    <hyperlink r:id="rId1591" ref="AA515"/>
    <hyperlink r:id="rId1592" ref="W516"/>
    <hyperlink r:id="rId1593" ref="Z516"/>
    <hyperlink r:id="rId1594" ref="AA516"/>
    <hyperlink r:id="rId1595" ref="W517"/>
    <hyperlink r:id="rId1596" ref="Z517"/>
    <hyperlink r:id="rId1597" ref="AA517"/>
    <hyperlink r:id="rId1598" ref="W518"/>
    <hyperlink r:id="rId1599" ref="Z518"/>
    <hyperlink r:id="rId1600" ref="AA518"/>
    <hyperlink r:id="rId1601" ref="W519"/>
    <hyperlink r:id="rId1602" ref="Z519"/>
    <hyperlink r:id="rId1603" ref="AA519"/>
    <hyperlink r:id="rId1604" ref="W520"/>
    <hyperlink r:id="rId1605" ref="Z520"/>
    <hyperlink r:id="rId1606" ref="AA520"/>
    <hyperlink r:id="rId1607" ref="W521"/>
    <hyperlink r:id="rId1608" ref="Z521"/>
    <hyperlink r:id="rId1609" ref="AA521"/>
    <hyperlink r:id="rId1610" ref="W522"/>
    <hyperlink r:id="rId1611" ref="Z522"/>
    <hyperlink r:id="rId1612" ref="AA522"/>
    <hyperlink r:id="rId1613" ref="W523"/>
    <hyperlink r:id="rId1614" ref="Z523"/>
    <hyperlink r:id="rId1615" ref="AA523"/>
    <hyperlink r:id="rId1616" ref="W524"/>
    <hyperlink r:id="rId1617" ref="Z524"/>
    <hyperlink r:id="rId1618" ref="AA524"/>
    <hyperlink r:id="rId1619" ref="W525"/>
    <hyperlink r:id="rId1620" ref="Z525"/>
    <hyperlink r:id="rId1621" ref="AA525"/>
    <hyperlink r:id="rId1622" ref="W526"/>
    <hyperlink r:id="rId1623" ref="Z526"/>
    <hyperlink r:id="rId1624" ref="AA526"/>
    <hyperlink r:id="rId1625" ref="W527"/>
    <hyperlink r:id="rId1626" ref="Z527"/>
    <hyperlink r:id="rId1627" ref="AA527"/>
    <hyperlink r:id="rId1628" ref="W528"/>
    <hyperlink r:id="rId1629" ref="Z528"/>
    <hyperlink r:id="rId1630" ref="AA528"/>
    <hyperlink r:id="rId1631" ref="W529"/>
    <hyperlink r:id="rId1632" ref="Z529"/>
    <hyperlink r:id="rId1633" ref="AA529"/>
    <hyperlink r:id="rId1634" ref="W530"/>
    <hyperlink r:id="rId1635" ref="Z530"/>
    <hyperlink r:id="rId1636" ref="AA530"/>
    <hyperlink r:id="rId1637" ref="W531"/>
    <hyperlink r:id="rId1638" ref="Z531"/>
    <hyperlink r:id="rId1639" ref="AA531"/>
    <hyperlink r:id="rId1640" ref="W532"/>
    <hyperlink r:id="rId1641" ref="Z532"/>
    <hyperlink r:id="rId1642" ref="AA532"/>
    <hyperlink r:id="rId1643" ref="R533"/>
    <hyperlink r:id="rId1644" ref="W533"/>
    <hyperlink r:id="rId1645" ref="Z533"/>
    <hyperlink r:id="rId1646" ref="AA533"/>
    <hyperlink r:id="rId1647" ref="W534"/>
    <hyperlink r:id="rId1648" ref="Z534"/>
    <hyperlink r:id="rId1649" ref="AA534"/>
    <hyperlink r:id="rId1650" ref="W535"/>
    <hyperlink r:id="rId1651" ref="Z535"/>
    <hyperlink r:id="rId1652" ref="AA535"/>
    <hyperlink r:id="rId1653" ref="W536"/>
    <hyperlink r:id="rId1654" ref="Z536"/>
    <hyperlink r:id="rId1655" ref="AA536"/>
    <hyperlink r:id="rId1656" ref="W537"/>
    <hyperlink r:id="rId1657" ref="Z537"/>
    <hyperlink r:id="rId1658" ref="AA537"/>
    <hyperlink r:id="rId1659" ref="W538"/>
    <hyperlink r:id="rId1660" ref="Z538"/>
    <hyperlink r:id="rId1661" ref="AA538"/>
    <hyperlink r:id="rId1662" ref="W539"/>
    <hyperlink r:id="rId1663" ref="Z539"/>
    <hyperlink r:id="rId1664" ref="AA539"/>
    <hyperlink r:id="rId1665" ref="R540"/>
    <hyperlink r:id="rId1666" ref="W540"/>
    <hyperlink r:id="rId1667" ref="Z540"/>
    <hyperlink r:id="rId1668" ref="AA540"/>
    <hyperlink r:id="rId1669" ref="W541"/>
    <hyperlink r:id="rId1670" ref="Z541"/>
    <hyperlink r:id="rId1671" ref="AA541"/>
    <hyperlink r:id="rId1672" ref="W542"/>
    <hyperlink r:id="rId1673" ref="Z542"/>
    <hyperlink r:id="rId1674" ref="AA542"/>
    <hyperlink r:id="rId1675" ref="W543"/>
    <hyperlink r:id="rId1676" ref="Z543"/>
    <hyperlink r:id="rId1677" ref="AA543"/>
    <hyperlink r:id="rId1678" ref="W544"/>
    <hyperlink r:id="rId1679" ref="Z544"/>
    <hyperlink r:id="rId1680" ref="AA544"/>
    <hyperlink r:id="rId1681" ref="W545"/>
    <hyperlink r:id="rId1682" ref="Z545"/>
    <hyperlink r:id="rId1683" ref="AA545"/>
    <hyperlink r:id="rId1684" ref="W546"/>
    <hyperlink r:id="rId1685" ref="Z546"/>
    <hyperlink r:id="rId1686" ref="AA546"/>
    <hyperlink r:id="rId1687" ref="W547"/>
    <hyperlink r:id="rId1688" ref="Z547"/>
    <hyperlink r:id="rId1689" ref="AA547"/>
    <hyperlink r:id="rId1690" ref="W548"/>
    <hyperlink r:id="rId1691" ref="Z548"/>
    <hyperlink r:id="rId1692" ref="AA548"/>
    <hyperlink r:id="rId1693" ref="W549"/>
    <hyperlink r:id="rId1694" ref="Z549"/>
    <hyperlink r:id="rId1695" ref="AA549"/>
    <hyperlink r:id="rId1696" ref="W550"/>
    <hyperlink r:id="rId1697" ref="Z550"/>
    <hyperlink r:id="rId1698" ref="AA550"/>
    <hyperlink r:id="rId1699" ref="R551"/>
    <hyperlink r:id="rId1700" ref="W551"/>
    <hyperlink r:id="rId1701" ref="Z551"/>
    <hyperlink r:id="rId1702" ref="AA551"/>
    <hyperlink r:id="rId1703" ref="W552"/>
    <hyperlink r:id="rId1704" ref="Z552"/>
    <hyperlink r:id="rId1705" ref="AA552"/>
    <hyperlink r:id="rId1706" ref="W553"/>
    <hyperlink r:id="rId1707" ref="Z553"/>
    <hyperlink r:id="rId1708" ref="AA553"/>
    <hyperlink r:id="rId1709" ref="W554"/>
    <hyperlink r:id="rId1710" ref="Z554"/>
    <hyperlink r:id="rId1711" ref="AA554"/>
    <hyperlink r:id="rId1712" ref="R555"/>
    <hyperlink r:id="rId1713" ref="W555"/>
    <hyperlink r:id="rId1714" ref="Z555"/>
    <hyperlink r:id="rId1715" ref="AA555"/>
    <hyperlink r:id="rId1716" ref="W556"/>
    <hyperlink r:id="rId1717" ref="Z556"/>
    <hyperlink r:id="rId1718" ref="AA556"/>
    <hyperlink r:id="rId1719" ref="R557"/>
    <hyperlink r:id="rId1720" ref="W557"/>
    <hyperlink r:id="rId1721" ref="Z557"/>
    <hyperlink r:id="rId1722" ref="AA557"/>
    <hyperlink r:id="rId1723" ref="W558"/>
    <hyperlink r:id="rId1724" ref="Z558"/>
    <hyperlink r:id="rId1725" ref="AA558"/>
    <hyperlink r:id="rId1726" ref="W559"/>
    <hyperlink r:id="rId1727" ref="Z559"/>
    <hyperlink r:id="rId1728" ref="AA559"/>
    <hyperlink r:id="rId1729" ref="W560"/>
    <hyperlink r:id="rId1730" ref="Z560"/>
    <hyperlink r:id="rId1731" ref="AA560"/>
    <hyperlink r:id="rId1732" ref="W561"/>
    <hyperlink r:id="rId1733" ref="Z561"/>
    <hyperlink r:id="rId1734" ref="AA561"/>
    <hyperlink r:id="rId1735" ref="R562"/>
    <hyperlink r:id="rId1736" ref="W562"/>
    <hyperlink r:id="rId1737" ref="Z562"/>
    <hyperlink r:id="rId1738" ref="AA562"/>
    <hyperlink r:id="rId1739" ref="W563"/>
    <hyperlink r:id="rId1740" ref="Z563"/>
    <hyperlink r:id="rId1741" ref="AA563"/>
    <hyperlink r:id="rId1742" ref="R564"/>
    <hyperlink r:id="rId1743" ref="W564"/>
    <hyperlink r:id="rId1744" ref="Z564"/>
    <hyperlink r:id="rId1745" ref="AA564"/>
    <hyperlink r:id="rId1746" ref="R565"/>
    <hyperlink r:id="rId1747" ref="W565"/>
    <hyperlink r:id="rId1748" ref="Z565"/>
    <hyperlink r:id="rId1749" ref="AA565"/>
    <hyperlink r:id="rId1750" ref="W566"/>
    <hyperlink r:id="rId1751" ref="Z566"/>
    <hyperlink r:id="rId1752" ref="AA566"/>
    <hyperlink r:id="rId1753" ref="W567"/>
    <hyperlink r:id="rId1754" ref="Z567"/>
    <hyperlink r:id="rId1755" ref="AA567"/>
    <hyperlink r:id="rId1756" ref="W568"/>
    <hyperlink r:id="rId1757" ref="Z568"/>
    <hyperlink r:id="rId1758" ref="AA568"/>
    <hyperlink r:id="rId1759" ref="W569"/>
    <hyperlink r:id="rId1760" ref="Z569"/>
    <hyperlink r:id="rId1761" ref="AA569"/>
    <hyperlink r:id="rId1762" ref="W570"/>
    <hyperlink r:id="rId1763" ref="Z570"/>
    <hyperlink r:id="rId1764" ref="AA570"/>
    <hyperlink r:id="rId1765" ref="W571"/>
    <hyperlink r:id="rId1766" ref="Z571"/>
    <hyperlink r:id="rId1767" ref="AA571"/>
    <hyperlink r:id="rId1768" ref="W572"/>
    <hyperlink r:id="rId1769" ref="Z572"/>
    <hyperlink r:id="rId1770" ref="AA572"/>
    <hyperlink r:id="rId1771" ref="W573"/>
    <hyperlink r:id="rId1772" ref="Z573"/>
    <hyperlink r:id="rId1773" ref="AA573"/>
    <hyperlink r:id="rId1774" ref="W574"/>
    <hyperlink r:id="rId1775" ref="Z574"/>
    <hyperlink r:id="rId1776" ref="AA574"/>
    <hyperlink r:id="rId1777" ref="W575"/>
    <hyperlink r:id="rId1778" ref="Z575"/>
    <hyperlink r:id="rId1779" ref="AA575"/>
    <hyperlink r:id="rId1780" ref="W576"/>
    <hyperlink r:id="rId1781" ref="Z576"/>
    <hyperlink r:id="rId1782" ref="AA576"/>
  </hyperlinks>
  <drawing r:id="rId178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0"/>
    <col customWidth="1" min="8" max="8" width="24.38"/>
    <col customWidth="1" min="11" max="12" width="19.38"/>
    <col customWidth="1" min="20" max="20" width="22.13"/>
    <col customWidth="1" min="24" max="24" width="28.5"/>
  </cols>
  <sheetData>
    <row r="1">
      <c r="A1" s="1" t="s">
        <v>0</v>
      </c>
      <c r="B1" s="1" t="s">
        <v>1</v>
      </c>
      <c r="C1" s="1" t="s">
        <v>2</v>
      </c>
      <c r="D1" s="1" t="s">
        <v>3</v>
      </c>
      <c r="E1" s="1" t="s">
        <v>4</v>
      </c>
      <c r="F1" s="1" t="s">
        <v>5</v>
      </c>
      <c r="G1" s="1" t="s">
        <v>5550</v>
      </c>
      <c r="H1" s="1" t="s">
        <v>6</v>
      </c>
      <c r="I1" s="1" t="s">
        <v>5551</v>
      </c>
      <c r="J1" s="1" t="s">
        <v>5552</v>
      </c>
      <c r="K1" s="1" t="s">
        <v>5553</v>
      </c>
      <c r="L1" s="1" t="s">
        <v>5554</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row>
    <row r="2" hidden="1">
      <c r="A2" s="1">
        <v>484.0</v>
      </c>
      <c r="B2" s="1" t="s">
        <v>356</v>
      </c>
      <c r="C2" s="1" t="s">
        <v>357</v>
      </c>
      <c r="D2" s="1" t="s">
        <v>358</v>
      </c>
      <c r="E2" s="1" t="s">
        <v>58</v>
      </c>
      <c r="F2" s="2">
        <v>20075.0</v>
      </c>
      <c r="G2" s="1">
        <f t="shared" ref="G2:G572" si="1">round(YEARFRAC(F2,today()),0)</f>
        <v>71</v>
      </c>
      <c r="H2" s="1" t="s">
        <v>359</v>
      </c>
      <c r="I2" s="1" t="str">
        <f>IFERROR(__xludf.DUMMYFUNCTION("SPLIT(left(H2,len(H2)-1),""("")"),"Blida ")</f>
        <v>Blida </v>
      </c>
      <c r="J2" s="1" t="str">
        <f>IFERROR(__xludf.DUMMYFUNCTION("""COMPUTED_VALUE"""),"Algérie")</f>
        <v>Algérie</v>
      </c>
      <c r="K2" s="1" t="str">
        <f>IFERROR(__xludf.DUMMYFUNCTION("IF( COUNTA( IFERROR( FILTER('départements_edition'!$C$2:$C$102 , 'départements_edition'!$C$2:$C$102=J2 ) ) ) , ""Oui"" , ""Non"" )"),"Non")</f>
        <v>Non</v>
      </c>
      <c r="L2" s="1" t="str">
        <f t="shared" ref="L2:L572" si="2">IF(K2="Oui","France",J2)</f>
        <v>Algérie</v>
      </c>
      <c r="M2" s="1">
        <v>31.0</v>
      </c>
      <c r="N2" s="1" t="s">
        <v>360</v>
      </c>
      <c r="O2" s="1">
        <v>7.0</v>
      </c>
      <c r="P2" s="2">
        <v>42907.0</v>
      </c>
      <c r="R2" s="1">
        <v>0.0</v>
      </c>
      <c r="S2" s="1" t="s">
        <v>75</v>
      </c>
      <c r="T2" s="1" t="s">
        <v>76</v>
      </c>
      <c r="U2" s="1" t="s">
        <v>361</v>
      </c>
      <c r="X2" s="1" t="s">
        <v>118</v>
      </c>
      <c r="Y2" s="1">
        <v>331.0</v>
      </c>
      <c r="Z2" s="3" t="s">
        <v>362</v>
      </c>
      <c r="AA2" s="1">
        <v>719540.0</v>
      </c>
      <c r="AB2" s="1" t="s">
        <v>363</v>
      </c>
      <c r="AC2" s="3" t="s">
        <v>364</v>
      </c>
      <c r="AD2" s="3" t="s">
        <v>365</v>
      </c>
      <c r="AE2" s="1">
        <v>2.0</v>
      </c>
      <c r="AF2" s="1" t="s">
        <v>366</v>
      </c>
      <c r="AG2" s="1">
        <v>25.0</v>
      </c>
      <c r="AH2" s="1">
        <v>45.0</v>
      </c>
      <c r="AI2" s="1">
        <v>28.0</v>
      </c>
      <c r="AJ2" s="1">
        <v>14.0</v>
      </c>
      <c r="AK2" s="1">
        <v>3.0</v>
      </c>
      <c r="AL2" s="1">
        <v>17.0</v>
      </c>
      <c r="AM2" s="1">
        <v>79.0</v>
      </c>
      <c r="AN2" s="1">
        <v>26.0</v>
      </c>
      <c r="AO2" s="1">
        <v>3.0</v>
      </c>
      <c r="AP2" s="1">
        <v>0.0</v>
      </c>
      <c r="AQ2" s="1">
        <v>5.0</v>
      </c>
      <c r="AR2" s="1">
        <v>21.0</v>
      </c>
      <c r="AS2" s="1">
        <v>1.0</v>
      </c>
    </row>
    <row r="3" hidden="1">
      <c r="A3" s="1">
        <v>151.0</v>
      </c>
      <c r="B3" s="1" t="s">
        <v>747</v>
      </c>
      <c r="C3" s="1" t="s">
        <v>748</v>
      </c>
      <c r="D3" s="1" t="s">
        <v>749</v>
      </c>
      <c r="E3" s="1" t="s">
        <v>43</v>
      </c>
      <c r="F3" s="2">
        <v>25393.0</v>
      </c>
      <c r="G3" s="1">
        <f t="shared" si="1"/>
        <v>57</v>
      </c>
      <c r="H3" s="1" t="s">
        <v>750</v>
      </c>
      <c r="I3" s="1" t="str">
        <f>IFERROR(__xludf.DUMMYFUNCTION("SPLIT(left(H3,len(H3)-1),""("")"),"Timgad ")</f>
        <v>Timgad </v>
      </c>
      <c r="J3" s="1" t="str">
        <f>IFERROR(__xludf.DUMMYFUNCTION("""COMPUTED_VALUE"""),"Algérie")</f>
        <v>Algérie</v>
      </c>
      <c r="K3" s="1" t="str">
        <f>IFERROR(__xludf.DUMMYFUNCTION("IF( COUNTA( IFERROR( FILTER('départements_edition'!$C$2:$C$102 , 'départements_edition'!$C$2:$C$102=J3 ) ) ) , ""Oui"" , ""Non"" )"),"Non")</f>
        <v>Non</v>
      </c>
      <c r="L3" s="1" t="str">
        <f t="shared" si="2"/>
        <v>Algérie</v>
      </c>
      <c r="M3" s="1">
        <v>57.0</v>
      </c>
      <c r="N3" s="1" t="s">
        <v>471</v>
      </c>
      <c r="O3" s="1">
        <v>1.0</v>
      </c>
      <c r="P3" s="2">
        <v>42907.0</v>
      </c>
      <c r="R3" s="1">
        <v>0.0</v>
      </c>
      <c r="S3" s="1" t="s">
        <v>75</v>
      </c>
      <c r="T3" s="1" t="s">
        <v>76</v>
      </c>
      <c r="U3" s="1" t="s">
        <v>751</v>
      </c>
      <c r="X3" s="1" t="s">
        <v>198</v>
      </c>
      <c r="Y3" s="1">
        <v>574.0</v>
      </c>
      <c r="Z3" s="3" t="s">
        <v>752</v>
      </c>
      <c r="AA3" s="1">
        <v>720362.0</v>
      </c>
      <c r="AB3" s="1" t="s">
        <v>753</v>
      </c>
      <c r="AC3" s="3" t="s">
        <v>754</v>
      </c>
      <c r="AD3" s="3" t="s">
        <v>755</v>
      </c>
      <c r="AE3" s="1">
        <v>2.0</v>
      </c>
      <c r="AF3" s="1" t="s">
        <v>756</v>
      </c>
      <c r="AG3" s="1">
        <v>23.0</v>
      </c>
      <c r="AH3" s="1">
        <v>56.0</v>
      </c>
      <c r="AI3" s="1">
        <v>22.0</v>
      </c>
      <c r="AJ3" s="1">
        <v>14.0</v>
      </c>
      <c r="AK3" s="1">
        <v>3.0</v>
      </c>
      <c r="AL3" s="1">
        <v>3.0</v>
      </c>
      <c r="AM3" s="1">
        <v>66.0</v>
      </c>
      <c r="AN3" s="1">
        <v>25.0</v>
      </c>
      <c r="AO3" s="1">
        <v>0.0</v>
      </c>
      <c r="AP3" s="1">
        <v>0.0</v>
      </c>
      <c r="AQ3" s="1">
        <v>5.0</v>
      </c>
      <c r="AR3" s="1">
        <v>14.0</v>
      </c>
      <c r="AS3" s="1">
        <v>1.0</v>
      </c>
    </row>
    <row r="4" hidden="1">
      <c r="A4" s="1">
        <v>326.0</v>
      </c>
      <c r="B4" s="1" t="s">
        <v>1053</v>
      </c>
      <c r="C4" s="1" t="s">
        <v>1054</v>
      </c>
      <c r="D4" s="1" t="s">
        <v>1055</v>
      </c>
      <c r="E4" s="1" t="s">
        <v>43</v>
      </c>
      <c r="F4" s="2">
        <v>26070.0</v>
      </c>
      <c r="G4" s="1">
        <f t="shared" si="1"/>
        <v>55</v>
      </c>
      <c r="H4" s="1" t="s">
        <v>1056</v>
      </c>
      <c r="I4" s="1" t="str">
        <f>IFERROR(__xludf.DUMMYFUNCTION("SPLIT(left(H4,len(H4)-1),""("")"),"Smaoun ")</f>
        <v>Smaoun </v>
      </c>
      <c r="J4" s="1" t="str">
        <f>IFERROR(__xludf.DUMMYFUNCTION("""COMPUTED_VALUE"""),"Algérie")</f>
        <v>Algérie</v>
      </c>
      <c r="K4" s="1" t="str">
        <f>IFERROR(__xludf.DUMMYFUNCTION("IF( COUNTA( IFERROR( FILTER('départements_edition'!$C$2:$C$102 , 'départements_edition'!$C$2:$C$102=J4 ) ) ) , ""Oui"" , ""Non"" )"),"Non")</f>
        <v>Non</v>
      </c>
      <c r="L4" s="1" t="str">
        <f t="shared" si="2"/>
        <v>Algérie</v>
      </c>
      <c r="M4" s="1">
        <v>57.0</v>
      </c>
      <c r="N4" s="1" t="s">
        <v>471</v>
      </c>
      <c r="O4" s="1">
        <v>8.0</v>
      </c>
      <c r="P4" s="2">
        <v>42907.0</v>
      </c>
      <c r="R4" s="1">
        <v>0.0</v>
      </c>
      <c r="S4" s="1" t="s">
        <v>280</v>
      </c>
      <c r="T4" s="1" t="s">
        <v>281</v>
      </c>
      <c r="U4" s="1" t="s">
        <v>1057</v>
      </c>
      <c r="X4" s="1" t="s">
        <v>151</v>
      </c>
      <c r="Y4" s="1">
        <v>182.0</v>
      </c>
      <c r="Z4" s="3" t="s">
        <v>1058</v>
      </c>
      <c r="AA4" s="1">
        <v>720326.0</v>
      </c>
      <c r="AB4" s="1" t="s">
        <v>1059</v>
      </c>
      <c r="AC4" s="3" t="s">
        <v>1060</v>
      </c>
      <c r="AD4" s="3" t="s">
        <v>1061</v>
      </c>
      <c r="AE4" s="1">
        <v>1.0</v>
      </c>
      <c r="AF4" s="1" t="s">
        <v>1062</v>
      </c>
      <c r="AG4" s="1">
        <v>23.0</v>
      </c>
      <c r="AH4" s="1">
        <v>47.0</v>
      </c>
      <c r="AI4" s="1">
        <v>45.0</v>
      </c>
      <c r="AJ4" s="1">
        <v>44.0</v>
      </c>
      <c r="AK4" s="1">
        <v>17.0</v>
      </c>
      <c r="AL4" s="1">
        <v>30.0</v>
      </c>
      <c r="AM4" s="1">
        <v>262.0</v>
      </c>
      <c r="AN4" s="1">
        <v>25.0</v>
      </c>
      <c r="AO4" s="1">
        <v>0.0</v>
      </c>
      <c r="AP4" s="1">
        <v>0.0</v>
      </c>
      <c r="AQ4" s="1">
        <v>5.0</v>
      </c>
      <c r="AR4" s="1">
        <v>6.0</v>
      </c>
      <c r="AS4" s="1">
        <v>3.0</v>
      </c>
    </row>
    <row r="5" hidden="1">
      <c r="A5" s="1">
        <v>421.0</v>
      </c>
      <c r="B5" s="1" t="s">
        <v>3180</v>
      </c>
      <c r="C5" s="1" t="s">
        <v>3181</v>
      </c>
      <c r="D5" s="1" t="s">
        <v>1176</v>
      </c>
      <c r="E5" s="1" t="s">
        <v>58</v>
      </c>
      <c r="F5" s="2">
        <v>16504.0</v>
      </c>
      <c r="G5" s="1">
        <f t="shared" si="1"/>
        <v>81</v>
      </c>
      <c r="H5" s="1" t="s">
        <v>3182</v>
      </c>
      <c r="I5" s="1" t="str">
        <f>IFERROR(__xludf.DUMMYFUNCTION("SPLIT(left(H5,len(H5)-1),""("")"),"Maison Carrée ")</f>
        <v>Maison Carrée </v>
      </c>
      <c r="J5" s="1" t="str">
        <f>IFERROR(__xludf.DUMMYFUNCTION("""COMPUTED_VALUE"""),"Algérie")</f>
        <v>Algérie</v>
      </c>
      <c r="K5" s="1" t="str">
        <f>IFERROR(__xludf.DUMMYFUNCTION("IF( COUNTA( IFERROR( FILTER('départements_edition'!$C$2:$C$102 , 'départements_edition'!$C$2:$C$102=J5 ) ) ) , ""Oui"" , ""Non"" )"),"Non")</f>
        <v>Non</v>
      </c>
      <c r="L5" s="1" t="str">
        <f t="shared" si="2"/>
        <v>Algérie</v>
      </c>
      <c r="M5" s="1">
        <v>31.0</v>
      </c>
      <c r="N5" s="1" t="s">
        <v>360</v>
      </c>
      <c r="O5" s="1">
        <v>6.0</v>
      </c>
      <c r="P5" s="2">
        <v>42907.0</v>
      </c>
      <c r="R5" s="1">
        <v>0.0</v>
      </c>
      <c r="S5" s="1" t="s">
        <v>75</v>
      </c>
      <c r="T5" s="1" t="s">
        <v>76</v>
      </c>
      <c r="U5" s="1" t="s">
        <v>3183</v>
      </c>
      <c r="X5" s="1" t="s">
        <v>3184</v>
      </c>
      <c r="Y5" s="1">
        <v>280.0</v>
      </c>
      <c r="Z5" s="3" t="s">
        <v>3185</v>
      </c>
      <c r="AA5" s="1">
        <v>331835.0</v>
      </c>
      <c r="AB5" s="1" t="s">
        <v>3186</v>
      </c>
      <c r="AC5" s="3" t="s">
        <v>3187</v>
      </c>
      <c r="AD5" s="3" t="s">
        <v>3188</v>
      </c>
      <c r="AE5" s="1">
        <v>1.0</v>
      </c>
      <c r="AF5" s="1" t="s">
        <v>3189</v>
      </c>
      <c r="AG5" s="1">
        <v>20.0</v>
      </c>
      <c r="AH5" s="1">
        <v>33.0</v>
      </c>
      <c r="AI5" s="1">
        <v>35.0</v>
      </c>
      <c r="AJ5" s="1">
        <v>8.0</v>
      </c>
      <c r="AK5" s="1">
        <v>2.0</v>
      </c>
      <c r="AL5" s="1">
        <v>2.0</v>
      </c>
      <c r="AM5" s="1">
        <v>66.0</v>
      </c>
      <c r="AN5" s="1">
        <v>25.0</v>
      </c>
      <c r="AO5" s="1">
        <v>0.0</v>
      </c>
      <c r="AP5" s="1">
        <v>0.0</v>
      </c>
      <c r="AQ5" s="1">
        <v>6.0</v>
      </c>
      <c r="AR5" s="1">
        <v>3.0</v>
      </c>
      <c r="AS5" s="1">
        <v>0.0</v>
      </c>
    </row>
    <row r="6" hidden="1">
      <c r="A6" s="1">
        <v>401.0</v>
      </c>
      <c r="B6" s="1" t="s">
        <v>5047</v>
      </c>
      <c r="C6" s="1" t="s">
        <v>5048</v>
      </c>
      <c r="D6" s="1" t="s">
        <v>42</v>
      </c>
      <c r="E6" s="1" t="s">
        <v>43</v>
      </c>
      <c r="F6" s="2">
        <v>21485.0</v>
      </c>
      <c r="G6" s="1">
        <f t="shared" si="1"/>
        <v>67</v>
      </c>
      <c r="H6" s="1" t="s">
        <v>5049</v>
      </c>
      <c r="I6" s="1" t="str">
        <f>IFERROR(__xludf.DUMMYFUNCTION("SPLIT(left(H6,len(H6)-1),""("")"),"Alger ")</f>
        <v>Alger </v>
      </c>
      <c r="J6" s="1" t="str">
        <f>IFERROR(__xludf.DUMMYFUNCTION("""COMPUTED_VALUE"""),"Algérie")</f>
        <v>Algérie</v>
      </c>
      <c r="K6" s="1" t="str">
        <f>IFERROR(__xludf.DUMMYFUNCTION("IF( COUNTA( IFERROR( FILTER('départements_edition'!$C$2:$C$102 , 'départements_edition'!$C$2:$C$102=J6 ) ) ) , ""Oui"" , ""Non"" )"),"Non")</f>
        <v>Non</v>
      </c>
      <c r="L6" s="1" t="str">
        <f t="shared" si="2"/>
        <v>Algérie</v>
      </c>
      <c r="M6" s="1">
        <v>988.0</v>
      </c>
      <c r="N6" s="1" t="s">
        <v>5050</v>
      </c>
      <c r="O6" s="1">
        <v>2.0</v>
      </c>
      <c r="P6" s="2">
        <v>42907.0</v>
      </c>
      <c r="R6" s="1">
        <v>0.0</v>
      </c>
      <c r="S6" s="1" t="s">
        <v>46</v>
      </c>
      <c r="T6" s="1" t="s">
        <v>5051</v>
      </c>
      <c r="U6" s="1" t="s">
        <v>5052</v>
      </c>
      <c r="X6" s="1" t="s">
        <v>5053</v>
      </c>
      <c r="Y6" s="1">
        <v>104.0</v>
      </c>
      <c r="Z6" s="3" t="s">
        <v>5054</v>
      </c>
      <c r="AA6" s="1">
        <v>610775.0</v>
      </c>
      <c r="AB6" s="1" t="s">
        <v>5055</v>
      </c>
      <c r="AC6" s="3" t="s">
        <v>5056</v>
      </c>
      <c r="AD6" s="3" t="s">
        <v>5057</v>
      </c>
      <c r="AE6" s="1">
        <v>2.0</v>
      </c>
      <c r="AF6" s="1" t="s">
        <v>5058</v>
      </c>
      <c r="AG6" s="1">
        <v>14.0</v>
      </c>
      <c r="AH6" s="1">
        <v>25.0</v>
      </c>
      <c r="AI6" s="1">
        <v>8.0</v>
      </c>
      <c r="AJ6" s="1">
        <v>30.0</v>
      </c>
      <c r="AK6" s="1">
        <v>5.0</v>
      </c>
      <c r="AL6" s="1">
        <v>16.0</v>
      </c>
      <c r="AM6" s="1">
        <v>449.0</v>
      </c>
      <c r="AN6" s="1">
        <v>29.0</v>
      </c>
      <c r="AO6" s="1">
        <v>0.0</v>
      </c>
      <c r="AP6" s="1">
        <v>0.0</v>
      </c>
      <c r="AQ6" s="1">
        <v>5.0</v>
      </c>
      <c r="AR6" s="1">
        <v>11.0</v>
      </c>
      <c r="AS6" s="1">
        <v>2.0</v>
      </c>
    </row>
    <row r="7" hidden="1">
      <c r="A7" s="1">
        <v>349.0</v>
      </c>
      <c r="B7" s="1" t="s">
        <v>5259</v>
      </c>
      <c r="C7" s="1" t="s">
        <v>5260</v>
      </c>
      <c r="D7" s="1" t="s">
        <v>589</v>
      </c>
      <c r="E7" s="1" t="s">
        <v>43</v>
      </c>
      <c r="F7" s="2">
        <v>21464.0</v>
      </c>
      <c r="G7" s="1">
        <f t="shared" si="1"/>
        <v>67</v>
      </c>
      <c r="H7" s="1" t="s">
        <v>5049</v>
      </c>
      <c r="I7" s="1" t="str">
        <f>IFERROR(__xludf.DUMMYFUNCTION("SPLIT(left(H7,len(H7)-1),""("")"),"Alger ")</f>
        <v>Alger </v>
      </c>
      <c r="J7" s="1" t="str">
        <f>IFERROR(__xludf.DUMMYFUNCTION("""COMPUTED_VALUE"""),"Algérie")</f>
        <v>Algérie</v>
      </c>
      <c r="K7" s="1" t="str">
        <f>IFERROR(__xludf.DUMMYFUNCTION("IF( COUNTA( IFERROR( FILTER('départements_edition'!$C$2:$C$102 , 'départements_edition'!$C$2:$C$102=J7 ) ) ) , ""Oui"" , ""Non"" )"),"Non")</f>
        <v>Non</v>
      </c>
      <c r="L7" s="1" t="str">
        <f t="shared" si="2"/>
        <v>Algérie</v>
      </c>
      <c r="M7" s="1">
        <v>69.0</v>
      </c>
      <c r="N7" s="1" t="s">
        <v>1363</v>
      </c>
      <c r="O7" s="1">
        <v>6.0</v>
      </c>
      <c r="P7" s="2">
        <v>42907.0</v>
      </c>
      <c r="R7" s="1">
        <v>0.0</v>
      </c>
      <c r="S7" s="1" t="s">
        <v>75</v>
      </c>
      <c r="T7" s="1" t="s">
        <v>76</v>
      </c>
      <c r="U7" s="1" t="s">
        <v>5261</v>
      </c>
      <c r="X7" s="1" t="s">
        <v>198</v>
      </c>
      <c r="Y7" s="1">
        <v>272.0</v>
      </c>
      <c r="Z7" s="3" t="s">
        <v>5262</v>
      </c>
      <c r="AA7" s="1">
        <v>721344.0</v>
      </c>
      <c r="AB7" s="1" t="s">
        <v>5263</v>
      </c>
      <c r="AC7" s="3" t="s">
        <v>5264</v>
      </c>
      <c r="AD7" s="3" t="s">
        <v>5265</v>
      </c>
      <c r="AE7" s="1">
        <v>1.0</v>
      </c>
      <c r="AF7" s="1" t="s">
        <v>5266</v>
      </c>
      <c r="AG7" s="1">
        <v>12.0</v>
      </c>
      <c r="AH7" s="1">
        <v>19.0</v>
      </c>
      <c r="AI7" s="1">
        <v>1.0</v>
      </c>
      <c r="AJ7" s="1">
        <v>0.0</v>
      </c>
      <c r="AK7" s="1">
        <v>4.0</v>
      </c>
      <c r="AL7" s="1">
        <v>1.0</v>
      </c>
      <c r="AM7" s="1">
        <v>17.0</v>
      </c>
      <c r="AN7" s="1">
        <v>9.0</v>
      </c>
      <c r="AO7" s="1">
        <v>0.0</v>
      </c>
      <c r="AP7" s="1">
        <v>0.0</v>
      </c>
      <c r="AQ7" s="1">
        <v>5.0</v>
      </c>
      <c r="AR7" s="1">
        <v>1.0</v>
      </c>
      <c r="AS7" s="1">
        <v>0.0</v>
      </c>
    </row>
    <row r="8" hidden="1">
      <c r="A8" s="1">
        <v>113.0</v>
      </c>
      <c r="B8" s="1" t="s">
        <v>576</v>
      </c>
      <c r="C8" s="1" t="s">
        <v>577</v>
      </c>
      <c r="D8" s="1" t="s">
        <v>98</v>
      </c>
      <c r="E8" s="1" t="s">
        <v>43</v>
      </c>
      <c r="F8" s="2">
        <v>19804.0</v>
      </c>
      <c r="G8" s="1">
        <f t="shared" si="1"/>
        <v>72</v>
      </c>
      <c r="H8" s="1" t="s">
        <v>578</v>
      </c>
      <c r="I8" s="1" t="str">
        <f>IFERROR(__xludf.DUMMYFUNCTION("SPLIT(left(H8,len(H8)-1),""("")"),"SAARBURG ")</f>
        <v>SAARBURG </v>
      </c>
      <c r="J8" s="1" t="str">
        <f>IFERROR(__xludf.DUMMYFUNCTION("""COMPUTED_VALUE"""),"ALLEMAGNE")</f>
        <v>ALLEMAGNE</v>
      </c>
      <c r="K8" s="1" t="str">
        <f>IFERROR(__xludf.DUMMYFUNCTION("IF( COUNTA( IFERROR( FILTER('départements_edition'!$C$2:$C$102 , 'départements_edition'!$C$2:$C$102=J8 ) ) ) , ""Oui"" , ""Non"" )"),"Non")</f>
        <v>Non</v>
      </c>
      <c r="L8" s="1" t="str">
        <f t="shared" si="2"/>
        <v>ALLEMAGNE</v>
      </c>
      <c r="M8" s="1">
        <v>64.0</v>
      </c>
      <c r="N8" s="1" t="s">
        <v>579</v>
      </c>
      <c r="O8" s="1">
        <v>2.0</v>
      </c>
      <c r="P8" s="2">
        <v>42907.0</v>
      </c>
      <c r="R8" s="1">
        <v>0.0</v>
      </c>
      <c r="S8" s="1" t="s">
        <v>280</v>
      </c>
      <c r="T8" s="1" t="s">
        <v>281</v>
      </c>
      <c r="U8" s="1" t="s">
        <v>580</v>
      </c>
      <c r="X8" s="1" t="s">
        <v>581</v>
      </c>
      <c r="Y8" s="1">
        <v>255.0</v>
      </c>
      <c r="Z8" s="3" t="s">
        <v>582</v>
      </c>
      <c r="AA8" s="1">
        <v>720728.0</v>
      </c>
      <c r="AB8" s="1" t="s">
        <v>583</v>
      </c>
      <c r="AC8" s="3" t="s">
        <v>584</v>
      </c>
      <c r="AD8" s="3" t="s">
        <v>585</v>
      </c>
      <c r="AE8" s="1">
        <v>1.0</v>
      </c>
      <c r="AF8" s="1" t="s">
        <v>586</v>
      </c>
      <c r="AG8" s="1">
        <v>24.0</v>
      </c>
      <c r="AH8" s="1">
        <v>64.0</v>
      </c>
      <c r="AI8" s="1">
        <v>80.0</v>
      </c>
      <c r="AJ8" s="1">
        <v>113.0</v>
      </c>
      <c r="AK8" s="1">
        <v>24.0</v>
      </c>
      <c r="AL8" s="1">
        <v>89.0</v>
      </c>
      <c r="AM8" s="1">
        <v>310.0</v>
      </c>
      <c r="AN8" s="1">
        <v>41.0</v>
      </c>
      <c r="AO8" s="1">
        <v>1.0</v>
      </c>
      <c r="AP8" s="1">
        <v>0.0</v>
      </c>
      <c r="AQ8" s="1">
        <v>5.0</v>
      </c>
      <c r="AR8" s="1">
        <v>1.0</v>
      </c>
      <c r="AS8" s="1">
        <v>2.0</v>
      </c>
    </row>
    <row r="9" hidden="1">
      <c r="A9" s="1">
        <v>302.0</v>
      </c>
      <c r="B9" s="1" t="s">
        <v>2834</v>
      </c>
      <c r="C9" s="1" t="s">
        <v>2835</v>
      </c>
      <c r="D9" s="1" t="s">
        <v>1473</v>
      </c>
      <c r="E9" s="1" t="s">
        <v>58</v>
      </c>
      <c r="F9" s="2">
        <v>21688.0</v>
      </c>
      <c r="G9" s="1">
        <f t="shared" si="1"/>
        <v>67</v>
      </c>
      <c r="H9" s="1" t="s">
        <v>2836</v>
      </c>
      <c r="I9" s="1" t="str">
        <f>IFERROR(__xludf.DUMMYFUNCTION("SPLIT(left(H9,len(H9)-1),""("")"),"Remscheid ")</f>
        <v>Remscheid </v>
      </c>
      <c r="J9" s="1" t="str">
        <f>IFERROR(__xludf.DUMMYFUNCTION("""COMPUTED_VALUE"""),"Allemagne")</f>
        <v>Allemagne</v>
      </c>
      <c r="K9" s="1" t="str">
        <f>IFERROR(__xludf.DUMMYFUNCTION("IF( COUNTA( IFERROR( FILTER('départements_edition'!$C$2:$C$102 , 'départements_edition'!$C$2:$C$102=J9 ) ) ) , ""Oui"" , ""Non"" )"),"Non")</f>
        <v>Non</v>
      </c>
      <c r="L9" s="1" t="str">
        <f t="shared" si="2"/>
        <v>Allemagne</v>
      </c>
      <c r="M9" s="1">
        <v>37.0</v>
      </c>
      <c r="N9" s="1" t="s">
        <v>547</v>
      </c>
      <c r="O9" s="1">
        <v>5.0</v>
      </c>
      <c r="P9" s="2">
        <v>42907.0</v>
      </c>
      <c r="R9" s="1">
        <v>0.0</v>
      </c>
      <c r="S9" s="1" t="s">
        <v>75</v>
      </c>
      <c r="T9" s="1" t="s">
        <v>76</v>
      </c>
      <c r="U9" s="1" t="s">
        <v>2837</v>
      </c>
      <c r="X9" s="1" t="s">
        <v>2484</v>
      </c>
      <c r="Y9" s="1">
        <v>222.0</v>
      </c>
      <c r="Z9" s="3" t="s">
        <v>2838</v>
      </c>
      <c r="AA9" s="1">
        <v>719822.0</v>
      </c>
      <c r="AB9" s="1" t="s">
        <v>2839</v>
      </c>
      <c r="AC9" s="3" t="s">
        <v>2840</v>
      </c>
      <c r="AD9" s="3" t="s">
        <v>2841</v>
      </c>
      <c r="AE9" s="1">
        <v>1.0</v>
      </c>
      <c r="AF9" s="1" t="s">
        <v>2842</v>
      </c>
      <c r="AG9" s="1">
        <v>21.0</v>
      </c>
      <c r="AH9" s="1">
        <v>46.0</v>
      </c>
      <c r="AI9" s="1">
        <v>102.0</v>
      </c>
      <c r="AJ9" s="1">
        <v>19.0</v>
      </c>
      <c r="AK9" s="1">
        <v>0.0</v>
      </c>
      <c r="AL9" s="1">
        <v>0.0</v>
      </c>
      <c r="AM9" s="1">
        <v>4.0</v>
      </c>
      <c r="AN9" s="1">
        <v>1.0</v>
      </c>
      <c r="AO9" s="1">
        <v>0.0</v>
      </c>
      <c r="AP9" s="1">
        <v>0.0</v>
      </c>
      <c r="AQ9" s="1">
        <v>7.0</v>
      </c>
      <c r="AR9" s="1">
        <v>4.0</v>
      </c>
      <c r="AS9" s="1">
        <v>1.0</v>
      </c>
    </row>
    <row r="10" hidden="1">
      <c r="A10" s="1">
        <v>28.0</v>
      </c>
      <c r="B10" s="1" t="s">
        <v>3957</v>
      </c>
      <c r="C10" s="1" t="s">
        <v>3958</v>
      </c>
      <c r="D10" s="1" t="s">
        <v>916</v>
      </c>
      <c r="E10" s="1" t="s">
        <v>43</v>
      </c>
      <c r="F10" s="2">
        <v>17526.0</v>
      </c>
      <c r="G10" s="1">
        <f t="shared" si="1"/>
        <v>78</v>
      </c>
      <c r="H10" s="1" t="s">
        <v>3959</v>
      </c>
      <c r="I10" s="1" t="str">
        <f>IFERROR(__xludf.DUMMYFUNCTION("SPLIT(left(H10,len(H10)-1),""("")"),"Boppard ")</f>
        <v>Boppard </v>
      </c>
      <c r="J10" s="1" t="str">
        <f>IFERROR(__xludf.DUMMYFUNCTION("""COMPUTED_VALUE"""),"Allemagne")</f>
        <v>Allemagne</v>
      </c>
      <c r="K10" s="1" t="str">
        <f>IFERROR(__xludf.DUMMYFUNCTION("IF( COUNTA( IFERROR( FILTER('départements_edition'!$C$2:$C$102 , 'départements_edition'!$C$2:$C$102=J10 ) ) ) , ""Oui"" , ""Non"" )"),"Non")</f>
        <v>Non</v>
      </c>
      <c r="L10" s="1" t="str">
        <f t="shared" si="2"/>
        <v>Allemagne</v>
      </c>
      <c r="M10" s="1">
        <v>14.0</v>
      </c>
      <c r="N10" s="1" t="s">
        <v>1137</v>
      </c>
      <c r="O10" s="1">
        <v>6.0</v>
      </c>
      <c r="P10" s="2">
        <v>42907.0</v>
      </c>
      <c r="R10" s="1">
        <v>0.0</v>
      </c>
      <c r="S10" s="1" t="s">
        <v>75</v>
      </c>
      <c r="T10" s="1" t="s">
        <v>76</v>
      </c>
      <c r="U10" s="1" t="s">
        <v>3960</v>
      </c>
      <c r="X10" s="1" t="s">
        <v>304</v>
      </c>
      <c r="Y10" s="1">
        <v>193.0</v>
      </c>
      <c r="Z10" s="3" t="s">
        <v>3961</v>
      </c>
      <c r="AA10" s="1">
        <v>2828.0</v>
      </c>
      <c r="AB10" s="1" t="s">
        <v>3962</v>
      </c>
      <c r="AC10" s="3" t="s">
        <v>3963</v>
      </c>
      <c r="AD10" s="3" t="s">
        <v>3964</v>
      </c>
      <c r="AE10" s="1">
        <v>1.0</v>
      </c>
      <c r="AF10" s="1" t="s">
        <v>3965</v>
      </c>
      <c r="AG10" s="1">
        <v>19.0</v>
      </c>
      <c r="AH10" s="1">
        <v>19.0</v>
      </c>
      <c r="AI10" s="1">
        <v>50.0</v>
      </c>
      <c r="AJ10" s="1">
        <v>10.0</v>
      </c>
      <c r="AK10" s="1">
        <v>7.0</v>
      </c>
      <c r="AL10" s="1">
        <v>15.0</v>
      </c>
      <c r="AM10" s="1">
        <v>68.0</v>
      </c>
      <c r="AN10" s="1">
        <v>32.0</v>
      </c>
      <c r="AO10" s="1">
        <v>1.0</v>
      </c>
      <c r="AP10" s="1">
        <v>0.0</v>
      </c>
      <c r="AQ10" s="1">
        <v>6.0</v>
      </c>
      <c r="AR10" s="1">
        <v>5.0</v>
      </c>
      <c r="AS10" s="1">
        <v>0.0</v>
      </c>
    </row>
    <row r="11" hidden="1">
      <c r="A11" s="1">
        <v>398.0</v>
      </c>
      <c r="B11" s="1" t="s">
        <v>1921</v>
      </c>
      <c r="C11" s="1" t="s">
        <v>1922</v>
      </c>
      <c r="D11" s="1" t="s">
        <v>1511</v>
      </c>
      <c r="E11" s="1" t="s">
        <v>43</v>
      </c>
      <c r="F11" s="2">
        <v>24279.0</v>
      </c>
      <c r="G11" s="1">
        <f t="shared" si="1"/>
        <v>60</v>
      </c>
      <c r="H11" s="1" t="s">
        <v>1923</v>
      </c>
      <c r="I11" s="1" t="str">
        <f>IFERROR(__xludf.DUMMYFUNCTION("SPLIT(left(H11,len(H11)-1),""("")"),"Watermael-Boitsfort ")</f>
        <v>Watermael-Boitsfort </v>
      </c>
      <c r="J11" s="1" t="str">
        <f>IFERROR(__xludf.DUMMYFUNCTION("""COMPUTED_VALUE"""),"Belgique")</f>
        <v>Belgique</v>
      </c>
      <c r="K11" s="1" t="str">
        <f>IFERROR(__xludf.DUMMYFUNCTION("IF( COUNTA( IFERROR( FILTER('départements_edition'!$C$2:$C$102 , 'départements_edition'!$C$2:$C$102=J11 ) ) ) , ""Oui"" , ""Non"" )"),"Non")</f>
        <v>Non</v>
      </c>
      <c r="L11" s="1" t="str">
        <f t="shared" si="2"/>
        <v>Belgique</v>
      </c>
      <c r="M11" s="1">
        <v>59.0</v>
      </c>
      <c r="N11" s="1" t="s">
        <v>172</v>
      </c>
      <c r="O11" s="1">
        <v>10.0</v>
      </c>
      <c r="P11" s="2">
        <v>42907.0</v>
      </c>
      <c r="R11" s="1">
        <v>0.0</v>
      </c>
      <c r="S11" s="1" t="s">
        <v>46</v>
      </c>
      <c r="T11" s="1" t="s">
        <v>47</v>
      </c>
      <c r="U11" s="1" t="s">
        <v>1924</v>
      </c>
      <c r="X11" s="1" t="s">
        <v>1925</v>
      </c>
      <c r="Y11" s="1">
        <v>129.0</v>
      </c>
      <c r="Z11" s="3" t="s">
        <v>1926</v>
      </c>
      <c r="AA11" s="1">
        <v>712014.0</v>
      </c>
      <c r="AB11" s="1" t="s">
        <v>1927</v>
      </c>
      <c r="AC11" s="3" t="s">
        <v>1928</v>
      </c>
      <c r="AD11" s="3" t="s">
        <v>1929</v>
      </c>
      <c r="AE11" s="1">
        <v>2.0</v>
      </c>
      <c r="AF11" s="1" t="s">
        <v>1930</v>
      </c>
      <c r="AG11" s="1">
        <v>22.0</v>
      </c>
      <c r="AH11" s="1">
        <v>29.0</v>
      </c>
      <c r="AI11" s="1">
        <v>10.0</v>
      </c>
      <c r="AJ11" s="1">
        <v>45.0</v>
      </c>
      <c r="AK11" s="1">
        <v>8.0</v>
      </c>
      <c r="AL11" s="1">
        <v>22.0</v>
      </c>
      <c r="AM11" s="1">
        <v>629.0</v>
      </c>
      <c r="AN11" s="1">
        <v>36.0</v>
      </c>
      <c r="AO11" s="1">
        <v>1.0</v>
      </c>
      <c r="AP11" s="1">
        <v>1.0</v>
      </c>
      <c r="AQ11" s="1">
        <v>35.0</v>
      </c>
      <c r="AR11" s="1">
        <v>9.0</v>
      </c>
      <c r="AS11" s="1">
        <v>6.0</v>
      </c>
    </row>
    <row r="12" hidden="1">
      <c r="A12" s="1">
        <v>522.0</v>
      </c>
      <c r="B12" s="1" t="s">
        <v>2117</v>
      </c>
      <c r="C12" s="1" t="s">
        <v>2118</v>
      </c>
      <c r="D12" s="1" t="s">
        <v>2119</v>
      </c>
      <c r="E12" s="1" t="s">
        <v>58</v>
      </c>
      <c r="F12" s="2">
        <v>30042.0</v>
      </c>
      <c r="G12" s="1">
        <f t="shared" si="1"/>
        <v>44</v>
      </c>
      <c r="H12" s="1" t="s">
        <v>2120</v>
      </c>
      <c r="I12" s="1" t="str">
        <f>IFERROR(__xludf.DUMMYFUNCTION("SPLIT(left(H12,len(H12)-1),""("")"),"Bangassogo ")</f>
        <v>Bangassogo </v>
      </c>
      <c r="J12" s="1" t="str">
        <f>IFERROR(__xludf.DUMMYFUNCTION("""COMPUTED_VALUE"""),"Burkina Faso")</f>
        <v>Burkina Faso</v>
      </c>
      <c r="K12" s="1" t="str">
        <f>IFERROR(__xludf.DUMMYFUNCTION("IF( COUNTA( IFERROR( FILTER('départements_edition'!$C$2:$C$102 , 'départements_edition'!$C$2:$C$102=J12 ) ) ) , ""Oui"" , ""Non"" )"),"Non")</f>
        <v>Non</v>
      </c>
      <c r="L12" s="1" t="str">
        <f t="shared" si="2"/>
        <v>Burkina Faso</v>
      </c>
      <c r="M12" s="1">
        <v>46.0</v>
      </c>
      <c r="N12" s="1" t="s">
        <v>325</v>
      </c>
      <c r="O12" s="1">
        <v>2.0</v>
      </c>
      <c r="P12" s="2">
        <v>42907.0</v>
      </c>
      <c r="R12" s="1">
        <v>0.0</v>
      </c>
      <c r="S12" s="1" t="s">
        <v>75</v>
      </c>
      <c r="T12" s="1" t="s">
        <v>76</v>
      </c>
      <c r="U12" s="1" t="s">
        <v>2121</v>
      </c>
      <c r="X12" s="1" t="s">
        <v>2122</v>
      </c>
      <c r="Y12" s="1">
        <v>455.0</v>
      </c>
      <c r="Z12" s="3" t="s">
        <v>2123</v>
      </c>
      <c r="AA12" s="1">
        <v>720014.0</v>
      </c>
      <c r="AB12" s="1" t="s">
        <v>2124</v>
      </c>
      <c r="AC12" s="3" t="s">
        <v>2125</v>
      </c>
      <c r="AD12" s="3" t="s">
        <v>2126</v>
      </c>
      <c r="AE12" s="1">
        <v>1.0</v>
      </c>
      <c r="AF12" s="1" t="s">
        <v>2127</v>
      </c>
      <c r="AG12" s="1">
        <v>22.0</v>
      </c>
      <c r="AH12" s="1">
        <v>49.0</v>
      </c>
      <c r="AI12" s="1">
        <v>45.0</v>
      </c>
      <c r="AJ12" s="1">
        <v>17.0</v>
      </c>
      <c r="AK12" s="1">
        <v>4.0</v>
      </c>
      <c r="AL12" s="1">
        <v>7.0</v>
      </c>
      <c r="AM12" s="1">
        <v>133.0</v>
      </c>
      <c r="AN12" s="1">
        <v>61.0</v>
      </c>
      <c r="AO12" s="1">
        <v>0.0</v>
      </c>
      <c r="AP12" s="1">
        <v>0.0</v>
      </c>
      <c r="AQ12" s="1">
        <v>6.0</v>
      </c>
      <c r="AR12" s="1">
        <v>0.0</v>
      </c>
      <c r="AS12" s="1">
        <v>2.0</v>
      </c>
    </row>
    <row r="13" hidden="1">
      <c r="A13" s="1">
        <v>248.0</v>
      </c>
      <c r="B13" s="1" t="s">
        <v>4595</v>
      </c>
      <c r="C13" s="1" t="s">
        <v>4596</v>
      </c>
      <c r="D13" s="1" t="s">
        <v>4597</v>
      </c>
      <c r="E13" s="1" t="s">
        <v>43</v>
      </c>
      <c r="F13" s="2">
        <v>24541.0</v>
      </c>
      <c r="G13" s="1">
        <f t="shared" si="1"/>
        <v>59</v>
      </c>
      <c r="H13" s="1" t="s">
        <v>4598</v>
      </c>
      <c r="I13" s="1" t="str">
        <f>IFERROR(__xludf.DUMMYFUNCTION("SPLIT(left(H13,len(H13)-1),""("")"),"Phnom Penh ")</f>
        <v>Phnom Penh </v>
      </c>
      <c r="J13" s="1" t="str">
        <f>IFERROR(__xludf.DUMMYFUNCTION("""COMPUTED_VALUE"""),"Cambodge")</f>
        <v>Cambodge</v>
      </c>
      <c r="K13" s="1" t="str">
        <f>IFERROR(__xludf.DUMMYFUNCTION("IF( COUNTA( IFERROR( FILTER('départements_edition'!$C$2:$C$102 , 'départements_edition'!$C$2:$C$102=J13 ) ) ) , ""Oui"" , ""Non"" )"),"Non")</f>
        <v>Non</v>
      </c>
      <c r="L13" s="1" t="str">
        <f t="shared" si="2"/>
        <v>Cambodge</v>
      </c>
      <c r="M13" s="1">
        <v>75.0</v>
      </c>
      <c r="N13" s="1" t="s">
        <v>232</v>
      </c>
      <c r="O13" s="1">
        <v>9.0</v>
      </c>
      <c r="P13" s="2">
        <v>42907.0</v>
      </c>
      <c r="R13" s="1">
        <v>0.0</v>
      </c>
      <c r="S13" s="1" t="s">
        <v>75</v>
      </c>
      <c r="T13" s="1" t="s">
        <v>76</v>
      </c>
      <c r="U13" s="1" t="s">
        <v>4599</v>
      </c>
      <c r="X13" s="1" t="s">
        <v>2484</v>
      </c>
      <c r="Y13" s="1">
        <v>465.0</v>
      </c>
      <c r="Z13" s="3" t="s">
        <v>4600</v>
      </c>
      <c r="AA13" s="1">
        <v>721690.0</v>
      </c>
      <c r="AB13" s="1" t="s">
        <v>4601</v>
      </c>
      <c r="AC13" s="3" t="s">
        <v>4602</v>
      </c>
      <c r="AD13" s="3" t="s">
        <v>4603</v>
      </c>
      <c r="AE13" s="1">
        <v>2.0</v>
      </c>
      <c r="AF13" s="1" t="s">
        <v>4604</v>
      </c>
      <c r="AG13" s="1">
        <v>17.0</v>
      </c>
      <c r="AH13" s="1">
        <v>26.0</v>
      </c>
      <c r="AI13" s="1">
        <v>13.0</v>
      </c>
      <c r="AJ13" s="1">
        <v>10.0</v>
      </c>
      <c r="AK13" s="1">
        <v>1.0</v>
      </c>
      <c r="AL13" s="1">
        <v>3.0</v>
      </c>
      <c r="AM13" s="1">
        <v>80.0</v>
      </c>
      <c r="AN13" s="1">
        <v>44.0</v>
      </c>
      <c r="AO13" s="1">
        <v>1.0</v>
      </c>
      <c r="AP13" s="1">
        <v>0.0</v>
      </c>
      <c r="AQ13" s="1">
        <v>5.0</v>
      </c>
      <c r="AR13" s="1">
        <v>6.0</v>
      </c>
      <c r="AS13" s="1">
        <v>1.0</v>
      </c>
    </row>
    <row r="14" hidden="1">
      <c r="A14" s="1">
        <v>85.0</v>
      </c>
      <c r="B14" s="1" t="s">
        <v>3015</v>
      </c>
      <c r="C14" s="1" t="s">
        <v>3016</v>
      </c>
      <c r="D14" s="1" t="s">
        <v>2155</v>
      </c>
      <c r="E14" s="1" t="s">
        <v>58</v>
      </c>
      <c r="F14" s="2">
        <v>24783.0</v>
      </c>
      <c r="G14" s="1">
        <f t="shared" si="1"/>
        <v>58</v>
      </c>
      <c r="H14" s="1" t="s">
        <v>3017</v>
      </c>
      <c r="I14" s="1" t="str">
        <f>IFERROR(__xludf.DUMMYFUNCTION("SPLIT(left(H14,len(H14)-1),""("")"),"Windsor ")</f>
        <v>Windsor </v>
      </c>
      <c r="J14" s="1" t="str">
        <f>IFERROR(__xludf.DUMMYFUNCTION("""COMPUTED_VALUE"""),"Canada")</f>
        <v>Canada</v>
      </c>
      <c r="K14" s="1" t="str">
        <f>IFERROR(__xludf.DUMMYFUNCTION("IF( COUNTA( IFERROR( FILTER('départements_edition'!$C$2:$C$102 , 'départements_edition'!$C$2:$C$102=J14 ) ) ) , ""Oui"" , ""Non"" )"),"Non")</f>
        <v>Non</v>
      </c>
      <c r="L14" s="1" t="str">
        <f t="shared" si="2"/>
        <v>Canada</v>
      </c>
      <c r="M14" s="1">
        <v>30.0</v>
      </c>
      <c r="N14" s="1" t="s">
        <v>1751</v>
      </c>
      <c r="O14" s="1">
        <v>4.0</v>
      </c>
      <c r="P14" s="2">
        <v>42907.0</v>
      </c>
      <c r="R14" s="1">
        <v>0.0</v>
      </c>
      <c r="S14" s="1" t="s">
        <v>75</v>
      </c>
      <c r="T14" s="1" t="s">
        <v>76</v>
      </c>
      <c r="U14" s="1" t="s">
        <v>3018</v>
      </c>
      <c r="X14" s="1" t="s">
        <v>3019</v>
      </c>
      <c r="Y14" s="1">
        <v>425.0</v>
      </c>
      <c r="Z14" s="3" t="s">
        <v>3020</v>
      </c>
      <c r="AA14" s="1">
        <v>719448.0</v>
      </c>
      <c r="AB14" s="1" t="s">
        <v>3021</v>
      </c>
      <c r="AC14" s="3" t="s">
        <v>3022</v>
      </c>
      <c r="AD14" s="3" t="s">
        <v>3023</v>
      </c>
      <c r="AE14" s="1">
        <v>1.0</v>
      </c>
      <c r="AF14" s="1" t="s">
        <v>3024</v>
      </c>
      <c r="AG14" s="1">
        <v>20.0</v>
      </c>
      <c r="AH14" s="1">
        <v>40.0</v>
      </c>
      <c r="AI14" s="1">
        <v>8.0</v>
      </c>
      <c r="AJ14" s="1">
        <v>10.0</v>
      </c>
      <c r="AK14" s="1">
        <v>3.0</v>
      </c>
      <c r="AL14" s="1">
        <v>0.0</v>
      </c>
      <c r="AM14" s="1">
        <v>31.0</v>
      </c>
      <c r="AN14" s="1">
        <v>8.0</v>
      </c>
      <c r="AO14" s="1">
        <v>0.0</v>
      </c>
      <c r="AP14" s="1">
        <v>0.0</v>
      </c>
      <c r="AQ14" s="1">
        <v>5.0</v>
      </c>
      <c r="AR14" s="1">
        <v>5.0</v>
      </c>
      <c r="AS14" s="1">
        <v>1.0</v>
      </c>
    </row>
    <row r="15" hidden="1">
      <c r="A15" s="1">
        <v>49.0</v>
      </c>
      <c r="B15" s="1" t="s">
        <v>2549</v>
      </c>
      <c r="C15" s="1" t="s">
        <v>2550</v>
      </c>
      <c r="D15" s="1" t="s">
        <v>2551</v>
      </c>
      <c r="E15" s="1" t="s">
        <v>43</v>
      </c>
      <c r="F15" s="2">
        <v>27096.0</v>
      </c>
      <c r="G15" s="1">
        <f t="shared" si="1"/>
        <v>52</v>
      </c>
      <c r="H15" s="1" t="s">
        <v>2552</v>
      </c>
      <c r="I15" s="1" t="str">
        <f>IFERROR(__xludf.DUMMYFUNCTION("SPLIT(left(H15,len(H15)-1),""("")"),"Bangui ")</f>
        <v>Bangui </v>
      </c>
      <c r="J15" s="1" t="str">
        <f>IFERROR(__xludf.DUMMYFUNCTION("""COMPUTED_VALUE"""),"Centrafrique")</f>
        <v>Centrafrique</v>
      </c>
      <c r="K15" s="1" t="str">
        <f>IFERROR(__xludf.DUMMYFUNCTION("IF( COUNTA( IFERROR( FILTER('départements_edition'!$C$2:$C$102 , 'départements_edition'!$C$2:$C$102=J15 ) ) ) , ""Oui"" , ""Non"" )"),"Non")</f>
        <v>Non</v>
      </c>
      <c r="L15" s="1" t="str">
        <f t="shared" si="2"/>
        <v>Centrafrique</v>
      </c>
      <c r="M15" s="1">
        <v>77.0</v>
      </c>
      <c r="N15" s="1" t="s">
        <v>503</v>
      </c>
      <c r="O15" s="1">
        <v>7.0</v>
      </c>
      <c r="P15" s="2">
        <v>42907.0</v>
      </c>
      <c r="R15" s="1">
        <v>0.0</v>
      </c>
      <c r="S15" s="1" t="s">
        <v>75</v>
      </c>
      <c r="T15" s="1" t="s">
        <v>76</v>
      </c>
      <c r="U15" s="1" t="s">
        <v>2553</v>
      </c>
      <c r="X15" s="1" t="s">
        <v>162</v>
      </c>
      <c r="Y15" s="1">
        <v>245.0</v>
      </c>
      <c r="Z15" s="3" t="s">
        <v>2554</v>
      </c>
      <c r="AA15" s="1">
        <v>721644.0</v>
      </c>
      <c r="AB15" s="1" t="s">
        <v>2555</v>
      </c>
      <c r="AC15" s="3" t="s">
        <v>2556</v>
      </c>
      <c r="AD15" s="3" t="s">
        <v>2557</v>
      </c>
      <c r="AE15" s="1">
        <v>1.0</v>
      </c>
      <c r="AF15" s="1" t="s">
        <v>2558</v>
      </c>
      <c r="AG15" s="1">
        <v>21.0</v>
      </c>
      <c r="AH15" s="1">
        <v>40.0</v>
      </c>
      <c r="AI15" s="1">
        <v>6.0</v>
      </c>
      <c r="AJ15" s="1">
        <v>2.0</v>
      </c>
      <c r="AK15" s="1">
        <v>0.0</v>
      </c>
      <c r="AL15" s="1">
        <v>0.0</v>
      </c>
      <c r="AM15" s="1">
        <v>38.0</v>
      </c>
      <c r="AN15" s="1">
        <v>11.0</v>
      </c>
      <c r="AO15" s="1">
        <v>0.0</v>
      </c>
      <c r="AP15" s="1">
        <v>0.0</v>
      </c>
      <c r="AQ15" s="1">
        <v>5.0</v>
      </c>
      <c r="AR15" s="1">
        <v>6.0</v>
      </c>
      <c r="AS15" s="1">
        <v>0.0</v>
      </c>
    </row>
    <row r="16">
      <c r="A16" s="1">
        <v>193.0</v>
      </c>
      <c r="B16" s="1" t="s">
        <v>4566</v>
      </c>
      <c r="C16" s="1" t="s">
        <v>4567</v>
      </c>
      <c r="D16" s="1" t="s">
        <v>4568</v>
      </c>
      <c r="E16" s="1" t="s">
        <v>43</v>
      </c>
      <c r="F16" s="2">
        <v>30421.0</v>
      </c>
      <c r="G16" s="1">
        <f t="shared" si="1"/>
        <v>43</v>
      </c>
      <c r="H16" s="1" t="s">
        <v>4569</v>
      </c>
      <c r="I16" s="1" t="str">
        <f>IFERROR(__xludf.DUMMYFUNCTION("SPLIT(left(H16,len(H16)-1),""("")"),"Séoul ")</f>
        <v>Séoul </v>
      </c>
      <c r="J16" s="1" t="str">
        <f>IFERROR(__xludf.DUMMYFUNCTION("""COMPUTED_VALUE"""),"Corée du Sud")</f>
        <v>Corée du Sud</v>
      </c>
      <c r="K16" s="1" t="str">
        <f>IFERROR(__xludf.DUMMYFUNCTION("IF( COUNTA( IFERROR( FILTER('départements_edition'!$C$2:$C$102 , 'départements_edition'!$C$2:$C$102=J16 ) ) ) , ""Oui"" , ""Non"" )"),"Non")</f>
        <v>Non</v>
      </c>
      <c r="L16" s="1" t="str">
        <f t="shared" si="2"/>
        <v>Corée du Sud</v>
      </c>
      <c r="M16" s="1">
        <v>999.0</v>
      </c>
      <c r="N16" s="1" t="s">
        <v>256</v>
      </c>
      <c r="O16" s="1">
        <v>6.0</v>
      </c>
      <c r="P16" s="2">
        <v>42907.0</v>
      </c>
      <c r="R16" s="1">
        <v>0.0</v>
      </c>
      <c r="S16" s="1" t="s">
        <v>75</v>
      </c>
      <c r="T16" s="1" t="s">
        <v>76</v>
      </c>
      <c r="U16" s="1" t="s">
        <v>4570</v>
      </c>
      <c r="X16" s="1" t="s">
        <v>151</v>
      </c>
      <c r="Y16" s="1">
        <v>564.0</v>
      </c>
      <c r="Z16" s="3" t="s">
        <v>4571</v>
      </c>
      <c r="AA16" s="1">
        <v>721174.0</v>
      </c>
      <c r="AB16" s="1" t="s">
        <v>4572</v>
      </c>
      <c r="AC16" s="3" t="s">
        <v>4573</v>
      </c>
      <c r="AD16" s="3" t="s">
        <v>4574</v>
      </c>
      <c r="AE16" s="1">
        <v>1.0</v>
      </c>
      <c r="AF16" s="1" t="s">
        <v>4575</v>
      </c>
      <c r="AG16" s="1">
        <v>17.0</v>
      </c>
      <c r="AH16" s="1">
        <v>24.0</v>
      </c>
      <c r="AI16" s="1">
        <v>9.0</v>
      </c>
      <c r="AJ16" s="1">
        <v>8.0</v>
      </c>
      <c r="AK16" s="1">
        <v>4.0</v>
      </c>
      <c r="AL16" s="1">
        <v>1.0</v>
      </c>
      <c r="AM16" s="1">
        <v>26.0</v>
      </c>
      <c r="AN16" s="1">
        <v>13.0</v>
      </c>
      <c r="AO16" s="1">
        <v>0.0</v>
      </c>
      <c r="AP16" s="1">
        <v>1.0</v>
      </c>
      <c r="AQ16" s="1">
        <v>5.0</v>
      </c>
      <c r="AR16" s="1">
        <v>2.0</v>
      </c>
      <c r="AS16" s="1">
        <v>1.0</v>
      </c>
    </row>
    <row r="17" hidden="1">
      <c r="A17" s="1">
        <v>427.0</v>
      </c>
      <c r="B17" s="1" t="s">
        <v>3063</v>
      </c>
      <c r="C17" s="1" t="s">
        <v>3064</v>
      </c>
      <c r="D17" s="1" t="s">
        <v>1045</v>
      </c>
      <c r="E17" s="1" t="s">
        <v>58</v>
      </c>
      <c r="F17" s="2">
        <v>20977.0</v>
      </c>
      <c r="G17" s="1">
        <f t="shared" si="1"/>
        <v>69</v>
      </c>
      <c r="H17" s="1" t="s">
        <v>3065</v>
      </c>
      <c r="I17" s="1" t="str">
        <f>IFERROR(__xludf.DUMMYFUNCTION("SPLIT(left(H17,len(H17)-1),""("")"),"Dimbokro ")</f>
        <v>Dimbokro </v>
      </c>
      <c r="J17" s="1" t="str">
        <f>IFERROR(__xludf.DUMMYFUNCTION("""COMPUTED_VALUE"""),"Côte d'Ivoire")</f>
        <v>Côte d'Ivoire</v>
      </c>
      <c r="K17" s="1" t="str">
        <f>IFERROR(__xludf.DUMMYFUNCTION("IF( COUNTA( IFERROR( FILTER('départements_edition'!$C$2:$C$102 , 'départements_edition'!$C$2:$C$102=J17 ) ) ) , ""Oui"" , ""Non"" )"),"Non")</f>
        <v>Non</v>
      </c>
      <c r="L17" s="1" t="str">
        <f t="shared" si="2"/>
        <v>Côte d'Ivoire</v>
      </c>
      <c r="M17" s="1">
        <v>18.0</v>
      </c>
      <c r="N17" s="1" t="s">
        <v>2336</v>
      </c>
      <c r="O17" s="1">
        <v>2.0</v>
      </c>
      <c r="P17" s="2">
        <v>42907.0</v>
      </c>
      <c r="R17" s="1">
        <v>0.0</v>
      </c>
      <c r="S17" s="1" t="s">
        <v>280</v>
      </c>
      <c r="T17" s="1" t="s">
        <v>281</v>
      </c>
      <c r="U17" s="1" t="s">
        <v>3066</v>
      </c>
      <c r="X17" s="1" t="s">
        <v>3067</v>
      </c>
      <c r="Y17" s="1">
        <v>174.0</v>
      </c>
      <c r="Z17" s="3" t="s">
        <v>3068</v>
      </c>
      <c r="AA17" s="1">
        <v>719044.0</v>
      </c>
      <c r="AB17" s="1" t="s">
        <v>3069</v>
      </c>
      <c r="AC17" s="3" t="s">
        <v>3070</v>
      </c>
      <c r="AD17" s="3" t="s">
        <v>3071</v>
      </c>
      <c r="AE17" s="1">
        <v>1.0</v>
      </c>
      <c r="AF17" s="1" t="s">
        <v>3072</v>
      </c>
      <c r="AG17" s="1">
        <v>20.0</v>
      </c>
      <c r="AH17" s="1">
        <v>37.0</v>
      </c>
      <c r="AI17" s="1">
        <v>15.0</v>
      </c>
      <c r="AJ17" s="1">
        <v>16.0</v>
      </c>
      <c r="AK17" s="1">
        <v>5.0</v>
      </c>
      <c r="AL17" s="1">
        <v>0.0</v>
      </c>
      <c r="AM17" s="1">
        <v>208.0</v>
      </c>
      <c r="AN17" s="1">
        <v>18.0</v>
      </c>
      <c r="AO17" s="1">
        <v>0.0</v>
      </c>
      <c r="AP17" s="1">
        <v>0.0</v>
      </c>
      <c r="AQ17" s="1">
        <v>5.0</v>
      </c>
      <c r="AR17" s="1">
        <v>0.0</v>
      </c>
      <c r="AS17" s="1">
        <v>1.0</v>
      </c>
    </row>
    <row r="18" hidden="1">
      <c r="A18" s="1">
        <v>38.0</v>
      </c>
      <c r="B18" s="1" t="s">
        <v>4943</v>
      </c>
      <c r="C18" s="1" t="s">
        <v>4792</v>
      </c>
      <c r="D18" s="1" t="s">
        <v>4944</v>
      </c>
      <c r="E18" s="1" t="s">
        <v>43</v>
      </c>
      <c r="F18" s="2">
        <v>24343.0</v>
      </c>
      <c r="G18" s="1">
        <f t="shared" si="1"/>
        <v>59</v>
      </c>
      <c r="H18" s="1" t="s">
        <v>4945</v>
      </c>
      <c r="I18" s="1" t="str">
        <f>IFERROR(__xludf.DUMMYFUNCTION("SPLIT(left(H18,len(H18)-1),""("")"),"La Havane ")</f>
        <v>La Havane </v>
      </c>
      <c r="J18" s="1" t="str">
        <f>IFERROR(__xludf.DUMMYFUNCTION("""COMPUTED_VALUE"""),"Cuba")</f>
        <v>Cuba</v>
      </c>
      <c r="K18" s="1" t="str">
        <f>IFERROR(__xludf.DUMMYFUNCTION("IF( COUNTA( IFERROR( FILTER('départements_edition'!$C$2:$C$102 , 'départements_edition'!$C$2:$C$102=J18 ) ) ) , ""Oui"" , ""Non"" )"),"Non")</f>
        <v>Non</v>
      </c>
      <c r="L18" s="1" t="str">
        <f t="shared" si="2"/>
        <v>Cuba</v>
      </c>
      <c r="M18" s="1">
        <v>13.0</v>
      </c>
      <c r="N18" s="1" t="s">
        <v>279</v>
      </c>
      <c r="O18" s="1">
        <v>10.0</v>
      </c>
      <c r="P18" s="2">
        <v>42907.0</v>
      </c>
      <c r="R18" s="1">
        <v>0.0</v>
      </c>
      <c r="S18" s="1" t="s">
        <v>75</v>
      </c>
      <c r="T18" s="1" t="s">
        <v>2397</v>
      </c>
      <c r="U18" s="1" t="s">
        <v>4946</v>
      </c>
      <c r="X18" s="1" t="s">
        <v>526</v>
      </c>
      <c r="Y18" s="1">
        <v>359.0</v>
      </c>
      <c r="Z18" s="3" t="s">
        <v>4947</v>
      </c>
      <c r="AA18" s="1">
        <v>605518.0</v>
      </c>
      <c r="AB18" s="1" t="s">
        <v>4948</v>
      </c>
      <c r="AC18" s="3" t="s">
        <v>4949</v>
      </c>
      <c r="AD18" s="3" t="s">
        <v>4950</v>
      </c>
      <c r="AE18" s="1">
        <v>1.0</v>
      </c>
      <c r="AF18" s="1" t="s">
        <v>4951</v>
      </c>
      <c r="AG18" s="1">
        <v>15.0</v>
      </c>
      <c r="AH18" s="1">
        <v>16.0</v>
      </c>
      <c r="AI18" s="1">
        <v>10.0</v>
      </c>
      <c r="AJ18" s="1">
        <v>39.0</v>
      </c>
      <c r="AK18" s="1">
        <v>17.0</v>
      </c>
      <c r="AL18" s="1">
        <v>34.0</v>
      </c>
      <c r="AM18" s="1">
        <v>117.0</v>
      </c>
      <c r="AN18" s="1">
        <v>45.0</v>
      </c>
      <c r="AO18" s="1">
        <v>0.0</v>
      </c>
      <c r="AP18" s="1">
        <v>0.0</v>
      </c>
      <c r="AQ18" s="1">
        <v>8.0</v>
      </c>
      <c r="AR18" s="1">
        <v>5.0</v>
      </c>
      <c r="AS18" s="1">
        <v>1.0</v>
      </c>
    </row>
    <row r="19" hidden="1">
      <c r="A19" s="1">
        <v>479.0</v>
      </c>
      <c r="B19" s="1" t="s">
        <v>4614</v>
      </c>
      <c r="C19" s="1" t="s">
        <v>4615</v>
      </c>
      <c r="D19" s="1" t="s">
        <v>4616</v>
      </c>
      <c r="E19" s="1" t="s">
        <v>43</v>
      </c>
      <c r="F19" s="2">
        <v>22871.0</v>
      </c>
      <c r="G19" s="1">
        <f t="shared" si="1"/>
        <v>64</v>
      </c>
      <c r="H19" s="1" t="s">
        <v>4617</v>
      </c>
      <c r="I19" s="1" t="str">
        <f>IFERROR(__xludf.DUMMYFUNCTION("SPLIT(left(H19,len(H19)-1),""("")"),"Barcelone ")</f>
        <v>Barcelone </v>
      </c>
      <c r="J19" s="1" t="str">
        <f>IFERROR(__xludf.DUMMYFUNCTION("""COMPUTED_VALUE"""),"Espagne")</f>
        <v>Espagne</v>
      </c>
      <c r="K19" s="1" t="str">
        <f>IFERROR(__xludf.DUMMYFUNCTION("IF( COUNTA( IFERROR( FILTER('départements_edition'!$C$2:$C$102 , 'départements_edition'!$C$2:$C$102=J19 ) ) ) , ""Oui"" , ""Non"" )"),"Non")</f>
        <v>Non</v>
      </c>
      <c r="L19" s="1" t="str">
        <f t="shared" si="2"/>
        <v>Espagne</v>
      </c>
      <c r="M19" s="1">
        <v>91.0</v>
      </c>
      <c r="N19" s="1" t="s">
        <v>610</v>
      </c>
      <c r="O19" s="1">
        <v>1.0</v>
      </c>
      <c r="P19" s="2">
        <v>42907.0</v>
      </c>
      <c r="R19" s="1">
        <v>0.0</v>
      </c>
      <c r="S19" s="1" t="s">
        <v>75</v>
      </c>
      <c r="T19" s="1" t="s">
        <v>76</v>
      </c>
      <c r="U19" s="1" t="s">
        <v>4618</v>
      </c>
      <c r="X19" s="1" t="s">
        <v>839</v>
      </c>
      <c r="Y19" s="1">
        <v>339.0</v>
      </c>
      <c r="Z19" s="3" t="s">
        <v>4619</v>
      </c>
      <c r="AA19" s="1">
        <v>267622.0</v>
      </c>
      <c r="AB19" s="1" t="s">
        <v>4620</v>
      </c>
      <c r="AC19" s="3" t="s">
        <v>4621</v>
      </c>
      <c r="AD19" s="3" t="s">
        <v>4622</v>
      </c>
      <c r="AE19" s="1">
        <v>2.0</v>
      </c>
      <c r="AF19" s="1" t="s">
        <v>4623</v>
      </c>
      <c r="AG19" s="1">
        <v>17.0</v>
      </c>
      <c r="AH19" s="1">
        <v>26.0</v>
      </c>
      <c r="AI19" s="1">
        <v>3.0</v>
      </c>
      <c r="AJ19" s="1">
        <v>26.0</v>
      </c>
      <c r="AK19" s="1">
        <v>22.0</v>
      </c>
      <c r="AL19" s="1">
        <v>0.0</v>
      </c>
      <c r="AM19" s="1">
        <v>63.0</v>
      </c>
      <c r="AN19" s="1">
        <v>26.0</v>
      </c>
      <c r="AO19" s="1">
        <v>0.0</v>
      </c>
      <c r="AP19" s="1">
        <v>0.0</v>
      </c>
      <c r="AQ19" s="1">
        <v>5.0</v>
      </c>
      <c r="AR19" s="1">
        <v>5.0</v>
      </c>
      <c r="AS19" s="1">
        <v>0.0</v>
      </c>
    </row>
    <row r="20" hidden="1">
      <c r="A20" s="1">
        <v>61.0</v>
      </c>
      <c r="B20" s="1" t="s">
        <v>5488</v>
      </c>
      <c r="C20" s="1" t="s">
        <v>5489</v>
      </c>
      <c r="D20" s="1" t="s">
        <v>619</v>
      </c>
      <c r="E20" s="1" t="s">
        <v>58</v>
      </c>
      <c r="F20" s="2">
        <v>22932.0</v>
      </c>
      <c r="G20" s="1">
        <f t="shared" si="1"/>
        <v>63</v>
      </c>
      <c r="H20" s="1" t="s">
        <v>5490</v>
      </c>
      <c r="I20" s="1" t="str">
        <f>IFERROR(__xludf.DUMMYFUNCTION("SPLIT(left(H20,len(H20)-1),""("")"),"Alicante ")</f>
        <v>Alicante </v>
      </c>
      <c r="J20" s="1" t="str">
        <f>IFERROR(__xludf.DUMMYFUNCTION("""COMPUTED_VALUE"""),"Espagne")</f>
        <v>Espagne</v>
      </c>
      <c r="K20" s="1" t="str">
        <f>IFERROR(__xludf.DUMMYFUNCTION("IF( COUNTA( IFERROR( FILTER('départements_edition'!$C$2:$C$102 , 'départements_edition'!$C$2:$C$102=J20 ) ) ) , ""Oui"" , ""Non"" )"),"Non")</f>
        <v>Non</v>
      </c>
      <c r="L20" s="1" t="str">
        <f t="shared" si="2"/>
        <v>Espagne</v>
      </c>
      <c r="M20" s="1">
        <v>6.0</v>
      </c>
      <c r="N20" s="1" t="s">
        <v>438</v>
      </c>
      <c r="O20" s="1">
        <v>9.0</v>
      </c>
      <c r="P20" s="2">
        <v>42907.0</v>
      </c>
      <c r="R20" s="1">
        <v>0.0</v>
      </c>
      <c r="S20" s="1" t="s">
        <v>61</v>
      </c>
      <c r="T20" s="1" t="s">
        <v>62</v>
      </c>
      <c r="U20" s="1" t="s">
        <v>5491</v>
      </c>
      <c r="X20" s="1" t="s">
        <v>2484</v>
      </c>
      <c r="Y20" s="1">
        <v>85.0</v>
      </c>
      <c r="Z20" s="3" t="s">
        <v>5492</v>
      </c>
      <c r="AA20" s="1">
        <v>267794.0</v>
      </c>
      <c r="AB20" s="1" t="s">
        <v>5493</v>
      </c>
      <c r="AC20" s="3" t="s">
        <v>5494</v>
      </c>
      <c r="AD20" s="3" t="s">
        <v>5495</v>
      </c>
      <c r="AE20" s="1">
        <v>1.0</v>
      </c>
      <c r="AF20" s="1" t="s">
        <v>5496</v>
      </c>
      <c r="AG20" s="1">
        <v>7.0</v>
      </c>
      <c r="AH20" s="1">
        <v>8.0</v>
      </c>
      <c r="AI20" s="1">
        <v>0.0</v>
      </c>
      <c r="AJ20" s="1">
        <v>0.0</v>
      </c>
      <c r="AK20" s="1">
        <v>0.0</v>
      </c>
      <c r="AL20" s="1">
        <v>1.0</v>
      </c>
      <c r="AM20" s="1">
        <v>346.0</v>
      </c>
      <c r="AN20" s="1">
        <v>18.0</v>
      </c>
      <c r="AO20" s="1">
        <v>0.0</v>
      </c>
      <c r="AP20" s="1">
        <v>1.0</v>
      </c>
      <c r="AQ20" s="1">
        <v>23.0</v>
      </c>
      <c r="AR20" s="1">
        <v>13.0</v>
      </c>
      <c r="AS20" s="1">
        <v>0.0</v>
      </c>
    </row>
    <row r="21" hidden="1">
      <c r="A21" s="1">
        <v>116.0</v>
      </c>
      <c r="B21" s="1" t="s">
        <v>40</v>
      </c>
      <c r="C21" s="1" t="s">
        <v>41</v>
      </c>
      <c r="D21" s="1" t="s">
        <v>42</v>
      </c>
      <c r="E21" s="1" t="s">
        <v>43</v>
      </c>
      <c r="F21" s="2">
        <v>21219.0</v>
      </c>
      <c r="G21" s="1">
        <f t="shared" si="1"/>
        <v>68</v>
      </c>
      <c r="H21" s="1" t="s">
        <v>44</v>
      </c>
      <c r="I21" s="1" t="str">
        <f>IFERROR(__xludf.DUMMYFUNCTION("SPLIT(left(H21,len(H21)-1),""("")"),"Valence ")</f>
        <v>Valence </v>
      </c>
      <c r="J21" s="1" t="str">
        <f>IFERROR(__xludf.DUMMYFUNCTION("""COMPUTED_VALUE"""),"Drôme")</f>
        <v>Drôme</v>
      </c>
      <c r="K21" s="1" t="str">
        <f>IFERROR(__xludf.DUMMYFUNCTION("IF( COUNTA( IFERROR( FILTER('départements_edition'!$C$2:$C$102 , 'départements_edition'!$C$2:$C$102=J21 ) ) ) , ""Oui"" , ""Non"" )"),"Oui")</f>
        <v>Oui</v>
      </c>
      <c r="L21" s="1" t="str">
        <f t="shared" si="2"/>
        <v>France</v>
      </c>
      <c r="M21" s="1">
        <v>28.0</v>
      </c>
      <c r="N21" s="1" t="s">
        <v>45</v>
      </c>
      <c r="O21" s="1">
        <v>4.0</v>
      </c>
      <c r="P21" s="2">
        <v>42907.0</v>
      </c>
      <c r="R21" s="1">
        <v>0.0</v>
      </c>
      <c r="S21" s="1" t="s">
        <v>46</v>
      </c>
      <c r="T21" s="1" t="s">
        <v>47</v>
      </c>
      <c r="U21" s="1" t="s">
        <v>48</v>
      </c>
      <c r="X21" s="1" t="s">
        <v>49</v>
      </c>
      <c r="Y21" s="1">
        <v>114.0</v>
      </c>
      <c r="Z21" s="3" t="s">
        <v>50</v>
      </c>
      <c r="AA21" s="1">
        <v>331582.0</v>
      </c>
      <c r="AB21" s="1" t="s">
        <v>51</v>
      </c>
      <c r="AC21" s="3" t="s">
        <v>52</v>
      </c>
      <c r="AD21" s="3" t="s">
        <v>53</v>
      </c>
      <c r="AE21" s="1">
        <v>2.0</v>
      </c>
      <c r="AF21" s="1" t="s">
        <v>54</v>
      </c>
      <c r="AG21" s="1">
        <v>27.0</v>
      </c>
      <c r="AH21" s="1">
        <v>54.0</v>
      </c>
      <c r="AI21" s="1">
        <v>58.0</v>
      </c>
      <c r="AJ21" s="1">
        <v>257.0</v>
      </c>
      <c r="AK21" s="1">
        <v>283.0</v>
      </c>
      <c r="AL21" s="1">
        <v>88.0</v>
      </c>
      <c r="AM21" s="1">
        <v>442.0</v>
      </c>
      <c r="AN21" s="1">
        <v>19.0</v>
      </c>
      <c r="AO21" s="1">
        <v>2.0</v>
      </c>
      <c r="AP21" s="1">
        <v>1.0</v>
      </c>
      <c r="AQ21" s="1">
        <v>10.0</v>
      </c>
      <c r="AR21" s="1">
        <v>9.0</v>
      </c>
      <c r="AS21" s="1">
        <v>3.0</v>
      </c>
    </row>
    <row r="22" hidden="1">
      <c r="A22" s="1">
        <v>541.0</v>
      </c>
      <c r="B22" s="1" t="s">
        <v>55</v>
      </c>
      <c r="C22" s="1" t="s">
        <v>56</v>
      </c>
      <c r="D22" s="1" t="s">
        <v>57</v>
      </c>
      <c r="E22" s="1" t="s">
        <v>58</v>
      </c>
      <c r="F22" s="2">
        <v>29435.0</v>
      </c>
      <c r="G22" s="1">
        <f t="shared" si="1"/>
        <v>46</v>
      </c>
      <c r="H22" s="1" t="s">
        <v>59</v>
      </c>
      <c r="I22" s="1" t="str">
        <f>IFERROR(__xludf.DUMMYFUNCTION("SPLIT(left(H22,len(H22)-1),""("")"),"Chambéry ")</f>
        <v>Chambéry </v>
      </c>
      <c r="J22" s="1" t="str">
        <f>IFERROR(__xludf.DUMMYFUNCTION("""COMPUTED_VALUE"""),"Savoie")</f>
        <v>Savoie</v>
      </c>
      <c r="K22" s="1" t="str">
        <f>IFERROR(__xludf.DUMMYFUNCTION("IF( COUNTA( IFERROR( FILTER('départements_edition'!$C$2:$C$102 , 'départements_edition'!$C$2:$C$102=J22 ) ) ) , ""Oui"" , ""Non"" )"),"Oui")</f>
        <v>Oui</v>
      </c>
      <c r="L22" s="1" t="str">
        <f t="shared" si="2"/>
        <v>France</v>
      </c>
      <c r="M22" s="1">
        <v>73.0</v>
      </c>
      <c r="N22" s="1" t="s">
        <v>60</v>
      </c>
      <c r="O22" s="1">
        <v>3.0</v>
      </c>
      <c r="P22" s="2">
        <v>42907.0</v>
      </c>
      <c r="R22" s="1">
        <v>0.0</v>
      </c>
      <c r="S22" s="1" t="s">
        <v>61</v>
      </c>
      <c r="T22" s="1" t="s">
        <v>62</v>
      </c>
      <c r="U22" s="1" t="s">
        <v>63</v>
      </c>
      <c r="X22" s="1" t="s">
        <v>64</v>
      </c>
      <c r="Y22" s="1">
        <v>9.0</v>
      </c>
      <c r="Z22" s="3" t="s">
        <v>65</v>
      </c>
      <c r="AA22" s="1">
        <v>721410.0</v>
      </c>
      <c r="AB22" s="1" t="s">
        <v>66</v>
      </c>
      <c r="AC22" s="3" t="s">
        <v>67</v>
      </c>
      <c r="AD22" s="3" t="s">
        <v>68</v>
      </c>
      <c r="AE22" s="1">
        <v>2.0</v>
      </c>
      <c r="AF22" s="1" t="s">
        <v>69</v>
      </c>
      <c r="AG22" s="1">
        <v>26.0</v>
      </c>
      <c r="AH22" s="1">
        <v>50.0</v>
      </c>
      <c r="AI22" s="1">
        <v>33.0</v>
      </c>
      <c r="AJ22" s="1">
        <v>74.0</v>
      </c>
      <c r="AK22" s="1">
        <v>195.0</v>
      </c>
      <c r="AL22" s="1">
        <v>77.0</v>
      </c>
      <c r="AM22" s="1">
        <v>738.0</v>
      </c>
      <c r="AN22" s="1">
        <v>36.0</v>
      </c>
      <c r="AO22" s="1">
        <v>1.0</v>
      </c>
      <c r="AP22" s="1">
        <v>0.0</v>
      </c>
      <c r="AQ22" s="1">
        <v>17.0</v>
      </c>
      <c r="AR22" s="1">
        <v>14.0</v>
      </c>
      <c r="AS22" s="1">
        <v>1.0</v>
      </c>
    </row>
    <row r="23" hidden="1">
      <c r="A23" s="1">
        <v>296.0</v>
      </c>
      <c r="B23" s="1" t="s">
        <v>70</v>
      </c>
      <c r="C23" s="1" t="s">
        <v>71</v>
      </c>
      <c r="D23" s="1" t="s">
        <v>72</v>
      </c>
      <c r="E23" s="1" t="s">
        <v>58</v>
      </c>
      <c r="F23" s="2">
        <v>25909.0</v>
      </c>
      <c r="G23" s="1">
        <f t="shared" si="1"/>
        <v>55</v>
      </c>
      <c r="H23" s="1" t="s">
        <v>73</v>
      </c>
      <c r="I23" s="1" t="str">
        <f>IFERROR(__xludf.DUMMYFUNCTION("SPLIT(left(H23,len(H23)-1),""("")"),"Nancy ")</f>
        <v>Nancy </v>
      </c>
      <c r="J23" s="1" t="str">
        <f>IFERROR(__xludf.DUMMYFUNCTION("""COMPUTED_VALUE"""),"Meurthe-et-Moselle")</f>
        <v>Meurthe-et-Moselle</v>
      </c>
      <c r="K23" s="1" t="str">
        <f>IFERROR(__xludf.DUMMYFUNCTION("IF( COUNTA( IFERROR( FILTER('départements_edition'!$C$2:$C$102 , 'départements_edition'!$C$2:$C$102=J23 ) ) ) , ""Oui"" , ""Non"" )"),"Oui")</f>
        <v>Oui</v>
      </c>
      <c r="L23" s="1" t="str">
        <f t="shared" si="2"/>
        <v>France</v>
      </c>
      <c r="M23" s="1">
        <v>78.0</v>
      </c>
      <c r="N23" s="1" t="s">
        <v>74</v>
      </c>
      <c r="O23" s="1">
        <v>5.0</v>
      </c>
      <c r="P23" s="2">
        <v>42907.0</v>
      </c>
      <c r="R23" s="1">
        <v>0.0</v>
      </c>
      <c r="S23" s="1" t="s">
        <v>75</v>
      </c>
      <c r="T23" s="1" t="s">
        <v>76</v>
      </c>
      <c r="U23" s="1" t="s">
        <v>77</v>
      </c>
      <c r="X23" s="1" t="s">
        <v>78</v>
      </c>
      <c r="Y23" s="1">
        <v>481.0</v>
      </c>
      <c r="Z23" s="3" t="s">
        <v>79</v>
      </c>
      <c r="AA23" s="1">
        <v>721908.0</v>
      </c>
      <c r="AB23" s="1" t="s">
        <v>80</v>
      </c>
      <c r="AC23" s="3" t="s">
        <v>81</v>
      </c>
      <c r="AD23" s="3" t="s">
        <v>82</v>
      </c>
      <c r="AE23" s="1">
        <v>1.0</v>
      </c>
      <c r="AF23" s="1" t="s">
        <v>83</v>
      </c>
      <c r="AG23" s="1">
        <v>26.0</v>
      </c>
      <c r="AH23" s="1">
        <v>75.0</v>
      </c>
      <c r="AI23" s="1">
        <v>392.0</v>
      </c>
      <c r="AJ23" s="1">
        <v>363.0</v>
      </c>
      <c r="AK23" s="1">
        <v>251.0</v>
      </c>
      <c r="AL23" s="1">
        <v>178.0</v>
      </c>
      <c r="AM23" s="1">
        <v>242.0</v>
      </c>
      <c r="AN23" s="1">
        <v>189.0</v>
      </c>
      <c r="AO23" s="1">
        <v>7.0</v>
      </c>
      <c r="AP23" s="1">
        <v>0.0</v>
      </c>
      <c r="AQ23" s="1">
        <v>5.0</v>
      </c>
      <c r="AR23" s="1">
        <v>6.0</v>
      </c>
      <c r="AS23" s="1">
        <v>1.0</v>
      </c>
    </row>
    <row r="24" hidden="1">
      <c r="A24" s="1">
        <v>42.0</v>
      </c>
      <c r="B24" s="1" t="s">
        <v>84</v>
      </c>
      <c r="C24" s="1" t="s">
        <v>85</v>
      </c>
      <c r="D24" s="1" t="s">
        <v>86</v>
      </c>
      <c r="E24" s="1" t="s">
        <v>43</v>
      </c>
      <c r="F24" s="2">
        <v>22975.0</v>
      </c>
      <c r="G24" s="1">
        <f t="shared" si="1"/>
        <v>63</v>
      </c>
      <c r="H24" s="1" t="s">
        <v>87</v>
      </c>
      <c r="I24" s="1" t="str">
        <f>IFERROR(__xludf.DUMMYFUNCTION("SPLIT(left(H24,len(H24)-1),""("")"),"Darney ")</f>
        <v>Darney </v>
      </c>
      <c r="J24" s="1" t="str">
        <f>IFERROR(__xludf.DUMMYFUNCTION("""COMPUTED_VALUE"""),"Vosges")</f>
        <v>Vosges</v>
      </c>
      <c r="K24" s="1" t="str">
        <f>IFERROR(__xludf.DUMMYFUNCTION("IF( COUNTA( IFERROR( FILTER('départements_edition'!$C$2:$C$102 , 'départements_edition'!$C$2:$C$102=J24 ) ) ) , ""Oui"" , ""Non"" )"),"Oui")</f>
        <v>Oui</v>
      </c>
      <c r="L24" s="1" t="str">
        <f t="shared" si="2"/>
        <v>France</v>
      </c>
      <c r="M24" s="1">
        <v>1.0</v>
      </c>
      <c r="N24" s="1" t="s">
        <v>88</v>
      </c>
      <c r="O24" s="1">
        <v>1.0</v>
      </c>
      <c r="P24" s="2">
        <v>42907.0</v>
      </c>
      <c r="R24" s="1">
        <v>0.0</v>
      </c>
      <c r="S24" s="1" t="s">
        <v>61</v>
      </c>
      <c r="T24" s="1" t="s">
        <v>62</v>
      </c>
      <c r="U24" s="1" t="s">
        <v>89</v>
      </c>
      <c r="X24" s="1" t="s">
        <v>90</v>
      </c>
      <c r="Y24" s="1">
        <v>41.0</v>
      </c>
      <c r="Z24" s="3" t="s">
        <v>91</v>
      </c>
      <c r="AA24" s="1">
        <v>330008.0</v>
      </c>
      <c r="AB24" s="1" t="s">
        <v>92</v>
      </c>
      <c r="AC24" s="3" t="s">
        <v>93</v>
      </c>
      <c r="AD24" s="3" t="s">
        <v>94</v>
      </c>
      <c r="AE24" s="1">
        <v>1.0</v>
      </c>
      <c r="AF24" s="1" t="s">
        <v>95</v>
      </c>
      <c r="AG24" s="1">
        <v>26.0</v>
      </c>
      <c r="AH24" s="1">
        <v>44.0</v>
      </c>
      <c r="AI24" s="1">
        <v>49.0</v>
      </c>
      <c r="AJ24" s="1">
        <v>62.0</v>
      </c>
      <c r="AK24" s="1">
        <v>144.0</v>
      </c>
      <c r="AL24" s="1">
        <v>112.0</v>
      </c>
      <c r="AM24" s="1">
        <v>693.0</v>
      </c>
      <c r="AN24" s="1">
        <v>19.0</v>
      </c>
      <c r="AO24" s="1">
        <v>0.0</v>
      </c>
      <c r="AP24" s="1">
        <v>1.0</v>
      </c>
      <c r="AQ24" s="1">
        <v>30.0</v>
      </c>
      <c r="AR24" s="1">
        <v>19.0</v>
      </c>
      <c r="AS24" s="1">
        <v>1.0</v>
      </c>
    </row>
    <row r="25" hidden="1">
      <c r="A25" s="1">
        <v>523.0</v>
      </c>
      <c r="B25" s="1" t="s">
        <v>96</v>
      </c>
      <c r="C25" s="1" t="s">
        <v>97</v>
      </c>
      <c r="D25" s="1" t="s">
        <v>98</v>
      </c>
      <c r="E25" s="1" t="s">
        <v>43</v>
      </c>
      <c r="F25" s="2">
        <v>21272.0</v>
      </c>
      <c r="G25" s="1">
        <f t="shared" si="1"/>
        <v>68</v>
      </c>
      <c r="H25" s="1" t="s">
        <v>99</v>
      </c>
      <c r="I25" s="1" t="str">
        <f>IFERROR(__xludf.DUMMYFUNCTION("SPLIT(left(H25,len(H25)-1),""("")"),"Saint-Menoux ")</f>
        <v>Saint-Menoux </v>
      </c>
      <c r="J25" s="1" t="str">
        <f>IFERROR(__xludf.DUMMYFUNCTION("""COMPUTED_VALUE"""),"Allier")</f>
        <v>Allier</v>
      </c>
      <c r="K25" s="1" t="str">
        <f>IFERROR(__xludf.DUMMYFUNCTION("IF( COUNTA( IFERROR( FILTER('départements_edition'!$C$2:$C$102 , 'départements_edition'!$C$2:$C$102=J25 ) ) ) , ""Oui"" , ""Non"" )"),"Oui")</f>
        <v>Oui</v>
      </c>
      <c r="L25" s="1" t="str">
        <f t="shared" si="2"/>
        <v>France</v>
      </c>
      <c r="M25" s="1">
        <v>3.0</v>
      </c>
      <c r="N25" s="1" t="s">
        <v>100</v>
      </c>
      <c r="O25" s="1">
        <v>1.0</v>
      </c>
      <c r="P25" s="2">
        <v>42907.0</v>
      </c>
      <c r="R25" s="1">
        <v>0.0</v>
      </c>
      <c r="S25" s="1" t="s">
        <v>101</v>
      </c>
      <c r="T25" s="1" t="s">
        <v>102</v>
      </c>
      <c r="U25" s="1" t="s">
        <v>103</v>
      </c>
      <c r="X25" s="1" t="s">
        <v>104</v>
      </c>
      <c r="Y25" s="1">
        <v>591.0</v>
      </c>
      <c r="Z25" s="3" t="s">
        <v>105</v>
      </c>
      <c r="AA25" s="1">
        <v>718720.0</v>
      </c>
      <c r="AB25" s="1" t="s">
        <v>106</v>
      </c>
      <c r="AC25" s="3" t="s">
        <v>107</v>
      </c>
      <c r="AD25" s="3" t="s">
        <v>108</v>
      </c>
      <c r="AE25" s="1">
        <v>1.0</v>
      </c>
      <c r="AF25" s="1" t="s">
        <v>109</v>
      </c>
      <c r="AG25" s="1">
        <v>26.0</v>
      </c>
      <c r="AH25" s="1">
        <v>55.0</v>
      </c>
      <c r="AI25" s="1">
        <v>59.0</v>
      </c>
      <c r="AJ25" s="1">
        <v>170.0</v>
      </c>
      <c r="AK25" s="1">
        <v>204.0</v>
      </c>
      <c r="AL25" s="1">
        <v>84.0</v>
      </c>
      <c r="AM25" s="1">
        <v>718.0</v>
      </c>
      <c r="AN25" s="1">
        <v>28.0</v>
      </c>
      <c r="AO25" s="1">
        <v>0.0</v>
      </c>
      <c r="AP25" s="1">
        <v>1.0</v>
      </c>
      <c r="AQ25" s="1">
        <v>19.0</v>
      </c>
      <c r="AR25" s="1">
        <v>10.0</v>
      </c>
      <c r="AS25" s="1">
        <v>3.0</v>
      </c>
    </row>
    <row r="26" hidden="1">
      <c r="A26" s="1">
        <v>350.0</v>
      </c>
      <c r="B26" s="1" t="s">
        <v>110</v>
      </c>
      <c r="C26" s="1" t="s">
        <v>111</v>
      </c>
      <c r="D26" s="1" t="s">
        <v>112</v>
      </c>
      <c r="E26" s="1" t="s">
        <v>58</v>
      </c>
      <c r="F26" s="2">
        <v>23656.0</v>
      </c>
      <c r="G26" s="1">
        <f t="shared" si="1"/>
        <v>61</v>
      </c>
      <c r="H26" s="1" t="s">
        <v>113</v>
      </c>
      <c r="I26" s="1" t="str">
        <f>IFERROR(__xludf.DUMMYFUNCTION("SPLIT(left(H26,len(H26)-1),""("")"),"Saint-Georges-de-Mons ")</f>
        <v>Saint-Georges-de-Mons </v>
      </c>
      <c r="J26" s="1" t="str">
        <f>IFERROR(__xludf.DUMMYFUNCTION("""COMPUTED_VALUE"""),"Puy-de-Dôme")</f>
        <v>Puy-de-Dôme</v>
      </c>
      <c r="K26" s="1" t="str">
        <f>IFERROR(__xludf.DUMMYFUNCTION("IF( COUNTA( IFERROR( FILTER('départements_edition'!$C$2:$C$102 , 'départements_edition'!$C$2:$C$102=J26 ) ) ) , ""Oui"" , ""Non"" )"),"Oui")</f>
        <v>Oui</v>
      </c>
      <c r="L26" s="1" t="str">
        <f t="shared" si="2"/>
        <v>France</v>
      </c>
      <c r="M26" s="1">
        <v>63.0</v>
      </c>
      <c r="N26" s="1" t="s">
        <v>114</v>
      </c>
      <c r="O26" s="1">
        <v>2.0</v>
      </c>
      <c r="P26" s="2">
        <v>42907.0</v>
      </c>
      <c r="R26" s="1">
        <v>0.0</v>
      </c>
      <c r="S26" s="1" t="s">
        <v>115</v>
      </c>
      <c r="T26" s="1" t="s">
        <v>116</v>
      </c>
      <c r="U26" s="1" t="s">
        <v>117</v>
      </c>
      <c r="X26" s="1" t="s">
        <v>118</v>
      </c>
      <c r="Y26" s="1">
        <v>507.0</v>
      </c>
      <c r="Z26" s="3" t="s">
        <v>119</v>
      </c>
      <c r="AA26" s="1">
        <v>608172.0</v>
      </c>
      <c r="AB26" s="1" t="s">
        <v>120</v>
      </c>
      <c r="AC26" s="3" t="s">
        <v>121</v>
      </c>
      <c r="AD26" s="3" t="s">
        <v>122</v>
      </c>
      <c r="AE26" s="1">
        <v>1.0</v>
      </c>
      <c r="AF26" s="1" t="s">
        <v>123</v>
      </c>
      <c r="AG26" s="1">
        <v>26.0</v>
      </c>
      <c r="AH26" s="1">
        <v>54.0</v>
      </c>
      <c r="AI26" s="1">
        <v>94.0</v>
      </c>
      <c r="AJ26" s="1">
        <v>212.0</v>
      </c>
      <c r="AK26" s="1">
        <v>88.0</v>
      </c>
      <c r="AL26" s="1">
        <v>74.0</v>
      </c>
      <c r="AM26" s="1">
        <v>1230.0</v>
      </c>
      <c r="AN26" s="1">
        <v>94.0</v>
      </c>
      <c r="AO26" s="1">
        <v>1.0</v>
      </c>
      <c r="AP26" s="1">
        <v>0.0</v>
      </c>
      <c r="AQ26" s="1">
        <v>6.0</v>
      </c>
      <c r="AR26" s="1">
        <v>25.0</v>
      </c>
      <c r="AS26" s="1">
        <v>6.0</v>
      </c>
    </row>
    <row r="27" hidden="1">
      <c r="A27" s="1">
        <v>266.0</v>
      </c>
      <c r="B27" s="1" t="s">
        <v>124</v>
      </c>
      <c r="C27" s="1" t="s">
        <v>125</v>
      </c>
      <c r="D27" s="1" t="s">
        <v>126</v>
      </c>
      <c r="E27" s="1" t="s">
        <v>43</v>
      </c>
      <c r="F27" s="2">
        <v>22345.0</v>
      </c>
      <c r="G27" s="1">
        <f t="shared" si="1"/>
        <v>65</v>
      </c>
      <c r="H27" s="1" t="s">
        <v>127</v>
      </c>
      <c r="I27" s="1" t="str">
        <f>IFERROR(__xludf.DUMMYFUNCTION("SPLIT(left(H27,len(H27)-1),""("")"),"Nozeroy ")</f>
        <v>Nozeroy </v>
      </c>
      <c r="J27" s="1" t="str">
        <f>IFERROR(__xludf.DUMMYFUNCTION("""COMPUTED_VALUE"""),"Jura")</f>
        <v>Jura</v>
      </c>
      <c r="K27" s="1" t="str">
        <f>IFERROR(__xludf.DUMMYFUNCTION("IF( COUNTA( IFERROR( FILTER('départements_edition'!$C$2:$C$102 , 'départements_edition'!$C$2:$C$102=J27 ) ) ) , ""Oui"" , ""Non"" )"),"Oui")</f>
        <v>Oui</v>
      </c>
      <c r="L27" s="1" t="str">
        <f t="shared" si="2"/>
        <v>France</v>
      </c>
      <c r="M27" s="1">
        <v>39.0</v>
      </c>
      <c r="N27" s="1" t="s">
        <v>128</v>
      </c>
      <c r="O27" s="1">
        <v>3.0</v>
      </c>
      <c r="P27" s="2">
        <v>42907.0</v>
      </c>
      <c r="R27" s="1">
        <v>0.0</v>
      </c>
      <c r="S27" s="1" t="s">
        <v>61</v>
      </c>
      <c r="T27" s="1" t="s">
        <v>62</v>
      </c>
      <c r="U27" s="1" t="s">
        <v>129</v>
      </c>
      <c r="X27" s="1" t="s">
        <v>130</v>
      </c>
      <c r="Y27" s="1">
        <v>86.0</v>
      </c>
      <c r="Z27" s="3" t="s">
        <v>131</v>
      </c>
      <c r="AA27" s="1">
        <v>267204.0</v>
      </c>
      <c r="AB27" s="1" t="s">
        <v>132</v>
      </c>
      <c r="AC27" s="3" t="s">
        <v>133</v>
      </c>
      <c r="AD27" s="3" t="s">
        <v>134</v>
      </c>
      <c r="AE27" s="1">
        <v>1.0</v>
      </c>
      <c r="AF27" s="1" t="s">
        <v>135</v>
      </c>
      <c r="AG27" s="1">
        <v>26.0</v>
      </c>
      <c r="AH27" s="1">
        <v>41.0</v>
      </c>
      <c r="AI27" s="1">
        <v>50.0</v>
      </c>
      <c r="AJ27" s="1">
        <v>35.0</v>
      </c>
      <c r="AK27" s="1">
        <v>41.0</v>
      </c>
      <c r="AL27" s="1">
        <v>23.0</v>
      </c>
      <c r="AM27" s="1">
        <v>1127.0</v>
      </c>
      <c r="AN27" s="1">
        <v>30.0</v>
      </c>
      <c r="AO27" s="1">
        <v>0.0</v>
      </c>
      <c r="AP27" s="1">
        <v>1.0</v>
      </c>
      <c r="AQ27" s="1">
        <v>76.0</v>
      </c>
      <c r="AR27" s="1">
        <v>16.0</v>
      </c>
      <c r="AS27" s="1">
        <v>2.0</v>
      </c>
    </row>
    <row r="28" hidden="1">
      <c r="A28" s="1">
        <v>202.0</v>
      </c>
      <c r="B28" s="1" t="s">
        <v>136</v>
      </c>
      <c r="C28" s="1" t="s">
        <v>41</v>
      </c>
      <c r="D28" s="1" t="s">
        <v>137</v>
      </c>
      <c r="E28" s="1" t="s">
        <v>43</v>
      </c>
      <c r="F28" s="2">
        <v>25498.0</v>
      </c>
      <c r="G28" s="1">
        <f t="shared" si="1"/>
        <v>56</v>
      </c>
      <c r="H28" s="1" t="s">
        <v>138</v>
      </c>
      <c r="I28" s="1" t="str">
        <f>IFERROR(__xludf.DUMMYFUNCTION("SPLIT(left(H28,len(H28)-1),""("")"),"Brioude ")</f>
        <v>Brioude </v>
      </c>
      <c r="J28" s="1" t="str">
        <f>IFERROR(__xludf.DUMMYFUNCTION("""COMPUTED_VALUE"""),"Haute-Loire")</f>
        <v>Haute-Loire</v>
      </c>
      <c r="K28" s="1" t="str">
        <f>IFERROR(__xludf.DUMMYFUNCTION("IF( COUNTA( IFERROR( FILTER('départements_edition'!$C$2:$C$102 , 'départements_edition'!$C$2:$C$102=J28 ) ) ) , ""Oui"" , ""Non"" )"),"Oui")</f>
        <v>Oui</v>
      </c>
      <c r="L28" s="1" t="str">
        <f t="shared" si="2"/>
        <v>France</v>
      </c>
      <c r="M28" s="1">
        <v>43.0</v>
      </c>
      <c r="N28" s="1" t="s">
        <v>139</v>
      </c>
      <c r="O28" s="1">
        <v>2.0</v>
      </c>
      <c r="P28" s="2">
        <v>42907.0</v>
      </c>
      <c r="R28" s="1">
        <v>0.0</v>
      </c>
      <c r="S28" s="1" t="s">
        <v>61</v>
      </c>
      <c r="T28" s="1" t="s">
        <v>62</v>
      </c>
      <c r="U28" s="1" t="s">
        <v>140</v>
      </c>
      <c r="X28" s="1" t="s">
        <v>118</v>
      </c>
      <c r="Y28" s="1">
        <v>54.0</v>
      </c>
      <c r="Z28" s="3" t="s">
        <v>141</v>
      </c>
      <c r="AA28" s="1">
        <v>607090.0</v>
      </c>
      <c r="AB28" s="1" t="s">
        <v>142</v>
      </c>
      <c r="AC28" s="3" t="s">
        <v>143</v>
      </c>
      <c r="AD28" s="3" t="s">
        <v>144</v>
      </c>
      <c r="AE28" s="1">
        <v>2.0</v>
      </c>
      <c r="AF28" s="1" t="s">
        <v>145</v>
      </c>
      <c r="AG28" s="1">
        <v>26.0</v>
      </c>
      <c r="AH28" s="1">
        <v>46.0</v>
      </c>
      <c r="AI28" s="1">
        <v>43.0</v>
      </c>
      <c r="AJ28" s="1">
        <v>54.0</v>
      </c>
      <c r="AK28" s="1">
        <v>112.0</v>
      </c>
      <c r="AL28" s="1">
        <v>21.0</v>
      </c>
      <c r="AM28" s="1">
        <v>1062.0</v>
      </c>
      <c r="AN28" s="1">
        <v>39.0</v>
      </c>
      <c r="AO28" s="1">
        <v>0.0</v>
      </c>
      <c r="AP28" s="1">
        <v>0.0</v>
      </c>
      <c r="AQ28" s="1">
        <v>34.0</v>
      </c>
      <c r="AR28" s="1">
        <v>13.0</v>
      </c>
      <c r="AS28" s="1">
        <v>2.0</v>
      </c>
    </row>
    <row r="29" hidden="1">
      <c r="A29" s="1">
        <v>508.0</v>
      </c>
      <c r="B29" s="1" t="s">
        <v>146</v>
      </c>
      <c r="C29" s="1" t="s">
        <v>147</v>
      </c>
      <c r="D29" s="1" t="s">
        <v>148</v>
      </c>
      <c r="E29" s="1" t="s">
        <v>43</v>
      </c>
      <c r="F29" s="2">
        <v>21343.0</v>
      </c>
      <c r="G29" s="1">
        <f t="shared" si="1"/>
        <v>68</v>
      </c>
      <c r="H29" s="1" t="s">
        <v>73</v>
      </c>
      <c r="I29" s="1" t="str">
        <f>IFERROR(__xludf.DUMMYFUNCTION("SPLIT(left(H29,len(H29)-1),""("")"),"Nancy ")</f>
        <v>Nancy </v>
      </c>
      <c r="J29" s="1" t="str">
        <f>IFERROR(__xludf.DUMMYFUNCTION("""COMPUTED_VALUE"""),"Meurthe-et-Moselle")</f>
        <v>Meurthe-et-Moselle</v>
      </c>
      <c r="K29" s="1" t="str">
        <f>IFERROR(__xludf.DUMMYFUNCTION("IF( COUNTA( IFERROR( FILTER('départements_edition'!$C$2:$C$102 , 'départements_edition'!$C$2:$C$102=J29 ) ) ) , ""Oui"" , ""Non"" )"),"Oui")</f>
        <v>Oui</v>
      </c>
      <c r="L29" s="1" t="str">
        <f t="shared" si="2"/>
        <v>France</v>
      </c>
      <c r="M29" s="1">
        <v>25.0</v>
      </c>
      <c r="N29" s="1" t="s">
        <v>149</v>
      </c>
      <c r="O29" s="1">
        <v>2.0</v>
      </c>
      <c r="P29" s="2">
        <v>42907.0</v>
      </c>
      <c r="R29" s="1">
        <v>0.0</v>
      </c>
      <c r="S29" s="1" t="s">
        <v>75</v>
      </c>
      <c r="T29" s="1" t="s">
        <v>76</v>
      </c>
      <c r="U29" s="1" t="s">
        <v>150</v>
      </c>
      <c r="X29" s="1" t="s">
        <v>151</v>
      </c>
      <c r="Y29" s="1">
        <v>464.0</v>
      </c>
      <c r="Z29" s="3" t="s">
        <v>152</v>
      </c>
      <c r="AA29" s="1">
        <v>605963.0</v>
      </c>
      <c r="AB29" s="1" t="s">
        <v>153</v>
      </c>
      <c r="AC29" s="3" t="s">
        <v>154</v>
      </c>
      <c r="AD29" s="3" t="s">
        <v>155</v>
      </c>
      <c r="AE29" s="1">
        <v>1.0</v>
      </c>
      <c r="AF29" s="1" t="s">
        <v>156</v>
      </c>
      <c r="AG29" s="1">
        <v>25.0</v>
      </c>
      <c r="AH29" s="1">
        <v>65.0</v>
      </c>
      <c r="AI29" s="1">
        <v>124.0</v>
      </c>
      <c r="AJ29" s="1">
        <v>91.0</v>
      </c>
      <c r="AK29" s="1">
        <v>61.0</v>
      </c>
      <c r="AL29" s="1">
        <v>165.0</v>
      </c>
      <c r="AM29" s="1">
        <v>338.0</v>
      </c>
      <c r="AN29" s="1">
        <v>109.0</v>
      </c>
      <c r="AO29" s="1">
        <v>1.0</v>
      </c>
      <c r="AP29" s="1">
        <v>0.0</v>
      </c>
      <c r="AQ29" s="1">
        <v>5.0</v>
      </c>
      <c r="AR29" s="1">
        <v>28.0</v>
      </c>
      <c r="AS29" s="1">
        <v>1.0</v>
      </c>
    </row>
    <row r="30" hidden="1">
      <c r="A30" s="1">
        <v>58.0</v>
      </c>
      <c r="B30" s="1" t="s">
        <v>157</v>
      </c>
      <c r="C30" s="1" t="s">
        <v>158</v>
      </c>
      <c r="D30" s="1" t="s">
        <v>159</v>
      </c>
      <c r="E30" s="1" t="s">
        <v>43</v>
      </c>
      <c r="F30" s="2">
        <v>30982.0</v>
      </c>
      <c r="G30" s="1">
        <f t="shared" si="1"/>
        <v>41</v>
      </c>
      <c r="H30" s="1" t="s">
        <v>73</v>
      </c>
      <c r="I30" s="1" t="str">
        <f>IFERROR(__xludf.DUMMYFUNCTION("SPLIT(left(H30,len(H30)-1),""("")"),"Nancy ")</f>
        <v>Nancy </v>
      </c>
      <c r="J30" s="1" t="str">
        <f>IFERROR(__xludf.DUMMYFUNCTION("""COMPUTED_VALUE"""),"Meurthe-et-Moselle")</f>
        <v>Meurthe-et-Moselle</v>
      </c>
      <c r="K30" s="1" t="str">
        <f>IFERROR(__xludf.DUMMYFUNCTION("IF( COUNTA( IFERROR( FILTER('départements_edition'!$C$2:$C$102 , 'départements_edition'!$C$2:$C$102=J30 ) ) ) , ""Oui"" , ""Non"" )"),"Oui")</f>
        <v>Oui</v>
      </c>
      <c r="L30" s="1" t="str">
        <f t="shared" si="2"/>
        <v>France</v>
      </c>
      <c r="M30" s="1">
        <v>54.0</v>
      </c>
      <c r="N30" s="1" t="s">
        <v>160</v>
      </c>
      <c r="O30" s="1">
        <v>4.0</v>
      </c>
      <c r="P30" s="2">
        <v>42907.0</v>
      </c>
      <c r="R30" s="1">
        <v>0.0</v>
      </c>
      <c r="S30" s="1" t="s">
        <v>61</v>
      </c>
      <c r="T30" s="1" t="s">
        <v>62</v>
      </c>
      <c r="U30" s="1" t="s">
        <v>161</v>
      </c>
      <c r="X30" s="1" t="s">
        <v>162</v>
      </c>
      <c r="Y30" s="1">
        <v>12.0</v>
      </c>
      <c r="Z30" s="3" t="s">
        <v>163</v>
      </c>
      <c r="AA30" s="1">
        <v>642847.0</v>
      </c>
      <c r="AB30" s="1" t="s">
        <v>164</v>
      </c>
      <c r="AC30" s="3" t="s">
        <v>165</v>
      </c>
      <c r="AD30" s="3" t="s">
        <v>166</v>
      </c>
      <c r="AE30" s="1">
        <v>1.0</v>
      </c>
      <c r="AF30" s="1" t="s">
        <v>167</v>
      </c>
      <c r="AG30" s="1">
        <v>25.0</v>
      </c>
      <c r="AH30" s="1">
        <v>67.0</v>
      </c>
      <c r="AI30" s="1">
        <v>132.0</v>
      </c>
      <c r="AJ30" s="1">
        <v>275.0</v>
      </c>
      <c r="AK30" s="1">
        <v>760.0</v>
      </c>
      <c r="AL30" s="1">
        <v>144.0</v>
      </c>
      <c r="AM30" s="1">
        <v>2215.0</v>
      </c>
      <c r="AN30" s="1">
        <v>66.0</v>
      </c>
      <c r="AO30" s="1">
        <v>0.0</v>
      </c>
      <c r="AP30" s="1">
        <v>5.0</v>
      </c>
      <c r="AQ30" s="1">
        <v>115.0</v>
      </c>
      <c r="AR30" s="1">
        <v>30.0</v>
      </c>
      <c r="AS30" s="1">
        <v>2.0</v>
      </c>
    </row>
    <row r="31" hidden="1">
      <c r="A31" s="1">
        <v>260.0</v>
      </c>
      <c r="B31" s="1" t="s">
        <v>168</v>
      </c>
      <c r="C31" s="1" t="s">
        <v>169</v>
      </c>
      <c r="D31" s="1" t="s">
        <v>170</v>
      </c>
      <c r="E31" s="1" t="s">
        <v>43</v>
      </c>
      <c r="F31" s="2">
        <v>32776.0</v>
      </c>
      <c r="G31" s="1">
        <f t="shared" si="1"/>
        <v>36</v>
      </c>
      <c r="H31" s="1" t="s">
        <v>171</v>
      </c>
      <c r="I31" s="1" t="str">
        <f>IFERROR(__xludf.DUMMYFUNCTION("SPLIT(left(H31,len(H31)-1),""("")"),"Arras ")</f>
        <v>Arras </v>
      </c>
      <c r="J31" s="1" t="str">
        <f>IFERROR(__xludf.DUMMYFUNCTION("""COMPUTED_VALUE"""),"Pas-de-Calais")</f>
        <v>Pas-de-Calais</v>
      </c>
      <c r="K31" s="1" t="str">
        <f>IFERROR(__xludf.DUMMYFUNCTION("IF( COUNTA( IFERROR( FILTER('départements_edition'!$C$2:$C$102 , 'départements_edition'!$C$2:$C$102=J31 ) ) ) , ""Oui"" , ""Non"" )"),"Oui")</f>
        <v>Oui</v>
      </c>
      <c r="L31" s="1" t="str">
        <f t="shared" si="2"/>
        <v>France</v>
      </c>
      <c r="M31" s="1">
        <v>59.0</v>
      </c>
      <c r="N31" s="1" t="s">
        <v>172</v>
      </c>
      <c r="O31" s="1">
        <v>2.0</v>
      </c>
      <c r="P31" s="2">
        <v>42907.0</v>
      </c>
      <c r="R31" s="1">
        <v>0.0</v>
      </c>
      <c r="S31" s="1" t="s">
        <v>173</v>
      </c>
      <c r="T31" s="1" t="s">
        <v>174</v>
      </c>
      <c r="U31" s="1" t="s">
        <v>175</v>
      </c>
      <c r="X31" s="1" t="s">
        <v>118</v>
      </c>
      <c r="Y31" s="1">
        <v>629.0</v>
      </c>
      <c r="Z31" s="3" t="s">
        <v>176</v>
      </c>
      <c r="AA31" s="1">
        <v>720430.0</v>
      </c>
      <c r="AB31" s="1" t="s">
        <v>177</v>
      </c>
      <c r="AC31" s="3" t="s">
        <v>178</v>
      </c>
      <c r="AD31" s="3" t="s">
        <v>179</v>
      </c>
      <c r="AE31" s="1">
        <v>1.0</v>
      </c>
      <c r="AF31" s="1" t="s">
        <v>180</v>
      </c>
      <c r="AG31" s="1">
        <v>25.0</v>
      </c>
      <c r="AH31" s="1">
        <v>45.0</v>
      </c>
      <c r="AI31" s="1">
        <v>228.0</v>
      </c>
      <c r="AJ31" s="1">
        <v>466.0</v>
      </c>
      <c r="AK31" s="1">
        <v>538.0</v>
      </c>
      <c r="AL31" s="1">
        <v>334.0</v>
      </c>
      <c r="AM31" s="1">
        <v>2062.0</v>
      </c>
      <c r="AN31" s="1">
        <v>32.0</v>
      </c>
      <c r="AO31" s="1">
        <v>0.0</v>
      </c>
      <c r="AP31" s="1">
        <v>0.0</v>
      </c>
      <c r="AQ31" s="1">
        <v>13.0</v>
      </c>
      <c r="AR31" s="1">
        <v>10.0</v>
      </c>
      <c r="AS31" s="1">
        <v>3.0</v>
      </c>
    </row>
    <row r="32" hidden="1">
      <c r="A32" s="1">
        <v>262.0</v>
      </c>
      <c r="B32" s="1" t="s">
        <v>181</v>
      </c>
      <c r="C32" s="1" t="s">
        <v>182</v>
      </c>
      <c r="D32" s="1" t="s">
        <v>183</v>
      </c>
      <c r="E32" s="1" t="s">
        <v>43</v>
      </c>
      <c r="F32" s="2">
        <v>21181.0</v>
      </c>
      <c r="G32" s="1">
        <f t="shared" si="1"/>
        <v>68</v>
      </c>
      <c r="H32" s="1" t="s">
        <v>184</v>
      </c>
      <c r="I32" s="1" t="str">
        <f>IFERROR(__xludf.DUMMYFUNCTION("SPLIT(left(H32,len(H32)-1),""("")"),"Busigny ")</f>
        <v>Busigny </v>
      </c>
      <c r="J32" s="1" t="str">
        <f>IFERROR(__xludf.DUMMYFUNCTION("""COMPUTED_VALUE"""),"Nord")</f>
        <v>Nord</v>
      </c>
      <c r="K32" s="1" t="str">
        <f>IFERROR(__xludf.DUMMYFUNCTION("IF( COUNTA( IFERROR( FILTER('départements_edition'!$C$2:$C$102 , 'départements_edition'!$C$2:$C$102=J32 ) ) ) , ""Oui"" , ""Non"" )"),"Oui")</f>
        <v>Oui</v>
      </c>
      <c r="L32" s="1" t="str">
        <f t="shared" si="2"/>
        <v>France</v>
      </c>
      <c r="M32" s="1">
        <v>2.0</v>
      </c>
      <c r="N32" s="1" t="s">
        <v>185</v>
      </c>
      <c r="O32" s="1">
        <v>3.0</v>
      </c>
      <c r="P32" s="2">
        <v>42907.0</v>
      </c>
      <c r="R32" s="1">
        <v>0.0</v>
      </c>
      <c r="S32" s="1" t="s">
        <v>115</v>
      </c>
      <c r="T32" s="1" t="s">
        <v>116</v>
      </c>
      <c r="U32" s="1" t="s">
        <v>186</v>
      </c>
      <c r="X32" s="1" t="s">
        <v>187</v>
      </c>
      <c r="Y32" s="1">
        <v>498.0</v>
      </c>
      <c r="Z32" s="3" t="s">
        <v>188</v>
      </c>
      <c r="AA32" s="1">
        <v>605069.0</v>
      </c>
      <c r="AB32" s="1" t="s">
        <v>189</v>
      </c>
      <c r="AC32" s="3" t="s">
        <v>190</v>
      </c>
      <c r="AD32" s="3" t="s">
        <v>191</v>
      </c>
      <c r="AE32" s="1">
        <v>1.0</v>
      </c>
      <c r="AF32" s="1" t="s">
        <v>192</v>
      </c>
      <c r="AG32" s="1">
        <v>25.0</v>
      </c>
      <c r="AH32" s="1">
        <v>61.0</v>
      </c>
      <c r="AI32" s="1">
        <v>82.0</v>
      </c>
      <c r="AJ32" s="1">
        <v>161.0</v>
      </c>
      <c r="AK32" s="1">
        <v>187.0</v>
      </c>
      <c r="AL32" s="1">
        <v>13.0</v>
      </c>
      <c r="AM32" s="1">
        <v>1170.0</v>
      </c>
      <c r="AN32" s="1">
        <v>88.0</v>
      </c>
      <c r="AO32" s="1">
        <v>0.0</v>
      </c>
      <c r="AP32" s="1">
        <v>0.0</v>
      </c>
      <c r="AQ32" s="1">
        <v>5.0</v>
      </c>
      <c r="AR32" s="1">
        <v>25.0</v>
      </c>
      <c r="AS32" s="1">
        <v>3.0</v>
      </c>
    </row>
    <row r="33" hidden="1">
      <c r="A33" s="1">
        <v>316.0</v>
      </c>
      <c r="B33" s="1" t="s">
        <v>193</v>
      </c>
      <c r="C33" s="1" t="s">
        <v>194</v>
      </c>
      <c r="D33" s="1" t="s">
        <v>148</v>
      </c>
      <c r="E33" s="1" t="s">
        <v>43</v>
      </c>
      <c r="F33" s="2">
        <v>21549.0</v>
      </c>
      <c r="G33" s="1">
        <f t="shared" si="1"/>
        <v>67</v>
      </c>
      <c r="H33" s="1" t="s">
        <v>195</v>
      </c>
      <c r="I33" s="1" t="str">
        <f>IFERROR(__xludf.DUMMYFUNCTION("SPLIT(left(H33,len(H33)-1),""("")"),"Courbevoie ")</f>
        <v>Courbevoie </v>
      </c>
      <c r="J33" s="1" t="str">
        <f>IFERROR(__xludf.DUMMYFUNCTION("""COMPUTED_VALUE"""),"Hauts-de-Seine")</f>
        <v>Hauts-de-Seine</v>
      </c>
      <c r="K33" s="1" t="str">
        <f>IFERROR(__xludf.DUMMYFUNCTION("IF( COUNTA( IFERROR( FILTER('départements_edition'!$C$2:$C$102 , 'départements_edition'!$C$2:$C$102=J33 ) ) ) , ""Oui"" , ""Non"" )"),"Oui")</f>
        <v>Oui</v>
      </c>
      <c r="L33" s="1" t="str">
        <f t="shared" si="2"/>
        <v>France</v>
      </c>
      <c r="M33" s="1">
        <v>93.0</v>
      </c>
      <c r="N33" s="1" t="s">
        <v>196</v>
      </c>
      <c r="O33" s="1">
        <v>1.0</v>
      </c>
      <c r="P33" s="2">
        <v>42907.0</v>
      </c>
      <c r="R33" s="1">
        <v>0.0</v>
      </c>
      <c r="S33" s="1" t="s">
        <v>173</v>
      </c>
      <c r="T33" s="1" t="s">
        <v>174</v>
      </c>
      <c r="U33" s="1" t="s">
        <v>197</v>
      </c>
      <c r="X33" s="1" t="s">
        <v>198</v>
      </c>
      <c r="Y33" s="1">
        <v>610.0</v>
      </c>
      <c r="Z33" s="3" t="s">
        <v>199</v>
      </c>
      <c r="AA33" s="1">
        <v>721202.0</v>
      </c>
      <c r="AB33" s="1" t="s">
        <v>200</v>
      </c>
      <c r="AC33" s="3" t="s">
        <v>201</v>
      </c>
      <c r="AD33" s="3" t="s">
        <v>202</v>
      </c>
      <c r="AE33" s="1">
        <v>1.0</v>
      </c>
      <c r="AF33" s="1" t="s">
        <v>203</v>
      </c>
      <c r="AG33" s="1">
        <v>25.0</v>
      </c>
      <c r="AH33" s="1">
        <v>67.0</v>
      </c>
      <c r="AI33" s="1">
        <v>169.0</v>
      </c>
      <c r="AJ33" s="1">
        <v>514.0</v>
      </c>
      <c r="AK33" s="1">
        <v>370.0</v>
      </c>
      <c r="AL33" s="1">
        <v>220.0</v>
      </c>
      <c r="AM33" s="1">
        <v>2065.0</v>
      </c>
      <c r="AN33" s="1">
        <v>33.0</v>
      </c>
      <c r="AO33" s="1">
        <v>2.0</v>
      </c>
      <c r="AP33" s="1">
        <v>2.0</v>
      </c>
      <c r="AQ33" s="1">
        <v>14.0</v>
      </c>
      <c r="AR33" s="1">
        <v>5.0</v>
      </c>
      <c r="AS33" s="1">
        <v>3.0</v>
      </c>
    </row>
    <row r="34" hidden="1">
      <c r="A34" s="1">
        <v>553.0</v>
      </c>
      <c r="B34" s="1" t="s">
        <v>204</v>
      </c>
      <c r="C34" s="1" t="s">
        <v>205</v>
      </c>
      <c r="D34" s="1" t="s">
        <v>206</v>
      </c>
      <c r="E34" s="1" t="s">
        <v>43</v>
      </c>
      <c r="F34" s="2">
        <v>19086.0</v>
      </c>
      <c r="G34" s="1">
        <f t="shared" si="1"/>
        <v>74</v>
      </c>
      <c r="H34" s="1" t="s">
        <v>207</v>
      </c>
      <c r="I34" s="1" t="str">
        <f>IFERROR(__xludf.DUMMYFUNCTION("SPLIT(left(H34,len(H34)-1),""("")"),"Paris ")</f>
        <v>Paris </v>
      </c>
      <c r="J34" s="1" t="str">
        <f>IFERROR(__xludf.DUMMYFUNCTION("""COMPUTED_VALUE"""),"Paris")</f>
        <v>Paris</v>
      </c>
      <c r="K34" s="1" t="str">
        <f>IFERROR(__xludf.DUMMYFUNCTION("IF( COUNTA( IFERROR( FILTER('départements_edition'!$C$2:$C$102 , 'départements_edition'!$C$2:$C$102=J34 ) ) ) , ""Oui"" , ""Non"" )"),"Oui")</f>
        <v>Oui</v>
      </c>
      <c r="L34" s="1" t="str">
        <f t="shared" si="2"/>
        <v>France</v>
      </c>
      <c r="M34" s="1">
        <v>51.0</v>
      </c>
      <c r="N34" s="1" t="s">
        <v>208</v>
      </c>
      <c r="O34" s="1">
        <v>5.0</v>
      </c>
      <c r="P34" s="2">
        <v>42907.0</v>
      </c>
      <c r="R34" s="1">
        <v>0.0</v>
      </c>
      <c r="S34" s="1" t="s">
        <v>46</v>
      </c>
      <c r="T34" s="1" t="s">
        <v>47</v>
      </c>
      <c r="U34" s="3" t="s">
        <v>209</v>
      </c>
      <c r="X34" s="1" t="s">
        <v>210</v>
      </c>
      <c r="Y34" s="1">
        <v>147.0</v>
      </c>
      <c r="Z34" s="3" t="s">
        <v>211</v>
      </c>
      <c r="AA34" s="1">
        <v>942.0</v>
      </c>
      <c r="AB34" s="1" t="s">
        <v>212</v>
      </c>
      <c r="AC34" s="3" t="s">
        <v>213</v>
      </c>
      <c r="AD34" s="3" t="s">
        <v>214</v>
      </c>
      <c r="AE34" s="1">
        <v>3.0</v>
      </c>
      <c r="AF34" s="1" t="s">
        <v>215</v>
      </c>
      <c r="AG34" s="1">
        <v>25.0</v>
      </c>
      <c r="AH34" s="1">
        <v>69.0</v>
      </c>
      <c r="AI34" s="1">
        <v>323.0</v>
      </c>
      <c r="AJ34" s="1">
        <v>670.0</v>
      </c>
      <c r="AK34" s="1">
        <v>332.0</v>
      </c>
      <c r="AL34" s="1">
        <v>336.0</v>
      </c>
      <c r="AM34" s="1">
        <v>770.0</v>
      </c>
      <c r="AN34" s="1">
        <v>40.0</v>
      </c>
      <c r="AO34" s="1">
        <v>0.0</v>
      </c>
      <c r="AP34" s="1">
        <v>1.0</v>
      </c>
      <c r="AQ34" s="1">
        <v>7.0</v>
      </c>
      <c r="AR34" s="1">
        <v>2.0</v>
      </c>
      <c r="AS34" s="1">
        <v>5.0</v>
      </c>
    </row>
    <row r="35" hidden="1">
      <c r="A35" s="1">
        <v>519.0</v>
      </c>
      <c r="B35" s="1" t="s">
        <v>216</v>
      </c>
      <c r="C35" s="1" t="s">
        <v>217</v>
      </c>
      <c r="D35" s="1" t="s">
        <v>218</v>
      </c>
      <c r="E35" s="1" t="s">
        <v>58</v>
      </c>
      <c r="F35" s="2">
        <v>26971.0</v>
      </c>
      <c r="G35" s="1">
        <f t="shared" si="1"/>
        <v>52</v>
      </c>
      <c r="H35" s="1" t="s">
        <v>219</v>
      </c>
      <c r="I35" s="1" t="str">
        <f>IFERROR(__xludf.DUMMYFUNCTION("SPLIT(left(H35,len(H35)-1),""("")"),"Angers ")</f>
        <v>Angers </v>
      </c>
      <c r="J35" s="1" t="str">
        <f>IFERROR(__xludf.DUMMYFUNCTION("""COMPUTED_VALUE"""),"Maine-et-Loire")</f>
        <v>Maine-et-Loire</v>
      </c>
      <c r="K35" s="1" t="str">
        <f>IFERROR(__xludf.DUMMYFUNCTION("IF( COUNTA( IFERROR( FILTER('départements_edition'!$C$2:$C$102 , 'départements_edition'!$C$2:$C$102=J35 ) ) ) , ""Oui"" , ""Non"" )"),"Oui")</f>
        <v>Oui</v>
      </c>
      <c r="L35" s="1" t="str">
        <f t="shared" si="2"/>
        <v>France</v>
      </c>
      <c r="M35" s="1">
        <v>49.0</v>
      </c>
      <c r="N35" s="1" t="s">
        <v>220</v>
      </c>
      <c r="O35" s="1">
        <v>2.0</v>
      </c>
      <c r="P35" s="2">
        <v>42907.0</v>
      </c>
      <c r="R35" s="1">
        <v>0.0</v>
      </c>
      <c r="S35" s="1" t="s">
        <v>75</v>
      </c>
      <c r="T35" s="1" t="s">
        <v>76</v>
      </c>
      <c r="U35" s="1" t="s">
        <v>221</v>
      </c>
      <c r="X35" s="1" t="s">
        <v>222</v>
      </c>
      <c r="Y35" s="1">
        <v>527.0</v>
      </c>
      <c r="Z35" s="3" t="s">
        <v>223</v>
      </c>
      <c r="AA35" s="1">
        <v>643175.0</v>
      </c>
      <c r="AB35" s="1" t="s">
        <v>224</v>
      </c>
      <c r="AC35" s="3" t="s">
        <v>225</v>
      </c>
      <c r="AD35" s="3" t="s">
        <v>226</v>
      </c>
      <c r="AE35" s="1">
        <v>2.0</v>
      </c>
      <c r="AF35" s="1" t="s">
        <v>227</v>
      </c>
      <c r="AG35" s="1">
        <v>25.0</v>
      </c>
      <c r="AH35" s="1">
        <v>60.0</v>
      </c>
      <c r="AI35" s="1">
        <v>12.0</v>
      </c>
      <c r="AJ35" s="1">
        <v>41.0</v>
      </c>
      <c r="AK35" s="1">
        <v>23.0</v>
      </c>
      <c r="AL35" s="1">
        <v>3.0</v>
      </c>
      <c r="AM35" s="1">
        <v>162.0</v>
      </c>
      <c r="AN35" s="1">
        <v>109.0</v>
      </c>
      <c r="AO35" s="1">
        <v>1.0</v>
      </c>
      <c r="AP35" s="1">
        <v>0.0</v>
      </c>
      <c r="AQ35" s="1">
        <v>5.0</v>
      </c>
      <c r="AR35" s="1">
        <v>0.0</v>
      </c>
      <c r="AS35" s="1">
        <v>0.0</v>
      </c>
    </row>
    <row r="36" hidden="1">
      <c r="A36" s="1">
        <v>143.0</v>
      </c>
      <c r="B36" s="1" t="s">
        <v>228</v>
      </c>
      <c r="C36" s="1" t="s">
        <v>229</v>
      </c>
      <c r="D36" s="1" t="s">
        <v>230</v>
      </c>
      <c r="E36" s="1" t="s">
        <v>43</v>
      </c>
      <c r="F36" s="2">
        <v>30085.0</v>
      </c>
      <c r="G36" s="1">
        <f t="shared" si="1"/>
        <v>44</v>
      </c>
      <c r="H36" s="1" t="s">
        <v>231</v>
      </c>
      <c r="I36" s="1" t="str">
        <f>IFERROR(__xludf.DUMMYFUNCTION("SPLIT(left(H36,len(H36)-1),""("")"),"Paris 15ème ")</f>
        <v>Paris 15ème </v>
      </c>
      <c r="J36" s="1" t="str">
        <f>IFERROR(__xludf.DUMMYFUNCTION("""COMPUTED_VALUE"""),"Paris")</f>
        <v>Paris</v>
      </c>
      <c r="K36" s="1" t="str">
        <f>IFERROR(__xludf.DUMMYFUNCTION("IF( COUNTA( IFERROR( FILTER('départements_edition'!$C$2:$C$102 , 'départements_edition'!$C$2:$C$102=J36 ) ) ) , ""Oui"" , ""Non"" )"),"Oui")</f>
        <v>Oui</v>
      </c>
      <c r="L36" s="1" t="str">
        <f t="shared" si="2"/>
        <v>France</v>
      </c>
      <c r="M36" s="1">
        <v>75.0</v>
      </c>
      <c r="N36" s="1" t="s">
        <v>232</v>
      </c>
      <c r="O36" s="1">
        <v>3.0</v>
      </c>
      <c r="P36" s="2">
        <v>42907.0</v>
      </c>
      <c r="R36" s="1">
        <v>0.0</v>
      </c>
      <c r="S36" s="1" t="s">
        <v>75</v>
      </c>
      <c r="T36" s="1" t="s">
        <v>76</v>
      </c>
      <c r="U36" s="1" t="s">
        <v>233</v>
      </c>
      <c r="X36" s="1" t="s">
        <v>234</v>
      </c>
      <c r="Y36" s="1">
        <v>293.0</v>
      </c>
      <c r="Z36" s="3" t="s">
        <v>235</v>
      </c>
      <c r="AA36" s="1">
        <v>721498.0</v>
      </c>
      <c r="AB36" s="1" t="s">
        <v>236</v>
      </c>
      <c r="AC36" s="3" t="s">
        <v>237</v>
      </c>
      <c r="AD36" s="3" t="s">
        <v>238</v>
      </c>
      <c r="AE36" s="1">
        <v>1.0</v>
      </c>
      <c r="AF36" s="1" t="s">
        <v>239</v>
      </c>
      <c r="AG36" s="1">
        <v>25.0</v>
      </c>
      <c r="AH36" s="1">
        <v>69.0</v>
      </c>
      <c r="AI36" s="1">
        <v>393.0</v>
      </c>
      <c r="AJ36" s="1">
        <v>326.0</v>
      </c>
      <c r="AK36" s="1">
        <v>137.0</v>
      </c>
      <c r="AL36" s="1">
        <v>167.0</v>
      </c>
      <c r="AM36" s="1">
        <v>321.0</v>
      </c>
      <c r="AN36" s="1">
        <v>256.0</v>
      </c>
      <c r="AO36" s="1">
        <v>2.0</v>
      </c>
      <c r="AP36" s="1">
        <v>0.0</v>
      </c>
      <c r="AQ36" s="1">
        <v>5.0</v>
      </c>
      <c r="AR36" s="1">
        <v>1.0</v>
      </c>
      <c r="AS36" s="1">
        <v>1.0</v>
      </c>
    </row>
    <row r="37" hidden="1">
      <c r="A37" s="1">
        <v>570.0</v>
      </c>
      <c r="B37" s="1" t="s">
        <v>240</v>
      </c>
      <c r="C37" s="1" t="s">
        <v>241</v>
      </c>
      <c r="D37" s="1" t="s">
        <v>242</v>
      </c>
      <c r="E37" s="1" t="s">
        <v>43</v>
      </c>
      <c r="F37" s="2">
        <v>23560.0</v>
      </c>
      <c r="G37" s="1">
        <f t="shared" si="1"/>
        <v>62</v>
      </c>
      <c r="H37" s="1" t="s">
        <v>243</v>
      </c>
      <c r="I37" s="1" t="str">
        <f>IFERROR(__xludf.DUMMYFUNCTION("SPLIT(left(H37,len(H37)-1),""("")"),"Phalsbourg ")</f>
        <v>Phalsbourg </v>
      </c>
      <c r="J37" s="1" t="str">
        <f>IFERROR(__xludf.DUMMYFUNCTION("""COMPUTED_VALUE"""),"Moselle")</f>
        <v>Moselle</v>
      </c>
      <c r="K37" s="1" t="str">
        <f>IFERROR(__xludf.DUMMYFUNCTION("IF( COUNTA( IFERROR( FILTER('départements_edition'!$C$2:$C$102 , 'départements_edition'!$C$2:$C$102=J37 ) ) ) , ""Oui"" , ""Non"" )"),"Oui")</f>
        <v>Oui</v>
      </c>
      <c r="L37" s="1" t="str">
        <f t="shared" si="2"/>
        <v>France</v>
      </c>
      <c r="M37" s="1">
        <v>67.0</v>
      </c>
      <c r="N37" s="1" t="s">
        <v>244</v>
      </c>
      <c r="O37" s="1">
        <v>7.0</v>
      </c>
      <c r="P37" s="2">
        <v>42907.0</v>
      </c>
      <c r="R37" s="1">
        <v>0.0</v>
      </c>
      <c r="S37" s="1" t="s">
        <v>61</v>
      </c>
      <c r="T37" s="1" t="s">
        <v>62</v>
      </c>
      <c r="U37" s="1" t="s">
        <v>245</v>
      </c>
      <c r="X37" s="1" t="s">
        <v>246</v>
      </c>
      <c r="Y37" s="1">
        <v>79.0</v>
      </c>
      <c r="Z37" s="3" t="s">
        <v>247</v>
      </c>
      <c r="AA37" s="1">
        <v>608416.0</v>
      </c>
      <c r="AB37" s="1" t="s">
        <v>248</v>
      </c>
      <c r="AC37" s="3" t="s">
        <v>249</v>
      </c>
      <c r="AD37" s="3" t="s">
        <v>250</v>
      </c>
      <c r="AE37" s="1">
        <v>1.0</v>
      </c>
      <c r="AF37" s="1" t="s">
        <v>251</v>
      </c>
      <c r="AG37" s="1">
        <v>25.0</v>
      </c>
      <c r="AH37" s="1">
        <v>47.0</v>
      </c>
      <c r="AI37" s="1">
        <v>121.0</v>
      </c>
      <c r="AJ37" s="1">
        <v>162.0</v>
      </c>
      <c r="AK37" s="1">
        <v>223.0</v>
      </c>
      <c r="AL37" s="1">
        <v>309.0</v>
      </c>
      <c r="AM37" s="1">
        <v>2140.0</v>
      </c>
      <c r="AN37" s="1">
        <v>71.0</v>
      </c>
      <c r="AO37" s="1">
        <v>1.0</v>
      </c>
      <c r="AP37" s="1">
        <v>3.0</v>
      </c>
      <c r="AQ37" s="1">
        <v>94.0</v>
      </c>
      <c r="AR37" s="1">
        <v>28.0</v>
      </c>
      <c r="AS37" s="1">
        <v>2.0</v>
      </c>
    </row>
    <row r="38" hidden="1">
      <c r="A38" s="1">
        <v>245.0</v>
      </c>
      <c r="B38" s="1" t="s">
        <v>263</v>
      </c>
      <c r="C38" s="1" t="s">
        <v>264</v>
      </c>
      <c r="D38" s="1" t="s">
        <v>265</v>
      </c>
      <c r="E38" s="1" t="s">
        <v>58</v>
      </c>
      <c r="F38" s="2">
        <v>21283.0</v>
      </c>
      <c r="G38" s="1">
        <f t="shared" si="1"/>
        <v>68</v>
      </c>
      <c r="H38" s="1" t="s">
        <v>266</v>
      </c>
      <c r="I38" s="1" t="str">
        <f>IFERROR(__xludf.DUMMYFUNCTION("SPLIT(left(H38,len(H38)-1),""("")"),"Valenciennes ")</f>
        <v>Valenciennes </v>
      </c>
      <c r="J38" s="1" t="str">
        <f>IFERROR(__xludf.DUMMYFUNCTION("""COMPUTED_VALUE"""),"Nord")</f>
        <v>Nord</v>
      </c>
      <c r="K38" s="1" t="str">
        <f>IFERROR(__xludf.DUMMYFUNCTION("IF( COUNTA( IFERROR( FILTER('départements_edition'!$C$2:$C$102 , 'départements_edition'!$C$2:$C$102=J38 ) ) ) , ""Oui"" , ""Non"" )"),"Oui")</f>
        <v>Oui</v>
      </c>
      <c r="L38" s="1" t="str">
        <f t="shared" si="2"/>
        <v>France</v>
      </c>
      <c r="M38" s="1">
        <v>38.0</v>
      </c>
      <c r="N38" s="1" t="s">
        <v>267</v>
      </c>
      <c r="O38" s="1">
        <v>5.0</v>
      </c>
      <c r="P38" s="2">
        <v>42907.0</v>
      </c>
      <c r="R38" s="1">
        <v>0.0</v>
      </c>
      <c r="S38" s="1" t="s">
        <v>75</v>
      </c>
      <c r="T38" s="1" t="s">
        <v>76</v>
      </c>
      <c r="U38" s="1" t="s">
        <v>268</v>
      </c>
      <c r="X38" s="1" t="s">
        <v>269</v>
      </c>
      <c r="Y38" s="1">
        <v>335.0</v>
      </c>
      <c r="Z38" s="3" t="s">
        <v>270</v>
      </c>
      <c r="AA38" s="1">
        <v>719994.0</v>
      </c>
      <c r="AB38" s="1" t="s">
        <v>271</v>
      </c>
      <c r="AC38" s="3" t="s">
        <v>272</v>
      </c>
      <c r="AD38" s="3" t="s">
        <v>273</v>
      </c>
      <c r="AE38" s="1">
        <v>2.0</v>
      </c>
      <c r="AF38" s="1" t="s">
        <v>274</v>
      </c>
      <c r="AG38" s="1">
        <v>25.0</v>
      </c>
      <c r="AH38" s="1">
        <v>55.0</v>
      </c>
      <c r="AI38" s="1">
        <v>29.0</v>
      </c>
      <c r="AJ38" s="1">
        <v>62.0</v>
      </c>
      <c r="AK38" s="1">
        <v>30.0</v>
      </c>
      <c r="AL38" s="1">
        <v>5.0</v>
      </c>
      <c r="AM38" s="1">
        <v>64.0</v>
      </c>
      <c r="AN38" s="1">
        <v>26.0</v>
      </c>
      <c r="AO38" s="1">
        <v>0.0</v>
      </c>
      <c r="AP38" s="1">
        <v>0.0</v>
      </c>
      <c r="AQ38" s="1">
        <v>5.0</v>
      </c>
      <c r="AR38" s="1">
        <v>0.0</v>
      </c>
      <c r="AS38" s="1">
        <v>0.0</v>
      </c>
    </row>
    <row r="39" hidden="1">
      <c r="A39" s="1">
        <v>562.0</v>
      </c>
      <c r="B39" s="1" t="s">
        <v>289</v>
      </c>
      <c r="C39" s="1" t="s">
        <v>290</v>
      </c>
      <c r="D39" s="1" t="s">
        <v>291</v>
      </c>
      <c r="E39" s="1" t="s">
        <v>58</v>
      </c>
      <c r="F39" s="2">
        <v>27423.0</v>
      </c>
      <c r="G39" s="1">
        <f t="shared" si="1"/>
        <v>51</v>
      </c>
      <c r="H39" s="1" t="s">
        <v>292</v>
      </c>
      <c r="I39" s="1" t="str">
        <f>IFERROR(__xludf.DUMMYFUNCTION("SPLIT(left(H39,len(H39)-1),""("")"),"Bagnols-sur-Cèze ")</f>
        <v>Bagnols-sur-Cèze </v>
      </c>
      <c r="J39" s="1" t="str">
        <f>IFERROR(__xludf.DUMMYFUNCTION("""COMPUTED_VALUE"""),"Gard")</f>
        <v>Gard</v>
      </c>
      <c r="K39" s="1" t="str">
        <f>IFERROR(__xludf.DUMMYFUNCTION("IF( COUNTA( IFERROR( FILTER('départements_edition'!$C$2:$C$102 , 'départements_edition'!$C$2:$C$102=J39 ) ) ) , ""Oui"" , ""Non"" )"),"Oui")</f>
        <v>Oui</v>
      </c>
      <c r="L39" s="1" t="str">
        <f t="shared" si="2"/>
        <v>France</v>
      </c>
      <c r="M39" s="1">
        <v>38.0</v>
      </c>
      <c r="N39" s="1" t="s">
        <v>267</v>
      </c>
      <c r="O39" s="1">
        <v>6.0</v>
      </c>
      <c r="P39" s="2">
        <v>42907.0</v>
      </c>
      <c r="R39" s="1">
        <v>0.0</v>
      </c>
      <c r="S39" s="1" t="s">
        <v>75</v>
      </c>
      <c r="T39" s="1" t="s">
        <v>76</v>
      </c>
      <c r="X39" s="1" t="s">
        <v>293</v>
      </c>
      <c r="Y39" s="1">
        <v>385.0</v>
      </c>
      <c r="Z39" s="3" t="s">
        <v>294</v>
      </c>
      <c r="AA39" s="1">
        <v>719850.0</v>
      </c>
      <c r="AB39" s="1" t="s">
        <v>295</v>
      </c>
      <c r="AC39" s="3" t="s">
        <v>296</v>
      </c>
      <c r="AD39" s="3" t="s">
        <v>297</v>
      </c>
      <c r="AE39" s="1">
        <v>1.0</v>
      </c>
      <c r="AG39" s="1">
        <v>25.0</v>
      </c>
      <c r="AH39" s="1">
        <v>84.0</v>
      </c>
      <c r="AI39" s="1">
        <v>51.0</v>
      </c>
      <c r="AJ39" s="1">
        <v>414.0</v>
      </c>
      <c r="AK39" s="1">
        <v>1822.0</v>
      </c>
      <c r="AL39" s="1">
        <v>13.0</v>
      </c>
      <c r="AM39" s="1">
        <v>231.0</v>
      </c>
      <c r="AN39" s="1">
        <v>138.0</v>
      </c>
      <c r="AO39" s="1">
        <v>1.0</v>
      </c>
      <c r="AP39" s="1">
        <v>0.0</v>
      </c>
      <c r="AQ39" s="1">
        <v>5.0</v>
      </c>
      <c r="AR39" s="1">
        <v>0.0</v>
      </c>
      <c r="AS39" s="1">
        <v>1.0</v>
      </c>
    </row>
    <row r="40" hidden="1">
      <c r="A40" s="1">
        <v>390.0</v>
      </c>
      <c r="B40" s="1" t="s">
        <v>298</v>
      </c>
      <c r="C40" s="1" t="s">
        <v>299</v>
      </c>
      <c r="D40" s="1" t="s">
        <v>300</v>
      </c>
      <c r="E40" s="1" t="s">
        <v>58</v>
      </c>
      <c r="F40" s="2">
        <v>29529.0</v>
      </c>
      <c r="G40" s="1">
        <f t="shared" si="1"/>
        <v>45</v>
      </c>
      <c r="H40" s="1" t="s">
        <v>301</v>
      </c>
      <c r="I40" s="1" t="str">
        <f>IFERROR(__xludf.DUMMYFUNCTION("SPLIT(left(H40,len(H40)-1),""("")"),"Ermont ")</f>
        <v>Ermont </v>
      </c>
      <c r="J40" s="1" t="str">
        <f>IFERROR(__xludf.DUMMYFUNCTION("""COMPUTED_VALUE"""),"Val-d'Oise")</f>
        <v>Val-d'Oise</v>
      </c>
      <c r="K40" s="1" t="str">
        <f>IFERROR(__xludf.DUMMYFUNCTION("IF( COUNTA( IFERROR( FILTER('départements_edition'!$C$2:$C$102 , 'départements_edition'!$C$2:$C$102=J40 ) ) ) , ""Oui"" , ""Non"" )"),"Oui")</f>
        <v>Oui</v>
      </c>
      <c r="L40" s="1" t="str">
        <f t="shared" si="2"/>
        <v>France</v>
      </c>
      <c r="M40" s="1">
        <v>95.0</v>
      </c>
      <c r="N40" s="1" t="s">
        <v>302</v>
      </c>
      <c r="O40" s="1">
        <v>4.0</v>
      </c>
      <c r="P40" s="2">
        <v>42907.0</v>
      </c>
      <c r="R40" s="1">
        <v>0.0</v>
      </c>
      <c r="S40" s="1" t="s">
        <v>75</v>
      </c>
      <c r="T40" s="1" t="s">
        <v>76</v>
      </c>
      <c r="U40" s="1" t="s">
        <v>303</v>
      </c>
      <c r="X40" s="1" t="s">
        <v>304</v>
      </c>
      <c r="Y40" s="1">
        <v>329.0</v>
      </c>
      <c r="Z40" s="3" t="s">
        <v>305</v>
      </c>
      <c r="AA40" s="1">
        <v>720908.0</v>
      </c>
      <c r="AB40" s="1" t="s">
        <v>306</v>
      </c>
      <c r="AC40" s="3" t="s">
        <v>307</v>
      </c>
      <c r="AD40" s="3" t="s">
        <v>308</v>
      </c>
      <c r="AE40" s="1">
        <v>1.0</v>
      </c>
      <c r="AF40" s="1" t="s">
        <v>309</v>
      </c>
      <c r="AG40" s="1">
        <v>25.0</v>
      </c>
      <c r="AH40" s="1">
        <v>66.0</v>
      </c>
      <c r="AI40" s="1">
        <v>17.0</v>
      </c>
      <c r="AJ40" s="1">
        <v>42.0</v>
      </c>
      <c r="AK40" s="1">
        <v>9.0</v>
      </c>
      <c r="AL40" s="1">
        <v>0.0</v>
      </c>
      <c r="AM40" s="1">
        <v>94.0</v>
      </c>
      <c r="AN40" s="1">
        <v>45.0</v>
      </c>
      <c r="AO40" s="1">
        <v>0.0</v>
      </c>
      <c r="AP40" s="1">
        <v>0.0</v>
      </c>
      <c r="AQ40" s="1">
        <v>5.0</v>
      </c>
      <c r="AR40" s="1">
        <v>3.0</v>
      </c>
      <c r="AS40" s="1">
        <v>0.0</v>
      </c>
    </row>
    <row r="41" hidden="1">
      <c r="A41" s="1">
        <v>375.0</v>
      </c>
      <c r="B41" s="1" t="s">
        <v>321</v>
      </c>
      <c r="C41" s="1" t="s">
        <v>322</v>
      </c>
      <c r="D41" s="1" t="s">
        <v>323</v>
      </c>
      <c r="E41" s="1" t="s">
        <v>43</v>
      </c>
      <c r="F41" s="2">
        <v>31485.0</v>
      </c>
      <c r="G41" s="1">
        <f t="shared" si="1"/>
        <v>40</v>
      </c>
      <c r="H41" s="1" t="s">
        <v>324</v>
      </c>
      <c r="I41" s="1" t="str">
        <f>IFERROR(__xludf.DUMMYFUNCTION("SPLIT(left(H41,len(H41)-1),""("")"),"Cahors ")</f>
        <v>Cahors </v>
      </c>
      <c r="J41" s="1" t="str">
        <f>IFERROR(__xludf.DUMMYFUNCTION("""COMPUTED_VALUE"""),"Lot")</f>
        <v>Lot</v>
      </c>
      <c r="K41" s="1" t="str">
        <f>IFERROR(__xludf.DUMMYFUNCTION("IF( COUNTA( IFERROR( FILTER('départements_edition'!$C$2:$C$102 , 'départements_edition'!$C$2:$C$102=J41 ) ) ) , ""Oui"" , ""Non"" )"),"Oui")</f>
        <v>Oui</v>
      </c>
      <c r="L41" s="1" t="str">
        <f t="shared" si="2"/>
        <v>France</v>
      </c>
      <c r="M41" s="1">
        <v>46.0</v>
      </c>
      <c r="N41" s="1" t="s">
        <v>325</v>
      </c>
      <c r="O41" s="1">
        <v>1.0</v>
      </c>
      <c r="P41" s="2">
        <v>42907.0</v>
      </c>
      <c r="R41" s="1">
        <v>0.0</v>
      </c>
      <c r="S41" s="1" t="s">
        <v>61</v>
      </c>
      <c r="T41" s="1" t="s">
        <v>62</v>
      </c>
      <c r="U41" s="1" t="s">
        <v>326</v>
      </c>
      <c r="X41" s="1" t="s">
        <v>234</v>
      </c>
      <c r="Y41" s="1">
        <v>38.0</v>
      </c>
      <c r="Z41" s="3" t="s">
        <v>327</v>
      </c>
      <c r="AA41" s="1">
        <v>720100.0</v>
      </c>
      <c r="AB41" s="1" t="s">
        <v>328</v>
      </c>
      <c r="AC41" s="3" t="s">
        <v>329</v>
      </c>
      <c r="AD41" s="3" t="s">
        <v>330</v>
      </c>
      <c r="AE41" s="1">
        <v>1.0</v>
      </c>
      <c r="AF41" s="1" t="s">
        <v>331</v>
      </c>
      <c r="AG41" s="1">
        <v>25.0</v>
      </c>
      <c r="AH41" s="1">
        <v>26.0</v>
      </c>
      <c r="AI41" s="1">
        <v>30.0</v>
      </c>
      <c r="AJ41" s="1">
        <v>65.0</v>
      </c>
      <c r="AK41" s="1">
        <v>328.0</v>
      </c>
      <c r="AL41" s="1">
        <v>40.0</v>
      </c>
      <c r="AM41" s="1">
        <v>477.0</v>
      </c>
      <c r="AN41" s="1">
        <v>23.0</v>
      </c>
      <c r="AO41" s="1">
        <v>0.0</v>
      </c>
      <c r="AP41" s="1">
        <v>0.0</v>
      </c>
      <c r="AQ41" s="1">
        <v>38.0</v>
      </c>
      <c r="AR41" s="1">
        <v>16.0</v>
      </c>
      <c r="AS41" s="1">
        <v>4.0</v>
      </c>
    </row>
    <row r="42" hidden="1">
      <c r="A42" s="1">
        <v>573.0</v>
      </c>
      <c r="B42" s="1" t="s">
        <v>332</v>
      </c>
      <c r="C42" s="1" t="s">
        <v>333</v>
      </c>
      <c r="D42" s="1" t="s">
        <v>334</v>
      </c>
      <c r="E42" s="1" t="s">
        <v>43</v>
      </c>
      <c r="F42" s="2">
        <v>24193.0</v>
      </c>
      <c r="G42" s="1">
        <f t="shared" si="1"/>
        <v>60</v>
      </c>
      <c r="H42" s="1" t="s">
        <v>335</v>
      </c>
      <c r="I42" s="1" t="str">
        <f>IFERROR(__xludf.DUMMYFUNCTION("SPLIT(left(H42,len(H42)-1),""("")"),"Autun ")</f>
        <v>Autun </v>
      </c>
      <c r="J42" s="1" t="str">
        <f>IFERROR(__xludf.DUMMYFUNCTION("""COMPUTED_VALUE"""),"Saône-et-Loire")</f>
        <v>Saône-et-Loire</v>
      </c>
      <c r="K42" s="1" t="str">
        <f>IFERROR(__xludf.DUMMYFUNCTION("IF( COUNTA( IFERROR( FILTER('départements_edition'!$C$2:$C$102 , 'départements_edition'!$C$2:$C$102=J42 ) ) ) , ""Oui"" , ""Non"" )"),"Oui")</f>
        <v>Oui</v>
      </c>
      <c r="L42" s="1" t="str">
        <f t="shared" si="2"/>
        <v>France</v>
      </c>
      <c r="M42" s="1">
        <v>71.0</v>
      </c>
      <c r="N42" s="1" t="s">
        <v>336</v>
      </c>
      <c r="O42" s="1">
        <v>3.0</v>
      </c>
      <c r="P42" s="2">
        <v>42907.0</v>
      </c>
      <c r="R42" s="1">
        <v>0.0</v>
      </c>
      <c r="S42" s="1" t="s">
        <v>75</v>
      </c>
      <c r="T42" s="1" t="s">
        <v>76</v>
      </c>
      <c r="U42" s="1" t="s">
        <v>337</v>
      </c>
      <c r="X42" s="1" t="s">
        <v>338</v>
      </c>
      <c r="Y42" s="1">
        <v>332.0</v>
      </c>
      <c r="Z42" s="3" t="s">
        <v>339</v>
      </c>
      <c r="AA42" s="1">
        <v>722398.0</v>
      </c>
      <c r="AB42" s="1" t="s">
        <v>340</v>
      </c>
      <c r="AC42" s="3" t="s">
        <v>341</v>
      </c>
      <c r="AD42" s="3" t="s">
        <v>342</v>
      </c>
      <c r="AE42" s="1">
        <v>2.0</v>
      </c>
      <c r="AF42" s="1" t="s">
        <v>343</v>
      </c>
      <c r="AG42" s="1">
        <v>25.0</v>
      </c>
      <c r="AH42" s="1">
        <v>45.0</v>
      </c>
      <c r="AI42" s="1">
        <v>36.0</v>
      </c>
      <c r="AJ42" s="1">
        <v>63.0</v>
      </c>
      <c r="AK42" s="1">
        <v>20.0</v>
      </c>
      <c r="AL42" s="1">
        <v>17.0</v>
      </c>
      <c r="AM42" s="1">
        <v>111.0</v>
      </c>
      <c r="AN42" s="1">
        <v>45.0</v>
      </c>
      <c r="AO42" s="1">
        <v>0.0</v>
      </c>
      <c r="AP42" s="1">
        <v>0.0</v>
      </c>
      <c r="AQ42" s="1">
        <v>6.0</v>
      </c>
      <c r="AR42" s="1">
        <v>21.0</v>
      </c>
      <c r="AS42" s="1">
        <v>2.0</v>
      </c>
    </row>
    <row r="43" hidden="1">
      <c r="A43" s="1">
        <v>343.0</v>
      </c>
      <c r="B43" s="1" t="s">
        <v>344</v>
      </c>
      <c r="C43" s="1" t="s">
        <v>345</v>
      </c>
      <c r="D43" s="1" t="s">
        <v>346</v>
      </c>
      <c r="E43" s="1" t="s">
        <v>43</v>
      </c>
      <c r="F43" s="2">
        <v>30463.0</v>
      </c>
      <c r="G43" s="1">
        <f t="shared" si="1"/>
        <v>43</v>
      </c>
      <c r="H43" s="1" t="s">
        <v>347</v>
      </c>
      <c r="I43" s="1" t="str">
        <f>IFERROR(__xludf.DUMMYFUNCTION("SPLIT(left(H43,len(H43)-1),""("")"),"Bordeaux ")</f>
        <v>Bordeaux </v>
      </c>
      <c r="J43" s="1" t="str">
        <f>IFERROR(__xludf.DUMMYFUNCTION("""COMPUTED_VALUE"""),"Gironde")</f>
        <v>Gironde</v>
      </c>
      <c r="K43" s="1" t="str">
        <f>IFERROR(__xludf.DUMMYFUNCTION("IF( COUNTA( IFERROR( FILTER('départements_edition'!$C$2:$C$102 , 'départements_edition'!$C$2:$C$102=J43 ) ) ) , ""Oui"" , ""Non"" )"),"Oui")</f>
        <v>Oui</v>
      </c>
      <c r="L43" s="1" t="str">
        <f t="shared" si="2"/>
        <v>France</v>
      </c>
      <c r="M43" s="1">
        <v>33.0</v>
      </c>
      <c r="N43" s="1" t="s">
        <v>348</v>
      </c>
      <c r="O43" s="1">
        <v>5.0</v>
      </c>
      <c r="P43" s="2">
        <v>42907.0</v>
      </c>
      <c r="R43" s="1">
        <v>0.0</v>
      </c>
      <c r="S43" s="1" t="s">
        <v>75</v>
      </c>
      <c r="T43" s="1" t="s">
        <v>76</v>
      </c>
      <c r="U43" s="1" t="s">
        <v>349</v>
      </c>
      <c r="X43" s="1" t="s">
        <v>350</v>
      </c>
      <c r="Y43" s="1">
        <v>416.0</v>
      </c>
      <c r="Z43" s="3" t="s">
        <v>351</v>
      </c>
      <c r="AA43" s="1">
        <v>719592.0</v>
      </c>
      <c r="AB43" s="1" t="s">
        <v>352</v>
      </c>
      <c r="AC43" s="3" t="s">
        <v>353</v>
      </c>
      <c r="AD43" s="3" t="s">
        <v>354</v>
      </c>
      <c r="AE43" s="1">
        <v>2.0</v>
      </c>
      <c r="AF43" s="1" t="s">
        <v>355</v>
      </c>
      <c r="AG43" s="1">
        <v>25.0</v>
      </c>
      <c r="AH43" s="1">
        <v>58.0</v>
      </c>
      <c r="AI43" s="1">
        <v>18.0</v>
      </c>
      <c r="AJ43" s="1">
        <v>21.0</v>
      </c>
      <c r="AK43" s="1">
        <v>3.0</v>
      </c>
      <c r="AL43" s="1">
        <v>17.0</v>
      </c>
      <c r="AM43" s="1">
        <v>184.0</v>
      </c>
      <c r="AN43" s="1">
        <v>105.0</v>
      </c>
      <c r="AO43" s="1">
        <v>1.0</v>
      </c>
      <c r="AP43" s="1">
        <v>0.0</v>
      </c>
      <c r="AQ43" s="1">
        <v>5.0</v>
      </c>
      <c r="AR43" s="1">
        <v>15.0</v>
      </c>
      <c r="AS43" s="1">
        <v>1.0</v>
      </c>
    </row>
    <row r="44" hidden="1">
      <c r="A44" s="1">
        <v>215.0</v>
      </c>
      <c r="B44" s="1" t="s">
        <v>367</v>
      </c>
      <c r="C44" s="1" t="s">
        <v>368</v>
      </c>
      <c r="D44" s="1" t="s">
        <v>369</v>
      </c>
      <c r="E44" s="1" t="s">
        <v>43</v>
      </c>
      <c r="F44" s="2">
        <v>20806.0</v>
      </c>
      <c r="G44" s="1">
        <f t="shared" si="1"/>
        <v>69</v>
      </c>
      <c r="H44" s="1" t="s">
        <v>370</v>
      </c>
      <c r="I44" s="1" t="str">
        <f>IFERROR(__xludf.DUMMYFUNCTION("SPLIT(left(H44,len(H44)-1),""("")"),"Rouen ")</f>
        <v>Rouen </v>
      </c>
      <c r="J44" s="1" t="str">
        <f>IFERROR(__xludf.DUMMYFUNCTION("""COMPUTED_VALUE"""),"Seine-Maritime")</f>
        <v>Seine-Maritime</v>
      </c>
      <c r="K44" s="1" t="str">
        <f>IFERROR(__xludf.DUMMYFUNCTION("IF( COUNTA( IFERROR( FILTER('départements_edition'!$C$2:$C$102 , 'départements_edition'!$C$2:$C$102=J44 ) ) ) , ""Oui"" , ""Non"" )"),"Oui")</f>
        <v>Oui</v>
      </c>
      <c r="L44" s="1" t="str">
        <f t="shared" si="2"/>
        <v>France</v>
      </c>
      <c r="M44" s="1">
        <v>76.0</v>
      </c>
      <c r="N44" s="1" t="s">
        <v>371</v>
      </c>
      <c r="O44" s="1">
        <v>3.0</v>
      </c>
      <c r="P44" s="2">
        <v>42907.0</v>
      </c>
      <c r="R44" s="1">
        <v>0.0</v>
      </c>
      <c r="S44" s="1" t="s">
        <v>101</v>
      </c>
      <c r="T44" s="1" t="s">
        <v>102</v>
      </c>
      <c r="U44" s="3" t="s">
        <v>372</v>
      </c>
      <c r="X44" s="1" t="s">
        <v>373</v>
      </c>
      <c r="Y44" s="1">
        <v>585.0</v>
      </c>
      <c r="Z44" s="3" t="s">
        <v>374</v>
      </c>
      <c r="AA44" s="1">
        <v>722110.0</v>
      </c>
      <c r="AB44" s="1" t="s">
        <v>375</v>
      </c>
      <c r="AC44" s="3" t="s">
        <v>376</v>
      </c>
      <c r="AD44" s="3" t="s">
        <v>377</v>
      </c>
      <c r="AE44" s="1">
        <v>1.0</v>
      </c>
      <c r="AG44" s="1">
        <v>25.0</v>
      </c>
      <c r="AH44" s="1">
        <v>37.0</v>
      </c>
      <c r="AI44" s="1">
        <v>23.0</v>
      </c>
      <c r="AJ44" s="1">
        <v>109.0</v>
      </c>
      <c r="AK44" s="1">
        <v>91.0</v>
      </c>
      <c r="AL44" s="1">
        <v>8.0</v>
      </c>
      <c r="AM44" s="1">
        <v>657.0</v>
      </c>
      <c r="AN44" s="1">
        <v>22.0</v>
      </c>
      <c r="AO44" s="1">
        <v>0.0</v>
      </c>
      <c r="AP44" s="1">
        <v>0.0</v>
      </c>
      <c r="AQ44" s="1">
        <v>20.0</v>
      </c>
      <c r="AR44" s="1">
        <v>8.0</v>
      </c>
      <c r="AS44" s="1">
        <v>4.0</v>
      </c>
    </row>
    <row r="45" hidden="1">
      <c r="A45" s="1">
        <v>43.0</v>
      </c>
      <c r="B45" s="1" t="s">
        <v>378</v>
      </c>
      <c r="C45" s="1" t="s">
        <v>379</v>
      </c>
      <c r="D45" s="1" t="s">
        <v>380</v>
      </c>
      <c r="E45" s="1" t="s">
        <v>58</v>
      </c>
      <c r="F45" s="2">
        <v>28010.0</v>
      </c>
      <c r="G45" s="1">
        <f t="shared" si="1"/>
        <v>49</v>
      </c>
      <c r="H45" s="1" t="s">
        <v>381</v>
      </c>
      <c r="I45" s="1" t="str">
        <f>IFERROR(__xludf.DUMMYFUNCTION("SPLIT(left(H45,len(H45)-1),""("")"),"Saint-Martin-d'Hères ")</f>
        <v>Saint-Martin-d'Hères </v>
      </c>
      <c r="J45" s="1" t="str">
        <f>IFERROR(__xludf.DUMMYFUNCTION("""COMPUTED_VALUE"""),"Isère")</f>
        <v>Isère</v>
      </c>
      <c r="K45" s="1" t="str">
        <f>IFERROR(__xludf.DUMMYFUNCTION("IF( COUNTA( IFERROR( FILTER('départements_edition'!$C$2:$C$102 , 'départements_edition'!$C$2:$C$102=J45 ) ) ) , ""Oui"" , ""Non"" )"),"Oui")</f>
        <v>Oui</v>
      </c>
      <c r="L45" s="1" t="str">
        <f t="shared" si="2"/>
        <v>France</v>
      </c>
      <c r="M45" s="1">
        <v>38.0</v>
      </c>
      <c r="N45" s="1" t="s">
        <v>267</v>
      </c>
      <c r="O45" s="1">
        <v>8.0</v>
      </c>
      <c r="P45" s="2">
        <v>42907.0</v>
      </c>
      <c r="R45" s="1">
        <v>0.0</v>
      </c>
      <c r="S45" s="1" t="s">
        <v>75</v>
      </c>
      <c r="T45" s="1" t="s">
        <v>76</v>
      </c>
      <c r="U45" s="1" t="s">
        <v>382</v>
      </c>
      <c r="X45" s="1" t="s">
        <v>383</v>
      </c>
      <c r="Y45" s="1">
        <v>200.0</v>
      </c>
      <c r="Z45" s="3" t="s">
        <v>384</v>
      </c>
      <c r="AA45" s="1">
        <v>719866.0</v>
      </c>
      <c r="AB45" s="1" t="s">
        <v>385</v>
      </c>
      <c r="AC45" s="3" t="s">
        <v>386</v>
      </c>
      <c r="AD45" s="3" t="s">
        <v>387</v>
      </c>
      <c r="AE45" s="1">
        <v>1.0</v>
      </c>
      <c r="AF45" s="1" t="s">
        <v>388</v>
      </c>
      <c r="AG45" s="1">
        <v>24.0</v>
      </c>
      <c r="AH45" s="1">
        <v>42.0</v>
      </c>
      <c r="AI45" s="1">
        <v>25.0</v>
      </c>
      <c r="AJ45" s="1">
        <v>26.0</v>
      </c>
      <c r="AK45" s="1">
        <v>12.0</v>
      </c>
      <c r="AL45" s="1">
        <v>7.0</v>
      </c>
      <c r="AM45" s="1">
        <v>67.0</v>
      </c>
      <c r="AN45" s="1">
        <v>26.0</v>
      </c>
      <c r="AO45" s="1">
        <v>0.0</v>
      </c>
      <c r="AP45" s="1">
        <v>0.0</v>
      </c>
      <c r="AQ45" s="1">
        <v>5.0</v>
      </c>
      <c r="AR45" s="1">
        <v>1.0</v>
      </c>
      <c r="AS45" s="1">
        <v>2.0</v>
      </c>
    </row>
    <row r="46" hidden="1">
      <c r="A46" s="1">
        <v>323.0</v>
      </c>
      <c r="B46" s="1" t="s">
        <v>389</v>
      </c>
      <c r="C46" s="1" t="s">
        <v>390</v>
      </c>
      <c r="D46" s="1" t="s">
        <v>391</v>
      </c>
      <c r="E46" s="1" t="s">
        <v>43</v>
      </c>
      <c r="F46" s="2">
        <v>25985.0</v>
      </c>
      <c r="G46" s="1">
        <f t="shared" si="1"/>
        <v>55</v>
      </c>
      <c r="H46" s="1" t="s">
        <v>392</v>
      </c>
      <c r="I46" s="1" t="str">
        <f>IFERROR(__xludf.DUMMYFUNCTION("SPLIT(left(H46,len(H46)-1),""("")"),"Lorient ")</f>
        <v>Lorient </v>
      </c>
      <c r="J46" s="1" t="str">
        <f>IFERROR(__xludf.DUMMYFUNCTION("""COMPUTED_VALUE"""),"Morbihan")</f>
        <v>Morbihan</v>
      </c>
      <c r="K46" s="1" t="str">
        <f>IFERROR(__xludf.DUMMYFUNCTION("IF( COUNTA( IFERROR( FILTER('départements_edition'!$C$2:$C$102 , 'départements_edition'!$C$2:$C$102=J46 ) ) ) , ""Oui"" , ""Non"" )"),"Oui")</f>
        <v>Oui</v>
      </c>
      <c r="L46" s="1" t="str">
        <f t="shared" si="2"/>
        <v>France</v>
      </c>
      <c r="M46" s="1">
        <v>29.0</v>
      </c>
      <c r="N46" s="1" t="s">
        <v>393</v>
      </c>
      <c r="O46" s="1">
        <v>8.0</v>
      </c>
      <c r="P46" s="2">
        <v>42907.0</v>
      </c>
      <c r="R46" s="1">
        <v>0.0</v>
      </c>
      <c r="S46" s="1" t="s">
        <v>280</v>
      </c>
      <c r="T46" s="1" t="s">
        <v>281</v>
      </c>
      <c r="U46" s="1" t="s">
        <v>394</v>
      </c>
      <c r="X46" s="1" t="s">
        <v>395</v>
      </c>
      <c r="Y46" s="1">
        <v>162.0</v>
      </c>
      <c r="Z46" s="3" t="s">
        <v>396</v>
      </c>
      <c r="AA46" s="1">
        <v>719558.0</v>
      </c>
      <c r="AB46" s="1" t="s">
        <v>397</v>
      </c>
      <c r="AC46" s="3" t="s">
        <v>398</v>
      </c>
      <c r="AD46" s="3" t="s">
        <v>399</v>
      </c>
      <c r="AE46" s="1">
        <v>2.0</v>
      </c>
      <c r="AF46" s="1" t="s">
        <v>400</v>
      </c>
      <c r="AG46" s="1">
        <v>24.0</v>
      </c>
      <c r="AH46" s="1">
        <v>46.0</v>
      </c>
      <c r="AI46" s="1">
        <v>58.0</v>
      </c>
      <c r="AJ46" s="1">
        <v>149.0</v>
      </c>
      <c r="AK46" s="1">
        <v>267.0</v>
      </c>
      <c r="AL46" s="1">
        <v>26.0</v>
      </c>
      <c r="AM46" s="1">
        <v>262.0</v>
      </c>
      <c r="AN46" s="1">
        <v>26.0</v>
      </c>
      <c r="AO46" s="1">
        <v>0.0</v>
      </c>
      <c r="AP46" s="1">
        <v>0.0</v>
      </c>
      <c r="AQ46" s="1">
        <v>7.0</v>
      </c>
      <c r="AR46" s="1">
        <v>3.0</v>
      </c>
      <c r="AS46" s="1">
        <v>2.0</v>
      </c>
    </row>
    <row r="47" hidden="1">
      <c r="A47" s="1">
        <v>482.0</v>
      </c>
      <c r="B47" s="1" t="s">
        <v>401</v>
      </c>
      <c r="C47" s="1" t="s">
        <v>402</v>
      </c>
      <c r="D47" s="1" t="s">
        <v>403</v>
      </c>
      <c r="E47" s="1" t="s">
        <v>58</v>
      </c>
      <c r="F47" s="2">
        <v>26623.0</v>
      </c>
      <c r="G47" s="1">
        <f t="shared" si="1"/>
        <v>53</v>
      </c>
      <c r="H47" s="1" t="s">
        <v>404</v>
      </c>
      <c r="I47" s="1" t="str">
        <f>IFERROR(__xludf.DUMMYFUNCTION("SPLIT(left(H47,len(H47)-1),""("")"),"Toulouse ")</f>
        <v>Toulouse </v>
      </c>
      <c r="J47" s="1" t="str">
        <f>IFERROR(__xludf.DUMMYFUNCTION("""COMPUTED_VALUE"""),"Haute-Garonne")</f>
        <v>Haute-Garonne</v>
      </c>
      <c r="K47" s="1" t="str">
        <f>IFERROR(__xludf.DUMMYFUNCTION("IF( COUNTA( IFERROR( FILTER('départements_edition'!$C$2:$C$102 , 'départements_edition'!$C$2:$C$102=J47 ) ) ) , ""Oui"" , ""Non"" )"),"Oui")</f>
        <v>Oui</v>
      </c>
      <c r="L47" s="1" t="str">
        <f t="shared" si="2"/>
        <v>France</v>
      </c>
      <c r="M47" s="1">
        <v>87.0</v>
      </c>
      <c r="N47" s="1" t="s">
        <v>405</v>
      </c>
      <c r="O47" s="1">
        <v>1.0</v>
      </c>
      <c r="P47" s="2">
        <v>42907.0</v>
      </c>
      <c r="R47" s="1">
        <v>0.0</v>
      </c>
      <c r="S47" s="1" t="s">
        <v>75</v>
      </c>
      <c r="T47" s="1" t="s">
        <v>76</v>
      </c>
      <c r="U47" s="1" t="s">
        <v>406</v>
      </c>
      <c r="X47" s="1">
        <v>0.0</v>
      </c>
      <c r="Y47" s="1">
        <v>567.0</v>
      </c>
      <c r="Z47" s="3" t="s">
        <v>407</v>
      </c>
      <c r="AA47" s="1">
        <v>722170.0</v>
      </c>
      <c r="AB47" s="1" t="s">
        <v>408</v>
      </c>
      <c r="AC47" s="3" t="s">
        <v>409</v>
      </c>
      <c r="AD47" s="3" t="s">
        <v>410</v>
      </c>
      <c r="AE47" s="1">
        <v>1.0</v>
      </c>
      <c r="AF47" s="1" t="s">
        <v>411</v>
      </c>
      <c r="AG47" s="1">
        <v>24.0</v>
      </c>
      <c r="AH47" s="1">
        <v>58.0</v>
      </c>
      <c r="AI47" s="1">
        <v>5.0</v>
      </c>
      <c r="AJ47" s="1">
        <v>0.0</v>
      </c>
      <c r="AK47" s="1">
        <v>0.0</v>
      </c>
      <c r="AL47" s="1">
        <v>0.0</v>
      </c>
      <c r="AM47" s="1">
        <v>66.0</v>
      </c>
      <c r="AN47" s="1">
        <v>28.0</v>
      </c>
      <c r="AO47" s="1">
        <v>0.0</v>
      </c>
      <c r="AP47" s="1">
        <v>0.0</v>
      </c>
      <c r="AQ47" s="1">
        <v>5.0</v>
      </c>
      <c r="AR47" s="1">
        <v>1.0</v>
      </c>
      <c r="AS47" s="1">
        <v>0.0</v>
      </c>
    </row>
    <row r="48" hidden="1">
      <c r="A48" s="1">
        <v>173.0</v>
      </c>
      <c r="B48" s="1" t="s">
        <v>412</v>
      </c>
      <c r="C48" s="1" t="s">
        <v>346</v>
      </c>
      <c r="D48" s="1" t="s">
        <v>413</v>
      </c>
      <c r="E48" s="1" t="s">
        <v>43</v>
      </c>
      <c r="F48" s="2">
        <v>24363.0</v>
      </c>
      <c r="G48" s="1">
        <f t="shared" si="1"/>
        <v>59</v>
      </c>
      <c r="H48" s="1" t="s">
        <v>414</v>
      </c>
      <c r="I48" s="1" t="str">
        <f>IFERROR(__xludf.DUMMYFUNCTION("SPLIT(left(H48,len(H48)-1),""("")"),"Fougères ")</f>
        <v>Fougères </v>
      </c>
      <c r="J48" s="1" t="str">
        <f>IFERROR(__xludf.DUMMYFUNCTION("""COMPUTED_VALUE"""),"Ille-et-Vilaine")</f>
        <v>Ille-et-Vilaine</v>
      </c>
      <c r="K48" s="1" t="str">
        <f>IFERROR(__xludf.DUMMYFUNCTION("IF( COUNTA( IFERROR( FILTER('départements_edition'!$C$2:$C$102 , 'départements_edition'!$C$2:$C$102=J48 ) ) ) , ""Oui"" , ""Non"" )"),"Oui")</f>
        <v>Oui</v>
      </c>
      <c r="L48" s="1" t="str">
        <f t="shared" si="2"/>
        <v>France</v>
      </c>
      <c r="M48" s="1">
        <v>35.0</v>
      </c>
      <c r="N48" s="1" t="s">
        <v>415</v>
      </c>
      <c r="O48" s="1">
        <v>6.0</v>
      </c>
      <c r="P48" s="2">
        <v>42907.0</v>
      </c>
      <c r="R48" s="1">
        <v>0.0</v>
      </c>
      <c r="S48" s="1" t="s">
        <v>46</v>
      </c>
      <c r="T48" s="1" t="s">
        <v>47</v>
      </c>
      <c r="U48" s="1" t="s">
        <v>416</v>
      </c>
      <c r="X48" s="1" t="s">
        <v>417</v>
      </c>
      <c r="Y48" s="1">
        <v>113.0</v>
      </c>
      <c r="Z48" s="3" t="s">
        <v>418</v>
      </c>
      <c r="AA48" s="1">
        <v>332228.0</v>
      </c>
      <c r="AB48" s="1" t="s">
        <v>419</v>
      </c>
      <c r="AC48" s="3" t="s">
        <v>420</v>
      </c>
      <c r="AD48" s="3" t="s">
        <v>421</v>
      </c>
      <c r="AE48" s="1">
        <v>1.0</v>
      </c>
      <c r="AF48" s="1" t="s">
        <v>422</v>
      </c>
      <c r="AG48" s="1">
        <v>24.0</v>
      </c>
      <c r="AH48" s="1">
        <v>26.0</v>
      </c>
      <c r="AI48" s="1">
        <v>31.0</v>
      </c>
      <c r="AJ48" s="1">
        <v>73.0</v>
      </c>
      <c r="AK48" s="1">
        <v>184.0</v>
      </c>
      <c r="AL48" s="1">
        <v>17.0</v>
      </c>
      <c r="AM48" s="1">
        <v>482.0</v>
      </c>
      <c r="AN48" s="1">
        <v>28.0</v>
      </c>
      <c r="AO48" s="1">
        <v>0.0</v>
      </c>
      <c r="AP48" s="1">
        <v>0.0</v>
      </c>
      <c r="AQ48" s="1">
        <v>10.0</v>
      </c>
      <c r="AR48" s="1">
        <v>2.0</v>
      </c>
      <c r="AS48" s="1">
        <v>4.0</v>
      </c>
    </row>
    <row r="49" hidden="1">
      <c r="A49" s="1">
        <v>66.0</v>
      </c>
      <c r="B49" s="1" t="s">
        <v>423</v>
      </c>
      <c r="C49" s="1" t="s">
        <v>424</v>
      </c>
      <c r="D49" s="1" t="s">
        <v>425</v>
      </c>
      <c r="E49" s="1" t="s">
        <v>58</v>
      </c>
      <c r="F49" s="2">
        <v>21630.0</v>
      </c>
      <c r="G49" s="1">
        <f t="shared" si="1"/>
        <v>67</v>
      </c>
      <c r="H49" s="1" t="s">
        <v>426</v>
      </c>
      <c r="I49" s="1" t="str">
        <f>IFERROR(__xludf.DUMMYFUNCTION("SPLIT(left(H49,len(H49)-1),""("")"),"Boulogne-sur-Mer ")</f>
        <v>Boulogne-sur-Mer </v>
      </c>
      <c r="J49" s="1" t="str">
        <f>IFERROR(__xludf.DUMMYFUNCTION("""COMPUTED_VALUE"""),"Pas-de-Calais")</f>
        <v>Pas-de-Calais</v>
      </c>
      <c r="K49" s="1" t="str">
        <f>IFERROR(__xludf.DUMMYFUNCTION("IF( COUNTA( IFERROR( FILTER('départements_edition'!$C$2:$C$102 , 'départements_edition'!$C$2:$C$102=J49 ) ) ) , ""Oui"" , ""Non"" )"),"Oui")</f>
        <v>Oui</v>
      </c>
      <c r="L49" s="1" t="str">
        <f t="shared" si="2"/>
        <v>France</v>
      </c>
      <c r="M49" s="1">
        <v>62.0</v>
      </c>
      <c r="N49" s="1" t="s">
        <v>427</v>
      </c>
      <c r="O49" s="1">
        <v>6.0</v>
      </c>
      <c r="P49" s="2">
        <v>42907.0</v>
      </c>
      <c r="R49" s="1">
        <v>0.0</v>
      </c>
      <c r="S49" s="1" t="s">
        <v>75</v>
      </c>
      <c r="T49" s="1" t="s">
        <v>76</v>
      </c>
      <c r="U49" s="1" t="s">
        <v>428</v>
      </c>
      <c r="X49" s="1" t="s">
        <v>429</v>
      </c>
      <c r="Y49" s="1">
        <v>334.0</v>
      </c>
      <c r="Z49" s="3" t="s">
        <v>430</v>
      </c>
      <c r="AA49" s="1">
        <v>608083.0</v>
      </c>
      <c r="AB49" s="1" t="s">
        <v>431</v>
      </c>
      <c r="AC49" s="3" t="s">
        <v>432</v>
      </c>
      <c r="AD49" s="3" t="s">
        <v>433</v>
      </c>
      <c r="AE49" s="1">
        <v>1.0</v>
      </c>
      <c r="AF49" s="1" t="s">
        <v>434</v>
      </c>
      <c r="AG49" s="1">
        <v>24.0</v>
      </c>
      <c r="AH49" s="1">
        <v>58.0</v>
      </c>
      <c r="AI49" s="1">
        <v>178.0</v>
      </c>
      <c r="AJ49" s="1">
        <v>19.0</v>
      </c>
      <c r="AK49" s="1">
        <v>70.0</v>
      </c>
      <c r="AL49" s="1">
        <v>0.0</v>
      </c>
      <c r="AM49" s="1">
        <v>20.0</v>
      </c>
      <c r="AN49" s="1">
        <v>5.0</v>
      </c>
      <c r="AO49" s="1">
        <v>0.0</v>
      </c>
      <c r="AP49" s="1">
        <v>0.0</v>
      </c>
      <c r="AQ49" s="1">
        <v>6.0</v>
      </c>
      <c r="AR49" s="1">
        <v>0.0</v>
      </c>
      <c r="AS49" s="1">
        <v>0.0</v>
      </c>
    </row>
    <row r="50" hidden="1">
      <c r="A50" s="1">
        <v>101.0</v>
      </c>
      <c r="B50" s="1" t="s">
        <v>435</v>
      </c>
      <c r="C50" s="1" t="s">
        <v>436</v>
      </c>
      <c r="D50" s="1" t="s">
        <v>148</v>
      </c>
      <c r="E50" s="1" t="s">
        <v>43</v>
      </c>
      <c r="F50" s="2">
        <v>24013.0</v>
      </c>
      <c r="G50" s="1">
        <f t="shared" si="1"/>
        <v>60</v>
      </c>
      <c r="H50" s="1" t="s">
        <v>437</v>
      </c>
      <c r="I50" s="1" t="str">
        <f>IFERROR(__xludf.DUMMYFUNCTION("SPLIT(left(H50,len(H50)-1),""("")"),"Nice ")</f>
        <v>Nice </v>
      </c>
      <c r="J50" s="1" t="str">
        <f>IFERROR(__xludf.DUMMYFUNCTION("""COMPUTED_VALUE"""),"Alpes-Maritimes")</f>
        <v>Alpes-Maritimes</v>
      </c>
      <c r="K50" s="1" t="str">
        <f>IFERROR(__xludf.DUMMYFUNCTION("IF( COUNTA( IFERROR( FILTER('départements_edition'!$C$2:$C$102 , 'départements_edition'!$C$2:$C$102=J50 ) ) ) , ""Oui"" , ""Non"" )"),"Oui")</f>
        <v>Oui</v>
      </c>
      <c r="L50" s="1" t="str">
        <f t="shared" si="2"/>
        <v>France</v>
      </c>
      <c r="M50" s="1">
        <v>6.0</v>
      </c>
      <c r="N50" s="1" t="s">
        <v>438</v>
      </c>
      <c r="O50" s="1">
        <v>1.0</v>
      </c>
      <c r="P50" s="2">
        <v>42907.0</v>
      </c>
      <c r="R50" s="1">
        <v>0.0</v>
      </c>
      <c r="S50" s="1" t="s">
        <v>61</v>
      </c>
      <c r="T50" s="1" t="s">
        <v>62</v>
      </c>
      <c r="U50" s="1" t="s">
        <v>439</v>
      </c>
      <c r="X50" s="1" t="s">
        <v>440</v>
      </c>
      <c r="Y50" s="1">
        <v>91.0</v>
      </c>
      <c r="Z50" s="3" t="s">
        <v>441</v>
      </c>
      <c r="AA50" s="1">
        <v>330240.0</v>
      </c>
      <c r="AB50" s="1" t="s">
        <v>442</v>
      </c>
      <c r="AC50" s="3" t="s">
        <v>443</v>
      </c>
      <c r="AD50" s="3" t="s">
        <v>444</v>
      </c>
      <c r="AE50" s="1">
        <v>1.0</v>
      </c>
      <c r="AF50" s="1" t="s">
        <v>445</v>
      </c>
      <c r="AG50" s="1">
        <v>24.0</v>
      </c>
      <c r="AH50" s="1">
        <v>34.0</v>
      </c>
      <c r="AI50" s="1">
        <v>69.0</v>
      </c>
      <c r="AJ50" s="1">
        <v>103.0</v>
      </c>
      <c r="AK50" s="1">
        <v>77.0</v>
      </c>
      <c r="AL50" s="1">
        <v>134.0</v>
      </c>
      <c r="AM50" s="1">
        <v>495.0</v>
      </c>
      <c r="AN50" s="1">
        <v>21.0</v>
      </c>
      <c r="AO50" s="1">
        <v>1.0</v>
      </c>
      <c r="AP50" s="1">
        <v>5.0</v>
      </c>
      <c r="AQ50" s="1">
        <v>31.0</v>
      </c>
      <c r="AR50" s="1">
        <v>41.0</v>
      </c>
      <c r="AS50" s="1">
        <v>2.0</v>
      </c>
    </row>
    <row r="51" hidden="1">
      <c r="A51" s="1">
        <v>345.0</v>
      </c>
      <c r="B51" s="1" t="s">
        <v>446</v>
      </c>
      <c r="C51" s="1" t="s">
        <v>447</v>
      </c>
      <c r="D51" s="1" t="s">
        <v>112</v>
      </c>
      <c r="E51" s="1" t="s">
        <v>58</v>
      </c>
      <c r="F51" s="2">
        <v>23678.0</v>
      </c>
      <c r="G51" s="1">
        <f t="shared" si="1"/>
        <v>61</v>
      </c>
      <c r="H51" s="1" t="s">
        <v>448</v>
      </c>
      <c r="I51" s="1" t="str">
        <f>IFERROR(__xludf.DUMMYFUNCTION("SPLIT(left(H51,len(H51)-1),""("")"),"Noisy-le-Sec ")</f>
        <v>Noisy-le-Sec </v>
      </c>
      <c r="J51" s="1" t="str">
        <f>IFERROR(__xludf.DUMMYFUNCTION("""COMPUTED_VALUE"""),"Seine-Saint-Denis")</f>
        <v>Seine-Saint-Denis</v>
      </c>
      <c r="K51" s="1" t="str">
        <f>IFERROR(__xludf.DUMMYFUNCTION("IF( COUNTA( IFERROR( FILTER('départements_edition'!$C$2:$C$102 , 'départements_edition'!$C$2:$C$102=J51 ) ) ) , ""Oui"" , ""Non"" )"),"Oui")</f>
        <v>Oui</v>
      </c>
      <c r="L51" s="1" t="str">
        <f t="shared" si="2"/>
        <v>France</v>
      </c>
      <c r="M51" s="1">
        <v>35.0</v>
      </c>
      <c r="N51" s="1" t="s">
        <v>415</v>
      </c>
      <c r="O51" s="1">
        <v>5.0</v>
      </c>
      <c r="P51" s="2">
        <v>42907.0</v>
      </c>
      <c r="R51" s="1">
        <v>0.0</v>
      </c>
      <c r="S51" s="1" t="s">
        <v>75</v>
      </c>
      <c r="T51" s="1" t="s">
        <v>76</v>
      </c>
      <c r="U51" s="3" t="s">
        <v>449</v>
      </c>
      <c r="X51" s="1" t="s">
        <v>450</v>
      </c>
      <c r="Y51" s="1">
        <v>301.0</v>
      </c>
      <c r="Z51" s="3" t="s">
        <v>451</v>
      </c>
      <c r="AA51" s="1">
        <v>719756.0</v>
      </c>
      <c r="AB51" s="1" t="s">
        <v>452</v>
      </c>
      <c r="AC51" s="3" t="s">
        <v>453</v>
      </c>
      <c r="AD51" s="3" t="s">
        <v>454</v>
      </c>
      <c r="AE51" s="1">
        <v>2.0</v>
      </c>
      <c r="AF51" s="1" t="s">
        <v>455</v>
      </c>
      <c r="AG51" s="1">
        <v>24.0</v>
      </c>
      <c r="AH51" s="1">
        <v>39.0</v>
      </c>
      <c r="AI51" s="1">
        <v>14.0</v>
      </c>
      <c r="AJ51" s="1">
        <v>3.0</v>
      </c>
      <c r="AK51" s="1">
        <v>0.0</v>
      </c>
      <c r="AL51" s="1">
        <v>4.0</v>
      </c>
      <c r="AM51" s="1">
        <v>63.0</v>
      </c>
      <c r="AN51" s="1">
        <v>30.0</v>
      </c>
      <c r="AO51" s="1">
        <v>1.0</v>
      </c>
      <c r="AP51" s="1">
        <v>0.0</v>
      </c>
      <c r="AQ51" s="1">
        <v>5.0</v>
      </c>
      <c r="AR51" s="1">
        <v>3.0</v>
      </c>
      <c r="AS51" s="1">
        <v>0.0</v>
      </c>
    </row>
    <row r="52" hidden="1">
      <c r="A52" s="1">
        <v>397.0</v>
      </c>
      <c r="B52" s="1" t="s">
        <v>456</v>
      </c>
      <c r="C52" s="1" t="s">
        <v>457</v>
      </c>
      <c r="D52" s="1" t="s">
        <v>458</v>
      </c>
      <c r="E52" s="1" t="s">
        <v>43</v>
      </c>
      <c r="F52" s="2">
        <v>25067.0</v>
      </c>
      <c r="G52" s="1">
        <f t="shared" si="1"/>
        <v>57</v>
      </c>
      <c r="H52" s="1" t="s">
        <v>459</v>
      </c>
      <c r="I52" s="1" t="str">
        <f>IFERROR(__xludf.DUMMYFUNCTION("SPLIT(left(H52,len(H52)-1),""("")"),"Béziers ")</f>
        <v>Béziers </v>
      </c>
      <c r="J52" s="1" t="str">
        <f>IFERROR(__xludf.DUMMYFUNCTION("""COMPUTED_VALUE"""),"Hérault")</f>
        <v>Hérault</v>
      </c>
      <c r="K52" s="1" t="str">
        <f>IFERROR(__xludf.DUMMYFUNCTION("IF( COUNTA( IFERROR( FILTER('départements_edition'!$C$2:$C$102 , 'départements_edition'!$C$2:$C$102=J52 ) ) ) , ""Oui"" , ""Non"" )"),"Oui")</f>
        <v>Oui</v>
      </c>
      <c r="L52" s="1" t="str">
        <f t="shared" si="2"/>
        <v>France</v>
      </c>
      <c r="M52" s="1">
        <v>93.0</v>
      </c>
      <c r="N52" s="1" t="s">
        <v>196</v>
      </c>
      <c r="O52" s="1">
        <v>7.0</v>
      </c>
      <c r="P52" s="2">
        <v>42907.0</v>
      </c>
      <c r="R52" s="1">
        <v>0.0</v>
      </c>
      <c r="S52" s="1" t="s">
        <v>173</v>
      </c>
      <c r="T52" s="1" t="s">
        <v>174</v>
      </c>
      <c r="U52" s="1" t="s">
        <v>460</v>
      </c>
      <c r="X52" s="1" t="s">
        <v>461</v>
      </c>
      <c r="Y52" s="1">
        <v>603.0</v>
      </c>
      <c r="Z52" s="3" t="s">
        <v>462</v>
      </c>
      <c r="AA52" s="1">
        <v>721210.0</v>
      </c>
      <c r="AB52" s="1" t="s">
        <v>463</v>
      </c>
      <c r="AC52" s="3" t="s">
        <v>464</v>
      </c>
      <c r="AD52" s="3" t="s">
        <v>465</v>
      </c>
      <c r="AE52" s="1">
        <v>1.0</v>
      </c>
      <c r="AF52" s="1" t="s">
        <v>466</v>
      </c>
      <c r="AG52" s="1">
        <v>24.0</v>
      </c>
      <c r="AH52" s="1">
        <v>34.0</v>
      </c>
      <c r="AI52" s="1">
        <v>34.0</v>
      </c>
      <c r="AJ52" s="1">
        <v>277.0</v>
      </c>
      <c r="AK52" s="1">
        <v>407.0</v>
      </c>
      <c r="AL52" s="1">
        <v>14.0</v>
      </c>
      <c r="AM52" s="1">
        <v>2061.0</v>
      </c>
      <c r="AN52" s="1">
        <v>32.0</v>
      </c>
      <c r="AO52" s="1">
        <v>0.0</v>
      </c>
      <c r="AP52" s="1">
        <v>0.0</v>
      </c>
      <c r="AQ52" s="1">
        <v>13.0</v>
      </c>
      <c r="AR52" s="1">
        <v>12.0</v>
      </c>
      <c r="AS52" s="1">
        <v>4.0</v>
      </c>
    </row>
    <row r="53" hidden="1">
      <c r="A53" s="1">
        <v>331.0</v>
      </c>
      <c r="B53" s="1" t="s">
        <v>467</v>
      </c>
      <c r="C53" s="1" t="s">
        <v>468</v>
      </c>
      <c r="D53" s="1" t="s">
        <v>469</v>
      </c>
      <c r="E53" s="1" t="s">
        <v>43</v>
      </c>
      <c r="F53" s="2">
        <v>31647.0</v>
      </c>
      <c r="G53" s="1">
        <f t="shared" si="1"/>
        <v>39</v>
      </c>
      <c r="H53" s="1" t="s">
        <v>470</v>
      </c>
      <c r="I53" s="1" t="str">
        <f>IFERROR(__xludf.DUMMYFUNCTION("SPLIT(left(H53,len(H53)-1),""("")"),"Sarrebourg ")</f>
        <v>Sarrebourg </v>
      </c>
      <c r="J53" s="1" t="str">
        <f>IFERROR(__xludf.DUMMYFUNCTION("""COMPUTED_VALUE"""),"Moselle")</f>
        <v>Moselle</v>
      </c>
      <c r="K53" s="1" t="str">
        <f>IFERROR(__xludf.DUMMYFUNCTION("IF( COUNTA( IFERROR( FILTER('départements_edition'!$C$2:$C$102 , 'départements_edition'!$C$2:$C$102=J53 ) ) ) , ""Oui"" , ""Non"" )"),"Oui")</f>
        <v>Oui</v>
      </c>
      <c r="L53" s="1" t="str">
        <f t="shared" si="2"/>
        <v>France</v>
      </c>
      <c r="M53" s="1">
        <v>57.0</v>
      </c>
      <c r="N53" s="1" t="s">
        <v>471</v>
      </c>
      <c r="O53" s="1">
        <v>4.0</v>
      </c>
      <c r="P53" s="2">
        <v>42907.0</v>
      </c>
      <c r="R53" s="1">
        <v>0.0</v>
      </c>
      <c r="S53" s="1" t="s">
        <v>61</v>
      </c>
      <c r="T53" s="1" t="s">
        <v>62</v>
      </c>
      <c r="X53" s="1" t="s">
        <v>472</v>
      </c>
      <c r="Y53" s="1">
        <v>13.0</v>
      </c>
      <c r="Z53" s="3" t="s">
        <v>473</v>
      </c>
      <c r="AA53" s="1">
        <v>720386.0</v>
      </c>
      <c r="AB53" s="1" t="s">
        <v>474</v>
      </c>
      <c r="AC53" s="3" t="s">
        <v>475</v>
      </c>
      <c r="AD53" s="3" t="s">
        <v>476</v>
      </c>
      <c r="AE53" s="1">
        <v>2.0</v>
      </c>
      <c r="AG53" s="1">
        <v>24.0</v>
      </c>
      <c r="AH53" s="1">
        <v>39.0</v>
      </c>
      <c r="AI53" s="1">
        <v>55.0</v>
      </c>
      <c r="AJ53" s="1">
        <v>214.0</v>
      </c>
      <c r="AK53" s="1">
        <v>1402.0</v>
      </c>
      <c r="AL53" s="1">
        <v>7.0</v>
      </c>
      <c r="AM53" s="1">
        <v>720.0</v>
      </c>
      <c r="AN53" s="1">
        <v>16.0</v>
      </c>
      <c r="AO53" s="1">
        <v>0.0</v>
      </c>
      <c r="AP53" s="1">
        <v>0.0</v>
      </c>
      <c r="AQ53" s="1">
        <v>53.0</v>
      </c>
      <c r="AR53" s="1">
        <v>16.0</v>
      </c>
      <c r="AS53" s="1">
        <v>1.0</v>
      </c>
    </row>
    <row r="54" hidden="1">
      <c r="A54" s="1">
        <v>118.0</v>
      </c>
      <c r="B54" s="1" t="s">
        <v>477</v>
      </c>
      <c r="C54" s="1" t="s">
        <v>478</v>
      </c>
      <c r="D54" s="1" t="s">
        <v>479</v>
      </c>
      <c r="E54" s="1" t="s">
        <v>43</v>
      </c>
      <c r="F54" s="2">
        <v>32057.0</v>
      </c>
      <c r="G54" s="1">
        <f t="shared" si="1"/>
        <v>38</v>
      </c>
      <c r="H54" s="1" t="s">
        <v>480</v>
      </c>
      <c r="I54" s="1" t="str">
        <f>IFERROR(__xludf.DUMMYFUNCTION("SPLIT(left(H54,len(H54)-1),""("")"),"Grande-Synthe ")</f>
        <v>Grande-Synthe </v>
      </c>
      <c r="J54" s="1" t="str">
        <f>IFERROR(__xludf.DUMMYFUNCTION("""COMPUTED_VALUE"""),"Nord")</f>
        <v>Nord</v>
      </c>
      <c r="K54" s="1" t="str">
        <f>IFERROR(__xludf.DUMMYFUNCTION("IF( COUNTA( IFERROR( FILTER('départements_edition'!$C$2:$C$102 , 'départements_edition'!$C$2:$C$102=J54 ) ) ) , ""Oui"" , ""Non"" )"),"Oui")</f>
        <v>Oui</v>
      </c>
      <c r="L54" s="1" t="str">
        <f t="shared" si="2"/>
        <v>France</v>
      </c>
      <c r="M54" s="1">
        <v>62.0</v>
      </c>
      <c r="N54" s="1" t="s">
        <v>427</v>
      </c>
      <c r="O54" s="1">
        <v>7.0</v>
      </c>
      <c r="P54" s="2">
        <v>42907.0</v>
      </c>
      <c r="R54" s="1">
        <v>0.0</v>
      </c>
      <c r="S54" s="1" t="s">
        <v>61</v>
      </c>
      <c r="T54" s="1" t="s">
        <v>62</v>
      </c>
      <c r="U54" s="1" t="s">
        <v>481</v>
      </c>
      <c r="X54" s="1" t="s">
        <v>482</v>
      </c>
      <c r="Y54" s="1">
        <v>50.0</v>
      </c>
      <c r="Z54" s="3" t="s">
        <v>483</v>
      </c>
      <c r="AA54" s="1">
        <v>720684.0</v>
      </c>
      <c r="AB54" s="1" t="s">
        <v>484</v>
      </c>
      <c r="AC54" s="3" t="s">
        <v>485</v>
      </c>
      <c r="AD54" s="3" t="s">
        <v>486</v>
      </c>
      <c r="AE54" s="1">
        <v>2.0</v>
      </c>
      <c r="AF54" s="1" t="s">
        <v>487</v>
      </c>
      <c r="AG54" s="1">
        <v>24.0</v>
      </c>
      <c r="AH54" s="1">
        <v>31.0</v>
      </c>
      <c r="AI54" s="1">
        <v>13.0</v>
      </c>
      <c r="AJ54" s="1">
        <v>152.0</v>
      </c>
      <c r="AK54" s="1">
        <v>114.0</v>
      </c>
      <c r="AL54" s="1">
        <v>61.0</v>
      </c>
      <c r="AM54" s="1">
        <v>1185.0</v>
      </c>
      <c r="AN54" s="1">
        <v>34.0</v>
      </c>
      <c r="AO54" s="1">
        <v>1.0</v>
      </c>
      <c r="AP54" s="1">
        <v>0.0</v>
      </c>
      <c r="AQ54" s="1">
        <v>40.0</v>
      </c>
      <c r="AR54" s="1">
        <v>8.0</v>
      </c>
      <c r="AS54" s="1">
        <v>3.0</v>
      </c>
    </row>
    <row r="55" hidden="1">
      <c r="A55" s="1">
        <v>69.0</v>
      </c>
      <c r="B55" s="1" t="s">
        <v>499</v>
      </c>
      <c r="C55" s="1" t="s">
        <v>500</v>
      </c>
      <c r="D55" s="1" t="s">
        <v>501</v>
      </c>
      <c r="E55" s="1" t="s">
        <v>43</v>
      </c>
      <c r="F55" s="2">
        <v>20851.0</v>
      </c>
      <c r="G55" s="1">
        <f t="shared" si="1"/>
        <v>69</v>
      </c>
      <c r="H55" s="1" t="s">
        <v>502</v>
      </c>
      <c r="I55" s="1" t="str">
        <f>IFERROR(__xludf.DUMMYFUNCTION("SPLIT(left(H55,len(H55)-1),""("")"),"Bages ")</f>
        <v>Bages </v>
      </c>
      <c r="J55" s="1" t="str">
        <f>IFERROR(__xludf.DUMMYFUNCTION("""COMPUTED_VALUE"""),"Pyrénées-Orientales")</f>
        <v>Pyrénées-Orientales</v>
      </c>
      <c r="K55" s="1" t="str">
        <f>IFERROR(__xludf.DUMMYFUNCTION("IF( COUNTA( IFERROR( FILTER('départements_edition'!$C$2:$C$102 , 'départements_edition'!$C$2:$C$102=J55 ) ) ) , ""Oui"" , ""Non"" )"),"Oui")</f>
        <v>Oui</v>
      </c>
      <c r="L55" s="1" t="str">
        <f t="shared" si="2"/>
        <v>France</v>
      </c>
      <c r="M55" s="1">
        <v>77.0</v>
      </c>
      <c r="N55" s="1" t="s">
        <v>503</v>
      </c>
      <c r="O55" s="1">
        <v>8.0</v>
      </c>
      <c r="P55" s="2">
        <v>42907.0</v>
      </c>
      <c r="R55" s="1">
        <v>0.0</v>
      </c>
      <c r="S55" s="1" t="s">
        <v>75</v>
      </c>
      <c r="T55" s="1" t="s">
        <v>76</v>
      </c>
      <c r="X55" s="1" t="s">
        <v>504</v>
      </c>
      <c r="Y55" s="1">
        <v>213.0</v>
      </c>
      <c r="Z55" s="3" t="s">
        <v>505</v>
      </c>
      <c r="AA55" s="1">
        <v>721702.0</v>
      </c>
      <c r="AB55" s="1" t="s">
        <v>506</v>
      </c>
      <c r="AC55" s="3" t="s">
        <v>507</v>
      </c>
      <c r="AD55" s="3" t="s">
        <v>508</v>
      </c>
      <c r="AE55" s="1">
        <v>1.0</v>
      </c>
      <c r="AG55" s="1">
        <v>24.0</v>
      </c>
      <c r="AH55" s="1">
        <v>37.0</v>
      </c>
      <c r="AI55" s="1">
        <v>13.0</v>
      </c>
      <c r="AJ55" s="1">
        <v>12.0</v>
      </c>
      <c r="AK55" s="1">
        <v>4.0</v>
      </c>
      <c r="AL55" s="1">
        <v>0.0</v>
      </c>
      <c r="AM55" s="1">
        <v>66.0</v>
      </c>
      <c r="AN55" s="1">
        <v>27.0</v>
      </c>
      <c r="AO55" s="1">
        <v>1.0</v>
      </c>
      <c r="AP55" s="1">
        <v>0.0</v>
      </c>
      <c r="AQ55" s="1">
        <v>5.0</v>
      </c>
      <c r="AR55" s="1">
        <v>0.0</v>
      </c>
      <c r="AS55" s="1">
        <v>0.0</v>
      </c>
    </row>
    <row r="56" hidden="1">
      <c r="A56" s="1">
        <v>74.0</v>
      </c>
      <c r="B56" s="1" t="s">
        <v>509</v>
      </c>
      <c r="C56" s="1" t="s">
        <v>510</v>
      </c>
      <c r="D56" s="1" t="s">
        <v>511</v>
      </c>
      <c r="E56" s="1" t="s">
        <v>43</v>
      </c>
      <c r="F56" s="2">
        <v>32424.0</v>
      </c>
      <c r="G56" s="1">
        <f t="shared" si="1"/>
        <v>37</v>
      </c>
      <c r="H56" s="1" t="s">
        <v>512</v>
      </c>
      <c r="I56" s="1" t="str">
        <f>IFERROR(__xludf.DUMMYFUNCTION("SPLIT(left(H56,len(H56)-1),""("")"),"Bressuire ")</f>
        <v>Bressuire </v>
      </c>
      <c r="J56" s="1" t="str">
        <f>IFERROR(__xludf.DUMMYFUNCTION("""COMPUTED_VALUE"""),"Deux-Sèvres")</f>
        <v>Deux-Sèvres</v>
      </c>
      <c r="K56" s="1" t="str">
        <f>IFERROR(__xludf.DUMMYFUNCTION("IF( COUNTA( IFERROR( FILTER('départements_edition'!$C$2:$C$102 , 'départements_edition'!$C$2:$C$102=J56 ) ) ) , ""Oui"" , ""Non"" )"),"Oui")</f>
        <v>Oui</v>
      </c>
      <c r="L56" s="1" t="str">
        <f t="shared" si="2"/>
        <v>France</v>
      </c>
      <c r="M56" s="1">
        <v>86.0</v>
      </c>
      <c r="N56" s="1" t="s">
        <v>513</v>
      </c>
      <c r="O56" s="1">
        <v>2.0</v>
      </c>
      <c r="P56" s="2">
        <v>42907.0</v>
      </c>
      <c r="R56" s="1">
        <v>0.0</v>
      </c>
      <c r="S56" s="1" t="s">
        <v>75</v>
      </c>
      <c r="T56" s="1" t="s">
        <v>76</v>
      </c>
      <c r="U56" s="1" t="s">
        <v>514</v>
      </c>
      <c r="X56" s="1" t="s">
        <v>304</v>
      </c>
      <c r="Y56" s="1">
        <v>537.0</v>
      </c>
      <c r="Z56" s="3" t="s">
        <v>515</v>
      </c>
      <c r="AA56" s="1">
        <v>722150.0</v>
      </c>
      <c r="AB56" s="1" t="s">
        <v>516</v>
      </c>
      <c r="AC56" s="3" t="s">
        <v>517</v>
      </c>
      <c r="AD56" s="3" t="s">
        <v>518</v>
      </c>
      <c r="AE56" s="1">
        <v>1.0</v>
      </c>
      <c r="AF56" s="1" t="s">
        <v>519</v>
      </c>
      <c r="AG56" s="1">
        <v>24.0</v>
      </c>
      <c r="AH56" s="1">
        <v>34.0</v>
      </c>
      <c r="AI56" s="1">
        <v>11.0</v>
      </c>
      <c r="AJ56" s="1">
        <v>495.0</v>
      </c>
      <c r="AK56" s="1">
        <v>2999.0</v>
      </c>
      <c r="AL56" s="1">
        <v>29.0</v>
      </c>
      <c r="AM56" s="1">
        <v>88.0</v>
      </c>
      <c r="AN56" s="1">
        <v>46.0</v>
      </c>
      <c r="AO56" s="1">
        <v>2.0</v>
      </c>
      <c r="AP56" s="1">
        <v>0.0</v>
      </c>
      <c r="AQ56" s="1">
        <v>7.0</v>
      </c>
      <c r="AR56" s="1">
        <v>4.0</v>
      </c>
      <c r="AS56" s="1">
        <v>1.0</v>
      </c>
    </row>
    <row r="57" hidden="1">
      <c r="A57" s="1">
        <v>279.0</v>
      </c>
      <c r="B57" s="1" t="s">
        <v>520</v>
      </c>
      <c r="C57" s="1" t="s">
        <v>521</v>
      </c>
      <c r="D57" s="1" t="s">
        <v>522</v>
      </c>
      <c r="E57" s="1" t="s">
        <v>43</v>
      </c>
      <c r="F57" s="2">
        <v>29098.0</v>
      </c>
      <c r="G57" s="1">
        <f t="shared" si="1"/>
        <v>46</v>
      </c>
      <c r="H57" s="1" t="s">
        <v>523</v>
      </c>
      <c r="I57" s="1" t="str">
        <f>IFERROR(__xludf.DUMMYFUNCTION("SPLIT(left(H57,len(H57)-1),""("")"),"Tulle ")</f>
        <v>Tulle </v>
      </c>
      <c r="J57" s="1" t="str">
        <f>IFERROR(__xludf.DUMMYFUNCTION("""COMPUTED_VALUE"""),"Corrèze")</f>
        <v>Corrèze</v>
      </c>
      <c r="K57" s="1" t="str">
        <f>IFERROR(__xludf.DUMMYFUNCTION("IF( COUNTA( IFERROR( FILTER('départements_edition'!$C$2:$C$102 , 'départements_edition'!$C$2:$C$102=J57 ) ) ) , ""Oui"" , ""Non"" )"),"Oui")</f>
        <v>Oui</v>
      </c>
      <c r="L57" s="1" t="str">
        <f t="shared" si="2"/>
        <v>France</v>
      </c>
      <c r="M57" s="1">
        <v>19.0</v>
      </c>
      <c r="N57" s="1" t="s">
        <v>524</v>
      </c>
      <c r="O57" s="1">
        <v>1.0</v>
      </c>
      <c r="P57" s="2">
        <v>42907.0</v>
      </c>
      <c r="R57" s="1">
        <v>0.0</v>
      </c>
      <c r="S57" s="1" t="s">
        <v>75</v>
      </c>
      <c r="T57" s="1" t="s">
        <v>76</v>
      </c>
      <c r="U57" s="1" t="s">
        <v>525</v>
      </c>
      <c r="X57" s="1" t="s">
        <v>526</v>
      </c>
      <c r="Y57" s="1">
        <v>320.0</v>
      </c>
      <c r="Z57" s="3" t="s">
        <v>527</v>
      </c>
      <c r="AA57" s="1">
        <v>719060.0</v>
      </c>
      <c r="AB57" s="1" t="s">
        <v>528</v>
      </c>
      <c r="AC57" s="3" t="s">
        <v>529</v>
      </c>
      <c r="AD57" s="3" t="s">
        <v>530</v>
      </c>
      <c r="AE57" s="1">
        <v>2.0</v>
      </c>
      <c r="AF57" s="1" t="s">
        <v>531</v>
      </c>
      <c r="AG57" s="1">
        <v>24.0</v>
      </c>
      <c r="AH57" s="1">
        <v>66.0</v>
      </c>
      <c r="AI57" s="1">
        <v>33.0</v>
      </c>
      <c r="AJ57" s="1">
        <v>64.0</v>
      </c>
      <c r="AK57" s="1">
        <v>22.0</v>
      </c>
      <c r="AL57" s="1">
        <v>1.0</v>
      </c>
      <c r="AM57" s="1">
        <v>199.0</v>
      </c>
      <c r="AN57" s="1">
        <v>144.0</v>
      </c>
      <c r="AO57" s="1">
        <v>1.0</v>
      </c>
      <c r="AP57" s="1">
        <v>0.0</v>
      </c>
      <c r="AQ57" s="1">
        <v>6.0</v>
      </c>
      <c r="AR57" s="1">
        <v>17.0</v>
      </c>
      <c r="AS57" s="1">
        <v>1.0</v>
      </c>
    </row>
    <row r="58" hidden="1">
      <c r="A58" s="1">
        <v>95.0</v>
      </c>
      <c r="B58" s="1" t="s">
        <v>532</v>
      </c>
      <c r="C58" s="1" t="s">
        <v>533</v>
      </c>
      <c r="D58" s="1" t="s">
        <v>534</v>
      </c>
      <c r="E58" s="1" t="s">
        <v>43</v>
      </c>
      <c r="F58" s="2">
        <v>26334.0</v>
      </c>
      <c r="G58" s="1">
        <f t="shared" si="1"/>
        <v>54</v>
      </c>
      <c r="H58" s="1" t="s">
        <v>535</v>
      </c>
      <c r="I58" s="1" t="str">
        <f>IFERROR(__xludf.DUMMYFUNCTION("SPLIT(left(H58,len(H58)-1),""("")"),"Saint-Rémy ")</f>
        <v>Saint-Rémy </v>
      </c>
      <c r="J58" s="1" t="str">
        <f>IFERROR(__xludf.DUMMYFUNCTION("""COMPUTED_VALUE"""),"Saône-et-Loire")</f>
        <v>Saône-et-Loire</v>
      </c>
      <c r="K58" s="1" t="str">
        <f>IFERROR(__xludf.DUMMYFUNCTION("IF( COUNTA( IFERROR( FILTER('départements_edition'!$C$2:$C$102 , 'départements_edition'!$C$2:$C$102=J58 ) ) ) , ""Oui"" , ""Non"" )"),"Oui")</f>
        <v>Oui</v>
      </c>
      <c r="L58" s="1" t="str">
        <f t="shared" si="2"/>
        <v>France</v>
      </c>
      <c r="M58" s="1">
        <v>42.0</v>
      </c>
      <c r="N58" s="1" t="s">
        <v>536</v>
      </c>
      <c r="O58" s="1">
        <v>1.0</v>
      </c>
      <c r="P58" s="2">
        <v>42907.0</v>
      </c>
      <c r="R58" s="1">
        <v>0.0</v>
      </c>
      <c r="S58" s="1" t="s">
        <v>115</v>
      </c>
      <c r="T58" s="1" t="s">
        <v>116</v>
      </c>
      <c r="U58" s="1" t="s">
        <v>537</v>
      </c>
      <c r="X58" s="1" t="s">
        <v>538</v>
      </c>
      <c r="Y58" s="1">
        <v>508.0</v>
      </c>
      <c r="Z58" s="3" t="s">
        <v>539</v>
      </c>
      <c r="AA58" s="1">
        <v>332614.0</v>
      </c>
      <c r="AB58" s="1" t="s">
        <v>540</v>
      </c>
      <c r="AC58" s="3" t="s">
        <v>541</v>
      </c>
      <c r="AD58" s="3" t="s">
        <v>542</v>
      </c>
      <c r="AE58" s="1">
        <v>1.0</v>
      </c>
      <c r="AF58" s="1" t="s">
        <v>543</v>
      </c>
      <c r="AG58" s="1">
        <v>24.0</v>
      </c>
      <c r="AH58" s="1">
        <v>53.0</v>
      </c>
      <c r="AI58" s="1">
        <v>66.0</v>
      </c>
      <c r="AJ58" s="1">
        <v>90.0</v>
      </c>
      <c r="AK58" s="1">
        <v>68.0</v>
      </c>
      <c r="AL58" s="1">
        <v>42.0</v>
      </c>
      <c r="AM58" s="1">
        <v>1268.0</v>
      </c>
      <c r="AN58" s="1">
        <v>81.0</v>
      </c>
      <c r="AO58" s="1">
        <v>1.0</v>
      </c>
      <c r="AP58" s="1">
        <v>0.0</v>
      </c>
      <c r="AQ58" s="1">
        <v>7.0</v>
      </c>
      <c r="AR58" s="1">
        <v>33.0</v>
      </c>
      <c r="AS58" s="1">
        <v>3.0</v>
      </c>
    </row>
    <row r="59" hidden="1">
      <c r="A59" s="1">
        <v>371.0</v>
      </c>
      <c r="B59" s="1" t="s">
        <v>544</v>
      </c>
      <c r="C59" s="1" t="s">
        <v>545</v>
      </c>
      <c r="D59" s="1" t="s">
        <v>546</v>
      </c>
      <c r="E59" s="1" t="s">
        <v>43</v>
      </c>
      <c r="F59" s="2">
        <v>20286.0</v>
      </c>
      <c r="G59" s="1">
        <f t="shared" si="1"/>
        <v>71</v>
      </c>
      <c r="H59" s="1" t="s">
        <v>207</v>
      </c>
      <c r="I59" s="1" t="str">
        <f>IFERROR(__xludf.DUMMYFUNCTION("SPLIT(left(H59,len(H59)-1),""("")"),"Paris ")</f>
        <v>Paris </v>
      </c>
      <c r="J59" s="1" t="str">
        <f>IFERROR(__xludf.DUMMYFUNCTION("""COMPUTED_VALUE"""),"Paris")</f>
        <v>Paris</v>
      </c>
      <c r="K59" s="1" t="str">
        <f>IFERROR(__xludf.DUMMYFUNCTION("IF( COUNTA( IFERROR( FILTER('départements_edition'!$C$2:$C$102 , 'départements_edition'!$C$2:$C$102=J59 ) ) ) , ""Oui"" , ""Non"" )"),"Oui")</f>
        <v>Oui</v>
      </c>
      <c r="L59" s="1" t="str">
        <f t="shared" si="2"/>
        <v>France</v>
      </c>
      <c r="M59" s="1">
        <v>37.0</v>
      </c>
      <c r="N59" s="1" t="s">
        <v>547</v>
      </c>
      <c r="O59" s="1">
        <v>2.0</v>
      </c>
      <c r="P59" s="2">
        <v>42907.0</v>
      </c>
      <c r="R59" s="1">
        <v>0.0</v>
      </c>
      <c r="S59" s="1" t="s">
        <v>75</v>
      </c>
      <c r="T59" s="1" t="s">
        <v>76</v>
      </c>
      <c r="U59" s="1" t="s">
        <v>548</v>
      </c>
      <c r="X59" s="1" t="s">
        <v>549</v>
      </c>
      <c r="Y59" s="1">
        <v>342.0</v>
      </c>
      <c r="Z59" s="3" t="s">
        <v>550</v>
      </c>
      <c r="AA59" s="1">
        <v>719798.0</v>
      </c>
      <c r="AB59" s="1" t="s">
        <v>551</v>
      </c>
      <c r="AC59" s="3" t="s">
        <v>552</v>
      </c>
      <c r="AD59" s="3" t="s">
        <v>553</v>
      </c>
      <c r="AE59" s="1">
        <v>2.0</v>
      </c>
      <c r="AF59" s="1" t="s">
        <v>554</v>
      </c>
      <c r="AG59" s="1">
        <v>24.0</v>
      </c>
      <c r="AH59" s="1">
        <v>72.0</v>
      </c>
      <c r="AI59" s="1">
        <v>30.0</v>
      </c>
      <c r="AJ59" s="1">
        <v>37.0</v>
      </c>
      <c r="AK59" s="1">
        <v>29.0</v>
      </c>
      <c r="AL59" s="1">
        <v>7.0</v>
      </c>
      <c r="AM59" s="1">
        <v>210.0</v>
      </c>
      <c r="AN59" s="1">
        <v>116.0</v>
      </c>
      <c r="AO59" s="1">
        <v>1.0</v>
      </c>
      <c r="AP59" s="1">
        <v>0.0</v>
      </c>
      <c r="AQ59" s="1">
        <v>5.0</v>
      </c>
      <c r="AR59" s="1">
        <v>3.0</v>
      </c>
      <c r="AS59" s="1">
        <v>1.0</v>
      </c>
    </row>
    <row r="60" hidden="1">
      <c r="A60" s="1">
        <v>212.0</v>
      </c>
      <c r="B60" s="1" t="s">
        <v>555</v>
      </c>
      <c r="C60" s="1" t="s">
        <v>556</v>
      </c>
      <c r="D60" s="1" t="s">
        <v>557</v>
      </c>
      <c r="E60" s="1" t="s">
        <v>43</v>
      </c>
      <c r="F60" s="2">
        <v>29438.0</v>
      </c>
      <c r="G60" s="1">
        <f t="shared" si="1"/>
        <v>46</v>
      </c>
      <c r="H60" s="1" t="s">
        <v>558</v>
      </c>
      <c r="I60" s="1" t="str">
        <f>IFERROR(__xludf.DUMMYFUNCTION("SPLIT(left(H60,len(H60)-1),""("")"),"Vitry sur Seine ")</f>
        <v>Vitry sur Seine </v>
      </c>
      <c r="J60" s="1" t="str">
        <f>IFERROR(__xludf.DUMMYFUNCTION("""COMPUTED_VALUE"""),"Val-de-Marne")</f>
        <v>Val-de-Marne</v>
      </c>
      <c r="K60" s="1" t="str">
        <f>IFERROR(__xludf.DUMMYFUNCTION("IF( COUNTA( IFERROR( FILTER('départements_edition'!$C$2:$C$102 , 'départements_edition'!$C$2:$C$102=J60 ) ) ) , ""Oui"" , ""Non"" )"),"Oui")</f>
        <v>Oui</v>
      </c>
      <c r="L60" s="1" t="str">
        <f t="shared" si="2"/>
        <v>France</v>
      </c>
      <c r="M60" s="1">
        <v>93.0</v>
      </c>
      <c r="N60" s="1" t="s">
        <v>196</v>
      </c>
      <c r="O60" s="1">
        <v>6.0</v>
      </c>
      <c r="P60" s="2">
        <v>42907.0</v>
      </c>
      <c r="R60" s="1">
        <v>0.0</v>
      </c>
      <c r="S60" s="1" t="s">
        <v>173</v>
      </c>
      <c r="T60" s="1" t="s">
        <v>174</v>
      </c>
      <c r="U60" s="1" t="s">
        <v>559</v>
      </c>
      <c r="X60" s="1" t="s">
        <v>269</v>
      </c>
      <c r="Y60" s="1">
        <v>626.0</v>
      </c>
      <c r="Z60" s="3" t="s">
        <v>560</v>
      </c>
      <c r="AA60" s="1">
        <v>720846.0</v>
      </c>
      <c r="AB60" s="1" t="s">
        <v>561</v>
      </c>
      <c r="AC60" s="3" t="s">
        <v>562</v>
      </c>
      <c r="AD60" s="3" t="s">
        <v>563</v>
      </c>
      <c r="AE60" s="1">
        <v>1.0</v>
      </c>
      <c r="AF60" s="1" t="s">
        <v>564</v>
      </c>
      <c r="AG60" s="1">
        <v>24.0</v>
      </c>
      <c r="AH60" s="1">
        <v>47.0</v>
      </c>
      <c r="AI60" s="1">
        <v>78.0</v>
      </c>
      <c r="AJ60" s="1">
        <v>200.0</v>
      </c>
      <c r="AK60" s="1">
        <v>85.0</v>
      </c>
      <c r="AL60" s="1">
        <v>33.0</v>
      </c>
      <c r="AM60" s="1">
        <v>2061.0</v>
      </c>
      <c r="AN60" s="1">
        <v>32.0</v>
      </c>
      <c r="AO60" s="1">
        <v>1.0</v>
      </c>
      <c r="AP60" s="1">
        <v>3.0</v>
      </c>
      <c r="AQ60" s="1">
        <v>15.0</v>
      </c>
      <c r="AR60" s="1">
        <v>18.0</v>
      </c>
      <c r="AS60" s="1">
        <v>4.0</v>
      </c>
    </row>
    <row r="61" hidden="1">
      <c r="A61" s="1">
        <v>369.0</v>
      </c>
      <c r="B61" s="1" t="s">
        <v>565</v>
      </c>
      <c r="C61" s="1" t="s">
        <v>566</v>
      </c>
      <c r="D61" s="1" t="s">
        <v>567</v>
      </c>
      <c r="E61" s="1" t="s">
        <v>43</v>
      </c>
      <c r="F61" s="2">
        <v>23198.0</v>
      </c>
      <c r="G61" s="1">
        <f t="shared" si="1"/>
        <v>63</v>
      </c>
      <c r="H61" s="1" t="s">
        <v>568</v>
      </c>
      <c r="I61" s="1" t="str">
        <f>IFERROR(__xludf.DUMMYFUNCTION("SPLIT(left(H61,len(H61)-1),""("")"),"Saint-Servan-sur Mer ")</f>
        <v>Saint-Servan-sur Mer </v>
      </c>
      <c r="J61" s="1" t="str">
        <f>IFERROR(__xludf.DUMMYFUNCTION("""COMPUTED_VALUE"""),"Ille-et-Vilaine")</f>
        <v>Ille-et-Vilaine</v>
      </c>
      <c r="K61" s="1" t="str">
        <f>IFERROR(__xludf.DUMMYFUNCTION("IF( COUNTA( IFERROR( FILTER('départements_edition'!$C$2:$C$102 , 'départements_edition'!$C$2:$C$102=J61 ) ) ) , ""Oui"" , ""Non"" )"),"Oui")</f>
        <v>Oui</v>
      </c>
      <c r="L61" s="1" t="str">
        <f t="shared" si="2"/>
        <v>France</v>
      </c>
      <c r="M61" s="1">
        <v>35.0</v>
      </c>
      <c r="N61" s="1" t="s">
        <v>415</v>
      </c>
      <c r="O61" s="1">
        <v>7.0</v>
      </c>
      <c r="P61" s="2">
        <v>42907.0</v>
      </c>
      <c r="R61" s="1">
        <v>0.0</v>
      </c>
      <c r="S61" s="1" t="s">
        <v>61</v>
      </c>
      <c r="T61" s="1" t="s">
        <v>62</v>
      </c>
      <c r="U61" s="1" t="s">
        <v>569</v>
      </c>
      <c r="X61" s="1" t="s">
        <v>570</v>
      </c>
      <c r="Y61" s="1">
        <v>10.0</v>
      </c>
      <c r="Z61" s="3" t="s">
        <v>571</v>
      </c>
      <c r="AA61" s="1">
        <v>606712.0</v>
      </c>
      <c r="AB61" s="1" t="s">
        <v>572</v>
      </c>
      <c r="AC61" s="3" t="s">
        <v>573</v>
      </c>
      <c r="AD61" s="3" t="s">
        <v>574</v>
      </c>
      <c r="AE61" s="1">
        <v>2.0</v>
      </c>
      <c r="AF61" s="1" t="s">
        <v>575</v>
      </c>
      <c r="AG61" s="1">
        <v>24.0</v>
      </c>
      <c r="AH61" s="1">
        <v>63.0</v>
      </c>
      <c r="AI61" s="1">
        <v>92.0</v>
      </c>
      <c r="AJ61" s="1">
        <v>225.0</v>
      </c>
      <c r="AK61" s="1">
        <v>170.0</v>
      </c>
      <c r="AL61" s="1">
        <v>148.0</v>
      </c>
      <c r="AM61" s="1">
        <v>1113.0</v>
      </c>
      <c r="AN61" s="1">
        <v>42.0</v>
      </c>
      <c r="AO61" s="1">
        <v>1.0</v>
      </c>
      <c r="AP61" s="1">
        <v>2.0</v>
      </c>
      <c r="AQ61" s="1">
        <v>40.0</v>
      </c>
      <c r="AR61" s="1">
        <v>17.0</v>
      </c>
      <c r="AS61" s="1">
        <v>1.0</v>
      </c>
    </row>
    <row r="62" hidden="1">
      <c r="A62" s="1">
        <v>123.0</v>
      </c>
      <c r="B62" s="1" t="s">
        <v>587</v>
      </c>
      <c r="C62" s="1" t="s">
        <v>588</v>
      </c>
      <c r="D62" s="1" t="s">
        <v>589</v>
      </c>
      <c r="E62" s="1" t="s">
        <v>43</v>
      </c>
      <c r="F62" s="2">
        <v>21882.0</v>
      </c>
      <c r="G62" s="1">
        <f t="shared" si="1"/>
        <v>66</v>
      </c>
      <c r="H62" s="1" t="s">
        <v>590</v>
      </c>
      <c r="I62" s="1" t="str">
        <f>IFERROR(__xludf.DUMMYFUNCTION("SPLIT(left(H62,len(H62)-1),""("")"),"Argenteuil ")</f>
        <v>Argenteuil </v>
      </c>
      <c r="J62" s="1" t="str">
        <f>IFERROR(__xludf.DUMMYFUNCTION("""COMPUTED_VALUE"""),"Val-d'Oise")</f>
        <v>Val-d'Oise</v>
      </c>
      <c r="K62" s="1" t="str">
        <f>IFERROR(__xludf.DUMMYFUNCTION("IF( COUNTA( IFERROR( FILTER('départements_edition'!$C$2:$C$102 , 'départements_edition'!$C$2:$C$102=J62 ) ) ) , ""Oui"" , ""Non"" )"),"Oui")</f>
        <v>Oui</v>
      </c>
      <c r="L62" s="1" t="str">
        <f t="shared" si="2"/>
        <v>France</v>
      </c>
      <c r="M62" s="1">
        <v>78.0</v>
      </c>
      <c r="N62" s="1" t="s">
        <v>74</v>
      </c>
      <c r="O62" s="1">
        <v>9.0</v>
      </c>
      <c r="P62" s="2">
        <v>42907.0</v>
      </c>
      <c r="R62" s="1">
        <v>0.0</v>
      </c>
      <c r="S62" s="1" t="s">
        <v>280</v>
      </c>
      <c r="T62" s="1" t="s">
        <v>281</v>
      </c>
      <c r="U62" s="3" t="s">
        <v>591</v>
      </c>
      <c r="X62" s="1" t="s">
        <v>234</v>
      </c>
      <c r="Y62" s="1">
        <v>178.0</v>
      </c>
      <c r="Z62" s="3" t="s">
        <v>592</v>
      </c>
      <c r="AA62" s="1">
        <v>721976.0</v>
      </c>
      <c r="AB62" s="1" t="s">
        <v>593</v>
      </c>
      <c r="AC62" s="3" t="s">
        <v>594</v>
      </c>
      <c r="AD62" s="3" t="s">
        <v>595</v>
      </c>
      <c r="AE62" s="1">
        <v>1.0</v>
      </c>
      <c r="AF62" s="1" t="s">
        <v>596</v>
      </c>
      <c r="AG62" s="1">
        <v>24.0</v>
      </c>
      <c r="AH62" s="1">
        <v>41.0</v>
      </c>
      <c r="AI62" s="1">
        <v>37.0</v>
      </c>
      <c r="AJ62" s="1">
        <v>37.0</v>
      </c>
      <c r="AK62" s="1">
        <v>61.0</v>
      </c>
      <c r="AL62" s="1">
        <v>20.0</v>
      </c>
      <c r="AM62" s="1">
        <v>269.0</v>
      </c>
      <c r="AN62" s="1">
        <v>30.0</v>
      </c>
      <c r="AO62" s="1">
        <v>0.0</v>
      </c>
      <c r="AP62" s="1">
        <v>0.0</v>
      </c>
      <c r="AQ62" s="1">
        <v>5.0</v>
      </c>
      <c r="AR62" s="1">
        <v>5.0</v>
      </c>
      <c r="AS62" s="1">
        <v>4.0</v>
      </c>
    </row>
    <row r="63" hidden="1">
      <c r="A63" s="1">
        <v>514.0</v>
      </c>
      <c r="B63" s="1" t="s">
        <v>597</v>
      </c>
      <c r="C63" s="1" t="s">
        <v>598</v>
      </c>
      <c r="D63" s="1" t="s">
        <v>501</v>
      </c>
      <c r="E63" s="1" t="s">
        <v>43</v>
      </c>
      <c r="F63" s="2">
        <v>24681.0</v>
      </c>
      <c r="G63" s="1">
        <f t="shared" si="1"/>
        <v>59</v>
      </c>
      <c r="H63" s="1" t="s">
        <v>599</v>
      </c>
      <c r="I63" s="1" t="str">
        <f>IFERROR(__xludf.DUMMYFUNCTION("SPLIT(left(H63,len(H63)-1),""("")"),"Saint-Étienne ")</f>
        <v>Saint-Étienne </v>
      </c>
      <c r="J63" s="1" t="str">
        <f>IFERROR(__xludf.DUMMYFUNCTION("""COMPUTED_VALUE"""),"Loire")</f>
        <v>Loire</v>
      </c>
      <c r="K63" s="1" t="str">
        <f>IFERROR(__xludf.DUMMYFUNCTION("IF( COUNTA( IFERROR( FILTER('départements_edition'!$C$2:$C$102 , 'départements_edition'!$C$2:$C$102=J63 ) ) ) , ""Oui"" , ""Non"" )"),"Oui")</f>
        <v>Oui</v>
      </c>
      <c r="L63" s="1" t="str">
        <f t="shared" si="2"/>
        <v>France</v>
      </c>
      <c r="M63" s="1">
        <v>42.0</v>
      </c>
      <c r="N63" s="1" t="s">
        <v>536</v>
      </c>
      <c r="O63" s="1">
        <v>2.0</v>
      </c>
      <c r="P63" s="2">
        <v>42907.0</v>
      </c>
      <c r="R63" s="1">
        <v>0.0</v>
      </c>
      <c r="S63" s="1" t="s">
        <v>75</v>
      </c>
      <c r="T63" s="1" t="s">
        <v>76</v>
      </c>
      <c r="U63" s="1" t="s">
        <v>600</v>
      </c>
      <c r="X63" s="1" t="s">
        <v>162</v>
      </c>
      <c r="Y63" s="1">
        <v>430.0</v>
      </c>
      <c r="Z63" s="3" t="s">
        <v>601</v>
      </c>
      <c r="AA63" s="1">
        <v>719952.0</v>
      </c>
      <c r="AB63" s="1" t="s">
        <v>602</v>
      </c>
      <c r="AC63" s="3" t="s">
        <v>603</v>
      </c>
      <c r="AD63" s="3" t="s">
        <v>604</v>
      </c>
      <c r="AE63" s="1">
        <v>1.0</v>
      </c>
      <c r="AF63" s="1" t="s">
        <v>605</v>
      </c>
      <c r="AG63" s="1">
        <v>24.0</v>
      </c>
      <c r="AH63" s="1">
        <v>47.0</v>
      </c>
      <c r="AI63" s="1">
        <v>6.0</v>
      </c>
      <c r="AJ63" s="1">
        <v>11.0</v>
      </c>
      <c r="AK63" s="1">
        <v>3.0</v>
      </c>
      <c r="AL63" s="1">
        <v>0.0</v>
      </c>
      <c r="AM63" s="1">
        <v>77.0</v>
      </c>
      <c r="AN63" s="1">
        <v>25.0</v>
      </c>
      <c r="AO63" s="1">
        <v>0.0</v>
      </c>
      <c r="AP63" s="1">
        <v>0.0</v>
      </c>
      <c r="AQ63" s="1">
        <v>7.0</v>
      </c>
      <c r="AR63" s="1">
        <v>13.0</v>
      </c>
      <c r="AS63" s="1">
        <v>0.0</v>
      </c>
    </row>
    <row r="64" hidden="1">
      <c r="A64" s="1">
        <v>263.0</v>
      </c>
      <c r="B64" s="1" t="s">
        <v>617</v>
      </c>
      <c r="C64" s="1" t="s">
        <v>618</v>
      </c>
      <c r="D64" s="1" t="s">
        <v>619</v>
      </c>
      <c r="E64" s="1" t="s">
        <v>58</v>
      </c>
      <c r="F64" s="2">
        <v>22484.0</v>
      </c>
      <c r="G64" s="1">
        <f t="shared" si="1"/>
        <v>65</v>
      </c>
      <c r="H64" s="1" t="s">
        <v>620</v>
      </c>
      <c r="I64" s="1" t="str">
        <f>IFERROR(__xludf.DUMMYFUNCTION("SPLIT(left(H64,len(H64)-1),""("")"),"Nîmes ")</f>
        <v>Nîmes </v>
      </c>
      <c r="J64" s="1" t="str">
        <f>IFERROR(__xludf.DUMMYFUNCTION("""COMPUTED_VALUE"""),"Gard")</f>
        <v>Gard</v>
      </c>
      <c r="K64" s="1" t="str">
        <f>IFERROR(__xludf.DUMMYFUNCTION("IF( COUNTA( IFERROR( FILTER('départements_edition'!$C$2:$C$102 , 'départements_edition'!$C$2:$C$102=J64 ) ) ) , ""Oui"" , ""Non"" )"),"Oui")</f>
        <v>Oui</v>
      </c>
      <c r="L64" s="1" t="str">
        <f t="shared" si="2"/>
        <v>France</v>
      </c>
      <c r="M64" s="1">
        <v>77.0</v>
      </c>
      <c r="N64" s="1" t="s">
        <v>503</v>
      </c>
      <c r="O64" s="1">
        <v>9.0</v>
      </c>
      <c r="P64" s="2">
        <v>42907.0</v>
      </c>
      <c r="R64" s="1">
        <v>0.0</v>
      </c>
      <c r="S64" s="1" t="s">
        <v>75</v>
      </c>
      <c r="T64" s="1" t="s">
        <v>76</v>
      </c>
      <c r="U64" s="1" t="s">
        <v>621</v>
      </c>
      <c r="X64" s="1" t="s">
        <v>162</v>
      </c>
      <c r="Y64" s="1">
        <v>401.0</v>
      </c>
      <c r="Z64" s="3" t="s">
        <v>622</v>
      </c>
      <c r="AA64" s="1">
        <v>721710.0</v>
      </c>
      <c r="AB64" s="1" t="s">
        <v>623</v>
      </c>
      <c r="AC64" s="3" t="s">
        <v>624</v>
      </c>
      <c r="AD64" s="3" t="s">
        <v>625</v>
      </c>
      <c r="AE64" s="1">
        <v>1.0</v>
      </c>
      <c r="AF64" s="1" t="s">
        <v>626</v>
      </c>
      <c r="AG64" s="1">
        <v>24.0</v>
      </c>
      <c r="AH64" s="1">
        <v>45.0</v>
      </c>
      <c r="AI64" s="1">
        <v>2.0</v>
      </c>
      <c r="AJ64" s="1">
        <v>11.0</v>
      </c>
      <c r="AK64" s="1">
        <v>6.0</v>
      </c>
      <c r="AL64" s="1">
        <v>0.0</v>
      </c>
      <c r="AM64" s="1">
        <v>59.0</v>
      </c>
      <c r="AN64" s="1">
        <v>27.0</v>
      </c>
      <c r="AO64" s="1">
        <v>0.0</v>
      </c>
      <c r="AP64" s="1">
        <v>0.0</v>
      </c>
      <c r="AQ64" s="1">
        <v>5.0</v>
      </c>
      <c r="AR64" s="1">
        <v>7.0</v>
      </c>
      <c r="AS64" s="1">
        <v>1.0</v>
      </c>
    </row>
    <row r="65" hidden="1">
      <c r="A65" s="1">
        <v>336.0</v>
      </c>
      <c r="B65" s="1" t="s">
        <v>627</v>
      </c>
      <c r="C65" s="1" t="s">
        <v>628</v>
      </c>
      <c r="D65" s="1" t="s">
        <v>629</v>
      </c>
      <c r="E65" s="1" t="s">
        <v>58</v>
      </c>
      <c r="F65" s="2">
        <v>26779.0</v>
      </c>
      <c r="G65" s="1">
        <f t="shared" si="1"/>
        <v>53</v>
      </c>
      <c r="H65" s="1" t="s">
        <v>630</v>
      </c>
      <c r="I65" s="1" t="str">
        <f>IFERROR(__xludf.DUMMYFUNCTION("SPLIT(left(H65,len(H65)-1),""("")"),"L'hay les Roses ")</f>
        <v>L'hay les Roses </v>
      </c>
      <c r="J65" s="1" t="str">
        <f>IFERROR(__xludf.DUMMYFUNCTION("""COMPUTED_VALUE"""),"Val-de-Marne")</f>
        <v>Val-de-Marne</v>
      </c>
      <c r="K65" s="1" t="str">
        <f>IFERROR(__xludf.DUMMYFUNCTION("IF( COUNTA( IFERROR( FILTER('départements_edition'!$C$2:$C$102 , 'départements_edition'!$C$2:$C$102=J65 ) ) ) , ""Oui"" , ""Non"" )"),"Oui")</f>
        <v>Oui</v>
      </c>
      <c r="L65" s="1" t="str">
        <f t="shared" si="2"/>
        <v>France</v>
      </c>
      <c r="M65" s="1">
        <v>82.0</v>
      </c>
      <c r="N65" s="1" t="s">
        <v>631</v>
      </c>
      <c r="O65" s="1">
        <v>1.0</v>
      </c>
      <c r="P65" s="2">
        <v>42907.0</v>
      </c>
      <c r="R65" s="1">
        <v>0.0</v>
      </c>
      <c r="S65" s="1" t="s">
        <v>115</v>
      </c>
      <c r="T65" s="1" t="s">
        <v>116</v>
      </c>
      <c r="U65" s="1" t="s">
        <v>632</v>
      </c>
      <c r="X65" s="1" t="s">
        <v>633</v>
      </c>
      <c r="Y65" s="1">
        <v>505.0</v>
      </c>
      <c r="Z65" s="3" t="s">
        <v>634</v>
      </c>
      <c r="AA65" s="1">
        <v>609590.0</v>
      </c>
      <c r="AB65" s="1" t="s">
        <v>635</v>
      </c>
      <c r="AC65" s="3" t="s">
        <v>636</v>
      </c>
      <c r="AD65" s="3" t="s">
        <v>637</v>
      </c>
      <c r="AE65" s="1">
        <v>2.0</v>
      </c>
      <c r="AF65" s="1" t="s">
        <v>638</v>
      </c>
      <c r="AG65" s="1">
        <v>24.0</v>
      </c>
      <c r="AH65" s="1">
        <v>50.0</v>
      </c>
      <c r="AI65" s="1">
        <v>148.0</v>
      </c>
      <c r="AJ65" s="1">
        <v>445.0</v>
      </c>
      <c r="AK65" s="1">
        <v>396.0</v>
      </c>
      <c r="AL65" s="1">
        <v>345.0</v>
      </c>
      <c r="AM65" s="1">
        <v>1207.0</v>
      </c>
      <c r="AN65" s="1">
        <v>95.0</v>
      </c>
      <c r="AO65" s="1">
        <v>1.0</v>
      </c>
      <c r="AP65" s="1">
        <v>0.0</v>
      </c>
      <c r="AQ65" s="1">
        <v>5.0</v>
      </c>
      <c r="AR65" s="1">
        <v>19.0</v>
      </c>
      <c r="AS65" s="1">
        <v>4.0</v>
      </c>
    </row>
    <row r="66" hidden="1">
      <c r="A66" s="1">
        <v>17.0</v>
      </c>
      <c r="B66" s="1" t="s">
        <v>639</v>
      </c>
      <c r="C66" s="1" t="s">
        <v>640</v>
      </c>
      <c r="D66" s="1" t="s">
        <v>641</v>
      </c>
      <c r="E66" s="1" t="s">
        <v>43</v>
      </c>
      <c r="F66" s="2">
        <v>31220.0</v>
      </c>
      <c r="G66" s="1">
        <f t="shared" si="1"/>
        <v>41</v>
      </c>
      <c r="H66" s="1" t="s">
        <v>404</v>
      </c>
      <c r="I66" s="1" t="str">
        <f>IFERROR(__xludf.DUMMYFUNCTION("SPLIT(left(H66,len(H66)-1),""("")"),"Toulouse ")</f>
        <v>Toulouse </v>
      </c>
      <c r="J66" s="1" t="str">
        <f>IFERROR(__xludf.DUMMYFUNCTION("""COMPUTED_VALUE"""),"Haute-Garonne")</f>
        <v>Haute-Garonne</v>
      </c>
      <c r="K66" s="1" t="str">
        <f>IFERROR(__xludf.DUMMYFUNCTION("IF( COUNTA( IFERROR( FILTER('départements_edition'!$C$2:$C$102 , 'départements_edition'!$C$2:$C$102=J66 ) ) ) , ""Oui"" , ""Non"" )"),"Oui")</f>
        <v>Oui</v>
      </c>
      <c r="L66" s="1" t="str">
        <f t="shared" si="2"/>
        <v>France</v>
      </c>
      <c r="M66" s="1">
        <v>94.0</v>
      </c>
      <c r="N66" s="1" t="s">
        <v>642</v>
      </c>
      <c r="O66" s="1">
        <v>3.0</v>
      </c>
      <c r="P66" s="2">
        <v>42907.0</v>
      </c>
      <c r="R66" s="1">
        <v>0.0</v>
      </c>
      <c r="S66" s="1" t="s">
        <v>75</v>
      </c>
      <c r="T66" s="1" t="s">
        <v>76</v>
      </c>
      <c r="U66" s="1" t="s">
        <v>643</v>
      </c>
      <c r="X66" s="1" t="s">
        <v>234</v>
      </c>
      <c r="Y66" s="1">
        <v>345.0</v>
      </c>
      <c r="Z66" s="3" t="s">
        <v>644</v>
      </c>
      <c r="AA66" s="1">
        <v>720878.0</v>
      </c>
      <c r="AB66" s="1" t="s">
        <v>645</v>
      </c>
      <c r="AC66" s="3" t="s">
        <v>646</v>
      </c>
      <c r="AD66" s="3" t="s">
        <v>647</v>
      </c>
      <c r="AE66" s="1">
        <v>1.0</v>
      </c>
      <c r="AF66" s="1" t="s">
        <v>648</v>
      </c>
      <c r="AG66" s="1">
        <v>24.0</v>
      </c>
      <c r="AH66" s="1">
        <v>92.0</v>
      </c>
      <c r="AI66" s="1">
        <v>90.0</v>
      </c>
      <c r="AJ66" s="1">
        <v>117.0</v>
      </c>
      <c r="AK66" s="1">
        <v>58.0</v>
      </c>
      <c r="AL66" s="1">
        <v>62.0</v>
      </c>
      <c r="AM66" s="1">
        <v>219.0</v>
      </c>
      <c r="AN66" s="1">
        <v>140.0</v>
      </c>
      <c r="AO66" s="1">
        <v>1.0</v>
      </c>
      <c r="AP66" s="1">
        <v>0.0</v>
      </c>
      <c r="AQ66" s="1">
        <v>5.0</v>
      </c>
      <c r="AR66" s="1">
        <v>2.0</v>
      </c>
      <c r="AS66" s="1">
        <v>2.0</v>
      </c>
    </row>
    <row r="67" hidden="1">
      <c r="A67" s="1">
        <v>429.0</v>
      </c>
      <c r="B67" s="1" t="s">
        <v>649</v>
      </c>
      <c r="C67" s="1" t="s">
        <v>650</v>
      </c>
      <c r="D67" s="1" t="s">
        <v>651</v>
      </c>
      <c r="E67" s="1" t="s">
        <v>58</v>
      </c>
      <c r="F67" s="2">
        <v>18990.0</v>
      </c>
      <c r="G67" s="1">
        <f t="shared" si="1"/>
        <v>74</v>
      </c>
      <c r="H67" s="1" t="s">
        <v>652</v>
      </c>
      <c r="I67" s="1" t="str">
        <f>IFERROR(__xludf.DUMMYFUNCTION("SPLIT(left(H67,len(H67)-1),""("")"),"Belley ")</f>
        <v>Belley </v>
      </c>
      <c r="J67" s="1" t="str">
        <f>IFERROR(__xludf.DUMMYFUNCTION("""COMPUTED_VALUE"""),"Ain")</f>
        <v>Ain</v>
      </c>
      <c r="K67" s="1" t="str">
        <f>IFERROR(__xludf.DUMMYFUNCTION("IF( COUNTA( IFERROR( FILTER('départements_edition'!$C$2:$C$102 , 'départements_edition'!$C$2:$C$102=J67 ) ) ) , ""Oui"" , ""Non"" )"),"Oui")</f>
        <v>Oui</v>
      </c>
      <c r="L67" s="1" t="str">
        <f t="shared" si="2"/>
        <v>France</v>
      </c>
      <c r="M67" s="1">
        <v>71.0</v>
      </c>
      <c r="N67" s="1" t="s">
        <v>336</v>
      </c>
      <c r="O67" s="1">
        <v>4.0</v>
      </c>
      <c r="P67" s="2">
        <v>42907.0</v>
      </c>
      <c r="R67" s="1">
        <v>0.0</v>
      </c>
      <c r="S67" s="1" t="s">
        <v>115</v>
      </c>
      <c r="T67" s="1" t="s">
        <v>116</v>
      </c>
      <c r="U67" s="1" t="s">
        <v>653</v>
      </c>
      <c r="X67" s="1" t="s">
        <v>654</v>
      </c>
      <c r="Y67" s="1">
        <v>577.0</v>
      </c>
      <c r="Z67" s="3" t="s">
        <v>655</v>
      </c>
      <c r="AA67" s="1">
        <v>608695.0</v>
      </c>
      <c r="AB67" s="1" t="s">
        <v>656</v>
      </c>
      <c r="AC67" s="3" t="s">
        <v>657</v>
      </c>
      <c r="AD67" s="3" t="s">
        <v>658</v>
      </c>
      <c r="AE67" s="1">
        <v>1.0</v>
      </c>
      <c r="AF67" s="1" t="s">
        <v>659</v>
      </c>
      <c r="AG67" s="1">
        <v>24.0</v>
      </c>
      <c r="AH67" s="1">
        <v>42.0</v>
      </c>
      <c r="AI67" s="1">
        <v>63.0</v>
      </c>
      <c r="AJ67" s="1">
        <v>104.0</v>
      </c>
      <c r="AK67" s="1">
        <v>90.0</v>
      </c>
      <c r="AL67" s="1">
        <v>82.0</v>
      </c>
      <c r="AM67" s="1">
        <v>1233.0</v>
      </c>
      <c r="AN67" s="1">
        <v>84.0</v>
      </c>
      <c r="AO67" s="1">
        <v>1.0</v>
      </c>
      <c r="AP67" s="1">
        <v>0.0</v>
      </c>
      <c r="AQ67" s="1">
        <v>5.0</v>
      </c>
      <c r="AR67" s="1">
        <v>22.0</v>
      </c>
      <c r="AS67" s="1">
        <v>2.0</v>
      </c>
    </row>
    <row r="68" hidden="1">
      <c r="A68" s="1">
        <v>244.0</v>
      </c>
      <c r="B68" s="1" t="s">
        <v>669</v>
      </c>
      <c r="C68" s="1" t="s">
        <v>670</v>
      </c>
      <c r="D68" s="1" t="s">
        <v>671</v>
      </c>
      <c r="E68" s="1" t="s">
        <v>58</v>
      </c>
      <c r="F68" s="2">
        <v>23820.0</v>
      </c>
      <c r="G68" s="1">
        <f t="shared" si="1"/>
        <v>61</v>
      </c>
      <c r="H68" s="1" t="s">
        <v>672</v>
      </c>
      <c r="I68" s="1" t="str">
        <f>IFERROR(__xludf.DUMMYFUNCTION("SPLIT(left(H68,len(H68)-1),""("")"),"Albi ")</f>
        <v>Albi </v>
      </c>
      <c r="J68" s="1" t="str">
        <f>IFERROR(__xludf.DUMMYFUNCTION("""COMPUTED_VALUE"""),"Tarn")</f>
        <v>Tarn</v>
      </c>
      <c r="K68" s="1" t="str">
        <f>IFERROR(__xludf.DUMMYFUNCTION("IF( COUNTA( IFERROR( FILTER('départements_edition'!$C$2:$C$102 , 'départements_edition'!$C$2:$C$102=J68 ) ) ) , ""Oui"" , ""Non"" )"),"Oui")</f>
        <v>Oui</v>
      </c>
      <c r="L68" s="1" t="str">
        <f t="shared" si="2"/>
        <v>France</v>
      </c>
      <c r="M68" s="1">
        <v>81.0</v>
      </c>
      <c r="N68" s="1" t="s">
        <v>673</v>
      </c>
      <c r="O68" s="1">
        <v>2.0</v>
      </c>
      <c r="P68" s="2">
        <v>42907.0</v>
      </c>
      <c r="R68" s="1">
        <v>0.0</v>
      </c>
      <c r="S68" s="1" t="s">
        <v>75</v>
      </c>
      <c r="T68" s="1" t="s">
        <v>76</v>
      </c>
      <c r="U68" s="1" t="s">
        <v>674</v>
      </c>
      <c r="X68" s="1" t="s">
        <v>675</v>
      </c>
      <c r="Y68" s="1">
        <v>525.0</v>
      </c>
      <c r="Z68" s="3" t="s">
        <v>676</v>
      </c>
      <c r="AA68" s="1">
        <v>721542.0</v>
      </c>
      <c r="AB68" s="1" t="s">
        <v>677</v>
      </c>
      <c r="AC68" s="3" t="s">
        <v>678</v>
      </c>
      <c r="AD68" s="3" t="s">
        <v>679</v>
      </c>
      <c r="AE68" s="1">
        <v>1.0</v>
      </c>
      <c r="AF68" s="1" t="s">
        <v>680</v>
      </c>
      <c r="AG68" s="1">
        <v>24.0</v>
      </c>
      <c r="AH68" s="1">
        <v>67.0</v>
      </c>
      <c r="AI68" s="1">
        <v>17.0</v>
      </c>
      <c r="AJ68" s="1">
        <v>63.0</v>
      </c>
      <c r="AK68" s="1">
        <v>38.0</v>
      </c>
      <c r="AL68" s="1">
        <v>0.0</v>
      </c>
      <c r="AM68" s="1">
        <v>165.0</v>
      </c>
      <c r="AN68" s="1">
        <v>108.0</v>
      </c>
      <c r="AO68" s="1">
        <v>1.0</v>
      </c>
      <c r="AP68" s="1">
        <v>0.0</v>
      </c>
      <c r="AQ68" s="1">
        <v>5.0</v>
      </c>
      <c r="AR68" s="1">
        <v>2.0</v>
      </c>
      <c r="AS68" s="1">
        <v>1.0</v>
      </c>
    </row>
    <row r="69" hidden="1">
      <c r="A69" s="1">
        <v>226.0</v>
      </c>
      <c r="B69" s="1" t="s">
        <v>681</v>
      </c>
      <c r="C69" s="1" t="s">
        <v>682</v>
      </c>
      <c r="D69" s="1" t="s">
        <v>683</v>
      </c>
      <c r="E69" s="1" t="s">
        <v>43</v>
      </c>
      <c r="F69" s="2">
        <v>27367.0</v>
      </c>
      <c r="G69" s="1">
        <f t="shared" si="1"/>
        <v>51</v>
      </c>
      <c r="H69" s="1" t="s">
        <v>684</v>
      </c>
      <c r="I69" s="1" t="str">
        <f>IFERROR(__xludf.DUMMYFUNCTION("SPLIT(left(H69,len(H69)-1),""("")"),"Millau ")</f>
        <v>Millau </v>
      </c>
      <c r="J69" s="1" t="str">
        <f>IFERROR(__xludf.DUMMYFUNCTION("""COMPUTED_VALUE"""),"Aveyron")</f>
        <v>Aveyron</v>
      </c>
      <c r="K69" s="1" t="str">
        <f>IFERROR(__xludf.DUMMYFUNCTION("IF( COUNTA( IFERROR( FILTER('départements_edition'!$C$2:$C$102 , 'départements_edition'!$C$2:$C$102=J69 ) ) ) , ""Oui"" , ""Non"" )"),"Oui")</f>
        <v>Oui</v>
      </c>
      <c r="L69" s="1" t="str">
        <f t="shared" si="2"/>
        <v>France</v>
      </c>
      <c r="M69" s="1">
        <v>12.0</v>
      </c>
      <c r="N69" s="1" t="s">
        <v>685</v>
      </c>
      <c r="O69" s="1">
        <v>3.0</v>
      </c>
      <c r="P69" s="2">
        <v>42907.0</v>
      </c>
      <c r="R69" s="1">
        <v>0.0</v>
      </c>
      <c r="S69" s="1" t="s">
        <v>61</v>
      </c>
      <c r="T69" s="1" t="s">
        <v>62</v>
      </c>
      <c r="U69" s="1" t="s">
        <v>686</v>
      </c>
      <c r="X69" s="1" t="s">
        <v>373</v>
      </c>
      <c r="Y69" s="1">
        <v>35.0</v>
      </c>
      <c r="Z69" s="3" t="s">
        <v>687</v>
      </c>
      <c r="AA69" s="1">
        <v>709315.0</v>
      </c>
      <c r="AB69" s="1" t="s">
        <v>688</v>
      </c>
      <c r="AC69" s="3" t="s">
        <v>689</v>
      </c>
      <c r="AD69" s="3" t="s">
        <v>690</v>
      </c>
      <c r="AE69" s="1">
        <v>2.0</v>
      </c>
      <c r="AF69" s="1" t="s">
        <v>691</v>
      </c>
      <c r="AG69" s="1">
        <v>24.0</v>
      </c>
      <c r="AH69" s="1">
        <v>60.0</v>
      </c>
      <c r="AI69" s="1">
        <v>181.0</v>
      </c>
      <c r="AJ69" s="1">
        <v>215.0</v>
      </c>
      <c r="AK69" s="1">
        <v>83.0</v>
      </c>
      <c r="AL69" s="1">
        <v>241.0</v>
      </c>
      <c r="AM69" s="1">
        <v>1280.0</v>
      </c>
      <c r="AN69" s="1">
        <v>53.0</v>
      </c>
      <c r="AO69" s="1">
        <v>1.0</v>
      </c>
      <c r="AP69" s="1">
        <v>2.0</v>
      </c>
      <c r="AQ69" s="1">
        <v>48.0</v>
      </c>
      <c r="AR69" s="1">
        <v>28.0</v>
      </c>
      <c r="AS69" s="1">
        <v>2.0</v>
      </c>
    </row>
    <row r="70" hidden="1">
      <c r="A70" s="1">
        <v>13.0</v>
      </c>
      <c r="B70" s="1" t="s">
        <v>692</v>
      </c>
      <c r="C70" s="1" t="s">
        <v>693</v>
      </c>
      <c r="D70" s="1" t="s">
        <v>694</v>
      </c>
      <c r="E70" s="1" t="s">
        <v>58</v>
      </c>
      <c r="F70" s="2">
        <v>20125.0</v>
      </c>
      <c r="G70" s="1">
        <f t="shared" si="1"/>
        <v>71</v>
      </c>
      <c r="H70" s="1" t="s">
        <v>695</v>
      </c>
      <c r="I70" s="1" t="str">
        <f>IFERROR(__xludf.DUMMYFUNCTION("SPLIT(left(H70,len(H70)-1),""("")"),"Boulogne-Billancourt ")</f>
        <v>Boulogne-Billancourt </v>
      </c>
      <c r="J70" s="1" t="str">
        <f>IFERROR(__xludf.DUMMYFUNCTION("""COMPUTED_VALUE"""),"Hauts-de-Seine")</f>
        <v>Hauts-de-Seine</v>
      </c>
      <c r="K70" s="1" t="str">
        <f>IFERROR(__xludf.DUMMYFUNCTION("IF( COUNTA( IFERROR( FILTER('départements_edition'!$C$2:$C$102 , 'départements_edition'!$C$2:$C$102=J70 ) ) ) , ""Oui"" , ""Non"" )"),"Oui")</f>
        <v>Oui</v>
      </c>
      <c r="L70" s="1" t="str">
        <f t="shared" si="2"/>
        <v>France</v>
      </c>
      <c r="M70" s="1">
        <v>63.0</v>
      </c>
      <c r="N70" s="1" t="s">
        <v>114</v>
      </c>
      <c r="O70" s="1">
        <v>3.0</v>
      </c>
      <c r="P70" s="2">
        <v>42907.0</v>
      </c>
      <c r="R70" s="1">
        <v>0.0</v>
      </c>
      <c r="S70" s="1" t="s">
        <v>280</v>
      </c>
      <c r="T70" s="1" t="s">
        <v>281</v>
      </c>
      <c r="U70" s="1" t="s">
        <v>696</v>
      </c>
      <c r="X70" s="1" t="s">
        <v>697</v>
      </c>
      <c r="Y70" s="1">
        <v>261.0</v>
      </c>
      <c r="Z70" s="3" t="s">
        <v>698</v>
      </c>
      <c r="AA70" s="1">
        <v>720704.0</v>
      </c>
      <c r="AB70" s="1" t="s">
        <v>699</v>
      </c>
      <c r="AC70" s="3" t="s">
        <v>700</v>
      </c>
      <c r="AD70" s="3" t="s">
        <v>701</v>
      </c>
      <c r="AE70" s="1">
        <v>1.0</v>
      </c>
      <c r="AF70" s="1" t="s">
        <v>702</v>
      </c>
      <c r="AG70" s="1">
        <v>24.0</v>
      </c>
      <c r="AH70" s="1">
        <v>39.0</v>
      </c>
      <c r="AI70" s="1">
        <v>32.0</v>
      </c>
      <c r="AJ70" s="1">
        <v>66.0</v>
      </c>
      <c r="AK70" s="1">
        <v>13.0</v>
      </c>
      <c r="AL70" s="1">
        <v>24.0</v>
      </c>
      <c r="AM70" s="1">
        <v>259.0</v>
      </c>
      <c r="AN70" s="1">
        <v>24.0</v>
      </c>
      <c r="AO70" s="1">
        <v>0.0</v>
      </c>
      <c r="AP70" s="1">
        <v>0.0</v>
      </c>
      <c r="AQ70" s="1">
        <v>5.0</v>
      </c>
      <c r="AR70" s="1">
        <v>2.0</v>
      </c>
      <c r="AS70" s="1">
        <v>2.0</v>
      </c>
    </row>
    <row r="71" hidden="1">
      <c r="A71" s="1">
        <v>497.0</v>
      </c>
      <c r="B71" s="1" t="s">
        <v>703</v>
      </c>
      <c r="C71" s="1" t="s">
        <v>704</v>
      </c>
      <c r="D71" s="1" t="s">
        <v>705</v>
      </c>
      <c r="E71" s="1" t="s">
        <v>43</v>
      </c>
      <c r="F71" s="2">
        <v>24037.0</v>
      </c>
      <c r="G71" s="1">
        <f t="shared" si="1"/>
        <v>60</v>
      </c>
      <c r="H71" s="1" t="s">
        <v>706</v>
      </c>
      <c r="I71" s="1" t="str">
        <f>IFERROR(__xludf.DUMMYFUNCTION("SPLIT(left(H71,len(H71)-1),""("")"),"Villers-Semeuse ")</f>
        <v>Villers-Semeuse </v>
      </c>
      <c r="J71" s="1" t="str">
        <f>IFERROR(__xludf.DUMMYFUNCTION("""COMPUTED_VALUE"""),"Ardennes")</f>
        <v>Ardennes</v>
      </c>
      <c r="K71" s="1" t="str">
        <f>IFERROR(__xludf.DUMMYFUNCTION("IF( COUNTA( IFERROR( FILTER('départements_edition'!$C$2:$C$102 , 'départements_edition'!$C$2:$C$102=J71 ) ) ) , ""Oui"" , ""Non"" )"),"Oui")</f>
        <v>Oui</v>
      </c>
      <c r="L71" s="1" t="str">
        <f t="shared" si="2"/>
        <v>France</v>
      </c>
      <c r="M71" s="1">
        <v>8.0</v>
      </c>
      <c r="N71" s="1" t="s">
        <v>707</v>
      </c>
      <c r="O71" s="1">
        <v>3.0</v>
      </c>
      <c r="P71" s="2">
        <v>42907.0</v>
      </c>
      <c r="R71" s="1">
        <v>0.0</v>
      </c>
      <c r="S71" s="1" t="s">
        <v>46</v>
      </c>
      <c r="T71" s="1" t="s">
        <v>62</v>
      </c>
      <c r="U71" s="1" t="s">
        <v>708</v>
      </c>
      <c r="X71" s="1" t="s">
        <v>709</v>
      </c>
      <c r="Y71" s="1">
        <v>106.0</v>
      </c>
      <c r="Z71" s="3" t="s">
        <v>710</v>
      </c>
      <c r="AA71" s="1">
        <v>2952.0</v>
      </c>
      <c r="AB71" s="1" t="s">
        <v>711</v>
      </c>
      <c r="AC71" s="3" t="s">
        <v>712</v>
      </c>
      <c r="AD71" s="3" t="s">
        <v>713</v>
      </c>
      <c r="AE71" s="1">
        <v>1.0</v>
      </c>
      <c r="AF71" s="1" t="s">
        <v>714</v>
      </c>
      <c r="AG71" s="1">
        <v>24.0</v>
      </c>
      <c r="AH71" s="1">
        <v>46.0</v>
      </c>
      <c r="AI71" s="1">
        <v>18.0</v>
      </c>
      <c r="AJ71" s="1">
        <v>35.0</v>
      </c>
      <c r="AK71" s="1">
        <v>78.0</v>
      </c>
      <c r="AL71" s="1">
        <v>26.0</v>
      </c>
      <c r="AM71" s="1">
        <v>356.0</v>
      </c>
      <c r="AN71" s="1">
        <v>32.0</v>
      </c>
      <c r="AO71" s="1">
        <v>3.0</v>
      </c>
      <c r="AP71" s="1">
        <v>24.0</v>
      </c>
      <c r="AQ71" s="1">
        <v>29.0</v>
      </c>
      <c r="AR71" s="1">
        <v>26.0</v>
      </c>
      <c r="AS71" s="1">
        <v>0.0</v>
      </c>
    </row>
    <row r="72" hidden="1">
      <c r="A72" s="1">
        <v>332.0</v>
      </c>
      <c r="B72" s="1" t="s">
        <v>715</v>
      </c>
      <c r="C72" s="1" t="s">
        <v>716</v>
      </c>
      <c r="D72" s="1" t="s">
        <v>717</v>
      </c>
      <c r="E72" s="1" t="s">
        <v>43</v>
      </c>
      <c r="F72" s="2">
        <v>28652.0</v>
      </c>
      <c r="G72" s="1">
        <f t="shared" si="1"/>
        <v>48</v>
      </c>
      <c r="H72" s="1" t="s">
        <v>718</v>
      </c>
      <c r="I72" s="1" t="str">
        <f>IFERROR(__xludf.DUMMYFUNCTION("SPLIT(left(H72,len(H72)-1),""("")"),"Marseille ")</f>
        <v>Marseille </v>
      </c>
      <c r="J72" s="1" t="str">
        <f>IFERROR(__xludf.DUMMYFUNCTION("""COMPUTED_VALUE"""),"Bouches-du-Rhône")</f>
        <v>Bouches-du-Rhône</v>
      </c>
      <c r="K72" s="1" t="str">
        <f>IFERROR(__xludf.DUMMYFUNCTION("IF( COUNTA( IFERROR( FILTER('départements_edition'!$C$2:$C$102 , 'départements_edition'!$C$2:$C$102=J72 ) ) ) , ""Oui"" , ""Non"" )"),"Oui")</f>
        <v>Oui</v>
      </c>
      <c r="L72" s="1" t="str">
        <f t="shared" si="2"/>
        <v>France</v>
      </c>
      <c r="M72" s="1">
        <v>84.0</v>
      </c>
      <c r="N72" s="1" t="s">
        <v>719</v>
      </c>
      <c r="O72" s="1">
        <v>5.0</v>
      </c>
      <c r="P72" s="2">
        <v>42907.0</v>
      </c>
      <c r="R72" s="1">
        <v>0.0</v>
      </c>
      <c r="S72" s="1" t="s">
        <v>61</v>
      </c>
      <c r="T72" s="1" t="s">
        <v>62</v>
      </c>
      <c r="U72" s="1" t="s">
        <v>720</v>
      </c>
      <c r="X72" s="1" t="s">
        <v>721</v>
      </c>
      <c r="Y72" s="1">
        <v>136.0</v>
      </c>
      <c r="Z72" s="3" t="s">
        <v>722</v>
      </c>
      <c r="AA72" s="1">
        <v>609726.0</v>
      </c>
      <c r="AB72" s="1" t="s">
        <v>723</v>
      </c>
      <c r="AC72" s="3" t="s">
        <v>724</v>
      </c>
      <c r="AD72" s="3" t="s">
        <v>725</v>
      </c>
      <c r="AE72" s="1">
        <v>1.0</v>
      </c>
      <c r="AF72" s="1" t="s">
        <v>726</v>
      </c>
      <c r="AG72" s="1">
        <v>23.0</v>
      </c>
      <c r="AH72" s="1">
        <v>42.0</v>
      </c>
      <c r="AI72" s="1">
        <v>94.0</v>
      </c>
      <c r="AJ72" s="1">
        <v>238.0</v>
      </c>
      <c r="AK72" s="1">
        <v>164.0</v>
      </c>
      <c r="AL72" s="1">
        <v>127.0</v>
      </c>
      <c r="AM72" s="1">
        <v>1250.0</v>
      </c>
      <c r="AN72" s="1">
        <v>35.0</v>
      </c>
      <c r="AO72" s="1">
        <v>1.0</v>
      </c>
      <c r="AP72" s="1">
        <v>2.0</v>
      </c>
      <c r="AQ72" s="1">
        <v>59.0</v>
      </c>
      <c r="AR72" s="1">
        <v>18.0</v>
      </c>
      <c r="AS72" s="1">
        <v>3.0</v>
      </c>
    </row>
    <row r="73" hidden="1">
      <c r="A73" s="1">
        <v>406.0</v>
      </c>
      <c r="B73" s="1" t="s">
        <v>727</v>
      </c>
      <c r="C73" s="1" t="s">
        <v>728</v>
      </c>
      <c r="D73" s="1" t="s">
        <v>403</v>
      </c>
      <c r="E73" s="1" t="s">
        <v>58</v>
      </c>
      <c r="F73" s="2">
        <v>23242.0</v>
      </c>
      <c r="G73" s="1">
        <f t="shared" si="1"/>
        <v>62</v>
      </c>
      <c r="H73" s="1" t="s">
        <v>729</v>
      </c>
      <c r="I73" s="1" t="str">
        <f>IFERROR(__xludf.DUMMYFUNCTION("SPLIT(left(H73,len(H73)-1),""("")"),"Dugny ")</f>
        <v>Dugny </v>
      </c>
      <c r="J73" s="1" t="str">
        <f>IFERROR(__xludf.DUMMYFUNCTION("""COMPUTED_VALUE"""),"Seine-Saint-Denis")</f>
        <v>Seine-Saint-Denis</v>
      </c>
      <c r="K73" s="1" t="str">
        <f>IFERROR(__xludf.DUMMYFUNCTION("IF( COUNTA( IFERROR( FILTER('départements_edition'!$C$2:$C$102 , 'départements_edition'!$C$2:$C$102=J73 ) ) ) , ""Oui"" , ""Non"" )"),"Oui")</f>
        <v>Oui</v>
      </c>
      <c r="L73" s="1" t="str">
        <f t="shared" si="2"/>
        <v>France</v>
      </c>
      <c r="M73" s="1">
        <v>37.0</v>
      </c>
      <c r="N73" s="1" t="s">
        <v>547</v>
      </c>
      <c r="O73" s="1">
        <v>3.0</v>
      </c>
      <c r="P73" s="2">
        <v>42907.0</v>
      </c>
      <c r="R73" s="1">
        <v>0.0</v>
      </c>
      <c r="S73" s="1" t="s">
        <v>46</v>
      </c>
      <c r="T73" s="1" t="s">
        <v>47</v>
      </c>
      <c r="U73" s="1" t="s">
        <v>730</v>
      </c>
      <c r="X73" s="1" t="s">
        <v>198</v>
      </c>
      <c r="Y73" s="1">
        <v>134.0</v>
      </c>
      <c r="Z73" s="3" t="s">
        <v>731</v>
      </c>
      <c r="AA73" s="1">
        <v>719806.0</v>
      </c>
      <c r="AB73" s="1" t="s">
        <v>732</v>
      </c>
      <c r="AC73" s="3" t="s">
        <v>733</v>
      </c>
      <c r="AD73" s="3" t="s">
        <v>734</v>
      </c>
      <c r="AE73" s="1">
        <v>2.0</v>
      </c>
      <c r="AF73" s="1" t="s">
        <v>735</v>
      </c>
      <c r="AG73" s="1">
        <v>23.0</v>
      </c>
      <c r="AH73" s="1">
        <v>49.0</v>
      </c>
      <c r="AI73" s="1">
        <v>51.0</v>
      </c>
      <c r="AJ73" s="1">
        <v>27.0</v>
      </c>
      <c r="AK73" s="1">
        <v>14.0</v>
      </c>
      <c r="AL73" s="1">
        <v>12.0</v>
      </c>
      <c r="AM73" s="1">
        <v>674.0</v>
      </c>
      <c r="AN73" s="1">
        <v>42.0</v>
      </c>
      <c r="AO73" s="1">
        <v>1.0</v>
      </c>
      <c r="AP73" s="1">
        <v>0.0</v>
      </c>
      <c r="AQ73" s="1">
        <v>27.0</v>
      </c>
      <c r="AR73" s="1">
        <v>17.0</v>
      </c>
      <c r="AS73" s="1">
        <v>3.0</v>
      </c>
    </row>
    <row r="74" hidden="1">
      <c r="A74" s="1">
        <v>122.0</v>
      </c>
      <c r="B74" s="1" t="s">
        <v>757</v>
      </c>
      <c r="C74" s="1" t="s">
        <v>758</v>
      </c>
      <c r="D74" s="1" t="s">
        <v>522</v>
      </c>
      <c r="E74" s="1" t="s">
        <v>43</v>
      </c>
      <c r="F74" s="2">
        <v>25266.0</v>
      </c>
      <c r="G74" s="1">
        <f t="shared" si="1"/>
        <v>57</v>
      </c>
      <c r="H74" s="1" t="s">
        <v>370</v>
      </c>
      <c r="I74" s="1" t="str">
        <f>IFERROR(__xludf.DUMMYFUNCTION("SPLIT(left(H74,len(H74)-1),""("")"),"Rouen ")</f>
        <v>Rouen </v>
      </c>
      <c r="J74" s="1" t="str">
        <f>IFERROR(__xludf.DUMMYFUNCTION("""COMPUTED_VALUE"""),"Seine-Maritime")</f>
        <v>Seine-Maritime</v>
      </c>
      <c r="K74" s="1" t="str">
        <f>IFERROR(__xludf.DUMMYFUNCTION("IF( COUNTA( IFERROR( FILTER('départements_edition'!$C$2:$C$102 , 'départements_edition'!$C$2:$C$102=J74 ) ) ) , ""Oui"" , ""Non"" )"),"Oui")</f>
        <v>Oui</v>
      </c>
      <c r="L74" s="1" t="str">
        <f t="shared" si="2"/>
        <v>France</v>
      </c>
      <c r="M74" s="1">
        <v>76.0</v>
      </c>
      <c r="N74" s="1" t="s">
        <v>371</v>
      </c>
      <c r="O74" s="1">
        <v>5.0</v>
      </c>
      <c r="P74" s="2">
        <v>42907.0</v>
      </c>
      <c r="R74" s="1">
        <v>0.0</v>
      </c>
      <c r="S74" s="1" t="s">
        <v>115</v>
      </c>
      <c r="T74" s="1" t="s">
        <v>116</v>
      </c>
      <c r="U74" s="1" t="s">
        <v>759</v>
      </c>
      <c r="X74" s="1" t="s">
        <v>118</v>
      </c>
      <c r="Y74" s="1">
        <v>520.0</v>
      </c>
      <c r="Z74" s="3" t="s">
        <v>760</v>
      </c>
      <c r="AA74" s="1">
        <v>267233.0</v>
      </c>
      <c r="AB74" s="1" t="s">
        <v>761</v>
      </c>
      <c r="AC74" s="3" t="s">
        <v>762</v>
      </c>
      <c r="AD74" s="3" t="s">
        <v>763</v>
      </c>
      <c r="AE74" s="1">
        <v>1.0</v>
      </c>
      <c r="AF74" s="1" t="s">
        <v>764</v>
      </c>
      <c r="AG74" s="1">
        <v>23.0</v>
      </c>
      <c r="AH74" s="1">
        <v>36.0</v>
      </c>
      <c r="AI74" s="1">
        <v>29.0</v>
      </c>
      <c r="AJ74" s="1">
        <v>37.0</v>
      </c>
      <c r="AK74" s="1">
        <v>2.0</v>
      </c>
      <c r="AL74" s="1">
        <v>47.0</v>
      </c>
      <c r="AM74" s="1">
        <v>1240.0</v>
      </c>
      <c r="AN74" s="1">
        <v>89.0</v>
      </c>
      <c r="AO74" s="1">
        <v>1.0</v>
      </c>
      <c r="AP74" s="1">
        <v>0.0</v>
      </c>
      <c r="AQ74" s="1">
        <v>5.0</v>
      </c>
      <c r="AR74" s="1">
        <v>19.0</v>
      </c>
      <c r="AS74" s="1">
        <v>1.0</v>
      </c>
    </row>
    <row r="75" hidden="1">
      <c r="A75" s="1">
        <v>18.0</v>
      </c>
      <c r="B75" s="1" t="s">
        <v>765</v>
      </c>
      <c r="C75" s="1" t="s">
        <v>766</v>
      </c>
      <c r="D75" s="1" t="s">
        <v>767</v>
      </c>
      <c r="E75" s="1" t="s">
        <v>58</v>
      </c>
      <c r="F75" s="2">
        <v>23963.0</v>
      </c>
      <c r="G75" s="1">
        <f t="shared" si="1"/>
        <v>61</v>
      </c>
      <c r="H75" s="1" t="s">
        <v>768</v>
      </c>
      <c r="I75" s="1" t="str">
        <f>IFERROR(__xludf.DUMMYFUNCTION("SPLIT(left(H75,len(H75)-1),""("")"),"La Fère ")</f>
        <v>La Fère </v>
      </c>
      <c r="J75" s="1" t="str">
        <f>IFERROR(__xludf.DUMMYFUNCTION("""COMPUTED_VALUE"""),"Aisne")</f>
        <v>Aisne</v>
      </c>
      <c r="K75" s="1" t="str">
        <f>IFERROR(__xludf.DUMMYFUNCTION("IF( COUNTA( IFERROR( FILTER('départements_edition'!$C$2:$C$102 , 'départements_edition'!$C$2:$C$102=J75 ) ) ) , ""Oui"" , ""Non"" )"),"Oui")</f>
        <v>Oui</v>
      </c>
      <c r="L75" s="1" t="str">
        <f t="shared" si="2"/>
        <v>France</v>
      </c>
      <c r="M75" s="1">
        <v>60.0</v>
      </c>
      <c r="N75" s="1" t="s">
        <v>769</v>
      </c>
      <c r="O75" s="1">
        <v>6.0</v>
      </c>
      <c r="P75" s="2">
        <v>42907.0</v>
      </c>
      <c r="R75" s="1">
        <v>0.0</v>
      </c>
      <c r="S75" s="1" t="s">
        <v>75</v>
      </c>
      <c r="T75" s="1" t="s">
        <v>76</v>
      </c>
      <c r="U75" s="1" t="s">
        <v>770</v>
      </c>
      <c r="X75" s="1" t="s">
        <v>771</v>
      </c>
      <c r="Y75" s="1">
        <v>288.0</v>
      </c>
      <c r="Z75" s="3" t="s">
        <v>772</v>
      </c>
      <c r="AA75" s="1">
        <v>720622.0</v>
      </c>
      <c r="AB75" s="1" t="s">
        <v>773</v>
      </c>
      <c r="AC75" s="3" t="s">
        <v>774</v>
      </c>
      <c r="AD75" s="3" t="s">
        <v>775</v>
      </c>
      <c r="AE75" s="1">
        <v>2.0</v>
      </c>
      <c r="AF75" s="1" t="s">
        <v>776</v>
      </c>
      <c r="AG75" s="1">
        <v>23.0</v>
      </c>
      <c r="AH75" s="1">
        <v>28.0</v>
      </c>
      <c r="AI75" s="1">
        <v>0.0</v>
      </c>
      <c r="AJ75" s="1">
        <v>576.0</v>
      </c>
      <c r="AK75" s="1">
        <v>3314.0</v>
      </c>
      <c r="AL75" s="1">
        <v>0.0</v>
      </c>
      <c r="AM75" s="1">
        <v>7.0</v>
      </c>
      <c r="AN75" s="1">
        <v>1.0</v>
      </c>
      <c r="AO75" s="1">
        <v>0.0</v>
      </c>
      <c r="AP75" s="1">
        <v>0.0</v>
      </c>
      <c r="AQ75" s="1">
        <v>7.0</v>
      </c>
      <c r="AR75" s="1">
        <v>0.0</v>
      </c>
      <c r="AS75" s="1">
        <v>1.0</v>
      </c>
    </row>
    <row r="76" hidden="1">
      <c r="A76" s="1">
        <v>539.0</v>
      </c>
      <c r="B76" s="1" t="s">
        <v>777</v>
      </c>
      <c r="C76" s="1" t="s">
        <v>778</v>
      </c>
      <c r="D76" s="1" t="s">
        <v>779</v>
      </c>
      <c r="E76" s="1" t="s">
        <v>58</v>
      </c>
      <c r="F76" s="2">
        <v>29060.0</v>
      </c>
      <c r="G76" s="1">
        <f t="shared" si="1"/>
        <v>47</v>
      </c>
      <c r="H76" s="1" t="s">
        <v>780</v>
      </c>
      <c r="I76" s="1" t="str">
        <f>IFERROR(__xludf.DUMMYFUNCTION("SPLIT(left(H76,len(H76)-1),""("")"),"Rennes ")</f>
        <v>Rennes </v>
      </c>
      <c r="J76" s="1" t="str">
        <f>IFERROR(__xludf.DUMMYFUNCTION("""COMPUTED_VALUE"""),"Ille-et-Vilaine")</f>
        <v>Ille-et-Vilaine</v>
      </c>
      <c r="K76" s="1" t="str">
        <f>IFERROR(__xludf.DUMMYFUNCTION("IF( COUNTA( IFERROR( FILTER('départements_edition'!$C$2:$C$102 , 'départements_edition'!$C$2:$C$102=J76 ) ) ) , ""Oui"" , ""Non"" )"),"Oui")</f>
        <v>Oui</v>
      </c>
      <c r="L76" s="1" t="str">
        <f t="shared" si="2"/>
        <v>France</v>
      </c>
      <c r="M76" s="1">
        <v>92.0</v>
      </c>
      <c r="N76" s="1" t="s">
        <v>781</v>
      </c>
      <c r="O76" s="1">
        <v>5.0</v>
      </c>
      <c r="P76" s="2">
        <v>42907.0</v>
      </c>
      <c r="R76" s="1">
        <v>0.0</v>
      </c>
      <c r="S76" s="1" t="s">
        <v>75</v>
      </c>
      <c r="T76" s="1" t="s">
        <v>76</v>
      </c>
      <c r="U76" s="1" t="s">
        <v>782</v>
      </c>
      <c r="X76" s="1" t="s">
        <v>783</v>
      </c>
      <c r="Y76" s="1">
        <v>270.0</v>
      </c>
      <c r="Z76" s="3" t="s">
        <v>784</v>
      </c>
      <c r="AA76" s="1">
        <v>721750.0</v>
      </c>
      <c r="AB76" s="1" t="s">
        <v>785</v>
      </c>
      <c r="AC76" s="3" t="s">
        <v>786</v>
      </c>
      <c r="AD76" s="3" t="s">
        <v>787</v>
      </c>
      <c r="AE76" s="1">
        <v>1.0</v>
      </c>
      <c r="AF76" s="1" t="s">
        <v>788</v>
      </c>
      <c r="AG76" s="1">
        <v>23.0</v>
      </c>
      <c r="AH76" s="1">
        <v>44.0</v>
      </c>
      <c r="AI76" s="1">
        <v>18.0</v>
      </c>
      <c r="AJ76" s="1">
        <v>3.0</v>
      </c>
      <c r="AK76" s="1">
        <v>0.0</v>
      </c>
      <c r="AL76" s="1">
        <v>1.0</v>
      </c>
      <c r="AM76" s="1">
        <v>46.0</v>
      </c>
      <c r="AN76" s="1">
        <v>15.0</v>
      </c>
      <c r="AO76" s="1">
        <v>0.0</v>
      </c>
      <c r="AP76" s="1">
        <v>0.0</v>
      </c>
      <c r="AQ76" s="1">
        <v>5.0</v>
      </c>
      <c r="AR76" s="1">
        <v>2.0</v>
      </c>
      <c r="AS76" s="1">
        <v>1.0</v>
      </c>
    </row>
    <row r="77" hidden="1">
      <c r="A77" s="1">
        <v>567.0</v>
      </c>
      <c r="B77" s="1" t="s">
        <v>789</v>
      </c>
      <c r="C77" s="1" t="s">
        <v>790</v>
      </c>
      <c r="D77" s="1" t="s">
        <v>57</v>
      </c>
      <c r="E77" s="1" t="s">
        <v>58</v>
      </c>
      <c r="F77" s="2">
        <v>26220.0</v>
      </c>
      <c r="G77" s="1">
        <f t="shared" si="1"/>
        <v>54</v>
      </c>
      <c r="H77" s="1" t="s">
        <v>791</v>
      </c>
      <c r="I77" s="1" t="str">
        <f>IFERROR(__xludf.DUMMYFUNCTION("SPLIT(left(H77,len(H77)-1),""("")"),"VERDUN ")</f>
        <v>VERDUN </v>
      </c>
      <c r="J77" s="1" t="str">
        <f>IFERROR(__xludf.DUMMYFUNCTION("""COMPUTED_VALUE"""),"Meuse")</f>
        <v>Meuse</v>
      </c>
      <c r="K77" s="1" t="str">
        <f>IFERROR(__xludf.DUMMYFUNCTION("IF( COUNTA( IFERROR( FILTER('départements_edition'!$C$2:$C$102 , 'départements_edition'!$C$2:$C$102=J77 ) ) ) , ""Oui"" , ""Non"" )"),"Oui")</f>
        <v>Oui</v>
      </c>
      <c r="L77" s="1" t="str">
        <f t="shared" si="2"/>
        <v>France</v>
      </c>
      <c r="M77" s="1">
        <v>55.0</v>
      </c>
      <c r="N77" s="1" t="s">
        <v>792</v>
      </c>
      <c r="O77" s="1">
        <v>2.0</v>
      </c>
      <c r="P77" s="2">
        <v>42907.0</v>
      </c>
      <c r="R77" s="1">
        <v>0.0</v>
      </c>
      <c r="S77" s="1" t="s">
        <v>75</v>
      </c>
      <c r="T77" s="1" t="s">
        <v>76</v>
      </c>
      <c r="U77" s="1" t="s">
        <v>793</v>
      </c>
      <c r="X77" s="1" t="s">
        <v>118</v>
      </c>
      <c r="Y77" s="1">
        <v>638.0</v>
      </c>
      <c r="Z77" s="3" t="s">
        <v>794</v>
      </c>
      <c r="AA77" s="1">
        <v>720298.0</v>
      </c>
      <c r="AB77" s="1" t="s">
        <v>795</v>
      </c>
      <c r="AC77" s="3" t="s">
        <v>796</v>
      </c>
      <c r="AD77" s="3" t="s">
        <v>797</v>
      </c>
      <c r="AE77" s="1">
        <v>1.0</v>
      </c>
      <c r="AF77" s="1" t="s">
        <v>798</v>
      </c>
      <c r="AG77" s="1">
        <v>23.0</v>
      </c>
      <c r="AH77" s="1">
        <v>101.0</v>
      </c>
      <c r="AI77" s="1">
        <v>105.0</v>
      </c>
      <c r="AJ77" s="1">
        <v>85.0</v>
      </c>
      <c r="AK77" s="1">
        <v>18.0</v>
      </c>
      <c r="AL77" s="1">
        <v>26.0</v>
      </c>
      <c r="AM77" s="1">
        <v>200.0</v>
      </c>
      <c r="AN77" s="1">
        <v>117.0</v>
      </c>
      <c r="AO77" s="1">
        <v>1.0</v>
      </c>
      <c r="AP77" s="1">
        <v>0.0</v>
      </c>
      <c r="AQ77" s="1">
        <v>5.0</v>
      </c>
      <c r="AR77" s="1">
        <v>6.0</v>
      </c>
      <c r="AS77" s="1">
        <v>2.0</v>
      </c>
    </row>
    <row r="78" hidden="1">
      <c r="A78" s="1">
        <v>430.0</v>
      </c>
      <c r="B78" s="1" t="s">
        <v>799</v>
      </c>
      <c r="C78" s="1" t="s">
        <v>800</v>
      </c>
      <c r="D78" s="1" t="s">
        <v>567</v>
      </c>
      <c r="E78" s="1" t="s">
        <v>43</v>
      </c>
      <c r="F78" s="2">
        <v>17774.0</v>
      </c>
      <c r="G78" s="1">
        <f t="shared" si="1"/>
        <v>77</v>
      </c>
      <c r="H78" s="1" t="s">
        <v>207</v>
      </c>
      <c r="I78" s="1" t="str">
        <f>IFERROR(__xludf.DUMMYFUNCTION("SPLIT(left(H78,len(H78)-1),""("")"),"Paris ")</f>
        <v>Paris </v>
      </c>
      <c r="J78" s="1" t="str">
        <f>IFERROR(__xludf.DUMMYFUNCTION("""COMPUTED_VALUE"""),"Paris")</f>
        <v>Paris</v>
      </c>
      <c r="K78" s="1" t="str">
        <f>IFERROR(__xludf.DUMMYFUNCTION("IF( COUNTA( IFERROR( FILTER('départements_edition'!$C$2:$C$102 , 'départements_edition'!$C$2:$C$102=J78 ) ) ) , ""Oui"" , ""Non"" )"),"Oui")</f>
        <v>Oui</v>
      </c>
      <c r="L78" s="1" t="str">
        <f t="shared" si="2"/>
        <v>France</v>
      </c>
      <c r="M78" s="1">
        <v>94.0</v>
      </c>
      <c r="N78" s="1" t="s">
        <v>642</v>
      </c>
      <c r="O78" s="1">
        <v>5.0</v>
      </c>
      <c r="P78" s="2">
        <v>42907.0</v>
      </c>
      <c r="R78" s="1">
        <v>0.0</v>
      </c>
      <c r="S78" s="1" t="s">
        <v>61</v>
      </c>
      <c r="T78" s="1" t="s">
        <v>62</v>
      </c>
      <c r="U78" s="1" t="s">
        <v>801</v>
      </c>
      <c r="X78" s="1" t="s">
        <v>802</v>
      </c>
      <c r="Y78" s="1">
        <v>92.0</v>
      </c>
      <c r="Z78" s="3" t="s">
        <v>803</v>
      </c>
      <c r="AA78" s="1">
        <v>746.0</v>
      </c>
      <c r="AB78" s="1" t="s">
        <v>804</v>
      </c>
      <c r="AC78" s="3" t="s">
        <v>805</v>
      </c>
      <c r="AD78" s="3" t="s">
        <v>806</v>
      </c>
      <c r="AE78" s="1">
        <v>2.0</v>
      </c>
      <c r="AF78" s="1" t="s">
        <v>807</v>
      </c>
      <c r="AG78" s="1">
        <v>23.0</v>
      </c>
      <c r="AH78" s="1">
        <v>42.0</v>
      </c>
      <c r="AI78" s="1">
        <v>87.0</v>
      </c>
      <c r="AJ78" s="1">
        <v>196.0</v>
      </c>
      <c r="AK78" s="1">
        <v>174.0</v>
      </c>
      <c r="AL78" s="1">
        <v>25.0</v>
      </c>
      <c r="AM78" s="1">
        <v>279.0</v>
      </c>
      <c r="AN78" s="1">
        <v>18.0</v>
      </c>
      <c r="AO78" s="1">
        <v>1.0</v>
      </c>
      <c r="AP78" s="1">
        <v>0.0</v>
      </c>
      <c r="AQ78" s="1">
        <v>1.0</v>
      </c>
      <c r="AR78" s="1">
        <v>0.0</v>
      </c>
      <c r="AS78" s="1">
        <v>0.0</v>
      </c>
    </row>
    <row r="79" hidden="1">
      <c r="A79" s="1">
        <v>231.0</v>
      </c>
      <c r="B79" s="1" t="s">
        <v>808</v>
      </c>
      <c r="C79" s="1" t="s">
        <v>809</v>
      </c>
      <c r="D79" s="1" t="s">
        <v>810</v>
      </c>
      <c r="E79" s="1" t="s">
        <v>43</v>
      </c>
      <c r="F79" s="2">
        <v>16708.0</v>
      </c>
      <c r="G79" s="1">
        <f t="shared" si="1"/>
        <v>80</v>
      </c>
      <c r="H79" s="1" t="s">
        <v>811</v>
      </c>
      <c r="I79" s="1" t="str">
        <f>IFERROR(__xludf.DUMMYFUNCTION("SPLIT(left(H79,len(H79)-1),""("")"),"Bastia ")</f>
        <v>Bastia </v>
      </c>
      <c r="J79" s="1" t="str">
        <f>IFERROR(__xludf.DUMMYFUNCTION("""COMPUTED_VALUE"""),"Haute-Corse")</f>
        <v>Haute-Corse</v>
      </c>
      <c r="K79" s="1" t="str">
        <f>IFERROR(__xludf.DUMMYFUNCTION("IF( COUNTA( IFERROR( FILTER('départements_edition'!$C$2:$C$102 , 'départements_edition'!$C$2:$C$102=J79 ) ) ) , ""Oui"" , ""Non"" )"),"Oui")</f>
        <v>Oui</v>
      </c>
      <c r="L79" s="1" t="str">
        <f t="shared" si="2"/>
        <v>France</v>
      </c>
      <c r="M79" s="1" t="s">
        <v>812</v>
      </c>
      <c r="N79" s="1" t="s">
        <v>813</v>
      </c>
      <c r="O79" s="1">
        <v>1.0</v>
      </c>
      <c r="P79" s="2">
        <v>42907.0</v>
      </c>
      <c r="R79" s="1">
        <v>0.0</v>
      </c>
      <c r="S79" s="1" t="s">
        <v>814</v>
      </c>
      <c r="T79" s="1" t="s">
        <v>815</v>
      </c>
      <c r="U79" s="3" t="s">
        <v>816</v>
      </c>
      <c r="X79" s="1" t="s">
        <v>246</v>
      </c>
      <c r="Y79" s="1">
        <v>649.0</v>
      </c>
      <c r="Z79" s="3" t="s">
        <v>817</v>
      </c>
      <c r="AA79" s="1">
        <v>719138.0</v>
      </c>
      <c r="AB79" s="1" t="s">
        <v>818</v>
      </c>
      <c r="AC79" s="3" t="s">
        <v>819</v>
      </c>
      <c r="AD79" s="3" t="s">
        <v>820</v>
      </c>
      <c r="AE79" s="1">
        <v>1.0</v>
      </c>
      <c r="AF79" s="1" t="s">
        <v>821</v>
      </c>
      <c r="AG79" s="1">
        <v>23.0</v>
      </c>
      <c r="AH79" s="1">
        <v>55.0</v>
      </c>
      <c r="AI79" s="1">
        <v>44.0</v>
      </c>
      <c r="AJ79" s="1">
        <v>126.0</v>
      </c>
      <c r="AK79" s="1">
        <v>23.0</v>
      </c>
      <c r="AL79" s="1">
        <v>119.0</v>
      </c>
      <c r="AM79" s="1">
        <v>260.0</v>
      </c>
      <c r="AN79" s="1">
        <v>3.0</v>
      </c>
      <c r="AO79" s="1">
        <v>0.0</v>
      </c>
      <c r="AP79" s="1">
        <v>2.0</v>
      </c>
      <c r="AQ79" s="1">
        <v>9.0</v>
      </c>
      <c r="AR79" s="1">
        <v>15.0</v>
      </c>
      <c r="AS79" s="1">
        <v>0.0</v>
      </c>
    </row>
    <row r="80" hidden="1">
      <c r="A80" s="1">
        <v>147.0</v>
      </c>
      <c r="B80" s="1" t="s">
        <v>822</v>
      </c>
      <c r="C80" s="1" t="s">
        <v>823</v>
      </c>
      <c r="D80" s="1" t="s">
        <v>824</v>
      </c>
      <c r="E80" s="1" t="s">
        <v>43</v>
      </c>
      <c r="F80" s="2">
        <v>21345.0</v>
      </c>
      <c r="G80" s="1">
        <f t="shared" si="1"/>
        <v>68</v>
      </c>
      <c r="H80" s="1" t="s">
        <v>207</v>
      </c>
      <c r="I80" s="1" t="str">
        <f>IFERROR(__xludf.DUMMYFUNCTION("SPLIT(left(H80,len(H80)-1),""("")"),"Paris ")</f>
        <v>Paris </v>
      </c>
      <c r="J80" s="1" t="str">
        <f>IFERROR(__xludf.DUMMYFUNCTION("""COMPUTED_VALUE"""),"Paris")</f>
        <v>Paris</v>
      </c>
      <c r="K80" s="1" t="str">
        <f>IFERROR(__xludf.DUMMYFUNCTION("IF( COUNTA( IFERROR( FILTER('départements_edition'!$C$2:$C$102 , 'départements_edition'!$C$2:$C$102=J80 ) ) ) , ""Oui"" , ""Non"" )"),"Oui")</f>
        <v>Oui</v>
      </c>
      <c r="L80" s="1" t="str">
        <f t="shared" si="2"/>
        <v>France</v>
      </c>
      <c r="M80" s="1">
        <v>32.0</v>
      </c>
      <c r="N80" s="1" t="s">
        <v>825</v>
      </c>
      <c r="O80" s="1">
        <v>1.0</v>
      </c>
      <c r="P80" s="2">
        <v>42907.0</v>
      </c>
      <c r="R80" s="1">
        <v>0.0</v>
      </c>
      <c r="S80" s="1" t="s">
        <v>75</v>
      </c>
      <c r="T80" s="1" t="s">
        <v>76</v>
      </c>
      <c r="U80" s="1" t="s">
        <v>826</v>
      </c>
      <c r="X80" s="1" t="s">
        <v>827</v>
      </c>
      <c r="Y80" s="1">
        <v>274.0</v>
      </c>
      <c r="Z80" s="3" t="s">
        <v>828</v>
      </c>
      <c r="AA80" s="1">
        <v>719472.0</v>
      </c>
      <c r="AB80" s="1" t="s">
        <v>829</v>
      </c>
      <c r="AC80" s="3" t="s">
        <v>830</v>
      </c>
      <c r="AD80" s="3" t="s">
        <v>831</v>
      </c>
      <c r="AE80" s="1">
        <v>2.0</v>
      </c>
      <c r="AF80" s="1" t="s">
        <v>832</v>
      </c>
      <c r="AG80" s="1">
        <v>23.0</v>
      </c>
      <c r="AH80" s="1">
        <v>58.0</v>
      </c>
      <c r="AI80" s="1">
        <v>44.0</v>
      </c>
      <c r="AJ80" s="1">
        <v>116.0</v>
      </c>
      <c r="AK80" s="1">
        <v>28.0</v>
      </c>
      <c r="AL80" s="1">
        <v>6.0</v>
      </c>
      <c r="AM80" s="1">
        <v>210.0</v>
      </c>
      <c r="AN80" s="1">
        <v>150.0</v>
      </c>
      <c r="AO80" s="1">
        <v>1.0</v>
      </c>
      <c r="AP80" s="1">
        <v>0.0</v>
      </c>
      <c r="AQ80" s="1">
        <v>5.0</v>
      </c>
      <c r="AR80" s="1">
        <v>2.0</v>
      </c>
      <c r="AS80" s="1">
        <v>2.0</v>
      </c>
    </row>
    <row r="81" hidden="1">
      <c r="A81" s="1">
        <v>179.0</v>
      </c>
      <c r="B81" s="1" t="s">
        <v>833</v>
      </c>
      <c r="C81" s="1" t="s">
        <v>834</v>
      </c>
      <c r="D81" s="1" t="s">
        <v>835</v>
      </c>
      <c r="E81" s="1" t="s">
        <v>43</v>
      </c>
      <c r="F81" s="2">
        <v>26767.0</v>
      </c>
      <c r="G81" s="1">
        <f t="shared" si="1"/>
        <v>53</v>
      </c>
      <c r="H81" s="1" t="s">
        <v>836</v>
      </c>
      <c r="I81" s="1" t="str">
        <f>IFERROR(__xludf.DUMMYFUNCTION("SPLIT(left(H81,len(H81)-1),""("")"),"Beauvais ")</f>
        <v>Beauvais </v>
      </c>
      <c r="J81" s="1" t="str">
        <f>IFERROR(__xludf.DUMMYFUNCTION("""COMPUTED_VALUE"""),"Oise")</f>
        <v>Oise</v>
      </c>
      <c r="K81" s="1" t="str">
        <f>IFERROR(__xludf.DUMMYFUNCTION("IF( COUNTA( IFERROR( FILTER('départements_edition'!$C$2:$C$102 , 'départements_edition'!$C$2:$C$102=J81 ) ) ) , ""Oui"" , ""Non"" )"),"Oui")</f>
        <v>Oui</v>
      </c>
      <c r="L81" s="1" t="str">
        <f t="shared" si="2"/>
        <v>France</v>
      </c>
      <c r="M81" s="1">
        <v>59.0</v>
      </c>
      <c r="N81" s="1" t="s">
        <v>172</v>
      </c>
      <c r="O81" s="1">
        <v>19.0</v>
      </c>
      <c r="P81" s="2">
        <v>42907.0</v>
      </c>
      <c r="R81" s="1">
        <v>0.0</v>
      </c>
      <c r="S81" s="1" t="s">
        <v>814</v>
      </c>
      <c r="T81" s="1" t="s">
        <v>837</v>
      </c>
      <c r="U81" s="1" t="s">
        <v>838</v>
      </c>
      <c r="X81" s="1" t="s">
        <v>839</v>
      </c>
      <c r="Y81" s="1">
        <v>57.0</v>
      </c>
      <c r="Z81" s="3" t="s">
        <v>840</v>
      </c>
      <c r="AA81" s="1">
        <v>720468.0</v>
      </c>
      <c r="AB81" s="1" t="s">
        <v>841</v>
      </c>
      <c r="AC81" s="3" t="s">
        <v>842</v>
      </c>
      <c r="AD81" s="3" t="s">
        <v>843</v>
      </c>
      <c r="AE81" s="1">
        <v>1.0</v>
      </c>
      <c r="AF81" s="1" t="s">
        <v>844</v>
      </c>
      <c r="AG81" s="1">
        <v>23.0</v>
      </c>
      <c r="AH81" s="1">
        <v>29.0</v>
      </c>
      <c r="AI81" s="1">
        <v>13.0</v>
      </c>
      <c r="AJ81" s="1">
        <v>169.0</v>
      </c>
      <c r="AK81" s="1">
        <v>148.0</v>
      </c>
      <c r="AL81" s="1">
        <v>57.0</v>
      </c>
      <c r="AM81" s="1">
        <v>261.0</v>
      </c>
      <c r="AN81" s="1">
        <v>0.0</v>
      </c>
      <c r="AO81" s="1">
        <v>0.0</v>
      </c>
      <c r="AP81" s="1">
        <v>3.0</v>
      </c>
      <c r="AQ81" s="1">
        <v>13.0</v>
      </c>
      <c r="AR81" s="1">
        <v>17.0</v>
      </c>
      <c r="AS81" s="1">
        <v>1.0</v>
      </c>
    </row>
    <row r="82" hidden="1">
      <c r="A82" s="1">
        <v>380.0</v>
      </c>
      <c r="B82" s="1" t="s">
        <v>845</v>
      </c>
      <c r="C82" s="1" t="s">
        <v>522</v>
      </c>
      <c r="D82" s="1" t="s">
        <v>846</v>
      </c>
      <c r="E82" s="1" t="s">
        <v>43</v>
      </c>
      <c r="F82" s="2">
        <v>25974.0</v>
      </c>
      <c r="G82" s="1">
        <f t="shared" si="1"/>
        <v>55</v>
      </c>
      <c r="H82" s="1" t="s">
        <v>847</v>
      </c>
      <c r="I82" s="1" t="str">
        <f>IFERROR(__xludf.DUMMYFUNCTION("SPLIT(left(H82,len(H82)-1),""("")"),"Sables d'Olonne ")</f>
        <v>Sables d'Olonne </v>
      </c>
      <c r="J82" s="1" t="str">
        <f>IFERROR(__xludf.DUMMYFUNCTION("""COMPUTED_VALUE"""),"Vendée")</f>
        <v>Vendée</v>
      </c>
      <c r="K82" s="1" t="str">
        <f>IFERROR(__xludf.DUMMYFUNCTION("IF( COUNTA( IFERROR( FILTER('départements_edition'!$C$2:$C$102 , 'départements_edition'!$C$2:$C$102=J82 ) ) ) , ""Oui"" , ""Non"" )"),"Oui")</f>
        <v>Oui</v>
      </c>
      <c r="L82" s="1" t="str">
        <f t="shared" si="2"/>
        <v>France</v>
      </c>
      <c r="M82" s="1">
        <v>59.0</v>
      </c>
      <c r="N82" s="1" t="s">
        <v>172</v>
      </c>
      <c r="O82" s="1">
        <v>14.0</v>
      </c>
      <c r="P82" s="2">
        <v>42907.0</v>
      </c>
      <c r="R82" s="1">
        <v>0.0</v>
      </c>
      <c r="S82" s="1" t="s">
        <v>46</v>
      </c>
      <c r="T82" s="1" t="s">
        <v>47</v>
      </c>
      <c r="U82" s="1" t="s">
        <v>848</v>
      </c>
      <c r="X82" s="1" t="s">
        <v>118</v>
      </c>
      <c r="Y82" s="1">
        <v>141.0</v>
      </c>
      <c r="Z82" s="3" t="s">
        <v>849</v>
      </c>
      <c r="AA82" s="1">
        <v>642868.0</v>
      </c>
      <c r="AB82" s="1" t="s">
        <v>850</v>
      </c>
      <c r="AC82" s="3" t="s">
        <v>851</v>
      </c>
      <c r="AD82" s="3" t="s">
        <v>852</v>
      </c>
      <c r="AE82" s="1">
        <v>1.0</v>
      </c>
      <c r="AF82" s="1" t="s">
        <v>853</v>
      </c>
      <c r="AG82" s="1">
        <v>23.0</v>
      </c>
      <c r="AH82" s="1">
        <v>44.0</v>
      </c>
      <c r="AI82" s="1">
        <v>28.0</v>
      </c>
      <c r="AJ82" s="1">
        <v>66.0</v>
      </c>
      <c r="AK82" s="1">
        <v>10.0</v>
      </c>
      <c r="AL82" s="1">
        <v>37.0</v>
      </c>
      <c r="AM82" s="1">
        <v>605.0</v>
      </c>
      <c r="AN82" s="1">
        <v>35.0</v>
      </c>
      <c r="AO82" s="1">
        <v>2.0</v>
      </c>
      <c r="AP82" s="1">
        <v>5.0</v>
      </c>
      <c r="AQ82" s="1">
        <v>35.0</v>
      </c>
      <c r="AR82" s="1">
        <v>18.0</v>
      </c>
      <c r="AS82" s="1">
        <v>3.0</v>
      </c>
    </row>
    <row r="83" hidden="1">
      <c r="A83" s="1">
        <v>301.0</v>
      </c>
      <c r="B83" s="1" t="s">
        <v>854</v>
      </c>
      <c r="C83" s="1" t="s">
        <v>855</v>
      </c>
      <c r="D83" s="1" t="s">
        <v>856</v>
      </c>
      <c r="E83" s="1" t="s">
        <v>43</v>
      </c>
      <c r="F83" s="2">
        <v>28612.0</v>
      </c>
      <c r="G83" s="1">
        <f t="shared" si="1"/>
        <v>48</v>
      </c>
      <c r="H83" s="1" t="s">
        <v>857</v>
      </c>
      <c r="I83" s="1" t="str">
        <f>IFERROR(__xludf.DUMMYFUNCTION("SPLIT(left(H83,len(H83)-1),""("")"),"Montpellier ")</f>
        <v>Montpellier </v>
      </c>
      <c r="J83" s="1" t="str">
        <f>IFERROR(__xludf.DUMMYFUNCTION("""COMPUTED_VALUE"""),"Hérault")</f>
        <v>Hérault</v>
      </c>
      <c r="K83" s="1" t="str">
        <f>IFERROR(__xludf.DUMMYFUNCTION("IF( COUNTA( IFERROR( FILTER('départements_edition'!$C$2:$C$102 , 'départements_edition'!$C$2:$C$102=J83 ) ) ) , ""Oui"" , ""Non"" )"),"Oui")</f>
        <v>Oui</v>
      </c>
      <c r="L83" s="1" t="str">
        <f t="shared" si="2"/>
        <v>France</v>
      </c>
      <c r="M83" s="1">
        <v>38.0</v>
      </c>
      <c r="N83" s="1" t="s">
        <v>267</v>
      </c>
      <c r="O83" s="1">
        <v>2.0</v>
      </c>
      <c r="P83" s="2">
        <v>42907.0</v>
      </c>
      <c r="R83" s="1">
        <v>0.0</v>
      </c>
      <c r="S83" s="1" t="s">
        <v>75</v>
      </c>
      <c r="T83" s="1" t="s">
        <v>76</v>
      </c>
      <c r="U83" s="1" t="s">
        <v>858</v>
      </c>
      <c r="X83" s="1" t="s">
        <v>827</v>
      </c>
      <c r="Y83" s="1">
        <v>199.0</v>
      </c>
      <c r="Z83" s="3" t="s">
        <v>859</v>
      </c>
      <c r="AA83" s="1">
        <v>719740.0</v>
      </c>
      <c r="AB83" s="1" t="s">
        <v>860</v>
      </c>
      <c r="AC83" s="3" t="s">
        <v>861</v>
      </c>
      <c r="AD83" s="3" t="s">
        <v>862</v>
      </c>
      <c r="AE83" s="1">
        <v>1.0</v>
      </c>
      <c r="AF83" s="1" t="s">
        <v>863</v>
      </c>
      <c r="AG83" s="1">
        <v>23.0</v>
      </c>
      <c r="AH83" s="1">
        <v>58.0</v>
      </c>
      <c r="AI83" s="1">
        <v>139.0</v>
      </c>
      <c r="AJ83" s="1">
        <v>102.0</v>
      </c>
      <c r="AK83" s="1">
        <v>38.0</v>
      </c>
      <c r="AL83" s="1">
        <v>139.0</v>
      </c>
      <c r="AM83" s="1">
        <v>255.0</v>
      </c>
      <c r="AN83" s="1">
        <v>172.0</v>
      </c>
      <c r="AO83" s="1">
        <v>4.0</v>
      </c>
      <c r="AP83" s="1">
        <v>0.0</v>
      </c>
      <c r="AQ83" s="1">
        <v>6.0</v>
      </c>
      <c r="AR83" s="1">
        <v>2.0</v>
      </c>
      <c r="AS83" s="1">
        <v>1.0</v>
      </c>
    </row>
    <row r="84" hidden="1">
      <c r="A84" s="1">
        <v>203.0</v>
      </c>
      <c r="B84" s="1" t="s">
        <v>864</v>
      </c>
      <c r="C84" s="1" t="s">
        <v>865</v>
      </c>
      <c r="D84" s="1" t="s">
        <v>866</v>
      </c>
      <c r="E84" s="1" t="s">
        <v>43</v>
      </c>
      <c r="F84" s="2">
        <v>26446.0</v>
      </c>
      <c r="G84" s="1">
        <f t="shared" si="1"/>
        <v>54</v>
      </c>
      <c r="H84" s="1" t="s">
        <v>867</v>
      </c>
      <c r="I84" s="1" t="str">
        <f>IFERROR(__xludf.DUMMYFUNCTION("SPLIT(left(H84,len(H84)-1),""("")"),"Charleville-Mézières ")</f>
        <v>Charleville-Mézières </v>
      </c>
      <c r="J84" s="1" t="str">
        <f>IFERROR(__xludf.DUMMYFUNCTION("""COMPUTED_VALUE"""),"Ardennes")</f>
        <v>Ardennes</v>
      </c>
      <c r="K84" s="1" t="str">
        <f>IFERROR(__xludf.DUMMYFUNCTION("IF( COUNTA( IFERROR( FILTER('départements_edition'!$C$2:$C$102 , 'départements_edition'!$C$2:$C$102=J84 ) ) ) , ""Oui"" , ""Non"" )"),"Oui")</f>
        <v>Oui</v>
      </c>
      <c r="L84" s="1" t="str">
        <f t="shared" si="2"/>
        <v>France</v>
      </c>
      <c r="M84" s="1">
        <v>8.0</v>
      </c>
      <c r="N84" s="1" t="s">
        <v>707</v>
      </c>
      <c r="O84" s="1">
        <v>2.0</v>
      </c>
      <c r="P84" s="2">
        <v>42907.0</v>
      </c>
      <c r="R84" s="1">
        <v>0.0</v>
      </c>
      <c r="S84" s="1" t="s">
        <v>61</v>
      </c>
      <c r="T84" s="1" t="s">
        <v>62</v>
      </c>
      <c r="U84" s="3" t="s">
        <v>868</v>
      </c>
      <c r="X84" s="1" t="s">
        <v>118</v>
      </c>
      <c r="Y84" s="1">
        <v>8.0</v>
      </c>
      <c r="Z84" s="3" t="s">
        <v>869</v>
      </c>
      <c r="AA84" s="1">
        <v>718850.0</v>
      </c>
      <c r="AB84" s="1" t="s">
        <v>870</v>
      </c>
      <c r="AC84" s="3" t="s">
        <v>871</v>
      </c>
      <c r="AD84" s="3" t="s">
        <v>872</v>
      </c>
      <c r="AE84" s="1">
        <v>1.0</v>
      </c>
      <c r="AF84" s="1" t="s">
        <v>873</v>
      </c>
      <c r="AG84" s="1">
        <v>23.0</v>
      </c>
      <c r="AH84" s="1">
        <v>48.0</v>
      </c>
      <c r="AI84" s="1">
        <v>19.0</v>
      </c>
      <c r="AJ84" s="1">
        <v>37.0</v>
      </c>
      <c r="AK84" s="1">
        <v>683.0</v>
      </c>
      <c r="AL84" s="1">
        <v>53.0</v>
      </c>
      <c r="AM84" s="1">
        <v>1731.0</v>
      </c>
      <c r="AN84" s="1">
        <v>50.0</v>
      </c>
      <c r="AO84" s="1">
        <v>0.0</v>
      </c>
      <c r="AP84" s="1">
        <v>5.0</v>
      </c>
      <c r="AQ84" s="1">
        <v>54.0</v>
      </c>
      <c r="AR84" s="1">
        <v>19.0</v>
      </c>
      <c r="AS84" s="1">
        <v>3.0</v>
      </c>
    </row>
    <row r="85" hidden="1">
      <c r="A85" s="1">
        <v>115.0</v>
      </c>
      <c r="B85" s="1" t="s">
        <v>874</v>
      </c>
      <c r="C85" s="1" t="s">
        <v>875</v>
      </c>
      <c r="D85" s="1" t="s">
        <v>619</v>
      </c>
      <c r="E85" s="1" t="s">
        <v>58</v>
      </c>
      <c r="F85" s="2">
        <v>24715.0</v>
      </c>
      <c r="G85" s="1">
        <f t="shared" si="1"/>
        <v>58</v>
      </c>
      <c r="H85" s="1" t="s">
        <v>876</v>
      </c>
      <c r="I85" s="1" t="str">
        <f>IFERROR(__xludf.DUMMYFUNCTION("SPLIT(left(H85,len(H85)-1),""("")"),"Lormes ")</f>
        <v>Lormes </v>
      </c>
      <c r="J85" s="1" t="str">
        <f>IFERROR(__xludf.DUMMYFUNCTION("""COMPUTED_VALUE"""),"Nièvre")</f>
        <v>Nièvre</v>
      </c>
      <c r="K85" s="1" t="str">
        <f>IFERROR(__xludf.DUMMYFUNCTION("IF( COUNTA( IFERROR( FILTER('départements_edition'!$C$2:$C$102 , 'départements_edition'!$C$2:$C$102=J85 ) ) ) , ""Oui"" , ""Non"" )"),"Oui")</f>
        <v>Oui</v>
      </c>
      <c r="L85" s="1" t="str">
        <f t="shared" si="2"/>
        <v>France</v>
      </c>
      <c r="M85" s="1">
        <v>89.0</v>
      </c>
      <c r="N85" s="1" t="s">
        <v>877</v>
      </c>
      <c r="O85" s="1">
        <v>3.0</v>
      </c>
      <c r="P85" s="2">
        <v>42907.0</v>
      </c>
      <c r="R85" s="1">
        <v>0.0</v>
      </c>
      <c r="S85" s="1" t="s">
        <v>75</v>
      </c>
      <c r="T85" s="1" t="s">
        <v>76</v>
      </c>
      <c r="U85" s="1" t="s">
        <v>878</v>
      </c>
      <c r="X85" s="1" t="s">
        <v>879</v>
      </c>
      <c r="Y85" s="1">
        <v>367.0</v>
      </c>
      <c r="Z85" s="3" t="s">
        <v>880</v>
      </c>
      <c r="AA85" s="1">
        <v>721808.0</v>
      </c>
      <c r="AB85" s="1" t="s">
        <v>881</v>
      </c>
      <c r="AC85" s="3" t="s">
        <v>882</v>
      </c>
      <c r="AD85" s="3" t="s">
        <v>883</v>
      </c>
      <c r="AE85" s="1">
        <v>1.0</v>
      </c>
      <c r="AF85" s="1" t="s">
        <v>884</v>
      </c>
      <c r="AG85" s="1">
        <v>23.0</v>
      </c>
      <c r="AH85" s="1">
        <v>50.0</v>
      </c>
      <c r="AI85" s="1">
        <v>11.0</v>
      </c>
      <c r="AJ85" s="1">
        <v>1.0</v>
      </c>
      <c r="AK85" s="1">
        <v>0.0</v>
      </c>
      <c r="AL85" s="1">
        <v>0.0</v>
      </c>
      <c r="AM85" s="1">
        <v>55.0</v>
      </c>
      <c r="AN85" s="1">
        <v>26.0</v>
      </c>
      <c r="AO85" s="1">
        <v>0.0</v>
      </c>
      <c r="AP85" s="1">
        <v>0.0</v>
      </c>
      <c r="AQ85" s="1">
        <v>5.0</v>
      </c>
      <c r="AR85" s="1">
        <v>8.0</v>
      </c>
      <c r="AS85" s="1">
        <v>0.0</v>
      </c>
    </row>
    <row r="86" hidden="1">
      <c r="A86" s="1">
        <v>552.0</v>
      </c>
      <c r="B86" s="1" t="s">
        <v>885</v>
      </c>
      <c r="C86" s="1" t="s">
        <v>886</v>
      </c>
      <c r="D86" s="1" t="s">
        <v>887</v>
      </c>
      <c r="E86" s="1" t="s">
        <v>43</v>
      </c>
      <c r="F86" s="2">
        <v>25019.0</v>
      </c>
      <c r="G86" s="1">
        <f t="shared" si="1"/>
        <v>58</v>
      </c>
      <c r="H86" s="1" t="s">
        <v>888</v>
      </c>
      <c r="I86" s="1" t="str">
        <f>IFERROR(__xludf.DUMMYFUNCTION("SPLIT(left(H86,len(H86)-1),""("")"),"L'Isle-Adam ")</f>
        <v>L'Isle-Adam </v>
      </c>
      <c r="J86" s="1" t="str">
        <f>IFERROR(__xludf.DUMMYFUNCTION("""COMPUTED_VALUE"""),"Val-d'Oise")</f>
        <v>Val-d'Oise</v>
      </c>
      <c r="K86" s="1" t="str">
        <f>IFERROR(__xludf.DUMMYFUNCTION("IF( COUNTA( IFERROR( FILTER('départements_edition'!$C$2:$C$102 , 'départements_edition'!$C$2:$C$102=J86 ) ) ) , ""Oui"" , ""Non"" )"),"Oui")</f>
        <v>Oui</v>
      </c>
      <c r="L86" s="1" t="str">
        <f t="shared" si="2"/>
        <v>France</v>
      </c>
      <c r="M86" s="1">
        <v>95.0</v>
      </c>
      <c r="N86" s="1" t="s">
        <v>302</v>
      </c>
      <c r="O86" s="1">
        <v>7.0</v>
      </c>
      <c r="P86" s="2">
        <v>42907.0</v>
      </c>
      <c r="R86" s="1">
        <v>0.0</v>
      </c>
      <c r="S86" s="1" t="s">
        <v>75</v>
      </c>
      <c r="T86" s="1" t="s">
        <v>76</v>
      </c>
      <c r="U86" s="3" t="s">
        <v>889</v>
      </c>
      <c r="X86" s="1" t="s">
        <v>198</v>
      </c>
      <c r="Y86" s="1">
        <v>223.0</v>
      </c>
      <c r="Z86" s="3" t="s">
        <v>890</v>
      </c>
      <c r="AA86" s="1">
        <v>720932.0</v>
      </c>
      <c r="AB86" s="1" t="s">
        <v>891</v>
      </c>
      <c r="AC86" s="3" t="s">
        <v>892</v>
      </c>
      <c r="AD86" s="3" t="s">
        <v>893</v>
      </c>
      <c r="AE86" s="1">
        <v>1.0</v>
      </c>
      <c r="AF86" s="1" t="s">
        <v>894</v>
      </c>
      <c r="AG86" s="1">
        <v>23.0</v>
      </c>
      <c r="AH86" s="1">
        <v>53.0</v>
      </c>
      <c r="AI86" s="1">
        <v>25.0</v>
      </c>
      <c r="AJ86" s="1">
        <v>11.0</v>
      </c>
      <c r="AK86" s="1">
        <v>0.0</v>
      </c>
      <c r="AL86" s="1">
        <v>7.0</v>
      </c>
      <c r="AM86" s="1">
        <v>121.0</v>
      </c>
      <c r="AN86" s="1">
        <v>58.0</v>
      </c>
      <c r="AO86" s="1">
        <v>0.0</v>
      </c>
      <c r="AP86" s="1">
        <v>0.0</v>
      </c>
      <c r="AQ86" s="1">
        <v>5.0</v>
      </c>
      <c r="AR86" s="1">
        <v>0.0</v>
      </c>
      <c r="AS86" s="1">
        <v>1.0</v>
      </c>
    </row>
    <row r="87" hidden="1">
      <c r="A87" s="1">
        <v>57.0</v>
      </c>
      <c r="B87" s="1" t="s">
        <v>895</v>
      </c>
      <c r="C87" s="1" t="s">
        <v>896</v>
      </c>
      <c r="D87" s="1" t="s">
        <v>671</v>
      </c>
      <c r="E87" s="1" t="s">
        <v>58</v>
      </c>
      <c r="F87" s="2">
        <v>21195.0</v>
      </c>
      <c r="G87" s="1">
        <f t="shared" si="1"/>
        <v>68</v>
      </c>
      <c r="H87" s="1" t="s">
        <v>897</v>
      </c>
      <c r="I87" s="1" t="str">
        <f>IFERROR(__xludf.DUMMYFUNCTION("SPLIT(left(H87,len(H87)-1),""("")"),"Saint-Claude ")</f>
        <v>Saint-Claude </v>
      </c>
      <c r="J87" s="1" t="str">
        <f>IFERROR(__xludf.DUMMYFUNCTION("""COMPUTED_VALUE"""),"Jura")</f>
        <v>Jura</v>
      </c>
      <c r="K87" s="1" t="str">
        <f>IFERROR(__xludf.DUMMYFUNCTION("IF( COUNTA( IFERROR( FILTER('départements_edition'!$C$2:$C$102 , 'départements_edition'!$C$2:$C$102=J87 ) ) ) , ""Oui"" , ""Non"" )"),"Oui")</f>
        <v>Oui</v>
      </c>
      <c r="L87" s="1" t="str">
        <f t="shared" si="2"/>
        <v>France</v>
      </c>
      <c r="M87" s="1">
        <v>39.0</v>
      </c>
      <c r="N87" s="1" t="s">
        <v>128</v>
      </c>
      <c r="O87" s="1">
        <v>2.0</v>
      </c>
      <c r="P87" s="2">
        <v>42907.0</v>
      </c>
      <c r="R87" s="1">
        <v>0.0</v>
      </c>
      <c r="S87" s="1" t="s">
        <v>61</v>
      </c>
      <c r="T87" s="1" t="s">
        <v>62</v>
      </c>
      <c r="U87" s="1" t="s">
        <v>898</v>
      </c>
      <c r="X87" s="1" t="s">
        <v>440</v>
      </c>
      <c r="Y87" s="1">
        <v>16.0</v>
      </c>
      <c r="Z87" s="3" t="s">
        <v>899</v>
      </c>
      <c r="AA87" s="1">
        <v>332523.0</v>
      </c>
      <c r="AB87" s="1" t="s">
        <v>900</v>
      </c>
      <c r="AC87" s="3" t="s">
        <v>901</v>
      </c>
      <c r="AD87" s="3" t="s">
        <v>902</v>
      </c>
      <c r="AE87" s="1">
        <v>1.0</v>
      </c>
      <c r="AG87" s="1">
        <v>23.0</v>
      </c>
      <c r="AH87" s="1">
        <v>53.0</v>
      </c>
      <c r="AI87" s="1">
        <v>116.0</v>
      </c>
      <c r="AJ87" s="1">
        <v>181.0</v>
      </c>
      <c r="AK87" s="1">
        <v>237.0</v>
      </c>
      <c r="AL87" s="1">
        <v>162.0</v>
      </c>
      <c r="AM87" s="1">
        <v>1429.0</v>
      </c>
      <c r="AN87" s="1">
        <v>52.0</v>
      </c>
      <c r="AO87" s="1">
        <v>1.0</v>
      </c>
      <c r="AP87" s="1">
        <v>0.0</v>
      </c>
      <c r="AQ87" s="1">
        <v>57.0</v>
      </c>
      <c r="AR87" s="1">
        <v>20.0</v>
      </c>
      <c r="AS87" s="1">
        <v>1.0</v>
      </c>
    </row>
    <row r="88" hidden="1">
      <c r="A88" s="1">
        <v>169.0</v>
      </c>
      <c r="B88" s="1" t="s">
        <v>903</v>
      </c>
      <c r="C88" s="1" t="s">
        <v>904</v>
      </c>
      <c r="D88" s="1" t="s">
        <v>905</v>
      </c>
      <c r="E88" s="1" t="s">
        <v>43</v>
      </c>
      <c r="F88" s="2">
        <v>24324.0</v>
      </c>
      <c r="G88" s="1">
        <f t="shared" si="1"/>
        <v>60</v>
      </c>
      <c r="H88" s="1" t="s">
        <v>906</v>
      </c>
      <c r="I88" s="1" t="str">
        <f>IFERROR(__xludf.DUMMYFUNCTION("SPLIT(left(H88,len(H88)-1),""("")"),"Romans-sur-Isère ")</f>
        <v>Romans-sur-Isère </v>
      </c>
      <c r="J88" s="1" t="str">
        <f>IFERROR(__xludf.DUMMYFUNCTION("""COMPUTED_VALUE"""),"Drôme")</f>
        <v>Drôme</v>
      </c>
      <c r="K88" s="1" t="str">
        <f>IFERROR(__xludf.DUMMYFUNCTION("IF( COUNTA( IFERROR( FILTER('départements_edition'!$C$2:$C$102 , 'départements_edition'!$C$2:$C$102=J88 ) ) ) , ""Oui"" , ""Non"" )"),"Oui")</f>
        <v>Oui</v>
      </c>
      <c r="L88" s="1" t="str">
        <f t="shared" si="2"/>
        <v>France</v>
      </c>
      <c r="M88" s="1">
        <v>47.0</v>
      </c>
      <c r="N88" s="1" t="s">
        <v>907</v>
      </c>
      <c r="O88" s="1">
        <v>3.0</v>
      </c>
      <c r="P88" s="2">
        <v>42907.0</v>
      </c>
      <c r="R88" s="1">
        <v>0.0</v>
      </c>
      <c r="S88" s="1" t="s">
        <v>75</v>
      </c>
      <c r="T88" s="1" t="s">
        <v>76</v>
      </c>
      <c r="U88" s="1" t="s">
        <v>908</v>
      </c>
      <c r="X88" s="1" t="s">
        <v>417</v>
      </c>
      <c r="Y88" s="1">
        <v>523.0</v>
      </c>
      <c r="Z88" s="3" t="s">
        <v>909</v>
      </c>
      <c r="AA88" s="1">
        <v>720268.0</v>
      </c>
      <c r="AB88" s="1" t="s">
        <v>910</v>
      </c>
      <c r="AC88" s="3" t="s">
        <v>911</v>
      </c>
      <c r="AD88" s="3" t="s">
        <v>912</v>
      </c>
      <c r="AE88" s="1">
        <v>2.0</v>
      </c>
      <c r="AF88" s="1" t="s">
        <v>913</v>
      </c>
      <c r="AG88" s="1">
        <v>23.0</v>
      </c>
      <c r="AH88" s="1">
        <v>58.0</v>
      </c>
      <c r="AI88" s="1">
        <v>8.0</v>
      </c>
      <c r="AJ88" s="1">
        <v>14.0</v>
      </c>
      <c r="AK88" s="1">
        <v>34.0</v>
      </c>
      <c r="AL88" s="1">
        <v>0.0</v>
      </c>
      <c r="AM88" s="1">
        <v>158.0</v>
      </c>
      <c r="AN88" s="1">
        <v>103.0</v>
      </c>
      <c r="AO88" s="1">
        <v>1.0</v>
      </c>
      <c r="AP88" s="1">
        <v>0.0</v>
      </c>
      <c r="AQ88" s="1">
        <v>8.0</v>
      </c>
      <c r="AR88" s="1">
        <v>0.0</v>
      </c>
      <c r="AS88" s="1">
        <v>1.0</v>
      </c>
    </row>
    <row r="89" hidden="1">
      <c r="A89" s="1">
        <v>84.0</v>
      </c>
      <c r="B89" s="1" t="s">
        <v>914</v>
      </c>
      <c r="C89" s="1" t="s">
        <v>915</v>
      </c>
      <c r="D89" s="1" t="s">
        <v>916</v>
      </c>
      <c r="E89" s="1" t="s">
        <v>43</v>
      </c>
      <c r="F89" s="2">
        <v>18051.0</v>
      </c>
      <c r="G89" s="1">
        <f t="shared" si="1"/>
        <v>77</v>
      </c>
      <c r="H89" s="1" t="s">
        <v>917</v>
      </c>
      <c r="I89" s="1" t="str">
        <f>IFERROR(__xludf.DUMMYFUNCTION("SPLIT(left(H89,len(H89)-1),""("")"),"Libourne ")</f>
        <v>Libourne </v>
      </c>
      <c r="J89" s="1" t="str">
        <f>IFERROR(__xludf.DUMMYFUNCTION("""COMPUTED_VALUE"""),"Gironde")</f>
        <v>Gironde</v>
      </c>
      <c r="K89" s="1" t="str">
        <f>IFERROR(__xludf.DUMMYFUNCTION("IF( COUNTA( IFERROR( FILTER('départements_edition'!$C$2:$C$102 , 'départements_edition'!$C$2:$C$102=J89 ) ) ) , ""Oui"" , ""Non"" )"),"Oui")</f>
        <v>Oui</v>
      </c>
      <c r="L89" s="1" t="str">
        <f t="shared" si="2"/>
        <v>France</v>
      </c>
      <c r="M89" s="1">
        <v>33.0</v>
      </c>
      <c r="N89" s="1" t="s">
        <v>348</v>
      </c>
      <c r="O89" s="1">
        <v>4.0</v>
      </c>
      <c r="P89" s="2">
        <v>42907.0</v>
      </c>
      <c r="R89" s="1">
        <v>0.0</v>
      </c>
      <c r="S89" s="1" t="s">
        <v>115</v>
      </c>
      <c r="T89" s="1" t="s">
        <v>116</v>
      </c>
      <c r="U89" s="1" t="s">
        <v>918</v>
      </c>
      <c r="X89" s="1" t="s">
        <v>827</v>
      </c>
      <c r="Y89" s="1">
        <v>518.0</v>
      </c>
      <c r="Z89" s="3" t="s">
        <v>919</v>
      </c>
      <c r="AA89" s="1">
        <v>1008.0</v>
      </c>
      <c r="AB89" s="1" t="s">
        <v>920</v>
      </c>
      <c r="AC89" s="3" t="s">
        <v>921</v>
      </c>
      <c r="AD89" s="3" t="s">
        <v>922</v>
      </c>
      <c r="AE89" s="1">
        <v>1.0</v>
      </c>
      <c r="AF89" s="1" t="s">
        <v>923</v>
      </c>
      <c r="AG89" s="1">
        <v>23.0</v>
      </c>
      <c r="AH89" s="1">
        <v>39.0</v>
      </c>
      <c r="AI89" s="1">
        <v>18.0</v>
      </c>
      <c r="AJ89" s="1">
        <v>8.0</v>
      </c>
      <c r="AK89" s="1">
        <v>3.0</v>
      </c>
      <c r="AL89" s="1">
        <v>0.0</v>
      </c>
      <c r="AM89" s="1">
        <v>1134.0</v>
      </c>
      <c r="AN89" s="1">
        <v>71.0</v>
      </c>
      <c r="AO89" s="1">
        <v>1.0</v>
      </c>
      <c r="AP89" s="1">
        <v>0.0</v>
      </c>
      <c r="AQ89" s="1">
        <v>5.0</v>
      </c>
      <c r="AR89" s="1">
        <v>9.0</v>
      </c>
      <c r="AS89" s="1">
        <v>3.0</v>
      </c>
    </row>
    <row r="90" hidden="1">
      <c r="A90" s="1">
        <v>494.0</v>
      </c>
      <c r="B90" s="1" t="s">
        <v>924</v>
      </c>
      <c r="C90" s="1" t="s">
        <v>915</v>
      </c>
      <c r="D90" s="1" t="s">
        <v>887</v>
      </c>
      <c r="E90" s="1" t="s">
        <v>58</v>
      </c>
      <c r="F90" s="2">
        <v>23069.0</v>
      </c>
      <c r="G90" s="1">
        <f t="shared" si="1"/>
        <v>63</v>
      </c>
      <c r="H90" s="1" t="s">
        <v>857</v>
      </c>
      <c r="I90" s="1" t="str">
        <f>IFERROR(__xludf.DUMMYFUNCTION("SPLIT(left(H90,len(H90)-1),""("")"),"Montpellier ")</f>
        <v>Montpellier </v>
      </c>
      <c r="J90" s="1" t="str">
        <f>IFERROR(__xludf.DUMMYFUNCTION("""COMPUTED_VALUE"""),"Hérault")</f>
        <v>Hérault</v>
      </c>
      <c r="K90" s="1" t="str">
        <f>IFERROR(__xludf.DUMMYFUNCTION("IF( COUNTA( IFERROR( FILTER('départements_edition'!$C$2:$C$102 , 'départements_edition'!$C$2:$C$102=J90 ) ) ) , ""Oui"" , ""Non"" )"),"Oui")</f>
        <v>Oui</v>
      </c>
      <c r="L90" s="1" t="str">
        <f t="shared" si="2"/>
        <v>France</v>
      </c>
      <c r="M90" s="1">
        <v>33.0</v>
      </c>
      <c r="N90" s="1" t="s">
        <v>348</v>
      </c>
      <c r="O90" s="1">
        <v>1.0</v>
      </c>
      <c r="P90" s="2">
        <v>42907.0</v>
      </c>
      <c r="R90" s="1">
        <v>0.0</v>
      </c>
      <c r="S90" s="1" t="s">
        <v>75</v>
      </c>
      <c r="T90" s="1" t="s">
        <v>76</v>
      </c>
      <c r="U90" s="1" t="s">
        <v>925</v>
      </c>
      <c r="X90" s="1" t="s">
        <v>234</v>
      </c>
      <c r="Y90" s="1">
        <v>644.0</v>
      </c>
      <c r="Z90" s="3" t="s">
        <v>926</v>
      </c>
      <c r="AA90" s="1">
        <v>719710.0</v>
      </c>
      <c r="AB90" s="1" t="s">
        <v>927</v>
      </c>
      <c r="AC90" s="3" t="s">
        <v>928</v>
      </c>
      <c r="AD90" s="3" t="s">
        <v>929</v>
      </c>
      <c r="AE90" s="1">
        <v>1.0</v>
      </c>
      <c r="AF90" s="1" t="s">
        <v>930</v>
      </c>
      <c r="AG90" s="1">
        <v>23.0</v>
      </c>
      <c r="AH90" s="1">
        <v>71.0</v>
      </c>
      <c r="AI90" s="1">
        <v>9.0</v>
      </c>
      <c r="AJ90" s="1">
        <v>4.0</v>
      </c>
      <c r="AK90" s="1">
        <v>0.0</v>
      </c>
      <c r="AL90" s="1">
        <v>1.0</v>
      </c>
      <c r="AM90" s="1">
        <v>150.0</v>
      </c>
      <c r="AN90" s="1">
        <v>103.0</v>
      </c>
      <c r="AO90" s="1">
        <v>1.0</v>
      </c>
      <c r="AP90" s="1">
        <v>0.0</v>
      </c>
      <c r="AQ90" s="1">
        <v>5.0</v>
      </c>
      <c r="AR90" s="1">
        <v>0.0</v>
      </c>
      <c r="AS90" s="1">
        <v>1.0</v>
      </c>
    </row>
    <row r="91" hidden="1">
      <c r="A91" s="1">
        <v>556.0</v>
      </c>
      <c r="B91" s="1" t="s">
        <v>931</v>
      </c>
      <c r="C91" s="1" t="s">
        <v>932</v>
      </c>
      <c r="D91" s="1" t="s">
        <v>933</v>
      </c>
      <c r="E91" s="1" t="s">
        <v>58</v>
      </c>
      <c r="F91" s="2">
        <v>33975.0</v>
      </c>
      <c r="G91" s="1">
        <f t="shared" si="1"/>
        <v>33</v>
      </c>
      <c r="H91" s="1" t="s">
        <v>934</v>
      </c>
      <c r="I91" s="1" t="str">
        <f>IFERROR(__xludf.DUMMYFUNCTION("SPLIT(left(H91,len(H91)-1),""("")"),"Fourmies ")</f>
        <v>Fourmies </v>
      </c>
      <c r="J91" s="1" t="str">
        <f>IFERROR(__xludf.DUMMYFUNCTION("""COMPUTED_VALUE"""),"Nord")</f>
        <v>Nord</v>
      </c>
      <c r="K91" s="1" t="str">
        <f>IFERROR(__xludf.DUMMYFUNCTION("IF( COUNTA( IFERROR( FILTER('départements_edition'!$C$2:$C$102 , 'départements_edition'!$C$2:$C$102=J91 ) ) ) , ""Oui"" , ""Non"" )"),"Oui")</f>
        <v>Oui</v>
      </c>
      <c r="L91" s="1" t="str">
        <f t="shared" si="2"/>
        <v>France</v>
      </c>
      <c r="M91" s="1">
        <v>73.0</v>
      </c>
      <c r="N91" s="1" t="s">
        <v>60</v>
      </c>
      <c r="O91" s="1">
        <v>1.0</v>
      </c>
      <c r="P91" s="2">
        <v>42907.0</v>
      </c>
      <c r="R91" s="1">
        <v>0.0</v>
      </c>
      <c r="S91" s="1" t="s">
        <v>75</v>
      </c>
      <c r="T91" s="1" t="s">
        <v>76</v>
      </c>
      <c r="U91" s="1" t="s">
        <v>935</v>
      </c>
      <c r="X91" s="1" t="s">
        <v>936</v>
      </c>
      <c r="Y91" s="1">
        <v>350.0</v>
      </c>
      <c r="Z91" s="3" t="s">
        <v>937</v>
      </c>
      <c r="AA91" s="1">
        <v>721398.0</v>
      </c>
      <c r="AB91" s="1" t="s">
        <v>938</v>
      </c>
      <c r="AC91" s="3" t="s">
        <v>939</v>
      </c>
      <c r="AD91" s="3" t="s">
        <v>940</v>
      </c>
      <c r="AE91" s="1">
        <v>1.0</v>
      </c>
      <c r="AF91" s="1" t="s">
        <v>941</v>
      </c>
      <c r="AG91" s="1">
        <v>23.0</v>
      </c>
      <c r="AH91" s="1">
        <v>54.0</v>
      </c>
      <c r="AI91" s="1">
        <v>20.0</v>
      </c>
      <c r="AJ91" s="1">
        <v>0.0</v>
      </c>
      <c r="AK91" s="1">
        <v>2.0</v>
      </c>
      <c r="AL91" s="1">
        <v>1.0</v>
      </c>
      <c r="AM91" s="1">
        <v>129.0</v>
      </c>
      <c r="AN91" s="1">
        <v>59.0</v>
      </c>
      <c r="AO91" s="1">
        <v>1.0</v>
      </c>
      <c r="AP91" s="1">
        <v>1.0</v>
      </c>
      <c r="AQ91" s="1">
        <v>6.0</v>
      </c>
      <c r="AR91" s="1">
        <v>15.0</v>
      </c>
      <c r="AS91" s="1">
        <v>0.0</v>
      </c>
    </row>
    <row r="92" hidden="1">
      <c r="A92" s="1">
        <v>167.0</v>
      </c>
      <c r="B92" s="1" t="s">
        <v>942</v>
      </c>
      <c r="C92" s="1" t="s">
        <v>943</v>
      </c>
      <c r="D92" s="1" t="s">
        <v>944</v>
      </c>
      <c r="E92" s="1" t="s">
        <v>43</v>
      </c>
      <c r="F92" s="2">
        <v>22425.0</v>
      </c>
      <c r="G92" s="1">
        <f t="shared" si="1"/>
        <v>65</v>
      </c>
      <c r="H92" s="1" t="s">
        <v>945</v>
      </c>
      <c r="I92" s="1" t="str">
        <f>IFERROR(__xludf.DUMMYFUNCTION("SPLIT(left(H92,len(H92)-1),""("")"),"Soissons ")</f>
        <v>Soissons </v>
      </c>
      <c r="J92" s="1" t="str">
        <f>IFERROR(__xludf.DUMMYFUNCTION("""COMPUTED_VALUE"""),"Aisne")</f>
        <v>Aisne</v>
      </c>
      <c r="K92" s="1" t="str">
        <f>IFERROR(__xludf.DUMMYFUNCTION("IF( COUNTA( IFERROR( FILTER('départements_edition'!$C$2:$C$102 , 'départements_edition'!$C$2:$C$102=J92 ) ) ) , ""Oui"" , ""Non"" )"),"Oui")</f>
        <v>Oui</v>
      </c>
      <c r="L92" s="1" t="str">
        <f t="shared" si="2"/>
        <v>France</v>
      </c>
      <c r="M92" s="1">
        <v>2.0</v>
      </c>
      <c r="N92" s="1" t="s">
        <v>185</v>
      </c>
      <c r="O92" s="1">
        <v>4.0</v>
      </c>
      <c r="P92" s="2">
        <v>42907.0</v>
      </c>
      <c r="R92" s="1">
        <v>0.0</v>
      </c>
      <c r="S92" s="1" t="s">
        <v>75</v>
      </c>
      <c r="T92" s="1" t="s">
        <v>76</v>
      </c>
      <c r="U92" s="1" t="s">
        <v>946</v>
      </c>
      <c r="X92" s="1" t="s">
        <v>151</v>
      </c>
      <c r="Y92" s="1">
        <v>565.0</v>
      </c>
      <c r="Z92" s="3" t="s">
        <v>947</v>
      </c>
      <c r="AA92" s="1">
        <v>718694.0</v>
      </c>
      <c r="AB92" s="1" t="s">
        <v>948</v>
      </c>
      <c r="AC92" s="3" t="s">
        <v>949</v>
      </c>
      <c r="AD92" s="3" t="s">
        <v>950</v>
      </c>
      <c r="AE92" s="1">
        <v>1.0</v>
      </c>
      <c r="AF92" s="1" t="s">
        <v>951</v>
      </c>
      <c r="AG92" s="1">
        <v>23.0</v>
      </c>
      <c r="AH92" s="1">
        <v>51.0</v>
      </c>
      <c r="AI92" s="1">
        <v>14.0</v>
      </c>
      <c r="AJ92" s="1">
        <v>16.0</v>
      </c>
      <c r="AK92" s="1">
        <v>3.0</v>
      </c>
      <c r="AL92" s="1">
        <v>0.0</v>
      </c>
      <c r="AM92" s="1">
        <v>54.0</v>
      </c>
      <c r="AN92" s="1">
        <v>25.0</v>
      </c>
      <c r="AO92" s="1">
        <v>0.0</v>
      </c>
      <c r="AP92" s="1">
        <v>0.0</v>
      </c>
      <c r="AQ92" s="1">
        <v>6.0</v>
      </c>
      <c r="AR92" s="1">
        <v>3.0</v>
      </c>
      <c r="AS92" s="1">
        <v>1.0</v>
      </c>
    </row>
    <row r="93" hidden="1">
      <c r="A93" s="1">
        <v>555.0</v>
      </c>
      <c r="B93" s="1" t="s">
        <v>952</v>
      </c>
      <c r="C93" s="1" t="s">
        <v>953</v>
      </c>
      <c r="D93" s="1" t="s">
        <v>954</v>
      </c>
      <c r="E93" s="1" t="s">
        <v>58</v>
      </c>
      <c r="F93" s="2">
        <v>19131.0</v>
      </c>
      <c r="G93" s="1">
        <f t="shared" si="1"/>
        <v>74</v>
      </c>
      <c r="H93" s="1" t="s">
        <v>955</v>
      </c>
      <c r="I93" s="1" t="str">
        <f>IFERROR(__xludf.DUMMYFUNCTION("SPLIT(left(H93,len(H93)-1),""("")"),"Béthune ")</f>
        <v>Béthune </v>
      </c>
      <c r="J93" s="1" t="str">
        <f>IFERROR(__xludf.DUMMYFUNCTION("""COMPUTED_VALUE"""),"Pas-de-Calais")</f>
        <v>Pas-de-Calais</v>
      </c>
      <c r="K93" s="1" t="str">
        <f>IFERROR(__xludf.DUMMYFUNCTION("IF( COUNTA( IFERROR( FILTER('départements_edition'!$C$2:$C$102 , 'départements_edition'!$C$2:$C$102=J93 ) ) ) , ""Oui"" , ""Non"" )"),"Oui")</f>
        <v>Oui</v>
      </c>
      <c r="L93" s="1" t="str">
        <f t="shared" si="2"/>
        <v>France</v>
      </c>
      <c r="M93" s="1">
        <v>62.0</v>
      </c>
      <c r="N93" s="1" t="s">
        <v>427</v>
      </c>
      <c r="O93" s="1">
        <v>9.0</v>
      </c>
      <c r="P93" s="2">
        <v>42907.0</v>
      </c>
      <c r="R93" s="1">
        <v>0.0</v>
      </c>
      <c r="S93" s="1" t="s">
        <v>280</v>
      </c>
      <c r="T93" s="1" t="s">
        <v>281</v>
      </c>
      <c r="U93" s="1" t="s">
        <v>956</v>
      </c>
      <c r="X93" s="1" t="s">
        <v>957</v>
      </c>
      <c r="Y93" s="1">
        <v>170.0</v>
      </c>
      <c r="Z93" s="3" t="s">
        <v>958</v>
      </c>
      <c r="AA93" s="1">
        <v>720598.0</v>
      </c>
      <c r="AB93" s="1" t="s">
        <v>959</v>
      </c>
      <c r="AC93" s="3" t="s">
        <v>960</v>
      </c>
      <c r="AD93" s="3" t="s">
        <v>961</v>
      </c>
      <c r="AE93" s="1">
        <v>1.0</v>
      </c>
      <c r="AF93" s="1" t="s">
        <v>962</v>
      </c>
      <c r="AG93" s="1">
        <v>23.0</v>
      </c>
      <c r="AH93" s="1">
        <v>53.0</v>
      </c>
      <c r="AI93" s="1">
        <v>24.0</v>
      </c>
      <c r="AJ93" s="1">
        <v>10.0</v>
      </c>
      <c r="AK93" s="1">
        <v>2.0</v>
      </c>
      <c r="AL93" s="1">
        <v>5.0</v>
      </c>
      <c r="AM93" s="1">
        <v>191.0</v>
      </c>
      <c r="AN93" s="1">
        <v>18.0</v>
      </c>
      <c r="AO93" s="1">
        <v>0.0</v>
      </c>
      <c r="AP93" s="1">
        <v>0.0</v>
      </c>
      <c r="AQ93" s="1">
        <v>5.0</v>
      </c>
      <c r="AR93" s="1">
        <v>9.0</v>
      </c>
      <c r="AS93" s="1">
        <v>3.0</v>
      </c>
    </row>
    <row r="94" hidden="1">
      <c r="A94" s="1">
        <v>367.0</v>
      </c>
      <c r="B94" s="1" t="s">
        <v>963</v>
      </c>
      <c r="C94" s="1" t="s">
        <v>964</v>
      </c>
      <c r="D94" s="1" t="s">
        <v>866</v>
      </c>
      <c r="E94" s="1" t="s">
        <v>43</v>
      </c>
      <c r="F94" s="2">
        <v>27560.0</v>
      </c>
      <c r="G94" s="1">
        <f t="shared" si="1"/>
        <v>51</v>
      </c>
      <c r="H94" s="1" t="s">
        <v>965</v>
      </c>
      <c r="I94" s="1" t="str">
        <f>IFERROR(__xludf.DUMMYFUNCTION("SPLIT(left(H94,len(H94)-1),""("")"),"Nanterre ")</f>
        <v>Nanterre </v>
      </c>
      <c r="J94" s="1" t="str">
        <f>IFERROR(__xludf.DUMMYFUNCTION("""COMPUTED_VALUE"""),"Hauts-de-Seine")</f>
        <v>Hauts-de-Seine</v>
      </c>
      <c r="K94" s="1" t="str">
        <f>IFERROR(__xludf.DUMMYFUNCTION("IF( COUNTA( IFERROR( FILTER('départements_edition'!$C$2:$C$102 , 'départements_edition'!$C$2:$C$102=J94 ) ) ) , ""Oui"" , ""Non"" )"),"Oui")</f>
        <v>Oui</v>
      </c>
      <c r="L94" s="1" t="str">
        <f t="shared" si="2"/>
        <v>France</v>
      </c>
      <c r="M94" s="1">
        <v>13.0</v>
      </c>
      <c r="N94" s="1" t="s">
        <v>279</v>
      </c>
      <c r="O94" s="1">
        <v>13.0</v>
      </c>
      <c r="P94" s="2">
        <v>42907.0</v>
      </c>
      <c r="R94" s="1">
        <v>0.0</v>
      </c>
      <c r="S94" s="1" t="s">
        <v>101</v>
      </c>
      <c r="T94" s="1" t="s">
        <v>102</v>
      </c>
      <c r="U94" s="1" t="s">
        <v>966</v>
      </c>
      <c r="X94" s="1" t="s">
        <v>967</v>
      </c>
      <c r="Y94" s="1">
        <v>592.0</v>
      </c>
      <c r="Z94" s="3" t="s">
        <v>968</v>
      </c>
      <c r="AA94" s="1">
        <v>718926.0</v>
      </c>
      <c r="AB94" s="1" t="s">
        <v>969</v>
      </c>
      <c r="AC94" s="3" t="s">
        <v>970</v>
      </c>
      <c r="AD94" s="3" t="s">
        <v>971</v>
      </c>
      <c r="AE94" s="1">
        <v>1.0</v>
      </c>
      <c r="AF94" s="1" t="s">
        <v>972</v>
      </c>
      <c r="AG94" s="1">
        <v>23.0</v>
      </c>
      <c r="AH94" s="1">
        <v>40.0</v>
      </c>
      <c r="AI94" s="1">
        <v>160.0</v>
      </c>
      <c r="AJ94" s="1">
        <v>280.0</v>
      </c>
      <c r="AK94" s="1">
        <v>101.0</v>
      </c>
      <c r="AL94" s="1">
        <v>317.0</v>
      </c>
      <c r="AM94" s="1">
        <v>668.0</v>
      </c>
      <c r="AN94" s="1">
        <v>22.0</v>
      </c>
      <c r="AO94" s="1">
        <v>1.0</v>
      </c>
      <c r="AP94" s="1">
        <v>2.0</v>
      </c>
      <c r="AQ94" s="1">
        <v>19.0</v>
      </c>
      <c r="AR94" s="1">
        <v>11.0</v>
      </c>
      <c r="AS94" s="1">
        <v>5.0</v>
      </c>
    </row>
    <row r="95" hidden="1">
      <c r="A95" s="1">
        <v>125.0</v>
      </c>
      <c r="B95" s="1" t="s">
        <v>973</v>
      </c>
      <c r="C95" s="1" t="s">
        <v>974</v>
      </c>
      <c r="D95" s="1" t="s">
        <v>717</v>
      </c>
      <c r="E95" s="1" t="s">
        <v>43</v>
      </c>
      <c r="F95" s="2">
        <v>31188.0</v>
      </c>
      <c r="G95" s="1">
        <f t="shared" si="1"/>
        <v>41</v>
      </c>
      <c r="H95" s="1" t="s">
        <v>975</v>
      </c>
      <c r="I95" s="1" t="str">
        <f>IFERROR(__xludf.DUMMYFUNCTION("SPLIT(left(H95,len(H95)-1),""("")"),"Saint-Quentin ")</f>
        <v>Saint-Quentin </v>
      </c>
      <c r="J95" s="1" t="str">
        <f>IFERROR(__xludf.DUMMYFUNCTION("""COMPUTED_VALUE"""),"Aisne")</f>
        <v>Aisne</v>
      </c>
      <c r="K95" s="1" t="str">
        <f>IFERROR(__xludf.DUMMYFUNCTION("IF( COUNTA( IFERROR( FILTER('départements_edition'!$C$2:$C$102 , 'départements_edition'!$C$2:$C$102=J95 ) ) ) , ""Oui"" , ""Non"" )"),"Oui")</f>
        <v>Oui</v>
      </c>
      <c r="L95" s="1" t="str">
        <f t="shared" si="2"/>
        <v>France</v>
      </c>
      <c r="M95" s="1">
        <v>2.0</v>
      </c>
      <c r="N95" s="1" t="s">
        <v>185</v>
      </c>
      <c r="O95" s="1">
        <v>2.0</v>
      </c>
      <c r="P95" s="2">
        <v>42907.0</v>
      </c>
      <c r="R95" s="1">
        <v>0.0</v>
      </c>
      <c r="S95" s="1" t="s">
        <v>61</v>
      </c>
      <c r="T95" s="1" t="s">
        <v>62</v>
      </c>
      <c r="U95" s="1" t="s">
        <v>976</v>
      </c>
      <c r="X95" s="1" t="s">
        <v>977</v>
      </c>
      <c r="Y95" s="1">
        <v>53.0</v>
      </c>
      <c r="Z95" s="3" t="s">
        <v>978</v>
      </c>
      <c r="AA95" s="1">
        <v>712015.0</v>
      </c>
      <c r="AB95" s="1" t="s">
        <v>979</v>
      </c>
      <c r="AC95" s="3" t="s">
        <v>980</v>
      </c>
      <c r="AD95" s="3" t="s">
        <v>981</v>
      </c>
      <c r="AE95" s="1">
        <v>2.0</v>
      </c>
      <c r="AF95" s="1" t="s">
        <v>982</v>
      </c>
      <c r="AG95" s="1">
        <v>23.0</v>
      </c>
      <c r="AH95" s="1">
        <v>41.0</v>
      </c>
      <c r="AI95" s="1">
        <v>40.0</v>
      </c>
      <c r="AJ95" s="1">
        <v>71.0</v>
      </c>
      <c r="AK95" s="1">
        <v>47.0</v>
      </c>
      <c r="AL95" s="1">
        <v>132.0</v>
      </c>
      <c r="AM95" s="1">
        <v>1332.0</v>
      </c>
      <c r="AN95" s="1">
        <v>44.0</v>
      </c>
      <c r="AO95" s="1">
        <v>0.0</v>
      </c>
      <c r="AP95" s="1">
        <v>3.0</v>
      </c>
      <c r="AQ95" s="1">
        <v>70.0</v>
      </c>
      <c r="AR95" s="1">
        <v>34.0</v>
      </c>
      <c r="AS95" s="1">
        <v>2.0</v>
      </c>
    </row>
    <row r="96" hidden="1">
      <c r="A96" s="1">
        <v>166.0</v>
      </c>
      <c r="B96" s="1" t="s">
        <v>983</v>
      </c>
      <c r="C96" s="1" t="s">
        <v>984</v>
      </c>
      <c r="D96" s="1" t="s">
        <v>380</v>
      </c>
      <c r="E96" s="1" t="s">
        <v>58</v>
      </c>
      <c r="F96" s="2">
        <v>28153.0</v>
      </c>
      <c r="G96" s="1">
        <f t="shared" si="1"/>
        <v>49</v>
      </c>
      <c r="H96" s="1" t="s">
        <v>791</v>
      </c>
      <c r="I96" s="1" t="str">
        <f>IFERROR(__xludf.DUMMYFUNCTION("SPLIT(left(H96,len(H96)-1),""("")"),"VERDUN ")</f>
        <v>VERDUN </v>
      </c>
      <c r="J96" s="1" t="str">
        <f>IFERROR(__xludf.DUMMYFUNCTION("""COMPUTED_VALUE"""),"Meuse")</f>
        <v>Meuse</v>
      </c>
      <c r="K96" s="1" t="str">
        <f>IFERROR(__xludf.DUMMYFUNCTION("IF( COUNTA( IFERROR( FILTER('départements_edition'!$C$2:$C$102 , 'départements_edition'!$C$2:$C$102=J96 ) ) ) , ""Oui"" , ""Non"" )"),"Oui")</f>
        <v>Oui</v>
      </c>
      <c r="L96" s="1" t="str">
        <f t="shared" si="2"/>
        <v>France</v>
      </c>
      <c r="M96" s="1">
        <v>54.0</v>
      </c>
      <c r="N96" s="1" t="s">
        <v>160</v>
      </c>
      <c r="O96" s="1">
        <v>6.0</v>
      </c>
      <c r="P96" s="2">
        <v>42907.0</v>
      </c>
      <c r="R96" s="1">
        <v>0.0</v>
      </c>
      <c r="S96" s="1" t="s">
        <v>173</v>
      </c>
      <c r="T96" s="1" t="s">
        <v>174</v>
      </c>
      <c r="U96" s="1" t="s">
        <v>985</v>
      </c>
      <c r="X96" s="1" t="s">
        <v>986</v>
      </c>
      <c r="Y96" s="1">
        <v>602.0</v>
      </c>
      <c r="Z96" s="3" t="s">
        <v>987</v>
      </c>
      <c r="AA96" s="1">
        <v>720286.0</v>
      </c>
      <c r="AB96" s="1" t="s">
        <v>988</v>
      </c>
      <c r="AC96" s="3" t="s">
        <v>989</v>
      </c>
      <c r="AD96" s="3" t="s">
        <v>990</v>
      </c>
      <c r="AE96" s="1">
        <v>1.0</v>
      </c>
      <c r="AF96" s="1" t="s">
        <v>991</v>
      </c>
      <c r="AG96" s="1">
        <v>23.0</v>
      </c>
      <c r="AH96" s="1">
        <v>29.0</v>
      </c>
      <c r="AI96" s="1">
        <v>99.0</v>
      </c>
      <c r="AJ96" s="1">
        <v>189.0</v>
      </c>
      <c r="AK96" s="1">
        <v>256.0</v>
      </c>
      <c r="AL96" s="1">
        <v>120.0</v>
      </c>
      <c r="AM96" s="1">
        <v>2065.0</v>
      </c>
      <c r="AN96" s="1">
        <v>32.0</v>
      </c>
      <c r="AO96" s="1">
        <v>1.0</v>
      </c>
      <c r="AP96" s="1">
        <v>1.0</v>
      </c>
      <c r="AQ96" s="1">
        <v>15.0</v>
      </c>
      <c r="AR96" s="1">
        <v>12.0</v>
      </c>
      <c r="AS96" s="1">
        <v>4.0</v>
      </c>
    </row>
    <row r="97" hidden="1">
      <c r="A97" s="1">
        <v>108.0</v>
      </c>
      <c r="B97" s="1" t="s">
        <v>992</v>
      </c>
      <c r="C97" s="1" t="s">
        <v>993</v>
      </c>
      <c r="D97" s="1" t="s">
        <v>994</v>
      </c>
      <c r="E97" s="1" t="s">
        <v>58</v>
      </c>
      <c r="F97" s="2">
        <v>24686.0</v>
      </c>
      <c r="G97" s="1">
        <f t="shared" si="1"/>
        <v>59</v>
      </c>
      <c r="H97" s="1" t="s">
        <v>171</v>
      </c>
      <c r="I97" s="1" t="str">
        <f>IFERROR(__xludf.DUMMYFUNCTION("SPLIT(left(H97,len(H97)-1),""("")"),"Arras ")</f>
        <v>Arras </v>
      </c>
      <c r="J97" s="1" t="str">
        <f>IFERROR(__xludf.DUMMYFUNCTION("""COMPUTED_VALUE"""),"Pas-de-Calais")</f>
        <v>Pas-de-Calais</v>
      </c>
      <c r="K97" s="1" t="str">
        <f>IFERROR(__xludf.DUMMYFUNCTION("IF( COUNTA( IFERROR( FILTER('départements_edition'!$C$2:$C$102 , 'départements_edition'!$C$2:$C$102=J97 ) ) ) , ""Oui"" , ""Non"" )"),"Oui")</f>
        <v>Oui</v>
      </c>
      <c r="L97" s="1" t="str">
        <f t="shared" si="2"/>
        <v>France</v>
      </c>
      <c r="M97" s="1">
        <v>92.0</v>
      </c>
      <c r="N97" s="1" t="s">
        <v>781</v>
      </c>
      <c r="O97" s="1">
        <v>4.0</v>
      </c>
      <c r="P97" s="2">
        <v>42907.0</v>
      </c>
      <c r="R97" s="1">
        <v>0.0</v>
      </c>
      <c r="S97" s="1" t="s">
        <v>280</v>
      </c>
      <c r="T97" s="1" t="s">
        <v>281</v>
      </c>
      <c r="U97" s="1" t="s">
        <v>995</v>
      </c>
      <c r="X97" s="1" t="s">
        <v>118</v>
      </c>
      <c r="Y97" s="1">
        <v>177.0</v>
      </c>
      <c r="Z97" s="3" t="s">
        <v>996</v>
      </c>
      <c r="AA97" s="1">
        <v>721742.0</v>
      </c>
      <c r="AB97" s="1" t="s">
        <v>997</v>
      </c>
      <c r="AC97" s="3" t="s">
        <v>998</v>
      </c>
      <c r="AD97" s="3" t="s">
        <v>999</v>
      </c>
      <c r="AE97" s="1">
        <v>2.0</v>
      </c>
      <c r="AF97" s="1" t="s">
        <v>1000</v>
      </c>
      <c r="AG97" s="1">
        <v>23.0</v>
      </c>
      <c r="AH97" s="1">
        <v>39.0</v>
      </c>
      <c r="AI97" s="1">
        <v>24.0</v>
      </c>
      <c r="AJ97" s="1">
        <v>40.0</v>
      </c>
      <c r="AK97" s="1">
        <v>8.0</v>
      </c>
      <c r="AL97" s="1">
        <v>11.0</v>
      </c>
      <c r="AM97" s="1">
        <v>263.0</v>
      </c>
      <c r="AN97" s="1">
        <v>33.0</v>
      </c>
      <c r="AO97" s="1">
        <v>2.0</v>
      </c>
      <c r="AP97" s="1">
        <v>0.0</v>
      </c>
      <c r="AQ97" s="1">
        <v>5.0</v>
      </c>
      <c r="AR97" s="1">
        <v>1.0</v>
      </c>
      <c r="AS97" s="1">
        <v>2.0</v>
      </c>
    </row>
    <row r="98" hidden="1">
      <c r="A98" s="1">
        <v>145.0</v>
      </c>
      <c r="B98" s="1" t="s">
        <v>1001</v>
      </c>
      <c r="C98" s="1" t="s">
        <v>1002</v>
      </c>
      <c r="D98" s="1" t="s">
        <v>1003</v>
      </c>
      <c r="E98" s="1" t="s">
        <v>43</v>
      </c>
      <c r="F98" s="2">
        <v>21837.0</v>
      </c>
      <c r="G98" s="1">
        <f t="shared" si="1"/>
        <v>66</v>
      </c>
      <c r="H98" s="1" t="s">
        <v>1004</v>
      </c>
      <c r="I98" s="1" t="str">
        <f>IFERROR(__xludf.DUMMYFUNCTION("SPLIT(left(H98,len(H98)-1),""("")"),"Gap ")</f>
        <v>Gap </v>
      </c>
      <c r="J98" s="1" t="str">
        <f>IFERROR(__xludf.DUMMYFUNCTION("""COMPUTED_VALUE"""),"Hautes-Alpes")</f>
        <v>Hautes-Alpes</v>
      </c>
      <c r="K98" s="1" t="str">
        <f>IFERROR(__xludf.DUMMYFUNCTION("IF( COUNTA( IFERROR( FILTER('départements_edition'!$C$2:$C$102 , 'départements_edition'!$C$2:$C$102=J98 ) ) ) , ""Oui"" , ""Non"" )"),"Oui")</f>
        <v>Oui</v>
      </c>
      <c r="L98" s="1" t="str">
        <f t="shared" si="2"/>
        <v>France</v>
      </c>
      <c r="M98" s="1">
        <v>5.0</v>
      </c>
      <c r="N98" s="1" t="s">
        <v>1005</v>
      </c>
      <c r="O98" s="1">
        <v>2.0</v>
      </c>
      <c r="P98" s="2">
        <v>42907.0</v>
      </c>
      <c r="R98" s="1">
        <v>0.0</v>
      </c>
      <c r="S98" s="1" t="s">
        <v>75</v>
      </c>
      <c r="T98" s="1" t="s">
        <v>76</v>
      </c>
      <c r="U98" s="1" t="s">
        <v>1006</v>
      </c>
      <c r="X98" s="1" t="s">
        <v>1007</v>
      </c>
      <c r="Y98" s="1">
        <v>410.0</v>
      </c>
      <c r="Z98" s="3" t="s">
        <v>1008</v>
      </c>
      <c r="AA98" s="1">
        <v>267336.0</v>
      </c>
      <c r="AB98" s="1" t="s">
        <v>1009</v>
      </c>
      <c r="AC98" s="3" t="s">
        <v>1010</v>
      </c>
      <c r="AD98" s="3" t="s">
        <v>1011</v>
      </c>
      <c r="AE98" s="1">
        <v>1.0</v>
      </c>
      <c r="AF98" s="1" t="s">
        <v>1012</v>
      </c>
      <c r="AG98" s="1">
        <v>23.0</v>
      </c>
      <c r="AH98" s="1">
        <v>62.0</v>
      </c>
      <c r="AI98" s="1">
        <v>993.0</v>
      </c>
      <c r="AJ98" s="1">
        <v>896.0</v>
      </c>
      <c r="AK98" s="1">
        <v>584.0</v>
      </c>
      <c r="AL98" s="1">
        <v>456.0</v>
      </c>
      <c r="AM98" s="1">
        <v>745.0</v>
      </c>
      <c r="AN98" s="1">
        <v>631.0</v>
      </c>
      <c r="AO98" s="1">
        <v>21.0</v>
      </c>
      <c r="AP98" s="1">
        <v>0.0</v>
      </c>
      <c r="AQ98" s="1">
        <v>7.0</v>
      </c>
      <c r="AR98" s="1">
        <v>21.0</v>
      </c>
      <c r="AS98" s="1">
        <v>0.0</v>
      </c>
    </row>
    <row r="99" hidden="1">
      <c r="A99" s="1">
        <v>492.0</v>
      </c>
      <c r="B99" s="1" t="s">
        <v>1013</v>
      </c>
      <c r="C99" s="1" t="s">
        <v>1014</v>
      </c>
      <c r="D99" s="1" t="s">
        <v>1015</v>
      </c>
      <c r="E99" s="1" t="s">
        <v>58</v>
      </c>
      <c r="F99" s="2">
        <v>28568.0</v>
      </c>
      <c r="G99" s="1">
        <f t="shared" si="1"/>
        <v>48</v>
      </c>
      <c r="H99" s="1" t="s">
        <v>1016</v>
      </c>
      <c r="I99" s="1" t="str">
        <f>IFERROR(__xludf.DUMMYFUNCTION("SPLIT(left(H99,len(H99)-1),""("")"),"Nevers ")</f>
        <v>Nevers </v>
      </c>
      <c r="J99" s="1" t="str">
        <f>IFERROR(__xludf.DUMMYFUNCTION("""COMPUTED_VALUE"""),"Nièvre")</f>
        <v>Nièvre</v>
      </c>
      <c r="K99" s="1" t="str">
        <f>IFERROR(__xludf.DUMMYFUNCTION("IF( COUNTA( IFERROR( FILTER('départements_edition'!$C$2:$C$102 , 'départements_edition'!$C$2:$C$102=J99 ) ) ) , ""Oui"" , ""Non"" )"),"Oui")</f>
        <v>Oui</v>
      </c>
      <c r="L99" s="1" t="str">
        <f t="shared" si="2"/>
        <v>France</v>
      </c>
      <c r="M99" s="1">
        <v>58.0</v>
      </c>
      <c r="N99" s="1" t="s">
        <v>1017</v>
      </c>
      <c r="O99" s="1">
        <v>1.0</v>
      </c>
      <c r="P99" s="2">
        <v>42907.0</v>
      </c>
      <c r="R99" s="1">
        <v>0.0</v>
      </c>
      <c r="S99" s="1" t="s">
        <v>75</v>
      </c>
      <c r="T99" s="1" t="s">
        <v>76</v>
      </c>
      <c r="U99" s="1" t="s">
        <v>1018</v>
      </c>
      <c r="X99" s="1" t="s">
        <v>162</v>
      </c>
      <c r="Y99" s="1">
        <v>460.0</v>
      </c>
      <c r="Z99" s="3" t="s">
        <v>1019</v>
      </c>
      <c r="AA99" s="1">
        <v>720560.0</v>
      </c>
      <c r="AB99" s="1" t="s">
        <v>1020</v>
      </c>
      <c r="AC99" s="3" t="s">
        <v>1021</v>
      </c>
      <c r="AD99" s="3" t="s">
        <v>1022</v>
      </c>
      <c r="AE99" s="1">
        <v>1.0</v>
      </c>
      <c r="AF99" s="1" t="s">
        <v>1023</v>
      </c>
      <c r="AG99" s="1">
        <v>23.0</v>
      </c>
      <c r="AH99" s="1">
        <v>60.0</v>
      </c>
      <c r="AI99" s="1">
        <v>18.0</v>
      </c>
      <c r="AJ99" s="1">
        <v>42.0</v>
      </c>
      <c r="AK99" s="1">
        <v>9.0</v>
      </c>
      <c r="AL99" s="1">
        <v>6.0</v>
      </c>
      <c r="AM99" s="1">
        <v>179.0</v>
      </c>
      <c r="AN99" s="1">
        <v>110.0</v>
      </c>
      <c r="AO99" s="1">
        <v>1.0</v>
      </c>
      <c r="AP99" s="1">
        <v>0.0</v>
      </c>
      <c r="AQ99" s="1">
        <v>5.0</v>
      </c>
      <c r="AR99" s="1">
        <v>18.0</v>
      </c>
      <c r="AS99" s="1">
        <v>3.0</v>
      </c>
    </row>
    <row r="100" hidden="1">
      <c r="A100" s="1">
        <v>75.0</v>
      </c>
      <c r="B100" s="1" t="s">
        <v>1024</v>
      </c>
      <c r="C100" s="1" t="s">
        <v>1025</v>
      </c>
      <c r="D100" s="1" t="s">
        <v>767</v>
      </c>
      <c r="E100" s="1" t="s">
        <v>58</v>
      </c>
      <c r="F100" s="2">
        <v>30454.0</v>
      </c>
      <c r="G100" s="1">
        <f t="shared" si="1"/>
        <v>43</v>
      </c>
      <c r="H100" s="1" t="s">
        <v>1026</v>
      </c>
      <c r="I100" s="1" t="str">
        <f>IFERROR(__xludf.DUMMYFUNCTION("SPLIT(left(H100,len(H100)-1),""("")"),"Suresnes ")</f>
        <v>Suresnes </v>
      </c>
      <c r="J100" s="1" t="str">
        <f>IFERROR(__xludf.DUMMYFUNCTION("""COMPUTED_VALUE"""),"Hauts-de-Seine")</f>
        <v>Hauts-de-Seine</v>
      </c>
      <c r="K100" s="1" t="str">
        <f>IFERROR(__xludf.DUMMYFUNCTION("IF( COUNTA( IFERROR( FILTER('départements_edition'!$C$2:$C$102 , 'départements_edition'!$C$2:$C$102=J100 ) ) ) , ""Oui"" , ""Non"" )"),"Oui")</f>
        <v>Oui</v>
      </c>
      <c r="L100" s="1" t="str">
        <f t="shared" si="2"/>
        <v>France</v>
      </c>
      <c r="M100" s="1">
        <v>54.0</v>
      </c>
      <c r="N100" s="1" t="s">
        <v>160</v>
      </c>
      <c r="O100" s="1">
        <v>1.0</v>
      </c>
      <c r="P100" s="2">
        <v>42907.0</v>
      </c>
      <c r="R100" s="1">
        <v>0.0</v>
      </c>
      <c r="S100" s="1" t="s">
        <v>75</v>
      </c>
      <c r="T100" s="1" t="s">
        <v>76</v>
      </c>
      <c r="U100" s="1" t="s">
        <v>1027</v>
      </c>
      <c r="X100" s="1" t="s">
        <v>234</v>
      </c>
      <c r="Y100" s="1">
        <v>378.0</v>
      </c>
      <c r="Z100" s="3" t="s">
        <v>1028</v>
      </c>
      <c r="AA100" s="1">
        <v>720170.0</v>
      </c>
      <c r="AB100" s="1" t="s">
        <v>1029</v>
      </c>
      <c r="AC100" s="3" t="s">
        <v>1030</v>
      </c>
      <c r="AD100" s="3" t="s">
        <v>1031</v>
      </c>
      <c r="AE100" s="1">
        <v>1.0</v>
      </c>
      <c r="AF100" s="1" t="s">
        <v>1032</v>
      </c>
      <c r="AG100" s="1">
        <v>23.0</v>
      </c>
      <c r="AH100" s="1">
        <v>55.0</v>
      </c>
      <c r="AI100" s="1">
        <v>19.0</v>
      </c>
      <c r="AJ100" s="1">
        <v>27.0</v>
      </c>
      <c r="AK100" s="1">
        <v>6.0</v>
      </c>
      <c r="AL100" s="1">
        <v>2.0</v>
      </c>
      <c r="AM100" s="1">
        <v>127.0</v>
      </c>
      <c r="AN100" s="1">
        <v>59.0</v>
      </c>
      <c r="AO100" s="1">
        <v>0.0</v>
      </c>
      <c r="AP100" s="1">
        <v>0.0</v>
      </c>
      <c r="AQ100" s="1">
        <v>7.0</v>
      </c>
      <c r="AR100" s="1">
        <v>16.0</v>
      </c>
      <c r="AS100" s="1">
        <v>1.0</v>
      </c>
    </row>
    <row r="101" hidden="1">
      <c r="A101" s="1">
        <v>374.0</v>
      </c>
      <c r="B101" s="1" t="s">
        <v>1033</v>
      </c>
      <c r="C101" s="1" t="s">
        <v>1034</v>
      </c>
      <c r="D101" s="1" t="s">
        <v>1035</v>
      </c>
      <c r="E101" s="1" t="s">
        <v>58</v>
      </c>
      <c r="F101" s="2">
        <v>22783.0</v>
      </c>
      <c r="G101" s="1">
        <f t="shared" si="1"/>
        <v>64</v>
      </c>
      <c r="H101" s="1" t="s">
        <v>965</v>
      </c>
      <c r="I101" s="1" t="str">
        <f>IFERROR(__xludf.DUMMYFUNCTION("SPLIT(left(H101,len(H101)-1),""("")"),"Nanterre ")</f>
        <v>Nanterre </v>
      </c>
      <c r="J101" s="1" t="str">
        <f>IFERROR(__xludf.DUMMYFUNCTION("""COMPUTED_VALUE"""),"Hauts-de-Seine")</f>
        <v>Hauts-de-Seine</v>
      </c>
      <c r="K101" s="1" t="str">
        <f>IFERROR(__xludf.DUMMYFUNCTION("IF( COUNTA( IFERROR( FILTER('départements_edition'!$C$2:$C$102 , 'départements_edition'!$C$2:$C$102=J101 ) ) ) , ""Oui"" , ""Non"" )"),"Oui")</f>
        <v>Oui</v>
      </c>
      <c r="L101" s="1" t="str">
        <f t="shared" si="2"/>
        <v>France</v>
      </c>
      <c r="M101" s="1">
        <v>78.0</v>
      </c>
      <c r="N101" s="1" t="s">
        <v>74</v>
      </c>
      <c r="O101" s="1">
        <v>12.0</v>
      </c>
      <c r="P101" s="2">
        <v>42907.0</v>
      </c>
      <c r="R101" s="1">
        <v>0.0</v>
      </c>
      <c r="S101" s="1" t="s">
        <v>75</v>
      </c>
      <c r="T101" s="1" t="s">
        <v>76</v>
      </c>
      <c r="U101" s="1" t="s">
        <v>1036</v>
      </c>
      <c r="X101" s="1" t="s">
        <v>1037</v>
      </c>
      <c r="Y101" s="1">
        <v>636.0</v>
      </c>
      <c r="Z101" s="3" t="s">
        <v>1038</v>
      </c>
      <c r="AA101" s="1">
        <v>722062.0</v>
      </c>
      <c r="AB101" s="1" t="s">
        <v>1039</v>
      </c>
      <c r="AC101" s="3" t="s">
        <v>1040</v>
      </c>
      <c r="AD101" s="3" t="s">
        <v>1041</v>
      </c>
      <c r="AE101" s="1">
        <v>1.0</v>
      </c>
      <c r="AF101" s="1" t="s">
        <v>1042</v>
      </c>
      <c r="AG101" s="1">
        <v>23.0</v>
      </c>
      <c r="AH101" s="1">
        <v>42.0</v>
      </c>
      <c r="AI101" s="1">
        <v>7.0</v>
      </c>
      <c r="AJ101" s="1">
        <v>5.0</v>
      </c>
      <c r="AK101" s="1">
        <v>2.0</v>
      </c>
      <c r="AL101" s="1">
        <v>0.0</v>
      </c>
      <c r="AM101" s="1">
        <v>64.0</v>
      </c>
      <c r="AN101" s="1">
        <v>27.0</v>
      </c>
      <c r="AO101" s="1">
        <v>0.0</v>
      </c>
      <c r="AP101" s="1">
        <v>0.0</v>
      </c>
      <c r="AQ101" s="1">
        <v>6.0</v>
      </c>
      <c r="AR101" s="1">
        <v>9.0</v>
      </c>
      <c r="AS101" s="1">
        <v>0.0</v>
      </c>
    </row>
    <row r="102" hidden="1">
      <c r="A102" s="1">
        <v>2.0</v>
      </c>
      <c r="B102" s="1" t="s">
        <v>1043</v>
      </c>
      <c r="C102" s="1" t="s">
        <v>1044</v>
      </c>
      <c r="D102" s="1" t="s">
        <v>1045</v>
      </c>
      <c r="E102" s="1" t="s">
        <v>58</v>
      </c>
      <c r="F102" s="2">
        <v>29288.0</v>
      </c>
      <c r="G102" s="1">
        <f t="shared" si="1"/>
        <v>46</v>
      </c>
      <c r="H102" s="1" t="s">
        <v>1046</v>
      </c>
      <c r="I102" s="1" t="str">
        <f>IFERROR(__xludf.DUMMYFUNCTION("SPLIT(left(H102,len(H102)-1),""("")"),"Trappes ")</f>
        <v>Trappes </v>
      </c>
      <c r="J102" s="1" t="str">
        <f>IFERROR(__xludf.DUMMYFUNCTION("""COMPUTED_VALUE"""),"Yvelines")</f>
        <v>Yvelines</v>
      </c>
      <c r="K102" s="1" t="str">
        <f>IFERROR(__xludf.DUMMYFUNCTION("IF( COUNTA( IFERROR( FILTER('départements_edition'!$C$2:$C$102 , 'départements_edition'!$C$2:$C$102=J102 ) ) ) , ""Oui"" , ""Non"" )"),"Oui")</f>
        <v>Oui</v>
      </c>
      <c r="L102" s="1" t="str">
        <f t="shared" si="2"/>
        <v>France</v>
      </c>
      <c r="M102" s="1">
        <v>78.0</v>
      </c>
      <c r="N102" s="1" t="s">
        <v>74</v>
      </c>
      <c r="O102" s="1">
        <v>11.0</v>
      </c>
      <c r="P102" s="2">
        <v>42907.0</v>
      </c>
      <c r="R102" s="1">
        <v>0.0</v>
      </c>
      <c r="S102" s="1" t="s">
        <v>75</v>
      </c>
      <c r="T102" s="1" t="s">
        <v>76</v>
      </c>
      <c r="U102" s="1" t="s">
        <v>1047</v>
      </c>
      <c r="X102" s="1" t="s">
        <v>162</v>
      </c>
      <c r="Y102" s="1">
        <v>349.0</v>
      </c>
      <c r="Z102" s="3" t="s">
        <v>1048</v>
      </c>
      <c r="AA102" s="1">
        <v>722054.0</v>
      </c>
      <c r="AB102" s="1" t="s">
        <v>1049</v>
      </c>
      <c r="AC102" s="3" t="s">
        <v>1050</v>
      </c>
      <c r="AD102" s="3" t="s">
        <v>1051</v>
      </c>
      <c r="AE102" s="1">
        <v>1.0</v>
      </c>
      <c r="AF102" s="1" t="s">
        <v>1052</v>
      </c>
      <c r="AG102" s="1">
        <v>23.0</v>
      </c>
      <c r="AH102" s="1">
        <v>60.0</v>
      </c>
      <c r="AI102" s="1">
        <v>22.0</v>
      </c>
      <c r="AJ102" s="1">
        <v>38.0</v>
      </c>
      <c r="AK102" s="1">
        <v>47.0</v>
      </c>
      <c r="AL102" s="1">
        <v>6.0</v>
      </c>
      <c r="AM102" s="1">
        <v>174.0</v>
      </c>
      <c r="AN102" s="1">
        <v>114.0</v>
      </c>
      <c r="AO102" s="1">
        <v>2.0</v>
      </c>
      <c r="AP102" s="1">
        <v>0.0</v>
      </c>
      <c r="AQ102" s="1">
        <v>5.0</v>
      </c>
      <c r="AR102" s="1">
        <v>0.0</v>
      </c>
      <c r="AS102" s="1">
        <v>1.0</v>
      </c>
    </row>
    <row r="103" hidden="1">
      <c r="A103" s="1">
        <v>55.0</v>
      </c>
      <c r="B103" s="1" t="s">
        <v>1063</v>
      </c>
      <c r="C103" s="1" t="s">
        <v>1064</v>
      </c>
      <c r="D103" s="1" t="s">
        <v>1065</v>
      </c>
      <c r="E103" s="1" t="s">
        <v>43</v>
      </c>
      <c r="F103" s="2">
        <v>21888.0</v>
      </c>
      <c r="G103" s="1">
        <f t="shared" si="1"/>
        <v>66</v>
      </c>
      <c r="H103" s="1" t="s">
        <v>1066</v>
      </c>
      <c r="I103" s="1" t="str">
        <f>IFERROR(__xludf.DUMMYFUNCTION("SPLIT(left(H103,len(H103)-1),""("")"),"Rozay-en-Brie ")</f>
        <v>Rozay-en-Brie </v>
      </c>
      <c r="J103" s="1" t="str">
        <f>IFERROR(__xludf.DUMMYFUNCTION("""COMPUTED_VALUE"""),"Seine-et-Marne")</f>
        <v>Seine-et-Marne</v>
      </c>
      <c r="K103" s="1" t="str">
        <f>IFERROR(__xludf.DUMMYFUNCTION("IF( COUNTA( IFERROR( FILTER('départements_edition'!$C$2:$C$102 , 'départements_edition'!$C$2:$C$102=J103 ) ) ) , ""Oui"" , ""Non"" )"),"Oui")</f>
        <v>Oui</v>
      </c>
      <c r="L103" s="1" t="str">
        <f t="shared" si="2"/>
        <v>France</v>
      </c>
      <c r="M103" s="1">
        <v>77.0</v>
      </c>
      <c r="N103" s="1" t="s">
        <v>503</v>
      </c>
      <c r="O103" s="1">
        <v>4.0</v>
      </c>
      <c r="P103" s="2">
        <v>42907.0</v>
      </c>
      <c r="R103" s="1">
        <v>0.0</v>
      </c>
      <c r="S103" s="1" t="s">
        <v>61</v>
      </c>
      <c r="T103" s="1" t="s">
        <v>62</v>
      </c>
      <c r="X103" s="1" t="s">
        <v>1067</v>
      </c>
      <c r="Y103" s="1">
        <v>94.0</v>
      </c>
      <c r="Z103" s="3" t="s">
        <v>1068</v>
      </c>
      <c r="AA103" s="1">
        <v>1695.0</v>
      </c>
      <c r="AB103" s="1" t="s">
        <v>1069</v>
      </c>
      <c r="AC103" s="3" t="s">
        <v>1070</v>
      </c>
      <c r="AD103" s="3" t="s">
        <v>1071</v>
      </c>
      <c r="AE103" s="1">
        <v>1.0</v>
      </c>
      <c r="AG103" s="1">
        <v>23.0</v>
      </c>
      <c r="AH103" s="1">
        <v>21.0</v>
      </c>
      <c r="AI103" s="1">
        <v>2.0</v>
      </c>
      <c r="AJ103" s="1">
        <v>136.0</v>
      </c>
      <c r="AK103" s="1">
        <v>296.0</v>
      </c>
      <c r="AL103" s="1">
        <v>6.0</v>
      </c>
      <c r="AM103" s="1">
        <v>205.0</v>
      </c>
      <c r="AN103" s="1">
        <v>12.0</v>
      </c>
      <c r="AO103" s="1">
        <v>0.0</v>
      </c>
      <c r="AP103" s="1">
        <v>1.0</v>
      </c>
      <c r="AQ103" s="1">
        <v>3.0</v>
      </c>
      <c r="AR103" s="1">
        <v>0.0</v>
      </c>
      <c r="AS103" s="1">
        <v>2.0</v>
      </c>
    </row>
    <row r="104" hidden="1">
      <c r="A104" s="1">
        <v>205.0</v>
      </c>
      <c r="B104" s="1" t="s">
        <v>1072</v>
      </c>
      <c r="C104" s="1" t="s">
        <v>1073</v>
      </c>
      <c r="D104" s="1" t="s">
        <v>1074</v>
      </c>
      <c r="E104" s="1" t="s">
        <v>58</v>
      </c>
      <c r="F104" s="2">
        <v>28595.0</v>
      </c>
      <c r="G104" s="1">
        <f t="shared" si="1"/>
        <v>48</v>
      </c>
      <c r="H104" s="1" t="s">
        <v>1075</v>
      </c>
      <c r="I104" s="1" t="str">
        <f>IFERROR(__xludf.DUMMYFUNCTION("SPLIT(left(H104,len(H104)-1),""("")"),"Grenoble ")</f>
        <v>Grenoble </v>
      </c>
      <c r="J104" s="1" t="str">
        <f>IFERROR(__xludf.DUMMYFUNCTION("""COMPUTED_VALUE"""),"Isère")</f>
        <v>Isère</v>
      </c>
      <c r="K104" s="1" t="str">
        <f>IFERROR(__xludf.DUMMYFUNCTION("IF( COUNTA( IFERROR( FILTER('départements_edition'!$C$2:$C$102 , 'départements_edition'!$C$2:$C$102=J104 ) ) ) , ""Oui"" , ""Non"" )"),"Oui")</f>
        <v>Oui</v>
      </c>
      <c r="L104" s="1" t="str">
        <f t="shared" si="2"/>
        <v>France</v>
      </c>
      <c r="M104" s="1">
        <v>38.0</v>
      </c>
      <c r="N104" s="1" t="s">
        <v>267</v>
      </c>
      <c r="O104" s="1">
        <v>9.0</v>
      </c>
      <c r="P104" s="2">
        <v>42907.0</v>
      </c>
      <c r="R104" s="1">
        <v>0.0</v>
      </c>
      <c r="S104" s="1" t="s">
        <v>280</v>
      </c>
      <c r="T104" s="1" t="s">
        <v>281</v>
      </c>
      <c r="U104" s="1" t="s">
        <v>1076</v>
      </c>
      <c r="X104" s="1" t="s">
        <v>234</v>
      </c>
      <c r="Y104" s="1">
        <v>185.0</v>
      </c>
      <c r="Z104" s="3" t="s">
        <v>1077</v>
      </c>
      <c r="AA104" s="1">
        <v>719874.0</v>
      </c>
      <c r="AB104" s="1" t="s">
        <v>1078</v>
      </c>
      <c r="AC104" s="3" t="s">
        <v>1079</v>
      </c>
      <c r="AD104" s="3" t="s">
        <v>1080</v>
      </c>
      <c r="AE104" s="1">
        <v>1.0</v>
      </c>
      <c r="AF104" s="1" t="s">
        <v>1081</v>
      </c>
      <c r="AG104" s="1">
        <v>23.0</v>
      </c>
      <c r="AH104" s="1">
        <v>37.0</v>
      </c>
      <c r="AI104" s="1">
        <v>56.0</v>
      </c>
      <c r="AJ104" s="1">
        <v>69.0</v>
      </c>
      <c r="AK104" s="1">
        <v>18.0</v>
      </c>
      <c r="AL104" s="1">
        <v>38.0</v>
      </c>
      <c r="AM104" s="1">
        <v>331.0</v>
      </c>
      <c r="AN104" s="1">
        <v>48.0</v>
      </c>
      <c r="AO104" s="1">
        <v>3.0</v>
      </c>
      <c r="AP104" s="1">
        <v>0.0</v>
      </c>
      <c r="AQ104" s="1">
        <v>4.0</v>
      </c>
      <c r="AR104" s="1">
        <v>3.0</v>
      </c>
      <c r="AS104" s="1">
        <v>3.0</v>
      </c>
    </row>
    <row r="105" hidden="1">
      <c r="A105" s="1">
        <v>96.0</v>
      </c>
      <c r="B105" s="1" t="s">
        <v>1082</v>
      </c>
      <c r="C105" s="1" t="s">
        <v>1083</v>
      </c>
      <c r="D105" s="1" t="s">
        <v>835</v>
      </c>
      <c r="E105" s="1" t="s">
        <v>43</v>
      </c>
      <c r="F105" s="2">
        <v>26287.0</v>
      </c>
      <c r="G105" s="1">
        <f t="shared" si="1"/>
        <v>54</v>
      </c>
      <c r="H105" s="1" t="s">
        <v>1084</v>
      </c>
      <c r="I105" s="1" t="str">
        <f>IFERROR(__xludf.DUMMYFUNCTION("SPLIT(left(H105,len(H105)-1),""("")"),"Saint-Adresse ")</f>
        <v>Saint-Adresse </v>
      </c>
      <c r="J105" s="1" t="str">
        <f>IFERROR(__xludf.DUMMYFUNCTION("""COMPUTED_VALUE"""),"Seine-Maritime")</f>
        <v>Seine-Maritime</v>
      </c>
      <c r="K105" s="1" t="str">
        <f>IFERROR(__xludf.DUMMYFUNCTION("IF( COUNTA( IFERROR( FILTER('départements_edition'!$C$2:$C$102 , 'départements_edition'!$C$2:$C$102=J105 ) ) ) , ""Oui"" , ""Non"" )"),"Oui")</f>
        <v>Oui</v>
      </c>
      <c r="L105" s="1" t="str">
        <f t="shared" si="2"/>
        <v>France</v>
      </c>
      <c r="M105" s="1">
        <v>76.0</v>
      </c>
      <c r="N105" s="1" t="s">
        <v>371</v>
      </c>
      <c r="O105" s="1">
        <v>6.0</v>
      </c>
      <c r="P105" s="2">
        <v>42907.0</v>
      </c>
      <c r="R105" s="1">
        <v>0.0</v>
      </c>
      <c r="S105" s="1" t="s">
        <v>101</v>
      </c>
      <c r="T105" s="1" t="s">
        <v>102</v>
      </c>
      <c r="U105" s="1" t="s">
        <v>1085</v>
      </c>
      <c r="X105" s="1" t="s">
        <v>1086</v>
      </c>
      <c r="Y105" s="1">
        <v>583.0</v>
      </c>
      <c r="Z105" s="3" t="s">
        <v>1087</v>
      </c>
      <c r="AA105" s="1">
        <v>722202.0</v>
      </c>
      <c r="AB105" s="1" t="s">
        <v>1088</v>
      </c>
      <c r="AC105" s="3" t="s">
        <v>1089</v>
      </c>
      <c r="AD105" s="3" t="s">
        <v>1090</v>
      </c>
      <c r="AE105" s="1">
        <v>2.0</v>
      </c>
      <c r="AF105" s="1" t="s">
        <v>1091</v>
      </c>
      <c r="AG105" s="1">
        <v>23.0</v>
      </c>
      <c r="AH105" s="1">
        <v>26.0</v>
      </c>
      <c r="AI105" s="1">
        <v>43.0</v>
      </c>
      <c r="AJ105" s="1">
        <v>371.0</v>
      </c>
      <c r="AK105" s="1">
        <v>454.0</v>
      </c>
      <c r="AL105" s="1">
        <v>21.0</v>
      </c>
      <c r="AM105" s="1">
        <v>660.0</v>
      </c>
      <c r="AN105" s="1">
        <v>23.0</v>
      </c>
      <c r="AO105" s="1">
        <v>1.0</v>
      </c>
      <c r="AP105" s="1">
        <v>0.0</v>
      </c>
      <c r="AQ105" s="1">
        <v>21.0</v>
      </c>
      <c r="AR105" s="1">
        <v>12.0</v>
      </c>
      <c r="AS105" s="1">
        <v>6.0</v>
      </c>
    </row>
    <row r="106" hidden="1">
      <c r="A106" s="1">
        <v>154.0</v>
      </c>
      <c r="B106" s="1" t="s">
        <v>1092</v>
      </c>
      <c r="C106" s="1" t="s">
        <v>1093</v>
      </c>
      <c r="D106" s="1" t="s">
        <v>1094</v>
      </c>
      <c r="E106" s="1" t="s">
        <v>58</v>
      </c>
      <c r="F106" s="2">
        <v>27606.0</v>
      </c>
      <c r="G106" s="1">
        <f t="shared" si="1"/>
        <v>51</v>
      </c>
      <c r="H106" s="1" t="s">
        <v>1095</v>
      </c>
      <c r="I106" s="1" t="str">
        <f>IFERROR(__xludf.DUMMYFUNCTION("SPLIT(left(H106,len(H106)-1),""("")"),"Orléans ")</f>
        <v>Orléans </v>
      </c>
      <c r="J106" s="1" t="str">
        <f>IFERROR(__xludf.DUMMYFUNCTION("""COMPUTED_VALUE"""),"Loiret")</f>
        <v>Loiret</v>
      </c>
      <c r="K106" s="1" t="str">
        <f>IFERROR(__xludf.DUMMYFUNCTION("IF( COUNTA( IFERROR( FILTER('départements_edition'!$C$2:$C$102 , 'départements_edition'!$C$2:$C$102=J106 ) ) ) , ""Oui"" , ""Non"" )"),"Oui")</f>
        <v>Oui</v>
      </c>
      <c r="L106" s="1" t="str">
        <f t="shared" si="2"/>
        <v>France</v>
      </c>
      <c r="M106" s="1">
        <v>76.0</v>
      </c>
      <c r="N106" s="1" t="s">
        <v>371</v>
      </c>
      <c r="O106" s="1">
        <v>9.0</v>
      </c>
      <c r="P106" s="2">
        <v>42907.0</v>
      </c>
      <c r="R106" s="1">
        <v>0.0</v>
      </c>
      <c r="S106" s="1" t="s">
        <v>75</v>
      </c>
      <c r="T106" s="1" t="s">
        <v>76</v>
      </c>
      <c r="U106" s="1" t="s">
        <v>1096</v>
      </c>
      <c r="X106" s="1" t="s">
        <v>198</v>
      </c>
      <c r="Y106" s="1">
        <v>472.0</v>
      </c>
      <c r="Z106" s="3" t="s">
        <v>1097</v>
      </c>
      <c r="AA106" s="1">
        <v>721514.0</v>
      </c>
      <c r="AB106" s="1" t="s">
        <v>1098</v>
      </c>
      <c r="AC106" s="3" t="s">
        <v>1099</v>
      </c>
      <c r="AD106" s="3" t="s">
        <v>1100</v>
      </c>
      <c r="AE106" s="1">
        <v>1.0</v>
      </c>
      <c r="AF106" s="1" t="s">
        <v>1101</v>
      </c>
      <c r="AG106" s="1">
        <v>23.0</v>
      </c>
      <c r="AH106" s="1">
        <v>54.0</v>
      </c>
      <c r="AI106" s="1">
        <v>15.0</v>
      </c>
      <c r="AJ106" s="1">
        <v>9.0</v>
      </c>
      <c r="AK106" s="1">
        <v>5.0</v>
      </c>
      <c r="AL106" s="1">
        <v>2.0</v>
      </c>
      <c r="AM106" s="1">
        <v>144.0</v>
      </c>
      <c r="AN106" s="1">
        <v>75.0</v>
      </c>
      <c r="AO106" s="1">
        <v>0.0</v>
      </c>
      <c r="AP106" s="1">
        <v>0.0</v>
      </c>
      <c r="AQ106" s="1">
        <v>6.0</v>
      </c>
      <c r="AR106" s="1">
        <v>7.0</v>
      </c>
      <c r="AS106" s="1">
        <v>1.0</v>
      </c>
    </row>
    <row r="107" hidden="1">
      <c r="A107" s="1">
        <v>216.0</v>
      </c>
      <c r="B107" s="1" t="s">
        <v>1113</v>
      </c>
      <c r="C107" s="1" t="s">
        <v>1114</v>
      </c>
      <c r="D107" s="1" t="s">
        <v>1115</v>
      </c>
      <c r="E107" s="1" t="s">
        <v>43</v>
      </c>
      <c r="F107" s="2">
        <v>23942.0</v>
      </c>
      <c r="G107" s="1">
        <f t="shared" si="1"/>
        <v>61</v>
      </c>
      <c r="H107" s="1" t="s">
        <v>1116</v>
      </c>
      <c r="I107" s="1" t="str">
        <f>IFERROR(__xludf.DUMMYFUNCTION("SPLIT(left(H107,len(H107)-1),""("")"),"Castres ")</f>
        <v>Castres </v>
      </c>
      <c r="J107" s="1" t="str">
        <f>IFERROR(__xludf.DUMMYFUNCTION("""COMPUTED_VALUE"""),"Tarn")</f>
        <v>Tarn</v>
      </c>
      <c r="K107" s="1" t="str">
        <f>IFERROR(__xludf.DUMMYFUNCTION("IF( COUNTA( IFERROR( FILTER('départements_edition'!$C$2:$C$102 , 'départements_edition'!$C$2:$C$102=J107 ) ) ) , ""Oui"" , ""Non"" )"),"Oui")</f>
        <v>Oui</v>
      </c>
      <c r="L107" s="1" t="str">
        <f t="shared" si="2"/>
        <v>France</v>
      </c>
      <c r="M107" s="1">
        <v>29.0</v>
      </c>
      <c r="N107" s="1" t="s">
        <v>393</v>
      </c>
      <c r="O107" s="1">
        <v>3.0</v>
      </c>
      <c r="P107" s="2">
        <v>42907.0</v>
      </c>
      <c r="R107" s="1">
        <v>0.0</v>
      </c>
      <c r="S107" s="1" t="s">
        <v>75</v>
      </c>
      <c r="T107" s="1" t="s">
        <v>76</v>
      </c>
      <c r="U107" s="1" t="s">
        <v>1117</v>
      </c>
      <c r="X107" s="1" t="s">
        <v>373</v>
      </c>
      <c r="Y107" s="1">
        <v>333.0</v>
      </c>
      <c r="Z107" s="3" t="s">
        <v>1118</v>
      </c>
      <c r="AA107" s="1">
        <v>719404.0</v>
      </c>
      <c r="AB107" s="1" t="s">
        <v>1119</v>
      </c>
      <c r="AC107" s="3" t="s">
        <v>1120</v>
      </c>
      <c r="AD107" s="3" t="s">
        <v>1121</v>
      </c>
      <c r="AE107" s="1">
        <v>1.0</v>
      </c>
      <c r="AF107" s="1" t="s">
        <v>1122</v>
      </c>
      <c r="AG107" s="1">
        <v>23.0</v>
      </c>
      <c r="AH107" s="1">
        <v>32.0</v>
      </c>
      <c r="AI107" s="1">
        <v>13.0</v>
      </c>
      <c r="AJ107" s="1">
        <v>43.0</v>
      </c>
      <c r="AK107" s="1">
        <v>20.0</v>
      </c>
      <c r="AL107" s="1">
        <v>4.0</v>
      </c>
      <c r="AM107" s="1">
        <v>16.0</v>
      </c>
      <c r="AN107" s="1">
        <v>4.0</v>
      </c>
      <c r="AO107" s="1">
        <v>0.0</v>
      </c>
      <c r="AP107" s="1">
        <v>0.0</v>
      </c>
      <c r="AQ107" s="1">
        <v>8.0</v>
      </c>
      <c r="AR107" s="1">
        <v>22.0</v>
      </c>
      <c r="AS107" s="1">
        <v>1.0</v>
      </c>
    </row>
    <row r="108" hidden="1">
      <c r="A108" s="1">
        <v>87.0</v>
      </c>
      <c r="B108" s="1" t="s">
        <v>1123</v>
      </c>
      <c r="C108" s="1" t="s">
        <v>1124</v>
      </c>
      <c r="D108" s="1" t="s">
        <v>1125</v>
      </c>
      <c r="E108" s="1" t="s">
        <v>58</v>
      </c>
      <c r="F108" s="2">
        <v>22234.0</v>
      </c>
      <c r="G108" s="1">
        <f t="shared" si="1"/>
        <v>65</v>
      </c>
      <c r="H108" s="1" t="s">
        <v>1126</v>
      </c>
      <c r="I108" s="1" t="str">
        <f>IFERROR(__xludf.DUMMYFUNCTION("SPLIT(left(H108,len(H108)-1),""("")"),"Chatou ")</f>
        <v>Chatou </v>
      </c>
      <c r="J108" s="1" t="str">
        <f>IFERROR(__xludf.DUMMYFUNCTION("""COMPUTED_VALUE"""),"Yvelines")</f>
        <v>Yvelines</v>
      </c>
      <c r="K108" s="1" t="str">
        <f>IFERROR(__xludf.DUMMYFUNCTION("IF( COUNTA( IFERROR( FILTER('départements_edition'!$C$2:$C$102 , 'départements_edition'!$C$2:$C$102=J108 ) ) ) , ""Oui"" , ""Non"" )"),"Oui")</f>
        <v>Oui</v>
      </c>
      <c r="L108" s="1" t="str">
        <f t="shared" si="2"/>
        <v>France</v>
      </c>
      <c r="M108" s="1">
        <v>92.0</v>
      </c>
      <c r="N108" s="1" t="s">
        <v>781</v>
      </c>
      <c r="O108" s="1">
        <v>6.0</v>
      </c>
      <c r="P108" s="2">
        <v>42907.0</v>
      </c>
      <c r="R108" s="1">
        <v>0.0</v>
      </c>
      <c r="S108" s="1" t="s">
        <v>61</v>
      </c>
      <c r="T108" s="1" t="s">
        <v>62</v>
      </c>
      <c r="U108" s="3" t="s">
        <v>1127</v>
      </c>
      <c r="X108" s="1" t="s">
        <v>1086</v>
      </c>
      <c r="Y108" s="1">
        <v>102.0</v>
      </c>
      <c r="Z108" s="3" t="s">
        <v>1128</v>
      </c>
      <c r="AA108" s="1">
        <v>345722.0</v>
      </c>
      <c r="AB108" s="1" t="s">
        <v>1129</v>
      </c>
      <c r="AC108" s="3" t="s">
        <v>1130</v>
      </c>
      <c r="AD108" s="3" t="s">
        <v>1131</v>
      </c>
      <c r="AE108" s="1">
        <v>1.0</v>
      </c>
      <c r="AF108" s="1" t="s">
        <v>1132</v>
      </c>
      <c r="AG108" s="1">
        <v>23.0</v>
      </c>
      <c r="AH108" s="1">
        <v>56.0</v>
      </c>
      <c r="AI108" s="1">
        <v>83.0</v>
      </c>
      <c r="AJ108" s="1">
        <v>60.0</v>
      </c>
      <c r="AK108" s="1">
        <v>31.0</v>
      </c>
      <c r="AL108" s="1">
        <v>68.0</v>
      </c>
      <c r="AM108" s="1">
        <v>526.0</v>
      </c>
      <c r="AN108" s="1">
        <v>24.0</v>
      </c>
      <c r="AO108" s="1">
        <v>1.0</v>
      </c>
      <c r="AP108" s="1">
        <v>1.0</v>
      </c>
      <c r="AQ108" s="1">
        <v>40.0</v>
      </c>
      <c r="AR108" s="1">
        <v>8.0</v>
      </c>
      <c r="AS108" s="1">
        <v>2.0</v>
      </c>
    </row>
    <row r="109" hidden="1">
      <c r="A109" s="1">
        <v>33.0</v>
      </c>
      <c r="B109" s="1" t="s">
        <v>1133</v>
      </c>
      <c r="C109" s="1" t="s">
        <v>1134</v>
      </c>
      <c r="D109" s="1" t="s">
        <v>1135</v>
      </c>
      <c r="E109" s="1" t="s">
        <v>43</v>
      </c>
      <c r="F109" s="2">
        <v>25442.0</v>
      </c>
      <c r="G109" s="1">
        <f t="shared" si="1"/>
        <v>56</v>
      </c>
      <c r="H109" s="1" t="s">
        <v>1136</v>
      </c>
      <c r="I109" s="1" t="str">
        <f>IFERROR(__xludf.DUMMYFUNCTION("SPLIT(left(H109,len(H109)-1),""("")"),"Caen ")</f>
        <v>Caen </v>
      </c>
      <c r="J109" s="1" t="str">
        <f>IFERROR(__xludf.DUMMYFUNCTION("""COMPUTED_VALUE"""),"Calvados")</f>
        <v>Calvados</v>
      </c>
      <c r="K109" s="1" t="str">
        <f>IFERROR(__xludf.DUMMYFUNCTION("IF( COUNTA( IFERROR( FILTER('départements_edition'!$C$2:$C$102 , 'départements_edition'!$C$2:$C$102=J109 ) ) ) , ""Oui"" , ""Non"" )"),"Oui")</f>
        <v>Oui</v>
      </c>
      <c r="L109" s="1" t="str">
        <f t="shared" si="2"/>
        <v>France</v>
      </c>
      <c r="M109" s="1">
        <v>14.0</v>
      </c>
      <c r="N109" s="1" t="s">
        <v>1137</v>
      </c>
      <c r="O109" s="1">
        <v>1.0</v>
      </c>
      <c r="P109" s="2">
        <v>42907.0</v>
      </c>
      <c r="R109" s="1">
        <v>0.0</v>
      </c>
      <c r="S109" s="1" t="s">
        <v>75</v>
      </c>
      <c r="T109" s="1" t="s">
        <v>76</v>
      </c>
      <c r="U109" s="1" t="s">
        <v>1138</v>
      </c>
      <c r="X109" s="1" t="s">
        <v>246</v>
      </c>
      <c r="Y109" s="1">
        <v>468.0</v>
      </c>
      <c r="Z109" s="3" t="s">
        <v>1139</v>
      </c>
      <c r="AA109" s="1">
        <v>719006.0</v>
      </c>
      <c r="AB109" s="1" t="s">
        <v>1140</v>
      </c>
      <c r="AC109" s="3" t="s">
        <v>1141</v>
      </c>
      <c r="AD109" s="3" t="s">
        <v>1142</v>
      </c>
      <c r="AE109" s="1">
        <v>1.0</v>
      </c>
      <c r="AF109" s="1" t="s">
        <v>1143</v>
      </c>
      <c r="AG109" s="1">
        <v>23.0</v>
      </c>
      <c r="AH109" s="1">
        <v>50.0</v>
      </c>
      <c r="AI109" s="1">
        <v>6.0</v>
      </c>
      <c r="AJ109" s="1">
        <v>13.0</v>
      </c>
      <c r="AK109" s="1">
        <v>2.0</v>
      </c>
      <c r="AL109" s="1">
        <v>0.0</v>
      </c>
      <c r="AM109" s="1">
        <v>159.0</v>
      </c>
      <c r="AN109" s="1">
        <v>108.0</v>
      </c>
      <c r="AO109" s="1">
        <v>1.0</v>
      </c>
      <c r="AP109" s="1">
        <v>0.0</v>
      </c>
      <c r="AQ109" s="1">
        <v>5.0</v>
      </c>
      <c r="AR109" s="1">
        <v>1.0</v>
      </c>
      <c r="AS109" s="1">
        <v>1.0</v>
      </c>
    </row>
    <row r="110" hidden="1">
      <c r="A110" s="1">
        <v>432.0</v>
      </c>
      <c r="B110" s="1" t="s">
        <v>1144</v>
      </c>
      <c r="C110" s="1" t="s">
        <v>1145</v>
      </c>
      <c r="D110" s="1" t="s">
        <v>1146</v>
      </c>
      <c r="E110" s="1" t="s">
        <v>43</v>
      </c>
      <c r="F110" s="2">
        <v>20062.0</v>
      </c>
      <c r="G110" s="1">
        <f t="shared" si="1"/>
        <v>71</v>
      </c>
      <c r="H110" s="1" t="s">
        <v>1147</v>
      </c>
      <c r="I110" s="1" t="str">
        <f>IFERROR(__xludf.DUMMYFUNCTION("SPLIT(left(H110,len(H110)-1),""("")"),"Lawarde-Mauger-l'Hortoy ")</f>
        <v>Lawarde-Mauger-l'Hortoy </v>
      </c>
      <c r="J110" s="1" t="str">
        <f>IFERROR(__xludf.DUMMYFUNCTION("""COMPUTED_VALUE"""),"Somme")</f>
        <v>Somme</v>
      </c>
      <c r="K110" s="1" t="str">
        <f>IFERROR(__xludf.DUMMYFUNCTION("IF( COUNTA( IFERROR( FILTER('départements_edition'!$C$2:$C$102 , 'départements_edition'!$C$2:$C$102=J110 ) ) ) , ""Oui"" , ""Non"" )"),"Oui")</f>
        <v>Oui</v>
      </c>
      <c r="L110" s="1" t="str">
        <f t="shared" si="2"/>
        <v>France</v>
      </c>
      <c r="M110" s="1">
        <v>80.0</v>
      </c>
      <c r="N110" s="1" t="s">
        <v>1148</v>
      </c>
      <c r="O110" s="1">
        <v>4.0</v>
      </c>
      <c r="P110" s="2">
        <v>42907.0</v>
      </c>
      <c r="R110" s="1">
        <v>0.0</v>
      </c>
      <c r="S110" s="1" t="s">
        <v>75</v>
      </c>
      <c r="T110" s="1" t="s">
        <v>76</v>
      </c>
      <c r="U110" s="1" t="s">
        <v>1149</v>
      </c>
      <c r="X110" s="1" t="s">
        <v>1150</v>
      </c>
      <c r="Y110" s="1">
        <v>532.0</v>
      </c>
      <c r="Z110" s="3" t="s">
        <v>1151</v>
      </c>
      <c r="AA110" s="1">
        <v>722228.0</v>
      </c>
      <c r="AB110" s="1" t="s">
        <v>1152</v>
      </c>
      <c r="AC110" s="3" t="s">
        <v>1153</v>
      </c>
      <c r="AD110" s="3" t="s">
        <v>1154</v>
      </c>
      <c r="AE110" s="1">
        <v>2.0</v>
      </c>
      <c r="AF110" s="1" t="s">
        <v>1155</v>
      </c>
      <c r="AG110" s="1">
        <v>23.0</v>
      </c>
      <c r="AH110" s="1">
        <v>57.0</v>
      </c>
      <c r="AI110" s="1">
        <v>2.0</v>
      </c>
      <c r="AJ110" s="1">
        <v>9.0</v>
      </c>
      <c r="AK110" s="1">
        <v>1.0</v>
      </c>
      <c r="AL110" s="1">
        <v>3.0</v>
      </c>
      <c r="AM110" s="1">
        <v>83.0</v>
      </c>
      <c r="AN110" s="1">
        <v>44.0</v>
      </c>
      <c r="AO110" s="1">
        <v>0.0</v>
      </c>
      <c r="AP110" s="1">
        <v>0.0</v>
      </c>
      <c r="AQ110" s="1">
        <v>5.0</v>
      </c>
      <c r="AR110" s="1">
        <v>0.0</v>
      </c>
      <c r="AS110" s="1">
        <v>0.0</v>
      </c>
    </row>
    <row r="111" hidden="1">
      <c r="A111" s="1">
        <v>20.0</v>
      </c>
      <c r="B111" s="1" t="s">
        <v>1156</v>
      </c>
      <c r="C111" s="1" t="s">
        <v>1157</v>
      </c>
      <c r="D111" s="1" t="s">
        <v>98</v>
      </c>
      <c r="E111" s="1" t="s">
        <v>43</v>
      </c>
      <c r="F111" s="2">
        <v>21471.0</v>
      </c>
      <c r="G111" s="1">
        <f t="shared" si="1"/>
        <v>67</v>
      </c>
      <c r="H111" s="1" t="s">
        <v>1158</v>
      </c>
      <c r="I111" s="1" t="str">
        <f>IFERROR(__xludf.DUMMYFUNCTION("SPLIT(left(H111,len(H111)-1),""("")"),"Havre ")</f>
        <v>Havre </v>
      </c>
      <c r="J111" s="1" t="str">
        <f>IFERROR(__xludf.DUMMYFUNCTION("""COMPUTED_VALUE"""),"Seine-Maritime")</f>
        <v>Seine-Maritime</v>
      </c>
      <c r="K111" s="1" t="str">
        <f>IFERROR(__xludf.DUMMYFUNCTION("IF( COUNTA( IFERROR( FILTER('départements_edition'!$C$2:$C$102 , 'départements_edition'!$C$2:$C$102=J111 ) ) ) , ""Oui"" , ""Non"" )"),"Oui")</f>
        <v>Oui</v>
      </c>
      <c r="L111" s="1" t="str">
        <f t="shared" si="2"/>
        <v>France</v>
      </c>
      <c r="M111" s="1">
        <v>76.0</v>
      </c>
      <c r="N111" s="1" t="s">
        <v>371</v>
      </c>
      <c r="O111" s="1">
        <v>8.0</v>
      </c>
      <c r="P111" s="2">
        <v>42907.0</v>
      </c>
      <c r="R111" s="1">
        <v>0.0</v>
      </c>
      <c r="S111" s="1" t="s">
        <v>101</v>
      </c>
      <c r="T111" s="1" t="s">
        <v>102</v>
      </c>
      <c r="U111" s="1" t="s">
        <v>1159</v>
      </c>
      <c r="X111" s="1" t="s">
        <v>429</v>
      </c>
      <c r="Y111" s="1">
        <v>584.0</v>
      </c>
      <c r="Z111" s="3" t="s">
        <v>1160</v>
      </c>
      <c r="AA111" s="1">
        <v>335612.0</v>
      </c>
      <c r="AB111" s="1" t="s">
        <v>1161</v>
      </c>
      <c r="AC111" s="3" t="s">
        <v>1162</v>
      </c>
      <c r="AD111" s="3" t="s">
        <v>1163</v>
      </c>
      <c r="AE111" s="1">
        <v>2.0</v>
      </c>
      <c r="AG111" s="1">
        <v>23.0</v>
      </c>
      <c r="AH111" s="1">
        <v>34.0</v>
      </c>
      <c r="AI111" s="1">
        <v>46.0</v>
      </c>
      <c r="AJ111" s="1">
        <v>307.0</v>
      </c>
      <c r="AK111" s="1">
        <v>485.0</v>
      </c>
      <c r="AL111" s="1">
        <v>0.0</v>
      </c>
      <c r="AM111" s="1">
        <v>654.0</v>
      </c>
      <c r="AN111" s="1">
        <v>22.0</v>
      </c>
      <c r="AO111" s="1">
        <v>0.0</v>
      </c>
      <c r="AP111" s="1">
        <v>1.0</v>
      </c>
      <c r="AQ111" s="1">
        <v>21.0</v>
      </c>
      <c r="AR111" s="1">
        <v>2.0</v>
      </c>
      <c r="AS111" s="1">
        <v>4.0</v>
      </c>
    </row>
    <row r="112">
      <c r="A112" s="1">
        <v>275.0</v>
      </c>
      <c r="B112" s="1" t="s">
        <v>1164</v>
      </c>
      <c r="C112" s="1" t="s">
        <v>1165</v>
      </c>
      <c r="D112" s="1" t="s">
        <v>1166</v>
      </c>
      <c r="E112" s="1" t="s">
        <v>43</v>
      </c>
      <c r="F112" s="2">
        <v>24437.0</v>
      </c>
      <c r="G112" s="1">
        <f t="shared" si="1"/>
        <v>59</v>
      </c>
      <c r="H112" s="1" t="s">
        <v>1167</v>
      </c>
      <c r="I112" s="1" t="str">
        <f>IFERROR(__xludf.DUMMYFUNCTION("SPLIT(left(H112,len(H112)-1),""("")"),"Paris 11ème ")</f>
        <v>Paris 11ème </v>
      </c>
      <c r="J112" s="1" t="str">
        <f>IFERROR(__xludf.DUMMYFUNCTION("""COMPUTED_VALUE"""),"Paris")</f>
        <v>Paris</v>
      </c>
      <c r="K112" s="1" t="str">
        <f>IFERROR(__xludf.DUMMYFUNCTION("IF( COUNTA( IFERROR( FILTER('départements_edition'!$C$2:$C$102 , 'départements_edition'!$C$2:$C$102=J112 ) ) ) , ""Oui"" , ""Non"" )"),"Oui")</f>
        <v>Oui</v>
      </c>
      <c r="L112" s="1" t="str">
        <f t="shared" si="2"/>
        <v>France</v>
      </c>
      <c r="M112" s="1">
        <v>999.0</v>
      </c>
      <c r="N112" s="1" t="s">
        <v>256</v>
      </c>
      <c r="O112" s="1">
        <v>1.0</v>
      </c>
      <c r="P112" s="2">
        <v>42907.0</v>
      </c>
      <c r="R112" s="1">
        <v>0.0</v>
      </c>
      <c r="S112" s="1" t="s">
        <v>75</v>
      </c>
      <c r="T112" s="1" t="s">
        <v>76</v>
      </c>
      <c r="U112" s="1" t="s">
        <v>1168</v>
      </c>
      <c r="X112" s="1" t="s">
        <v>234</v>
      </c>
      <c r="Y112" s="1">
        <v>634.0</v>
      </c>
      <c r="Z112" s="3" t="s">
        <v>1169</v>
      </c>
      <c r="AA112" s="1">
        <v>721134.0</v>
      </c>
      <c r="AB112" s="1" t="s">
        <v>1170</v>
      </c>
      <c r="AC112" s="3" t="s">
        <v>1171</v>
      </c>
      <c r="AD112" s="3" t="s">
        <v>1172</v>
      </c>
      <c r="AE112" s="1">
        <v>1.0</v>
      </c>
      <c r="AF112" s="1" t="s">
        <v>1173</v>
      </c>
      <c r="AG112" s="1">
        <v>23.0</v>
      </c>
      <c r="AH112" s="1">
        <v>61.0</v>
      </c>
      <c r="AI112" s="1">
        <v>174.0</v>
      </c>
      <c r="AJ112" s="1">
        <v>30.0</v>
      </c>
      <c r="AK112" s="1">
        <v>7.0</v>
      </c>
      <c r="AL112" s="1">
        <v>1.0</v>
      </c>
      <c r="AM112" s="1">
        <v>45.0</v>
      </c>
      <c r="AN112" s="1">
        <v>20.0</v>
      </c>
      <c r="AO112" s="1">
        <v>0.0</v>
      </c>
      <c r="AP112" s="1">
        <v>0.0</v>
      </c>
      <c r="AQ112" s="1">
        <v>5.0</v>
      </c>
      <c r="AR112" s="1">
        <v>2.0</v>
      </c>
      <c r="AS112" s="1">
        <v>1.0</v>
      </c>
    </row>
    <row r="113" hidden="1">
      <c r="A113" s="1">
        <v>320.0</v>
      </c>
      <c r="B113" s="1" t="s">
        <v>1174</v>
      </c>
      <c r="C113" s="1" t="s">
        <v>1175</v>
      </c>
      <c r="D113" s="1" t="s">
        <v>1176</v>
      </c>
      <c r="E113" s="1" t="s">
        <v>58</v>
      </c>
      <c r="F113" s="2">
        <v>19698.0</v>
      </c>
      <c r="G113" s="1">
        <f t="shared" si="1"/>
        <v>72</v>
      </c>
      <c r="H113" s="1" t="s">
        <v>207</v>
      </c>
      <c r="I113" s="1" t="str">
        <f>IFERROR(__xludf.DUMMYFUNCTION("SPLIT(left(H113,len(H113)-1),""("")"),"Paris ")</f>
        <v>Paris </v>
      </c>
      <c r="J113" s="1" t="str">
        <f>IFERROR(__xludf.DUMMYFUNCTION("""COMPUTED_VALUE"""),"Paris")</f>
        <v>Paris</v>
      </c>
      <c r="K113" s="1" t="str">
        <f>IFERROR(__xludf.DUMMYFUNCTION("IF( COUNTA( IFERROR( FILTER('départements_edition'!$C$2:$C$102 , 'départements_edition'!$C$2:$C$102=J113 ) ) ) , ""Oui"" , ""Non"" )"),"Oui")</f>
        <v>Oui</v>
      </c>
      <c r="L113" s="1" t="str">
        <f t="shared" si="2"/>
        <v>France</v>
      </c>
      <c r="M113" s="1">
        <v>38.0</v>
      </c>
      <c r="N113" s="1" t="s">
        <v>267</v>
      </c>
      <c r="O113" s="1">
        <v>7.0</v>
      </c>
      <c r="P113" s="2">
        <v>42907.0</v>
      </c>
      <c r="R113" s="1">
        <v>0.0</v>
      </c>
      <c r="S113" s="1" t="s">
        <v>75</v>
      </c>
      <c r="T113" s="1" t="s">
        <v>76</v>
      </c>
      <c r="U113" s="1" t="s">
        <v>1177</v>
      </c>
      <c r="X113" s="1" t="s">
        <v>1178</v>
      </c>
      <c r="Y113" s="1">
        <v>382.0</v>
      </c>
      <c r="Z113" s="3" t="s">
        <v>1179</v>
      </c>
      <c r="AA113" s="1">
        <v>719858.0</v>
      </c>
      <c r="AB113" s="1" t="s">
        <v>1180</v>
      </c>
      <c r="AC113" s="3" t="s">
        <v>1181</v>
      </c>
      <c r="AD113" s="3" t="s">
        <v>1182</v>
      </c>
      <c r="AE113" s="1">
        <v>1.0</v>
      </c>
      <c r="AF113" s="1" t="s">
        <v>1183</v>
      </c>
      <c r="AG113" s="1">
        <v>23.0</v>
      </c>
      <c r="AH113" s="1">
        <v>54.0</v>
      </c>
      <c r="AI113" s="1">
        <v>18.0</v>
      </c>
      <c r="AJ113" s="1">
        <v>5.0</v>
      </c>
      <c r="AK113" s="1">
        <v>1.0</v>
      </c>
      <c r="AL113" s="1">
        <v>0.0</v>
      </c>
      <c r="AM113" s="1">
        <v>119.0</v>
      </c>
      <c r="AN113" s="1">
        <v>57.0</v>
      </c>
      <c r="AO113" s="1">
        <v>0.0</v>
      </c>
      <c r="AP113" s="1">
        <v>0.0</v>
      </c>
      <c r="AQ113" s="1">
        <v>5.0</v>
      </c>
      <c r="AR113" s="1">
        <v>0.0</v>
      </c>
      <c r="AS113" s="1">
        <v>2.0</v>
      </c>
    </row>
    <row r="114" hidden="1">
      <c r="A114" s="1">
        <v>454.0</v>
      </c>
      <c r="B114" s="1" t="s">
        <v>1184</v>
      </c>
      <c r="C114" s="1" t="s">
        <v>1185</v>
      </c>
      <c r="D114" s="1" t="s">
        <v>1186</v>
      </c>
      <c r="E114" s="1" t="s">
        <v>58</v>
      </c>
      <c r="F114" s="2">
        <v>22360.0</v>
      </c>
      <c r="G114" s="1">
        <f t="shared" si="1"/>
        <v>65</v>
      </c>
      <c r="H114" s="1" t="s">
        <v>1187</v>
      </c>
      <c r="I114" s="1" t="str">
        <f>IFERROR(__xludf.DUMMYFUNCTION("SPLIT(left(H114,len(H114)-1),""("")"),"Buis sur Damville ")</f>
        <v>Buis sur Damville </v>
      </c>
      <c r="J114" s="1" t="str">
        <f>IFERROR(__xludf.DUMMYFUNCTION("""COMPUTED_VALUE"""),"Eure")</f>
        <v>Eure</v>
      </c>
      <c r="K114" s="1" t="str">
        <f>IFERROR(__xludf.DUMMYFUNCTION("IF( COUNTA( IFERROR( FILTER('départements_edition'!$C$2:$C$102 , 'départements_edition'!$C$2:$C$102=J114 ) ) ) , ""Oui"" , ""Non"" )"),"Oui")</f>
        <v>Oui</v>
      </c>
      <c r="L114" s="1" t="str">
        <f t="shared" si="2"/>
        <v>France</v>
      </c>
      <c r="M114" s="1">
        <v>61.0</v>
      </c>
      <c r="N114" s="1" t="s">
        <v>1188</v>
      </c>
      <c r="O114" s="1">
        <v>2.0</v>
      </c>
      <c r="P114" s="2">
        <v>42907.0</v>
      </c>
      <c r="R114" s="1">
        <v>0.0</v>
      </c>
      <c r="S114" s="1" t="s">
        <v>61</v>
      </c>
      <c r="T114" s="1" t="s">
        <v>62</v>
      </c>
      <c r="U114" s="1" t="s">
        <v>1189</v>
      </c>
      <c r="X114" s="1" t="s">
        <v>1190</v>
      </c>
      <c r="Y114" s="1">
        <v>97.0</v>
      </c>
      <c r="Z114" s="3" t="s">
        <v>1191</v>
      </c>
      <c r="AA114" s="1">
        <v>608016.0</v>
      </c>
      <c r="AB114" s="1" t="s">
        <v>1192</v>
      </c>
      <c r="AC114" s="3" t="s">
        <v>1193</v>
      </c>
      <c r="AD114" s="3" t="s">
        <v>1194</v>
      </c>
      <c r="AE114" s="1">
        <v>2.0</v>
      </c>
      <c r="AF114" s="1" t="s">
        <v>1195</v>
      </c>
      <c r="AG114" s="1">
        <v>23.0</v>
      </c>
      <c r="AH114" s="1">
        <v>70.0</v>
      </c>
      <c r="AI114" s="1">
        <v>281.0</v>
      </c>
      <c r="AJ114" s="1">
        <v>439.0</v>
      </c>
      <c r="AK114" s="1">
        <v>421.0</v>
      </c>
      <c r="AL114" s="1">
        <v>414.0</v>
      </c>
      <c r="AM114" s="1">
        <v>1799.0</v>
      </c>
      <c r="AN114" s="1">
        <v>68.0</v>
      </c>
      <c r="AO114" s="1">
        <v>1.0</v>
      </c>
      <c r="AP114" s="1">
        <v>1.0</v>
      </c>
      <c r="AQ114" s="1">
        <v>91.0</v>
      </c>
      <c r="AR114" s="1">
        <v>28.0</v>
      </c>
      <c r="AS114" s="1">
        <v>1.0</v>
      </c>
    </row>
    <row r="115" hidden="1">
      <c r="A115" s="1">
        <v>219.0</v>
      </c>
      <c r="B115" s="1" t="s">
        <v>1196</v>
      </c>
      <c r="C115" s="1" t="s">
        <v>1197</v>
      </c>
      <c r="D115" s="1" t="s">
        <v>1198</v>
      </c>
      <c r="E115" s="1" t="s">
        <v>58</v>
      </c>
      <c r="F115" s="2">
        <v>32101.0</v>
      </c>
      <c r="G115" s="1">
        <f t="shared" si="1"/>
        <v>38</v>
      </c>
      <c r="H115" s="1" t="s">
        <v>1199</v>
      </c>
      <c r="I115" s="1" t="str">
        <f>IFERROR(__xludf.DUMMYFUNCTION("SPLIT(left(H115,len(H115)-1),""("")"),"Limoges ")</f>
        <v>Limoges </v>
      </c>
      <c r="J115" s="1" t="str">
        <f>IFERROR(__xludf.DUMMYFUNCTION("""COMPUTED_VALUE"""),"Haute-Vienne")</f>
        <v>Haute-Vienne</v>
      </c>
      <c r="K115" s="1" t="str">
        <f>IFERROR(__xludf.DUMMYFUNCTION("IF( COUNTA( IFERROR( FILTER('départements_edition'!$C$2:$C$102 , 'départements_edition'!$C$2:$C$102=J115 ) ) ) , ""Oui"" , ""Non"" )"),"Oui")</f>
        <v>Oui</v>
      </c>
      <c r="L115" s="1" t="str">
        <f t="shared" si="2"/>
        <v>France</v>
      </c>
      <c r="M115" s="1">
        <v>87.0</v>
      </c>
      <c r="N115" s="1" t="s">
        <v>405</v>
      </c>
      <c r="O115" s="1">
        <v>3.0</v>
      </c>
      <c r="P115" s="2">
        <v>42907.0</v>
      </c>
      <c r="R115" s="1">
        <v>0.0</v>
      </c>
      <c r="S115" s="1" t="s">
        <v>75</v>
      </c>
      <c r="T115" s="1" t="s">
        <v>76</v>
      </c>
      <c r="U115" s="1" t="s">
        <v>1200</v>
      </c>
      <c r="X115" s="1" t="s">
        <v>1201</v>
      </c>
      <c r="Y115" s="1">
        <v>327.0</v>
      </c>
      <c r="Z115" s="3" t="s">
        <v>1202</v>
      </c>
      <c r="AA115" s="1">
        <v>722244.0</v>
      </c>
      <c r="AB115" s="1" t="s">
        <v>1203</v>
      </c>
      <c r="AC115" s="3" t="s">
        <v>1204</v>
      </c>
      <c r="AD115" s="3" t="s">
        <v>1205</v>
      </c>
      <c r="AE115" s="1">
        <v>1.0</v>
      </c>
      <c r="AF115" s="1" t="s">
        <v>1206</v>
      </c>
      <c r="AG115" s="1">
        <v>23.0</v>
      </c>
      <c r="AH115" s="1">
        <v>50.0</v>
      </c>
      <c r="AI115" s="1">
        <v>4.0</v>
      </c>
      <c r="AJ115" s="1">
        <v>10.0</v>
      </c>
      <c r="AK115" s="1">
        <v>3.0</v>
      </c>
      <c r="AL115" s="1">
        <v>1.0</v>
      </c>
      <c r="AM115" s="1">
        <v>153.0</v>
      </c>
      <c r="AN115" s="1">
        <v>105.0</v>
      </c>
      <c r="AO115" s="1">
        <v>1.0</v>
      </c>
      <c r="AP115" s="1">
        <v>0.0</v>
      </c>
      <c r="AQ115" s="1">
        <v>5.0</v>
      </c>
      <c r="AR115" s="1">
        <v>1.0</v>
      </c>
      <c r="AS115" s="1">
        <v>1.0</v>
      </c>
    </row>
    <row r="116" hidden="1">
      <c r="A116" s="1">
        <v>242.0</v>
      </c>
      <c r="B116" s="1" t="s">
        <v>1207</v>
      </c>
      <c r="C116" s="1" t="s">
        <v>1208</v>
      </c>
      <c r="D116" s="1" t="s">
        <v>1209</v>
      </c>
      <c r="E116" s="1" t="s">
        <v>43</v>
      </c>
      <c r="F116" s="2">
        <v>27147.0</v>
      </c>
      <c r="G116" s="1">
        <f t="shared" si="1"/>
        <v>52</v>
      </c>
      <c r="H116" s="1" t="s">
        <v>1210</v>
      </c>
      <c r="I116" s="1" t="str">
        <f>IFERROR(__xludf.DUMMYFUNCTION("SPLIT(left(H116,len(H116)-1),""("")"),"saint maur des fossés ")</f>
        <v>saint maur des fossés </v>
      </c>
      <c r="J116" s="1" t="str">
        <f>IFERROR(__xludf.DUMMYFUNCTION("""COMPUTED_VALUE"""),"Val-de-Marne")</f>
        <v>Val-de-Marne</v>
      </c>
      <c r="K116" s="1" t="str">
        <f>IFERROR(__xludf.DUMMYFUNCTION("IF( COUNTA( IFERROR( FILTER('départements_edition'!$C$2:$C$102 , 'départements_edition'!$C$2:$C$102=J116 ) ) ) , ""Oui"" , ""Non"" )"),"Oui")</f>
        <v>Oui</v>
      </c>
      <c r="L116" s="1" t="str">
        <f t="shared" si="2"/>
        <v>France</v>
      </c>
      <c r="M116" s="1">
        <v>75.0</v>
      </c>
      <c r="N116" s="1" t="s">
        <v>232</v>
      </c>
      <c r="O116" s="1">
        <v>1.0</v>
      </c>
      <c r="P116" s="2">
        <v>42907.0</v>
      </c>
      <c r="R116" s="1">
        <v>0.0</v>
      </c>
      <c r="S116" s="1" t="s">
        <v>75</v>
      </c>
      <c r="T116" s="1" t="s">
        <v>76</v>
      </c>
      <c r="U116" s="1" t="s">
        <v>1211</v>
      </c>
      <c r="X116" s="1" t="s">
        <v>198</v>
      </c>
      <c r="Y116" s="1">
        <v>330.0</v>
      </c>
      <c r="Z116" s="3" t="s">
        <v>1212</v>
      </c>
      <c r="AA116" s="1">
        <v>717379.0</v>
      </c>
      <c r="AB116" s="1" t="s">
        <v>1213</v>
      </c>
      <c r="AC116" s="3" t="s">
        <v>1214</v>
      </c>
      <c r="AD116" s="3" t="s">
        <v>1215</v>
      </c>
      <c r="AE116" s="1">
        <v>1.0</v>
      </c>
      <c r="AF116" s="1" t="s">
        <v>1216</v>
      </c>
      <c r="AG116" s="1">
        <v>23.0</v>
      </c>
      <c r="AH116" s="1">
        <v>47.0</v>
      </c>
      <c r="AI116" s="1">
        <v>22.0</v>
      </c>
      <c r="AJ116" s="1">
        <v>34.0</v>
      </c>
      <c r="AK116" s="1">
        <v>263.0</v>
      </c>
      <c r="AL116" s="1">
        <v>1.0</v>
      </c>
      <c r="AM116" s="1">
        <v>60.0</v>
      </c>
      <c r="AN116" s="1">
        <v>27.0</v>
      </c>
      <c r="AO116" s="1">
        <v>0.0</v>
      </c>
      <c r="AP116" s="1">
        <v>0.0</v>
      </c>
      <c r="AQ116" s="1">
        <v>5.0</v>
      </c>
      <c r="AR116" s="1">
        <v>3.0</v>
      </c>
      <c r="AS116" s="1">
        <v>1.0</v>
      </c>
    </row>
    <row r="117" hidden="1">
      <c r="A117" s="1">
        <v>280.0</v>
      </c>
      <c r="B117" s="1" t="s">
        <v>1217</v>
      </c>
      <c r="C117" s="1" t="s">
        <v>1218</v>
      </c>
      <c r="D117" s="1" t="s">
        <v>1115</v>
      </c>
      <c r="E117" s="1" t="s">
        <v>43</v>
      </c>
      <c r="F117" s="2">
        <v>20687.0</v>
      </c>
      <c r="G117" s="1">
        <f t="shared" si="1"/>
        <v>69</v>
      </c>
      <c r="H117" s="1" t="s">
        <v>1219</v>
      </c>
      <c r="I117" s="1" t="str">
        <f>IFERROR(__xludf.DUMMYFUNCTION("SPLIT(left(H117,len(H117)-1),""("")"),"Clichy ")</f>
        <v>Clichy </v>
      </c>
      <c r="J117" s="1" t="str">
        <f>IFERROR(__xludf.DUMMYFUNCTION("""COMPUTED_VALUE"""),"Hauts-de-Seine")</f>
        <v>Hauts-de-Seine</v>
      </c>
      <c r="K117" s="1" t="str">
        <f>IFERROR(__xludf.DUMMYFUNCTION("IF( COUNTA( IFERROR( FILTER('départements_edition'!$C$2:$C$102 , 'départements_edition'!$C$2:$C$102=J117 ) ) ) , ""Oui"" , ""Non"" )"),"Oui")</f>
        <v>Oui</v>
      </c>
      <c r="L117" s="1" t="str">
        <f t="shared" si="2"/>
        <v>France</v>
      </c>
      <c r="M117" s="1">
        <v>21.0</v>
      </c>
      <c r="N117" s="1" t="s">
        <v>1220</v>
      </c>
      <c r="O117" s="1">
        <v>1.0</v>
      </c>
      <c r="P117" s="2">
        <v>42907.0</v>
      </c>
      <c r="R117" s="1">
        <v>0.0</v>
      </c>
      <c r="S117" s="1" t="s">
        <v>75</v>
      </c>
      <c r="T117" s="1" t="s">
        <v>76</v>
      </c>
      <c r="U117" s="1" t="s">
        <v>1221</v>
      </c>
      <c r="X117" s="1" t="s">
        <v>1222</v>
      </c>
      <c r="Y117" s="1">
        <v>366.0</v>
      </c>
      <c r="Z117" s="3" t="s">
        <v>1223</v>
      </c>
      <c r="AA117" s="1">
        <v>719154.0</v>
      </c>
      <c r="AB117" s="1" t="s">
        <v>1224</v>
      </c>
      <c r="AC117" s="3" t="s">
        <v>1225</v>
      </c>
      <c r="AD117" s="3" t="s">
        <v>1226</v>
      </c>
      <c r="AE117" s="1">
        <v>2.0</v>
      </c>
      <c r="AF117" s="1" t="s">
        <v>1227</v>
      </c>
      <c r="AG117" s="1">
        <v>23.0</v>
      </c>
      <c r="AH117" s="1">
        <v>54.0</v>
      </c>
      <c r="AI117" s="1">
        <v>34.0</v>
      </c>
      <c r="AJ117" s="1">
        <v>11.0</v>
      </c>
      <c r="AK117" s="1">
        <v>0.0</v>
      </c>
      <c r="AL117" s="1">
        <v>11.0</v>
      </c>
      <c r="AM117" s="1">
        <v>81.0</v>
      </c>
      <c r="AN117" s="1">
        <v>37.0</v>
      </c>
      <c r="AO117" s="1">
        <v>1.0</v>
      </c>
      <c r="AP117" s="1">
        <v>0.0</v>
      </c>
      <c r="AQ117" s="1">
        <v>5.0</v>
      </c>
      <c r="AR117" s="1">
        <v>2.0</v>
      </c>
      <c r="AS117" s="1">
        <v>1.0</v>
      </c>
    </row>
    <row r="118" hidden="1">
      <c r="A118" s="1">
        <v>200.0</v>
      </c>
      <c r="B118" s="1" t="s">
        <v>1228</v>
      </c>
      <c r="C118" s="1" t="s">
        <v>1229</v>
      </c>
      <c r="D118" s="1" t="s">
        <v>183</v>
      </c>
      <c r="E118" s="1" t="s">
        <v>43</v>
      </c>
      <c r="F118" s="2">
        <v>19760.0</v>
      </c>
      <c r="G118" s="1">
        <f t="shared" si="1"/>
        <v>72</v>
      </c>
      <c r="H118" s="1" t="s">
        <v>1230</v>
      </c>
      <c r="I118" s="1" t="str">
        <f>IFERROR(__xludf.DUMMYFUNCTION("SPLIT(left(H118,len(H118)-1),""("")"),"La Garde ")</f>
        <v>La Garde </v>
      </c>
      <c r="J118" s="1" t="str">
        <f>IFERROR(__xludf.DUMMYFUNCTION("""COMPUTED_VALUE"""),"Var")</f>
        <v>Var</v>
      </c>
      <c r="K118" s="1" t="str">
        <f>IFERROR(__xludf.DUMMYFUNCTION("IF( COUNTA( IFERROR( FILTER('départements_edition'!$C$2:$C$102 , 'départements_edition'!$C$2:$C$102=J118 ) ) ) , ""Oui"" , ""Non"" )"),"Oui")</f>
        <v>Oui</v>
      </c>
      <c r="L118" s="1" t="str">
        <f t="shared" si="2"/>
        <v>France</v>
      </c>
      <c r="M118" s="1">
        <v>83.0</v>
      </c>
      <c r="N118" s="1" t="s">
        <v>1231</v>
      </c>
      <c r="O118" s="1">
        <v>3.0</v>
      </c>
      <c r="P118" s="2">
        <v>42907.0</v>
      </c>
      <c r="R118" s="1">
        <v>0.0</v>
      </c>
      <c r="S118" s="1" t="s">
        <v>61</v>
      </c>
      <c r="T118" s="1" t="s">
        <v>62</v>
      </c>
      <c r="U118" s="3" t="s">
        <v>1232</v>
      </c>
      <c r="X118" s="1" t="s">
        <v>1233</v>
      </c>
      <c r="Y118" s="1">
        <v>152.0</v>
      </c>
      <c r="Z118" s="3" t="s">
        <v>1234</v>
      </c>
      <c r="AA118" s="1">
        <v>346218.0</v>
      </c>
      <c r="AB118" s="1" t="s">
        <v>1235</v>
      </c>
      <c r="AC118" s="3" t="s">
        <v>1236</v>
      </c>
      <c r="AD118" s="3" t="s">
        <v>1237</v>
      </c>
      <c r="AE118" s="1">
        <v>2.0</v>
      </c>
      <c r="AG118" s="1">
        <v>23.0</v>
      </c>
      <c r="AH118" s="1">
        <v>37.0</v>
      </c>
      <c r="AI118" s="1">
        <v>47.0</v>
      </c>
      <c r="AJ118" s="1">
        <v>41.0</v>
      </c>
      <c r="AK118" s="1">
        <v>4.0</v>
      </c>
      <c r="AL118" s="1">
        <v>113.0</v>
      </c>
      <c r="AM118" s="1">
        <v>1087.0</v>
      </c>
      <c r="AN118" s="1">
        <v>27.0</v>
      </c>
      <c r="AO118" s="1">
        <v>0.0</v>
      </c>
      <c r="AP118" s="1">
        <v>7.0</v>
      </c>
      <c r="AQ118" s="1">
        <v>44.0</v>
      </c>
      <c r="AR118" s="1">
        <v>31.0</v>
      </c>
      <c r="AS118" s="1">
        <v>2.0</v>
      </c>
    </row>
    <row r="119" hidden="1">
      <c r="A119" s="1">
        <v>88.0</v>
      </c>
      <c r="B119" s="1" t="s">
        <v>1248</v>
      </c>
      <c r="C119" s="1" t="s">
        <v>1249</v>
      </c>
      <c r="D119" s="1" t="s">
        <v>1250</v>
      </c>
      <c r="E119" s="1" t="s">
        <v>58</v>
      </c>
      <c r="F119" s="2">
        <v>25065.0</v>
      </c>
      <c r="G119" s="1">
        <f t="shared" si="1"/>
        <v>58</v>
      </c>
      <c r="H119" s="1" t="s">
        <v>1251</v>
      </c>
      <c r="I119" s="1" t="str">
        <f>IFERROR(__xludf.DUMMYFUNCTION("SPLIT(left(H119,len(H119)-1),""("")"),"Lille ")</f>
        <v>Lille </v>
      </c>
      <c r="J119" s="1" t="str">
        <f>IFERROR(__xludf.DUMMYFUNCTION("""COMPUTED_VALUE"""),"Nord")</f>
        <v>Nord</v>
      </c>
      <c r="K119" s="1" t="str">
        <f>IFERROR(__xludf.DUMMYFUNCTION("IF( COUNTA( IFERROR( FILTER('départements_edition'!$C$2:$C$102 , 'départements_edition'!$C$2:$C$102=J119 ) ) ) , ""Oui"" , ""Non"" )"),"Oui")</f>
        <v>Oui</v>
      </c>
      <c r="L119" s="1" t="str">
        <f t="shared" si="2"/>
        <v>France</v>
      </c>
      <c r="M119" s="1">
        <v>34.0</v>
      </c>
      <c r="N119" s="1" t="s">
        <v>1252</v>
      </c>
      <c r="O119" s="1">
        <v>6.0</v>
      </c>
      <c r="P119" s="2">
        <v>42907.0</v>
      </c>
      <c r="R119" s="1">
        <v>0.0</v>
      </c>
      <c r="S119" s="1" t="s">
        <v>814</v>
      </c>
      <c r="T119" s="1" t="s">
        <v>837</v>
      </c>
      <c r="U119" s="1" t="s">
        <v>1253</v>
      </c>
      <c r="X119" s="1" t="s">
        <v>1254</v>
      </c>
      <c r="Y119" s="1">
        <v>68.0</v>
      </c>
      <c r="Z119" s="3" t="s">
        <v>1255</v>
      </c>
      <c r="AA119" s="1">
        <v>719608.0</v>
      </c>
      <c r="AB119" s="1" t="s">
        <v>1256</v>
      </c>
      <c r="AC119" s="3" t="s">
        <v>1257</v>
      </c>
      <c r="AD119" s="3" t="s">
        <v>1258</v>
      </c>
      <c r="AE119" s="1">
        <v>1.0</v>
      </c>
      <c r="AF119" s="1" t="s">
        <v>1259</v>
      </c>
      <c r="AG119" s="1">
        <v>23.0</v>
      </c>
      <c r="AH119" s="1">
        <v>35.0</v>
      </c>
      <c r="AI119" s="1">
        <v>32.0</v>
      </c>
      <c r="AJ119" s="1">
        <v>275.0</v>
      </c>
      <c r="AK119" s="1">
        <v>95.0</v>
      </c>
      <c r="AL119" s="1">
        <v>204.0</v>
      </c>
      <c r="AM119" s="1">
        <v>221.0</v>
      </c>
      <c r="AN119" s="1">
        <v>0.0</v>
      </c>
      <c r="AO119" s="1">
        <v>0.0</v>
      </c>
      <c r="AP119" s="1">
        <v>1.0</v>
      </c>
      <c r="AQ119" s="1">
        <v>8.0</v>
      </c>
      <c r="AR119" s="1">
        <v>19.0</v>
      </c>
      <c r="AS119" s="1">
        <v>8.0</v>
      </c>
    </row>
    <row r="120" hidden="1">
      <c r="A120" s="1">
        <v>418.0</v>
      </c>
      <c r="B120" s="1" t="s">
        <v>1260</v>
      </c>
      <c r="C120" s="1" t="s">
        <v>1261</v>
      </c>
      <c r="D120" s="1" t="s">
        <v>1262</v>
      </c>
      <c r="E120" s="1" t="s">
        <v>43</v>
      </c>
      <c r="F120" s="2">
        <v>31475.0</v>
      </c>
      <c r="G120" s="1">
        <f t="shared" si="1"/>
        <v>40</v>
      </c>
      <c r="H120" s="1" t="s">
        <v>1263</v>
      </c>
      <c r="I120" s="1" t="str">
        <f>IFERROR(__xludf.DUMMYFUNCTION("SPLIT(left(H120,len(H120)-1),""("")"),"Barbezieux-Saint-Hilaire ")</f>
        <v>Barbezieux-Saint-Hilaire </v>
      </c>
      <c r="J120" s="1" t="str">
        <f>IFERROR(__xludf.DUMMYFUNCTION("""COMPUTED_VALUE"""),"Charente")</f>
        <v>Charente</v>
      </c>
      <c r="K120" s="1" t="str">
        <f>IFERROR(__xludf.DUMMYFUNCTION("IF( COUNTA( IFERROR( FILTER('départements_edition'!$C$2:$C$102 , 'départements_edition'!$C$2:$C$102=J120 ) ) ) , ""Oui"" , ""Non"" )"),"Oui")</f>
        <v>Oui</v>
      </c>
      <c r="L120" s="1" t="str">
        <f t="shared" si="2"/>
        <v>France</v>
      </c>
      <c r="M120" s="1">
        <v>16.0</v>
      </c>
      <c r="N120" s="1" t="s">
        <v>1264</v>
      </c>
      <c r="O120" s="1">
        <v>1.0</v>
      </c>
      <c r="P120" s="2">
        <v>42907.0</v>
      </c>
      <c r="R120" s="1">
        <v>0.0</v>
      </c>
      <c r="S120" s="1" t="s">
        <v>75</v>
      </c>
      <c r="T120" s="1" t="s">
        <v>76</v>
      </c>
      <c r="U120" s="1" t="s">
        <v>1265</v>
      </c>
      <c r="X120" s="1" t="s">
        <v>151</v>
      </c>
      <c r="Y120" s="1">
        <v>353.0</v>
      </c>
      <c r="Z120" s="3" t="s">
        <v>1266</v>
      </c>
      <c r="AA120" s="1">
        <v>719072.0</v>
      </c>
      <c r="AB120" s="1" t="s">
        <v>1267</v>
      </c>
      <c r="AC120" s="3" t="s">
        <v>1268</v>
      </c>
      <c r="AD120" s="3" t="s">
        <v>1269</v>
      </c>
      <c r="AE120" s="1">
        <v>1.0</v>
      </c>
      <c r="AF120" s="1" t="s">
        <v>1270</v>
      </c>
      <c r="AG120" s="1">
        <v>23.0</v>
      </c>
      <c r="AH120" s="1">
        <v>48.0</v>
      </c>
      <c r="AI120" s="1">
        <v>36.0</v>
      </c>
      <c r="AJ120" s="1">
        <v>59.0</v>
      </c>
      <c r="AK120" s="1">
        <v>19.0</v>
      </c>
      <c r="AL120" s="1">
        <v>38.0</v>
      </c>
      <c r="AM120" s="1">
        <v>71.0</v>
      </c>
      <c r="AN120" s="1">
        <v>30.0</v>
      </c>
      <c r="AO120" s="1">
        <v>2.0</v>
      </c>
      <c r="AP120" s="1">
        <v>0.0</v>
      </c>
      <c r="AQ120" s="1">
        <v>5.0</v>
      </c>
      <c r="AR120" s="1">
        <v>8.0</v>
      </c>
      <c r="AS120" s="1">
        <v>1.0</v>
      </c>
    </row>
    <row r="121" hidden="1">
      <c r="A121" s="1">
        <v>373.0</v>
      </c>
      <c r="B121" s="1" t="s">
        <v>1271</v>
      </c>
      <c r="C121" s="1" t="s">
        <v>1272</v>
      </c>
      <c r="D121" s="1" t="s">
        <v>413</v>
      </c>
      <c r="E121" s="1" t="s">
        <v>43</v>
      </c>
      <c r="F121" s="2">
        <v>22155.0</v>
      </c>
      <c r="G121" s="1">
        <f t="shared" si="1"/>
        <v>65</v>
      </c>
      <c r="H121" s="1" t="s">
        <v>1273</v>
      </c>
      <c r="I121" s="1" t="str">
        <f>IFERROR(__xludf.DUMMYFUNCTION("SPLIT(left(H121,len(H121)-1),""("")"),"Strasbourg ")</f>
        <v>Strasbourg </v>
      </c>
      <c r="J121" s="1" t="str">
        <f>IFERROR(__xludf.DUMMYFUNCTION("""COMPUTED_VALUE"""),"Bas-Rhin")</f>
        <v>Bas-Rhin</v>
      </c>
      <c r="K121" s="1" t="str">
        <f>IFERROR(__xludf.DUMMYFUNCTION("IF( COUNTA( IFERROR( FILTER('départements_edition'!$C$2:$C$102 , 'départements_edition'!$C$2:$C$102=J121 ) ) ) , ""Oui"" , ""Non"" )"),"Oui")</f>
        <v>Oui</v>
      </c>
      <c r="L121" s="1" t="str">
        <f t="shared" si="2"/>
        <v>France</v>
      </c>
      <c r="M121" s="1">
        <v>67.0</v>
      </c>
      <c r="N121" s="1" t="s">
        <v>244</v>
      </c>
      <c r="O121" s="1">
        <v>1.0</v>
      </c>
      <c r="P121" s="2">
        <v>42907.0</v>
      </c>
      <c r="R121" s="1">
        <v>0.0</v>
      </c>
      <c r="S121" s="1" t="s">
        <v>75</v>
      </c>
      <c r="T121" s="1" t="s">
        <v>76</v>
      </c>
      <c r="U121" s="1" t="s">
        <v>1274</v>
      </c>
      <c r="X121" s="1" t="s">
        <v>234</v>
      </c>
      <c r="Y121" s="1">
        <v>445.0</v>
      </c>
      <c r="Z121" s="3" t="s">
        <v>1275</v>
      </c>
      <c r="AA121" s="1">
        <v>720738.0</v>
      </c>
      <c r="AB121" s="1" t="s">
        <v>1276</v>
      </c>
      <c r="AC121" s="3" t="s">
        <v>1277</v>
      </c>
      <c r="AD121" s="3" t="s">
        <v>1278</v>
      </c>
      <c r="AE121" s="1">
        <v>1.0</v>
      </c>
      <c r="AF121" s="1" t="s">
        <v>1279</v>
      </c>
      <c r="AG121" s="1">
        <v>23.0</v>
      </c>
      <c r="AH121" s="1">
        <v>63.0</v>
      </c>
      <c r="AI121" s="1">
        <v>34.0</v>
      </c>
      <c r="AJ121" s="1">
        <v>6.0</v>
      </c>
      <c r="AK121" s="1">
        <v>0.0</v>
      </c>
      <c r="AL121" s="1">
        <v>1.0</v>
      </c>
      <c r="AM121" s="1">
        <v>58.0</v>
      </c>
      <c r="AN121" s="1">
        <v>25.0</v>
      </c>
      <c r="AO121" s="1">
        <v>1.0</v>
      </c>
      <c r="AP121" s="1">
        <v>1.0</v>
      </c>
      <c r="AQ121" s="1">
        <v>6.0</v>
      </c>
      <c r="AR121" s="1">
        <v>0.0</v>
      </c>
      <c r="AS121" s="1">
        <v>1.0</v>
      </c>
    </row>
    <row r="122" hidden="1">
      <c r="A122" s="1">
        <v>119.0</v>
      </c>
      <c r="B122" s="1" t="s">
        <v>1280</v>
      </c>
      <c r="C122" s="1" t="s">
        <v>1281</v>
      </c>
      <c r="D122" s="1" t="s">
        <v>1282</v>
      </c>
      <c r="E122" s="1" t="s">
        <v>43</v>
      </c>
      <c r="F122" s="2">
        <v>33203.0</v>
      </c>
      <c r="G122" s="1">
        <f t="shared" si="1"/>
        <v>35</v>
      </c>
      <c r="H122" s="1" t="s">
        <v>404</v>
      </c>
      <c r="I122" s="1" t="str">
        <f>IFERROR(__xludf.DUMMYFUNCTION("SPLIT(left(H122,len(H122)-1),""("")"),"Toulouse ")</f>
        <v>Toulouse </v>
      </c>
      <c r="J122" s="1" t="str">
        <f>IFERROR(__xludf.DUMMYFUNCTION("""COMPUTED_VALUE"""),"Haute-Garonne")</f>
        <v>Haute-Garonne</v>
      </c>
      <c r="K122" s="1" t="str">
        <f>IFERROR(__xludf.DUMMYFUNCTION("IF( COUNTA( IFERROR( FILTER('départements_edition'!$C$2:$C$102 , 'départements_edition'!$C$2:$C$102=J122 ) ) ) , ""Oui"" , ""Non"" )"),"Oui")</f>
        <v>Oui</v>
      </c>
      <c r="L122" s="1" t="str">
        <f t="shared" si="2"/>
        <v>France</v>
      </c>
      <c r="M122" s="1">
        <v>31.0</v>
      </c>
      <c r="N122" s="1" t="s">
        <v>360</v>
      </c>
      <c r="O122" s="1">
        <v>4.0</v>
      </c>
      <c r="P122" s="2">
        <v>42907.0</v>
      </c>
      <c r="R122" s="1">
        <v>0.0</v>
      </c>
      <c r="S122" s="1" t="s">
        <v>75</v>
      </c>
      <c r="T122" s="1" t="s">
        <v>76</v>
      </c>
      <c r="U122" s="1" t="s">
        <v>1283</v>
      </c>
      <c r="X122" s="1" t="s">
        <v>293</v>
      </c>
      <c r="Y122" s="1">
        <v>548.0</v>
      </c>
      <c r="Z122" s="3" t="s">
        <v>1284</v>
      </c>
      <c r="AA122" s="1">
        <v>719520.0</v>
      </c>
      <c r="AB122" s="1" t="s">
        <v>1285</v>
      </c>
      <c r="AC122" s="3" t="s">
        <v>1286</v>
      </c>
      <c r="AD122" s="3" t="s">
        <v>1287</v>
      </c>
      <c r="AE122" s="1">
        <v>1.0</v>
      </c>
      <c r="AF122" s="1" t="s">
        <v>1288</v>
      </c>
      <c r="AG122" s="1">
        <v>23.0</v>
      </c>
      <c r="AH122" s="1">
        <v>45.0</v>
      </c>
      <c r="AI122" s="1">
        <v>23.0</v>
      </c>
      <c r="AJ122" s="1">
        <v>14.0</v>
      </c>
      <c r="AK122" s="1">
        <v>11.0</v>
      </c>
      <c r="AL122" s="1">
        <v>3.0</v>
      </c>
      <c r="AM122" s="1">
        <v>55.0</v>
      </c>
      <c r="AN122" s="1">
        <v>26.0</v>
      </c>
      <c r="AO122" s="1">
        <v>0.0</v>
      </c>
      <c r="AP122" s="1">
        <v>0.0</v>
      </c>
      <c r="AQ122" s="1">
        <v>5.0</v>
      </c>
      <c r="AR122" s="1">
        <v>0.0</v>
      </c>
      <c r="AS122" s="1">
        <v>2.0</v>
      </c>
    </row>
    <row r="123" hidden="1">
      <c r="A123" s="1">
        <v>39.0</v>
      </c>
      <c r="B123" s="1" t="s">
        <v>1289</v>
      </c>
      <c r="C123" s="1" t="s">
        <v>1290</v>
      </c>
      <c r="D123" s="1" t="s">
        <v>629</v>
      </c>
      <c r="E123" s="1" t="s">
        <v>58</v>
      </c>
      <c r="F123" s="2">
        <v>27008.0</v>
      </c>
      <c r="G123" s="1">
        <f t="shared" si="1"/>
        <v>52</v>
      </c>
      <c r="H123" s="1" t="s">
        <v>1291</v>
      </c>
      <c r="I123" s="1" t="str">
        <f>IFERROR(__xludf.DUMMYFUNCTION("SPLIT(left(H123,len(H123)-1),""("")"),"Nantes ")</f>
        <v>Nantes </v>
      </c>
      <c r="J123" s="1" t="str">
        <f>IFERROR(__xludf.DUMMYFUNCTION("""COMPUTED_VALUE"""),"Loire-Atlantique")</f>
        <v>Loire-Atlantique</v>
      </c>
      <c r="K123" s="1" t="str">
        <f>IFERROR(__xludf.DUMMYFUNCTION("IF( COUNTA( IFERROR( FILTER('départements_edition'!$C$2:$C$102 , 'départements_edition'!$C$2:$C$102=J123 ) ) ) , ""Oui"" , ""Non"" )"),"Oui")</f>
        <v>Oui</v>
      </c>
      <c r="L123" s="1" t="str">
        <f t="shared" si="2"/>
        <v>France</v>
      </c>
      <c r="M123" s="1">
        <v>44.0</v>
      </c>
      <c r="N123" s="1" t="s">
        <v>492</v>
      </c>
      <c r="O123" s="1">
        <v>2.0</v>
      </c>
      <c r="P123" s="2">
        <v>42907.0</v>
      </c>
      <c r="R123" s="1">
        <v>0.0</v>
      </c>
      <c r="S123" s="1" t="s">
        <v>75</v>
      </c>
      <c r="T123" s="1" t="s">
        <v>76</v>
      </c>
      <c r="U123" s="1" t="s">
        <v>1292</v>
      </c>
      <c r="X123" s="1" t="s">
        <v>1293</v>
      </c>
      <c r="Y123" s="1">
        <v>614.0</v>
      </c>
      <c r="Z123" s="3" t="s">
        <v>1294</v>
      </c>
      <c r="AA123" s="1">
        <v>720108.0</v>
      </c>
      <c r="AB123" s="1" t="s">
        <v>1295</v>
      </c>
      <c r="AC123" s="3" t="s">
        <v>1296</v>
      </c>
      <c r="AD123" s="3" t="s">
        <v>1297</v>
      </c>
      <c r="AE123" s="1">
        <v>1.0</v>
      </c>
      <c r="AF123" s="1" t="s">
        <v>1298</v>
      </c>
      <c r="AG123" s="1">
        <v>23.0</v>
      </c>
      <c r="AH123" s="1">
        <v>37.0</v>
      </c>
      <c r="AI123" s="1">
        <v>10.0</v>
      </c>
      <c r="AJ123" s="1">
        <v>2.0</v>
      </c>
      <c r="AK123" s="1">
        <v>0.0</v>
      </c>
      <c r="AL123" s="1">
        <v>0.0</v>
      </c>
      <c r="AM123" s="1">
        <v>51.0</v>
      </c>
      <c r="AN123" s="1">
        <v>26.0</v>
      </c>
      <c r="AO123" s="1">
        <v>0.0</v>
      </c>
      <c r="AP123" s="1">
        <v>0.0</v>
      </c>
      <c r="AQ123" s="1">
        <v>5.0</v>
      </c>
      <c r="AR123" s="1">
        <v>1.0</v>
      </c>
      <c r="AS123" s="1">
        <v>1.0</v>
      </c>
    </row>
    <row r="124" hidden="1">
      <c r="A124" s="1">
        <v>525.0</v>
      </c>
      <c r="B124" s="1" t="s">
        <v>1299</v>
      </c>
      <c r="C124" s="1" t="s">
        <v>1300</v>
      </c>
      <c r="D124" s="1" t="s">
        <v>1301</v>
      </c>
      <c r="E124" s="1" t="s">
        <v>43</v>
      </c>
      <c r="F124" s="2">
        <v>26636.0</v>
      </c>
      <c r="G124" s="1">
        <f t="shared" si="1"/>
        <v>53</v>
      </c>
      <c r="H124" s="1" t="s">
        <v>1302</v>
      </c>
      <c r="I124" s="1" t="str">
        <f>IFERROR(__xludf.DUMMYFUNCTION("SPLIT(left(H124,len(H124)-1),""("")"),"Saint-Nazaire ")</f>
        <v>Saint-Nazaire </v>
      </c>
      <c r="J124" s="1" t="str">
        <f>IFERROR(__xludf.DUMMYFUNCTION("""COMPUTED_VALUE"""),"Loire-Atlantique")</f>
        <v>Loire-Atlantique</v>
      </c>
      <c r="K124" s="1" t="str">
        <f>IFERROR(__xludf.DUMMYFUNCTION("IF( COUNTA( IFERROR( FILTER('départements_edition'!$C$2:$C$102 , 'départements_edition'!$C$2:$C$102=J124 ) ) ) , ""Oui"" , ""Non"" )"),"Oui")</f>
        <v>Oui</v>
      </c>
      <c r="L124" s="1" t="str">
        <f t="shared" si="2"/>
        <v>France</v>
      </c>
      <c r="M124" s="1">
        <v>49.0</v>
      </c>
      <c r="N124" s="1" t="s">
        <v>220</v>
      </c>
      <c r="O124" s="1">
        <v>1.0</v>
      </c>
      <c r="P124" s="2">
        <v>42907.0</v>
      </c>
      <c r="R124" s="1">
        <v>0.0</v>
      </c>
      <c r="S124" s="1" t="s">
        <v>75</v>
      </c>
      <c r="T124" s="1" t="s">
        <v>76</v>
      </c>
      <c r="U124" s="1" t="s">
        <v>1303</v>
      </c>
      <c r="X124" s="1" t="s">
        <v>1037</v>
      </c>
      <c r="Y124" s="1">
        <v>428.0</v>
      </c>
      <c r="Z124" s="3" t="s">
        <v>1304</v>
      </c>
      <c r="AA124" s="1">
        <v>720278.0</v>
      </c>
      <c r="AB124" s="1" t="s">
        <v>1305</v>
      </c>
      <c r="AC124" s="3" t="s">
        <v>1306</v>
      </c>
      <c r="AD124" s="3" t="s">
        <v>1307</v>
      </c>
      <c r="AE124" s="1">
        <v>1.0</v>
      </c>
      <c r="AF124" s="1" t="s">
        <v>1308</v>
      </c>
      <c r="AG124" s="1">
        <v>23.0</v>
      </c>
      <c r="AH124" s="1">
        <v>50.0</v>
      </c>
      <c r="AI124" s="1">
        <v>61.0</v>
      </c>
      <c r="AJ124" s="1">
        <v>67.0</v>
      </c>
      <c r="AK124" s="1">
        <v>14.0</v>
      </c>
      <c r="AL124" s="1">
        <v>65.0</v>
      </c>
      <c r="AM124" s="1">
        <v>119.0</v>
      </c>
      <c r="AN124" s="1">
        <v>47.0</v>
      </c>
      <c r="AO124" s="1">
        <v>0.0</v>
      </c>
      <c r="AP124" s="1">
        <v>0.0</v>
      </c>
      <c r="AQ124" s="1">
        <v>5.0</v>
      </c>
      <c r="AR124" s="1">
        <v>15.0</v>
      </c>
      <c r="AS124" s="1">
        <v>2.0</v>
      </c>
    </row>
    <row r="125" hidden="1">
      <c r="A125" s="1">
        <v>97.0</v>
      </c>
      <c r="B125" s="1" t="s">
        <v>1309</v>
      </c>
      <c r="C125" s="1" t="s">
        <v>1310</v>
      </c>
      <c r="D125" s="1" t="s">
        <v>265</v>
      </c>
      <c r="E125" s="1" t="s">
        <v>58</v>
      </c>
      <c r="F125" s="2">
        <v>27067.0</v>
      </c>
      <c r="G125" s="1">
        <f t="shared" si="1"/>
        <v>52</v>
      </c>
      <c r="H125" s="1" t="s">
        <v>1311</v>
      </c>
      <c r="I125" s="1" t="str">
        <f>IFERROR(__xludf.DUMMYFUNCTION("SPLIT(left(H125,len(H125)-1),""("")"),"Croix ")</f>
        <v>Croix </v>
      </c>
      <c r="J125" s="1" t="str">
        <f>IFERROR(__xludf.DUMMYFUNCTION("""COMPUTED_VALUE"""),"Nord")</f>
        <v>Nord</v>
      </c>
      <c r="K125" s="1" t="str">
        <f>IFERROR(__xludf.DUMMYFUNCTION("IF( COUNTA( IFERROR( FILTER('départements_edition'!$C$2:$C$102 , 'départements_edition'!$C$2:$C$102=J125 ) ) ) , ""Oui"" , ""Non"" )"),"Oui")</f>
        <v>Oui</v>
      </c>
      <c r="L125" s="1" t="str">
        <f t="shared" si="2"/>
        <v>France</v>
      </c>
      <c r="M125" s="1">
        <v>59.0</v>
      </c>
      <c r="N125" s="1" t="s">
        <v>172</v>
      </c>
      <c r="O125" s="1">
        <v>8.0</v>
      </c>
      <c r="P125" s="2">
        <v>42907.0</v>
      </c>
      <c r="R125" s="1">
        <v>0.0</v>
      </c>
      <c r="S125" s="1" t="s">
        <v>75</v>
      </c>
      <c r="T125" s="1" t="s">
        <v>76</v>
      </c>
      <c r="U125" s="3" t="s">
        <v>1312</v>
      </c>
      <c r="X125" s="1" t="s">
        <v>1313</v>
      </c>
      <c r="Y125" s="1">
        <v>570.0</v>
      </c>
      <c r="Z125" s="3" t="s">
        <v>1314</v>
      </c>
      <c r="AA125" s="1">
        <v>720492.0</v>
      </c>
      <c r="AB125" s="1" t="s">
        <v>1315</v>
      </c>
      <c r="AC125" s="3" t="s">
        <v>1316</v>
      </c>
      <c r="AD125" s="3" t="s">
        <v>1317</v>
      </c>
      <c r="AE125" s="1">
        <v>1.0</v>
      </c>
      <c r="AF125" s="1" t="s">
        <v>1318</v>
      </c>
      <c r="AG125" s="1">
        <v>23.0</v>
      </c>
      <c r="AH125" s="1">
        <v>54.0</v>
      </c>
      <c r="AI125" s="1">
        <v>5.0</v>
      </c>
      <c r="AJ125" s="1">
        <v>18.0</v>
      </c>
      <c r="AK125" s="1">
        <v>1.0</v>
      </c>
      <c r="AL125" s="1">
        <v>0.0</v>
      </c>
      <c r="AM125" s="1">
        <v>150.0</v>
      </c>
      <c r="AN125" s="1">
        <v>103.0</v>
      </c>
      <c r="AO125" s="1">
        <v>1.0</v>
      </c>
      <c r="AP125" s="1">
        <v>0.0</v>
      </c>
      <c r="AQ125" s="1">
        <v>5.0</v>
      </c>
      <c r="AR125" s="1">
        <v>12.0</v>
      </c>
      <c r="AS125" s="1">
        <v>1.0</v>
      </c>
    </row>
    <row r="126" hidden="1">
      <c r="A126" s="1">
        <v>550.0</v>
      </c>
      <c r="B126" s="1" t="s">
        <v>1319</v>
      </c>
      <c r="C126" s="1" t="s">
        <v>1320</v>
      </c>
      <c r="D126" s="1" t="s">
        <v>86</v>
      </c>
      <c r="E126" s="1" t="s">
        <v>43</v>
      </c>
      <c r="F126" s="2">
        <v>26646.0</v>
      </c>
      <c r="G126" s="1">
        <f t="shared" si="1"/>
        <v>53</v>
      </c>
      <c r="H126" s="1" t="s">
        <v>1321</v>
      </c>
      <c r="I126" s="1" t="str">
        <f>IFERROR(__xludf.DUMMYFUNCTION("SPLIT(left(H126,len(H126)-1),""("")"),"Villerupt ")</f>
        <v>Villerupt </v>
      </c>
      <c r="J126" s="1" t="str">
        <f>IFERROR(__xludf.DUMMYFUNCTION("""COMPUTED_VALUE"""),"Meurthe-et-Moselle")</f>
        <v>Meurthe-et-Moselle</v>
      </c>
      <c r="K126" s="1" t="str">
        <f>IFERROR(__xludf.DUMMYFUNCTION("IF( COUNTA( IFERROR( FILTER('départements_edition'!$C$2:$C$102 , 'départements_edition'!$C$2:$C$102=J126 ) ) ) , ""Oui"" , ""Non"" )"),"Oui")</f>
        <v>Oui</v>
      </c>
      <c r="L126" s="1" t="str">
        <f t="shared" si="2"/>
        <v>France</v>
      </c>
      <c r="M126" s="1">
        <v>54.0</v>
      </c>
      <c r="N126" s="1" t="s">
        <v>160</v>
      </c>
      <c r="O126" s="1">
        <v>3.0</v>
      </c>
      <c r="P126" s="2">
        <v>42907.0</v>
      </c>
      <c r="R126" s="1">
        <v>0.0</v>
      </c>
      <c r="S126" s="1" t="s">
        <v>75</v>
      </c>
      <c r="T126" s="1" t="s">
        <v>76</v>
      </c>
      <c r="U126" s="1" t="s">
        <v>1322</v>
      </c>
      <c r="X126" s="1" t="s">
        <v>967</v>
      </c>
      <c r="Y126" s="1">
        <v>541.0</v>
      </c>
      <c r="Z126" s="3" t="s">
        <v>1323</v>
      </c>
      <c r="AA126" s="1">
        <v>720402.0</v>
      </c>
      <c r="AB126" s="1" t="s">
        <v>1324</v>
      </c>
      <c r="AC126" s="3" t="s">
        <v>1325</v>
      </c>
      <c r="AD126" s="3" t="s">
        <v>1326</v>
      </c>
      <c r="AE126" s="1">
        <v>1.0</v>
      </c>
      <c r="AF126" s="1" t="s">
        <v>1327</v>
      </c>
      <c r="AG126" s="1">
        <v>23.0</v>
      </c>
      <c r="AH126" s="1">
        <v>45.0</v>
      </c>
      <c r="AI126" s="1">
        <v>17.0</v>
      </c>
      <c r="AJ126" s="1">
        <v>22.0</v>
      </c>
      <c r="AK126" s="1">
        <v>0.0</v>
      </c>
      <c r="AL126" s="1">
        <v>2.0</v>
      </c>
      <c r="AM126" s="1">
        <v>154.0</v>
      </c>
      <c r="AN126" s="1">
        <v>104.0</v>
      </c>
      <c r="AO126" s="1">
        <v>0.0</v>
      </c>
      <c r="AP126" s="1">
        <v>0.0</v>
      </c>
      <c r="AQ126" s="1">
        <v>5.0</v>
      </c>
      <c r="AR126" s="1">
        <v>21.0</v>
      </c>
      <c r="AS126" s="1">
        <v>1.0</v>
      </c>
    </row>
    <row r="127" hidden="1">
      <c r="A127" s="1">
        <v>348.0</v>
      </c>
      <c r="B127" s="1" t="s">
        <v>1328</v>
      </c>
      <c r="C127" s="1" t="s">
        <v>1329</v>
      </c>
      <c r="D127" s="1" t="s">
        <v>1330</v>
      </c>
      <c r="E127" s="1" t="s">
        <v>58</v>
      </c>
      <c r="F127" s="2">
        <v>32523.0</v>
      </c>
      <c r="G127" s="1">
        <f t="shared" si="1"/>
        <v>37</v>
      </c>
      <c r="H127" s="1" t="s">
        <v>1331</v>
      </c>
      <c r="I127" s="1" t="str">
        <f>IFERROR(__xludf.DUMMYFUNCTION("SPLIT(left(H127,len(H127)-1),""("")"),"Tours ")</f>
        <v>Tours </v>
      </c>
      <c r="J127" s="1" t="str">
        <f>IFERROR(__xludf.DUMMYFUNCTION("""COMPUTED_VALUE"""),"Indre-et-Loire")</f>
        <v>Indre-et-Loire</v>
      </c>
      <c r="K127" s="1" t="str">
        <f>IFERROR(__xludf.DUMMYFUNCTION("IF( COUNTA( IFERROR( FILTER('départements_edition'!$C$2:$C$102 , 'départements_edition'!$C$2:$C$102=J127 ) ) ) , ""Oui"" , ""Non"" )"),"Oui")</f>
        <v>Oui</v>
      </c>
      <c r="L127" s="1" t="str">
        <f t="shared" si="2"/>
        <v>France</v>
      </c>
      <c r="M127" s="1">
        <v>94.0</v>
      </c>
      <c r="N127" s="1" t="s">
        <v>642</v>
      </c>
      <c r="O127" s="1">
        <v>10.0</v>
      </c>
      <c r="P127" s="2">
        <v>42907.0</v>
      </c>
      <c r="R127" s="1">
        <v>0.0</v>
      </c>
      <c r="S127" s="1" t="s">
        <v>173</v>
      </c>
      <c r="T127" s="1" t="s">
        <v>174</v>
      </c>
      <c r="U127" s="1" t="s">
        <v>1332</v>
      </c>
      <c r="X127" s="1" t="s">
        <v>1333</v>
      </c>
      <c r="Y127" s="1">
        <v>604.0</v>
      </c>
      <c r="Z127" s="3" t="s">
        <v>1334</v>
      </c>
      <c r="AA127" s="1">
        <v>720892.0</v>
      </c>
      <c r="AB127" s="1" t="s">
        <v>1335</v>
      </c>
      <c r="AC127" s="3" t="s">
        <v>1336</v>
      </c>
      <c r="AD127" s="3" t="s">
        <v>1337</v>
      </c>
      <c r="AE127" s="1">
        <v>1.0</v>
      </c>
      <c r="AF127" s="1" t="s">
        <v>1338</v>
      </c>
      <c r="AG127" s="1">
        <v>23.0</v>
      </c>
      <c r="AH127" s="1">
        <v>29.0</v>
      </c>
      <c r="AI127" s="1">
        <v>59.0</v>
      </c>
      <c r="AJ127" s="1">
        <v>150.0</v>
      </c>
      <c r="AK127" s="1">
        <v>85.0</v>
      </c>
      <c r="AL127" s="1">
        <v>86.0</v>
      </c>
      <c r="AM127" s="1">
        <v>2061.0</v>
      </c>
      <c r="AN127" s="1">
        <v>32.0</v>
      </c>
      <c r="AO127" s="1">
        <v>0.0</v>
      </c>
      <c r="AP127" s="1">
        <v>3.0</v>
      </c>
      <c r="AQ127" s="1">
        <v>15.0</v>
      </c>
      <c r="AR127" s="1">
        <v>19.0</v>
      </c>
      <c r="AS127" s="1">
        <v>5.0</v>
      </c>
    </row>
    <row r="128" hidden="1">
      <c r="A128" s="1">
        <v>393.0</v>
      </c>
      <c r="B128" s="1" t="s">
        <v>1339</v>
      </c>
      <c r="C128" s="1" t="s">
        <v>1340</v>
      </c>
      <c r="D128" s="1" t="s">
        <v>1341</v>
      </c>
      <c r="E128" s="1" t="s">
        <v>43</v>
      </c>
      <c r="F128" s="2">
        <v>18735.0</v>
      </c>
      <c r="G128" s="1">
        <f t="shared" si="1"/>
        <v>75</v>
      </c>
      <c r="H128" s="1" t="s">
        <v>1342</v>
      </c>
      <c r="I128" s="1" t="str">
        <f>IFERROR(__xludf.DUMMYFUNCTION("SPLIT(left(H128,len(H128)-1),""("")"),"La Chapelle Blanche ")</f>
        <v>La Chapelle Blanche </v>
      </c>
      <c r="J128" s="1" t="str">
        <f>IFERROR(__xludf.DUMMYFUNCTION("""COMPUTED_VALUE"""),"Côtes-d'Armor")</f>
        <v>Côtes-d'Armor</v>
      </c>
      <c r="K128" s="1" t="str">
        <f>IFERROR(__xludf.DUMMYFUNCTION("IF( COUNTA( IFERROR( FILTER('départements_edition'!$C$2:$C$102 , 'départements_edition'!$C$2:$C$102=J128 ) ) ) , ""Oui"" , ""Non"" )"),"Oui")</f>
        <v>Oui</v>
      </c>
      <c r="L128" s="1" t="str">
        <f t="shared" si="2"/>
        <v>France</v>
      </c>
      <c r="M128" s="1">
        <v>56.0</v>
      </c>
      <c r="N128" s="1" t="s">
        <v>1343</v>
      </c>
      <c r="O128" s="1">
        <v>1.0</v>
      </c>
      <c r="P128" s="2">
        <v>42907.0</v>
      </c>
      <c r="R128" s="1">
        <v>0.0</v>
      </c>
      <c r="S128" s="1" t="s">
        <v>75</v>
      </c>
      <c r="T128" s="1" t="s">
        <v>76</v>
      </c>
      <c r="U128" s="1" t="s">
        <v>1344</v>
      </c>
      <c r="X128" s="1" t="s">
        <v>570</v>
      </c>
      <c r="Y128" s="1">
        <v>376.0</v>
      </c>
      <c r="Z128" s="3" t="s">
        <v>1345</v>
      </c>
      <c r="AA128" s="1">
        <v>607595.0</v>
      </c>
      <c r="AB128" s="1" t="s">
        <v>1346</v>
      </c>
      <c r="AC128" s="3" t="s">
        <v>1347</v>
      </c>
      <c r="AD128" s="3" t="s">
        <v>1348</v>
      </c>
      <c r="AE128" s="1">
        <v>1.0</v>
      </c>
      <c r="AF128" s="1" t="s">
        <v>1349</v>
      </c>
      <c r="AG128" s="1">
        <v>23.0</v>
      </c>
      <c r="AH128" s="1">
        <v>86.0</v>
      </c>
      <c r="AI128" s="1">
        <v>28.0</v>
      </c>
      <c r="AJ128" s="1">
        <v>27.0</v>
      </c>
      <c r="AK128" s="1">
        <v>1.0</v>
      </c>
      <c r="AL128" s="1">
        <v>15.0</v>
      </c>
      <c r="AM128" s="1">
        <v>261.0</v>
      </c>
      <c r="AN128" s="1">
        <v>143.0</v>
      </c>
      <c r="AO128" s="1">
        <v>1.0</v>
      </c>
      <c r="AP128" s="1">
        <v>0.0</v>
      </c>
      <c r="AQ128" s="1">
        <v>5.0</v>
      </c>
      <c r="AR128" s="1">
        <v>17.0</v>
      </c>
      <c r="AS128" s="1">
        <v>0.0</v>
      </c>
    </row>
    <row r="129" hidden="1">
      <c r="A129" s="1">
        <v>364.0</v>
      </c>
      <c r="B129" s="1" t="s">
        <v>1350</v>
      </c>
      <c r="C129" s="1" t="s">
        <v>1351</v>
      </c>
      <c r="D129" s="1" t="s">
        <v>1352</v>
      </c>
      <c r="E129" s="1" t="s">
        <v>43</v>
      </c>
      <c r="F129" s="2">
        <v>23431.0</v>
      </c>
      <c r="G129" s="1">
        <f t="shared" si="1"/>
        <v>62</v>
      </c>
      <c r="H129" s="1" t="s">
        <v>1353</v>
      </c>
      <c r="I129" s="1" t="str">
        <f>IFERROR(__xludf.DUMMYFUNCTION("SPLIT(left(H129,len(H129)-1),""("")"),"Decize ")</f>
        <v>Decize </v>
      </c>
      <c r="J129" s="1" t="str">
        <f>IFERROR(__xludf.DUMMYFUNCTION("""COMPUTED_VALUE"""),"Nièvre")</f>
        <v>Nièvre</v>
      </c>
      <c r="K129" s="1" t="str">
        <f>IFERROR(__xludf.DUMMYFUNCTION("IF( COUNTA( IFERROR( FILTER('départements_edition'!$C$2:$C$102 , 'départements_edition'!$C$2:$C$102=J129 ) ) ) , ""Oui"" , ""Non"" )"),"Oui")</f>
        <v>Oui</v>
      </c>
      <c r="L129" s="1" t="str">
        <f t="shared" si="2"/>
        <v>France</v>
      </c>
      <c r="M129" s="1">
        <v>58.0</v>
      </c>
      <c r="N129" s="1" t="s">
        <v>1017</v>
      </c>
      <c r="O129" s="1">
        <v>2.0</v>
      </c>
      <c r="P129" s="2">
        <v>42907.0</v>
      </c>
      <c r="R129" s="1">
        <v>0.0</v>
      </c>
      <c r="S129" s="1" t="s">
        <v>75</v>
      </c>
      <c r="T129" s="1" t="s">
        <v>76</v>
      </c>
      <c r="U129" s="3" t="s">
        <v>1354</v>
      </c>
      <c r="X129" s="1" t="s">
        <v>198</v>
      </c>
      <c r="Y129" s="1">
        <v>547.0</v>
      </c>
      <c r="Z129" s="3" t="s">
        <v>1355</v>
      </c>
      <c r="AA129" s="1">
        <v>720414.0</v>
      </c>
      <c r="AB129" s="1" t="s">
        <v>1356</v>
      </c>
      <c r="AC129" s="3" t="s">
        <v>1357</v>
      </c>
      <c r="AD129" s="3" t="s">
        <v>1358</v>
      </c>
      <c r="AE129" s="1">
        <v>1.0</v>
      </c>
      <c r="AG129" s="1">
        <v>23.0</v>
      </c>
      <c r="AH129" s="1">
        <v>39.0</v>
      </c>
      <c r="AI129" s="1">
        <v>1.0</v>
      </c>
      <c r="AJ129" s="1">
        <v>3.0</v>
      </c>
      <c r="AK129" s="1">
        <v>1.0</v>
      </c>
      <c r="AL129" s="1">
        <v>0.0</v>
      </c>
      <c r="AM129" s="1">
        <v>102.0</v>
      </c>
      <c r="AN129" s="1">
        <v>43.0</v>
      </c>
      <c r="AO129" s="1">
        <v>0.0</v>
      </c>
      <c r="AP129" s="1">
        <v>0.0</v>
      </c>
      <c r="AQ129" s="1">
        <v>5.0</v>
      </c>
      <c r="AR129" s="1">
        <v>20.0</v>
      </c>
      <c r="AS129" s="1">
        <v>1.0</v>
      </c>
    </row>
    <row r="130" hidden="1">
      <c r="A130" s="1">
        <v>164.0</v>
      </c>
      <c r="B130" s="1" t="s">
        <v>1371</v>
      </c>
      <c r="C130" s="1" t="s">
        <v>1372</v>
      </c>
      <c r="D130" s="1" t="s">
        <v>629</v>
      </c>
      <c r="E130" s="1" t="s">
        <v>58</v>
      </c>
      <c r="F130" s="2">
        <v>27934.0</v>
      </c>
      <c r="G130" s="1">
        <f t="shared" si="1"/>
        <v>50</v>
      </c>
      <c r="H130" s="1" t="s">
        <v>1373</v>
      </c>
      <c r="I130" s="1" t="str">
        <f>IFERROR(__xludf.DUMMYFUNCTION("SPLIT(left(H130,len(H130)-1),""("")"),"Meaux ")</f>
        <v>Meaux </v>
      </c>
      <c r="J130" s="1" t="str">
        <f>IFERROR(__xludf.DUMMYFUNCTION("""COMPUTED_VALUE"""),"Seine-et-Marne")</f>
        <v>Seine-et-Marne</v>
      </c>
      <c r="K130" s="1" t="str">
        <f>IFERROR(__xludf.DUMMYFUNCTION("IF( COUNTA( IFERROR( FILTER('départements_edition'!$C$2:$C$102 , 'départements_edition'!$C$2:$C$102=J130 ) ) ) , ""Oui"" , ""Non"" )"),"Oui")</f>
        <v>Oui</v>
      </c>
      <c r="L130" s="1" t="str">
        <f t="shared" si="2"/>
        <v>France</v>
      </c>
      <c r="M130" s="1">
        <v>59.0</v>
      </c>
      <c r="N130" s="1" t="s">
        <v>172</v>
      </c>
      <c r="O130" s="1">
        <v>9.0</v>
      </c>
      <c r="P130" s="2">
        <v>42907.0</v>
      </c>
      <c r="R130" s="1">
        <v>0.0</v>
      </c>
      <c r="S130" s="1" t="s">
        <v>75</v>
      </c>
      <c r="T130" s="1" t="s">
        <v>76</v>
      </c>
      <c r="U130" s="3" t="s">
        <v>1374</v>
      </c>
      <c r="X130" s="1" t="s">
        <v>1375</v>
      </c>
      <c r="Y130" s="1">
        <v>214.0</v>
      </c>
      <c r="Z130" s="3" t="s">
        <v>1376</v>
      </c>
      <c r="AA130" s="1">
        <v>720500.0</v>
      </c>
      <c r="AB130" s="1" t="s">
        <v>1377</v>
      </c>
      <c r="AC130" s="3" t="s">
        <v>1378</v>
      </c>
      <c r="AD130" s="3" t="s">
        <v>1379</v>
      </c>
      <c r="AE130" s="1">
        <v>1.0</v>
      </c>
      <c r="AF130" s="1" t="s">
        <v>1380</v>
      </c>
      <c r="AG130" s="1">
        <v>23.0</v>
      </c>
      <c r="AH130" s="1">
        <v>50.0</v>
      </c>
      <c r="AI130" s="1">
        <v>9.0</v>
      </c>
      <c r="AJ130" s="1">
        <v>11.0</v>
      </c>
      <c r="AK130" s="1">
        <v>3.0</v>
      </c>
      <c r="AL130" s="1">
        <v>1.0</v>
      </c>
      <c r="AM130" s="1">
        <v>73.0</v>
      </c>
      <c r="AN130" s="1">
        <v>26.0</v>
      </c>
      <c r="AO130" s="1">
        <v>0.0</v>
      </c>
      <c r="AP130" s="1">
        <v>0.0</v>
      </c>
      <c r="AQ130" s="1">
        <v>5.0</v>
      </c>
      <c r="AR130" s="1">
        <v>2.0</v>
      </c>
      <c r="AS130" s="1">
        <v>0.0</v>
      </c>
    </row>
    <row r="131" hidden="1">
      <c r="A131" s="1">
        <v>144.0</v>
      </c>
      <c r="B131" s="1" t="s">
        <v>1381</v>
      </c>
      <c r="C131" s="1" t="s">
        <v>1382</v>
      </c>
      <c r="D131" s="1" t="s">
        <v>1383</v>
      </c>
      <c r="E131" s="1" t="s">
        <v>58</v>
      </c>
      <c r="F131" s="2">
        <v>33320.0</v>
      </c>
      <c r="G131" s="1">
        <f t="shared" si="1"/>
        <v>35</v>
      </c>
      <c r="H131" s="1" t="s">
        <v>1384</v>
      </c>
      <c r="I131" s="1" t="str">
        <f>IFERROR(__xludf.DUMMYFUNCTION("SPLIT(left(H131,len(H131)-1),""("")"),"Vichy ")</f>
        <v>Vichy </v>
      </c>
      <c r="J131" s="1" t="str">
        <f>IFERROR(__xludf.DUMMYFUNCTION("""COMPUTED_VALUE"""),"Allier")</f>
        <v>Allier</v>
      </c>
      <c r="K131" s="1" t="str">
        <f>IFERROR(__xludf.DUMMYFUNCTION("IF( COUNTA( IFERROR( FILTER('départements_edition'!$C$2:$C$102 , 'départements_edition'!$C$2:$C$102=J131 ) ) ) , ""Oui"" , ""Non"" )"),"Oui")</f>
        <v>Oui</v>
      </c>
      <c r="L131" s="1" t="str">
        <f t="shared" si="2"/>
        <v>France</v>
      </c>
      <c r="M131" s="1">
        <v>3.0</v>
      </c>
      <c r="N131" s="1" t="s">
        <v>100</v>
      </c>
      <c r="O131" s="1">
        <v>3.0</v>
      </c>
      <c r="P131" s="2">
        <v>42907.0</v>
      </c>
      <c r="R131" s="1">
        <v>0.0</v>
      </c>
      <c r="S131" s="1" t="s">
        <v>75</v>
      </c>
      <c r="T131" s="1" t="s">
        <v>76</v>
      </c>
      <c r="U131" s="1" t="s">
        <v>1385</v>
      </c>
      <c r="X131" s="1" t="s">
        <v>1386</v>
      </c>
      <c r="Y131" s="1">
        <v>201.0</v>
      </c>
      <c r="Z131" s="3" t="s">
        <v>1387</v>
      </c>
      <c r="AA131" s="1">
        <v>718736.0</v>
      </c>
      <c r="AB131" s="1" t="s">
        <v>1388</v>
      </c>
      <c r="AC131" s="3" t="s">
        <v>1389</v>
      </c>
      <c r="AD131" s="3" t="s">
        <v>1390</v>
      </c>
      <c r="AE131" s="1">
        <v>1.0</v>
      </c>
      <c r="AF131" s="1" t="s">
        <v>1391</v>
      </c>
      <c r="AG131" s="1">
        <v>23.0</v>
      </c>
      <c r="AH131" s="1">
        <v>67.0</v>
      </c>
      <c r="AI131" s="1">
        <v>23.0</v>
      </c>
      <c r="AJ131" s="1">
        <v>37.0</v>
      </c>
      <c r="AK131" s="1">
        <v>4.0</v>
      </c>
      <c r="AL131" s="1">
        <v>12.0</v>
      </c>
      <c r="AM131" s="1">
        <v>184.0</v>
      </c>
      <c r="AN131" s="1">
        <v>110.0</v>
      </c>
      <c r="AO131" s="1">
        <v>1.0</v>
      </c>
      <c r="AP131" s="1">
        <v>0.0</v>
      </c>
      <c r="AQ131" s="1">
        <v>5.0</v>
      </c>
      <c r="AR131" s="1">
        <v>5.0</v>
      </c>
      <c r="AS131" s="1">
        <v>1.0</v>
      </c>
    </row>
    <row r="132" hidden="1">
      <c r="A132" s="1">
        <v>4.0</v>
      </c>
      <c r="B132" s="1" t="s">
        <v>1392</v>
      </c>
      <c r="C132" s="1" t="s">
        <v>1393</v>
      </c>
      <c r="D132" s="1" t="s">
        <v>641</v>
      </c>
      <c r="E132" s="1" t="s">
        <v>43</v>
      </c>
      <c r="F132" s="2">
        <v>24430.0</v>
      </c>
      <c r="G132" s="1">
        <f t="shared" si="1"/>
        <v>59</v>
      </c>
      <c r="H132" s="1" t="s">
        <v>1394</v>
      </c>
      <c r="I132" s="1" t="str">
        <f>IFERROR(__xludf.DUMMYFUNCTION("SPLIT(left(H132,len(H132)-1),""("")"),"Saint-Denis ")</f>
        <v>Saint-Denis </v>
      </c>
      <c r="J132" s="1" t="str">
        <f>IFERROR(__xludf.DUMMYFUNCTION("""COMPUTED_VALUE"""),"Seine-Saint-Denis")</f>
        <v>Seine-Saint-Denis</v>
      </c>
      <c r="K132" s="1" t="str">
        <f>IFERROR(__xludf.DUMMYFUNCTION("IF( COUNTA( IFERROR( FILTER('départements_edition'!$C$2:$C$102 , 'départements_edition'!$C$2:$C$102=J132 ) ) ) , ""Oui"" , ""Non"" )"),"Oui")</f>
        <v>Oui</v>
      </c>
      <c r="L132" s="1" t="str">
        <f t="shared" si="2"/>
        <v>France</v>
      </c>
      <c r="M132" s="1">
        <v>59.0</v>
      </c>
      <c r="N132" s="1" t="s">
        <v>172</v>
      </c>
      <c r="O132" s="1">
        <v>11.0</v>
      </c>
      <c r="P132" s="2">
        <v>42907.0</v>
      </c>
      <c r="R132" s="1">
        <v>0.0</v>
      </c>
      <c r="S132" s="1" t="s">
        <v>75</v>
      </c>
      <c r="T132" s="1" t="s">
        <v>76</v>
      </c>
      <c r="U132" s="1" t="s">
        <v>1395</v>
      </c>
      <c r="X132" s="1" t="s">
        <v>162</v>
      </c>
      <c r="Y132" s="1">
        <v>371.0</v>
      </c>
      <c r="Z132" s="3" t="s">
        <v>1396</v>
      </c>
      <c r="AA132" s="1">
        <v>720512.0</v>
      </c>
      <c r="AB132" s="1" t="s">
        <v>1397</v>
      </c>
      <c r="AC132" s="3" t="s">
        <v>1398</v>
      </c>
      <c r="AD132" s="3" t="s">
        <v>1399</v>
      </c>
      <c r="AE132" s="1">
        <v>1.0</v>
      </c>
      <c r="AF132" s="1" t="s">
        <v>1400</v>
      </c>
      <c r="AG132" s="1">
        <v>23.0</v>
      </c>
      <c r="AH132" s="1">
        <v>54.0</v>
      </c>
      <c r="AI132" s="1">
        <v>307.0</v>
      </c>
      <c r="AJ132" s="1">
        <v>529.0</v>
      </c>
      <c r="AK132" s="1">
        <v>91.0</v>
      </c>
      <c r="AL132" s="1">
        <v>48.0</v>
      </c>
      <c r="AM132" s="1">
        <v>156.0</v>
      </c>
      <c r="AN132" s="1">
        <v>101.0</v>
      </c>
      <c r="AO132" s="1">
        <v>4.0</v>
      </c>
      <c r="AP132" s="1">
        <v>0.0</v>
      </c>
      <c r="AQ132" s="1">
        <v>5.0</v>
      </c>
      <c r="AR132" s="1">
        <v>0.0</v>
      </c>
      <c r="AS132" s="1">
        <v>1.0</v>
      </c>
    </row>
    <row r="133" hidden="1">
      <c r="A133" s="1">
        <v>138.0</v>
      </c>
      <c r="B133" s="1" t="s">
        <v>1401</v>
      </c>
      <c r="C133" s="1" t="s">
        <v>1402</v>
      </c>
      <c r="D133" s="1" t="s">
        <v>887</v>
      </c>
      <c r="E133" s="1" t="s">
        <v>43</v>
      </c>
      <c r="F133" s="2">
        <v>23453.0</v>
      </c>
      <c r="G133" s="1">
        <f t="shared" si="1"/>
        <v>62</v>
      </c>
      <c r="H133" s="1" t="s">
        <v>1403</v>
      </c>
      <c r="I133" s="1" t="str">
        <f>IFERROR(__xludf.DUMMYFUNCTION("SPLIT(left(H133,len(H133)-1),""("")"),"Toul ")</f>
        <v>Toul </v>
      </c>
      <c r="J133" s="1" t="str">
        <f>IFERROR(__xludf.DUMMYFUNCTION("""COMPUTED_VALUE"""),"Meurthe-et-Moselle")</f>
        <v>Meurthe-et-Moselle</v>
      </c>
      <c r="K133" s="1" t="str">
        <f>IFERROR(__xludf.DUMMYFUNCTION("IF( COUNTA( IFERROR( FILTER('départements_edition'!$C$2:$C$102 , 'départements_edition'!$C$2:$C$102=J133 ) ) ) , ""Oui"" , ""Non"" )"),"Oui")</f>
        <v>Oui</v>
      </c>
      <c r="L133" s="1" t="str">
        <f t="shared" si="2"/>
        <v>France</v>
      </c>
      <c r="M133" s="1">
        <v>54.0</v>
      </c>
      <c r="N133" s="1" t="s">
        <v>160</v>
      </c>
      <c r="O133" s="1">
        <v>5.0</v>
      </c>
      <c r="P133" s="2">
        <v>42907.0</v>
      </c>
      <c r="R133" s="1">
        <v>0.0</v>
      </c>
      <c r="S133" s="1" t="s">
        <v>115</v>
      </c>
      <c r="T133" s="1" t="s">
        <v>116</v>
      </c>
      <c r="U133" s="1" t="s">
        <v>1404</v>
      </c>
      <c r="X133" s="1" t="s">
        <v>1067</v>
      </c>
      <c r="Y133" s="1">
        <v>514.0</v>
      </c>
      <c r="Z133" s="3" t="s">
        <v>1405</v>
      </c>
      <c r="AA133" s="1">
        <v>607553.0</v>
      </c>
      <c r="AB133" s="1" t="s">
        <v>1406</v>
      </c>
      <c r="AC133" s="3" t="s">
        <v>1407</v>
      </c>
      <c r="AD133" s="3" t="s">
        <v>1408</v>
      </c>
      <c r="AE133" s="1">
        <v>1.0</v>
      </c>
      <c r="AF133" s="1" t="s">
        <v>1409</v>
      </c>
      <c r="AG133" s="1">
        <v>23.0</v>
      </c>
      <c r="AH133" s="1">
        <v>51.0</v>
      </c>
      <c r="AI133" s="1">
        <v>102.0</v>
      </c>
      <c r="AJ133" s="1">
        <v>76.0</v>
      </c>
      <c r="AK133" s="1">
        <v>30.0</v>
      </c>
      <c r="AL133" s="1">
        <v>91.0</v>
      </c>
      <c r="AM133" s="1">
        <v>1220.0</v>
      </c>
      <c r="AN133" s="1">
        <v>78.0</v>
      </c>
      <c r="AO133" s="1">
        <v>1.0</v>
      </c>
      <c r="AP133" s="1">
        <v>0.0</v>
      </c>
      <c r="AQ133" s="1">
        <v>6.0</v>
      </c>
      <c r="AR133" s="1">
        <v>16.0</v>
      </c>
      <c r="AS133" s="1">
        <v>3.0</v>
      </c>
    </row>
    <row r="134" hidden="1">
      <c r="A134" s="1">
        <v>453.0</v>
      </c>
      <c r="B134" s="1" t="s">
        <v>1410</v>
      </c>
      <c r="C134" s="1" t="s">
        <v>1411</v>
      </c>
      <c r="D134" s="1" t="s">
        <v>1412</v>
      </c>
      <c r="E134" s="1" t="s">
        <v>58</v>
      </c>
      <c r="F134" s="2">
        <v>22330.0</v>
      </c>
      <c r="G134" s="1">
        <f t="shared" si="1"/>
        <v>65</v>
      </c>
      <c r="H134" s="1" t="s">
        <v>1199</v>
      </c>
      <c r="I134" s="1" t="str">
        <f>IFERROR(__xludf.DUMMYFUNCTION("SPLIT(left(H134,len(H134)-1),""("")"),"Limoges ")</f>
        <v>Limoges </v>
      </c>
      <c r="J134" s="1" t="str">
        <f>IFERROR(__xludf.DUMMYFUNCTION("""COMPUTED_VALUE"""),"Haute-Vienne")</f>
        <v>Haute-Vienne</v>
      </c>
      <c r="K134" s="1" t="str">
        <f>IFERROR(__xludf.DUMMYFUNCTION("IF( COUNTA( IFERROR( FILTER('départements_edition'!$C$2:$C$102 , 'départements_edition'!$C$2:$C$102=J134 ) ) ) , ""Oui"" , ""Non"" )"),"Oui")</f>
        <v>Oui</v>
      </c>
      <c r="L134" s="1" t="str">
        <f t="shared" si="2"/>
        <v>France</v>
      </c>
      <c r="M134" s="1">
        <v>78.0</v>
      </c>
      <c r="N134" s="1" t="s">
        <v>74</v>
      </c>
      <c r="O134" s="1">
        <v>6.0</v>
      </c>
      <c r="P134" s="2">
        <v>42907.0</v>
      </c>
      <c r="R134" s="1">
        <v>0.0</v>
      </c>
      <c r="S134" s="1" t="s">
        <v>75</v>
      </c>
      <c r="T134" s="1" t="s">
        <v>76</v>
      </c>
      <c r="U134" s="1" t="s">
        <v>1413</v>
      </c>
      <c r="X134" s="1" t="s">
        <v>633</v>
      </c>
      <c r="Y134" s="1">
        <v>228.0</v>
      </c>
      <c r="Z134" s="3" t="s">
        <v>1414</v>
      </c>
      <c r="AA134" s="1">
        <v>721916.0</v>
      </c>
      <c r="AB134" s="1" t="s">
        <v>1415</v>
      </c>
      <c r="AC134" s="3" t="s">
        <v>1416</v>
      </c>
      <c r="AD134" s="3" t="s">
        <v>1417</v>
      </c>
      <c r="AE134" s="1">
        <v>1.0</v>
      </c>
      <c r="AF134" s="1" t="s">
        <v>1418</v>
      </c>
      <c r="AG134" s="1">
        <v>23.0</v>
      </c>
      <c r="AH134" s="1">
        <v>46.0</v>
      </c>
      <c r="AI134" s="1">
        <v>22.0</v>
      </c>
      <c r="AJ134" s="1">
        <v>11.0</v>
      </c>
      <c r="AK134" s="1">
        <v>7.0</v>
      </c>
      <c r="AL134" s="1">
        <v>4.0</v>
      </c>
      <c r="AM134" s="1">
        <v>18.0</v>
      </c>
      <c r="AN134" s="1">
        <v>3.0</v>
      </c>
      <c r="AO134" s="1">
        <v>0.0</v>
      </c>
      <c r="AP134" s="1">
        <v>0.0</v>
      </c>
      <c r="AQ134" s="1">
        <v>5.0</v>
      </c>
      <c r="AR134" s="1">
        <v>2.0</v>
      </c>
      <c r="AS134" s="1">
        <v>0.0</v>
      </c>
    </row>
    <row r="135" hidden="1">
      <c r="A135" s="1">
        <v>534.0</v>
      </c>
      <c r="B135" s="1" t="s">
        <v>1419</v>
      </c>
      <c r="C135" s="1" t="s">
        <v>1420</v>
      </c>
      <c r="D135" s="1" t="s">
        <v>1421</v>
      </c>
      <c r="E135" s="1" t="s">
        <v>43</v>
      </c>
      <c r="F135" s="2">
        <v>25434.0</v>
      </c>
      <c r="G135" s="1">
        <f t="shared" si="1"/>
        <v>56</v>
      </c>
      <c r="H135" s="1" t="s">
        <v>1422</v>
      </c>
      <c r="I135" s="1" t="str">
        <f>IFERROR(__xludf.DUMMYFUNCTION("SPLIT(left(H135,len(H135)-1),""("")"),"Bègles ")</f>
        <v>Bègles </v>
      </c>
      <c r="J135" s="1" t="str">
        <f>IFERROR(__xludf.DUMMYFUNCTION("""COMPUTED_VALUE"""),"Gironde")</f>
        <v>Gironde</v>
      </c>
      <c r="K135" s="1" t="str">
        <f>IFERROR(__xludf.DUMMYFUNCTION("IF( COUNTA( IFERROR( FILTER('départements_edition'!$C$2:$C$102 , 'départements_edition'!$C$2:$C$102=J135 ) ) ) , ""Oui"" , ""Non"" )"),"Oui")</f>
        <v>Oui</v>
      </c>
      <c r="L135" s="1" t="str">
        <f t="shared" si="2"/>
        <v>France</v>
      </c>
      <c r="M135" s="1">
        <v>33.0</v>
      </c>
      <c r="N135" s="1" t="s">
        <v>348</v>
      </c>
      <c r="O135" s="1">
        <v>3.0</v>
      </c>
      <c r="P135" s="2">
        <v>42907.0</v>
      </c>
      <c r="R135" s="1">
        <v>0.0</v>
      </c>
      <c r="S135" s="1" t="s">
        <v>173</v>
      </c>
      <c r="T135" s="1" t="s">
        <v>174</v>
      </c>
      <c r="U135" s="1" t="s">
        <v>1423</v>
      </c>
      <c r="X135" s="1" t="s">
        <v>429</v>
      </c>
      <c r="Y135" s="1">
        <v>621.0</v>
      </c>
      <c r="Z135" s="3" t="s">
        <v>1424</v>
      </c>
      <c r="AA135" s="1">
        <v>719578.0</v>
      </c>
      <c r="AB135" s="1" t="s">
        <v>1425</v>
      </c>
      <c r="AC135" s="3" t="s">
        <v>1426</v>
      </c>
      <c r="AD135" s="3" t="s">
        <v>1427</v>
      </c>
      <c r="AE135" s="1">
        <v>1.0</v>
      </c>
      <c r="AF135" s="1" t="s">
        <v>1428</v>
      </c>
      <c r="AG135" s="1">
        <v>23.0</v>
      </c>
      <c r="AH135" s="1">
        <v>35.0</v>
      </c>
      <c r="AI135" s="1">
        <v>69.0</v>
      </c>
      <c r="AJ135" s="1">
        <v>179.0</v>
      </c>
      <c r="AK135" s="1">
        <v>175.0</v>
      </c>
      <c r="AL135" s="1">
        <v>102.0</v>
      </c>
      <c r="AM135" s="1">
        <v>2063.0</v>
      </c>
      <c r="AN135" s="1">
        <v>32.0</v>
      </c>
      <c r="AO135" s="1">
        <v>0.0</v>
      </c>
      <c r="AP135" s="1">
        <v>0.0</v>
      </c>
      <c r="AQ135" s="1">
        <v>13.0</v>
      </c>
      <c r="AR135" s="1">
        <v>19.0</v>
      </c>
      <c r="AS135" s="1">
        <v>5.0</v>
      </c>
    </row>
    <row r="136" hidden="1">
      <c r="A136" s="1">
        <v>474.0</v>
      </c>
      <c r="B136" s="1" t="s">
        <v>1429</v>
      </c>
      <c r="C136" s="1" t="s">
        <v>1430</v>
      </c>
      <c r="D136" s="1" t="s">
        <v>1431</v>
      </c>
      <c r="E136" s="1" t="s">
        <v>43</v>
      </c>
      <c r="F136" s="2">
        <v>33016.0</v>
      </c>
      <c r="G136" s="1">
        <f t="shared" si="1"/>
        <v>36</v>
      </c>
      <c r="H136" s="1" t="s">
        <v>1251</v>
      </c>
      <c r="I136" s="1" t="str">
        <f>IFERROR(__xludf.DUMMYFUNCTION("SPLIT(left(H136,len(H136)-1),""("")"),"Lille ")</f>
        <v>Lille </v>
      </c>
      <c r="J136" s="1" t="str">
        <f>IFERROR(__xludf.DUMMYFUNCTION("""COMPUTED_VALUE"""),"Nord")</f>
        <v>Nord</v>
      </c>
      <c r="K136" s="1" t="str">
        <f>IFERROR(__xludf.DUMMYFUNCTION("IF( COUNTA( IFERROR( FILTER('départements_edition'!$C$2:$C$102 , 'départements_edition'!$C$2:$C$102=J136 ) ) ) , ""Oui"" , ""Non"" )"),"Oui")</f>
        <v>Oui</v>
      </c>
      <c r="L136" s="1" t="str">
        <f t="shared" si="2"/>
        <v>France</v>
      </c>
      <c r="M136" s="1">
        <v>59.0</v>
      </c>
      <c r="N136" s="1" t="s">
        <v>172</v>
      </c>
      <c r="O136" s="1">
        <v>1.0</v>
      </c>
      <c r="P136" s="2">
        <v>42907.0</v>
      </c>
      <c r="R136" s="1">
        <v>0.0</v>
      </c>
      <c r="S136" s="1" t="s">
        <v>173</v>
      </c>
      <c r="T136" s="1" t="s">
        <v>174</v>
      </c>
      <c r="U136" s="1" t="s">
        <v>1432</v>
      </c>
      <c r="X136" s="1" t="s">
        <v>967</v>
      </c>
      <c r="Y136" s="1">
        <v>612.0</v>
      </c>
      <c r="Z136" s="3" t="s">
        <v>1433</v>
      </c>
      <c r="AA136" s="1">
        <v>720422.0</v>
      </c>
      <c r="AB136" s="1" t="s">
        <v>1434</v>
      </c>
      <c r="AC136" s="3" t="s">
        <v>1435</v>
      </c>
      <c r="AD136" s="3" t="s">
        <v>1436</v>
      </c>
      <c r="AE136" s="1">
        <v>1.0</v>
      </c>
      <c r="AF136" s="1" t="s">
        <v>1437</v>
      </c>
      <c r="AG136" s="1">
        <v>23.0</v>
      </c>
      <c r="AH136" s="1">
        <v>36.0</v>
      </c>
      <c r="AI136" s="1">
        <v>133.0</v>
      </c>
      <c r="AJ136" s="1">
        <v>182.0</v>
      </c>
      <c r="AK136" s="1">
        <v>146.0</v>
      </c>
      <c r="AL136" s="1">
        <v>239.0</v>
      </c>
      <c r="AM136" s="1">
        <v>2082.0</v>
      </c>
      <c r="AN136" s="1">
        <v>32.0</v>
      </c>
      <c r="AO136" s="1">
        <v>0.0</v>
      </c>
      <c r="AP136" s="1">
        <v>0.0</v>
      </c>
      <c r="AQ136" s="1">
        <v>15.0</v>
      </c>
      <c r="AR136" s="1">
        <v>27.0</v>
      </c>
      <c r="AS136" s="1">
        <v>3.0</v>
      </c>
    </row>
    <row r="137" hidden="1">
      <c r="A137" s="1">
        <v>267.0</v>
      </c>
      <c r="B137" s="1" t="s">
        <v>1438</v>
      </c>
      <c r="C137" s="1" t="s">
        <v>1439</v>
      </c>
      <c r="D137" s="1" t="s">
        <v>1186</v>
      </c>
      <c r="E137" s="1" t="s">
        <v>58</v>
      </c>
      <c r="F137" s="2">
        <v>25509.0</v>
      </c>
      <c r="G137" s="1">
        <f t="shared" si="1"/>
        <v>56</v>
      </c>
      <c r="H137" s="1" t="s">
        <v>1440</v>
      </c>
      <c r="I137" s="1" t="str">
        <f>IFERROR(__xludf.DUMMYFUNCTION("SPLIT(left(H137,len(H137)-1),""("")"),"Bonneville ")</f>
        <v>Bonneville </v>
      </c>
      <c r="J137" s="1" t="str">
        <f>IFERROR(__xludf.DUMMYFUNCTION("""COMPUTED_VALUE"""),"Haute-Savoie")</f>
        <v>Haute-Savoie</v>
      </c>
      <c r="K137" s="1" t="str">
        <f>IFERROR(__xludf.DUMMYFUNCTION("IF( COUNTA( IFERROR( FILTER('départements_edition'!$C$2:$C$102 , 'départements_edition'!$C$2:$C$102=J137 ) ) ) , ""Oui"" , ""Non"" )"),"Oui")</f>
        <v>Oui</v>
      </c>
      <c r="L137" s="1" t="str">
        <f t="shared" si="2"/>
        <v>France</v>
      </c>
      <c r="M137" s="1">
        <v>74.0</v>
      </c>
      <c r="N137" s="1" t="s">
        <v>1441</v>
      </c>
      <c r="O137" s="1">
        <v>1.0</v>
      </c>
      <c r="P137" s="2">
        <v>42907.0</v>
      </c>
      <c r="R137" s="1">
        <v>0.0</v>
      </c>
      <c r="S137" s="1" t="s">
        <v>75</v>
      </c>
      <c r="T137" s="1" t="s">
        <v>76</v>
      </c>
      <c r="U137" s="1" t="s">
        <v>1442</v>
      </c>
      <c r="X137" s="1" t="s">
        <v>1443</v>
      </c>
      <c r="Y137" s="1">
        <v>431.0</v>
      </c>
      <c r="Z137" s="3" t="s">
        <v>1444</v>
      </c>
      <c r="AA137" s="1">
        <v>721426.0</v>
      </c>
      <c r="AB137" s="1" t="s">
        <v>1445</v>
      </c>
      <c r="AC137" s="3" t="s">
        <v>1446</v>
      </c>
      <c r="AD137" s="3" t="s">
        <v>1447</v>
      </c>
      <c r="AE137" s="1">
        <v>1.0</v>
      </c>
      <c r="AF137" s="1" t="s">
        <v>1448</v>
      </c>
      <c r="AG137" s="1">
        <v>23.0</v>
      </c>
      <c r="AH137" s="1">
        <v>43.0</v>
      </c>
      <c r="AI137" s="1">
        <v>3.0</v>
      </c>
      <c r="AJ137" s="1">
        <v>4.0</v>
      </c>
      <c r="AK137" s="1">
        <v>3.0</v>
      </c>
      <c r="AL137" s="1">
        <v>1.0</v>
      </c>
      <c r="AM137" s="1">
        <v>105.0</v>
      </c>
      <c r="AN137" s="1">
        <v>43.0</v>
      </c>
      <c r="AO137" s="1">
        <v>0.0</v>
      </c>
      <c r="AP137" s="1">
        <v>0.0</v>
      </c>
      <c r="AQ137" s="1">
        <v>6.0</v>
      </c>
      <c r="AR137" s="1">
        <v>5.0</v>
      </c>
      <c r="AS137" s="1">
        <v>0.0</v>
      </c>
    </row>
    <row r="138" hidden="1">
      <c r="A138" s="1">
        <v>433.0</v>
      </c>
      <c r="B138" s="1" t="s">
        <v>1449</v>
      </c>
      <c r="C138" s="1" t="s">
        <v>1450</v>
      </c>
      <c r="D138" s="1" t="s">
        <v>1451</v>
      </c>
      <c r="E138" s="1" t="s">
        <v>58</v>
      </c>
      <c r="F138" s="2">
        <v>22706.0</v>
      </c>
      <c r="G138" s="1">
        <f t="shared" si="1"/>
        <v>64</v>
      </c>
      <c r="H138" s="1" t="s">
        <v>1452</v>
      </c>
      <c r="I138" s="1" t="str">
        <f>IFERROR(__xludf.DUMMYFUNCTION("SPLIT(left(H138,len(H138)-1),""("")"),"Orthez ")</f>
        <v>Orthez </v>
      </c>
      <c r="J138" s="1" t="str">
        <f>IFERROR(__xludf.DUMMYFUNCTION("""COMPUTED_VALUE"""),"Pyrénées-Atlantiques")</f>
        <v>Pyrénées-Atlantiques</v>
      </c>
      <c r="K138" s="1" t="str">
        <f>IFERROR(__xludf.DUMMYFUNCTION("IF( COUNTA( IFERROR( FILTER('départements_edition'!$C$2:$C$102 , 'départements_edition'!$C$2:$C$102=J138 ) ) ) , ""Oui"" , ""Non"" )"),"Oui")</f>
        <v>Oui</v>
      </c>
      <c r="L138" s="1" t="str">
        <f t="shared" si="2"/>
        <v>France</v>
      </c>
      <c r="M138" s="1">
        <v>11.0</v>
      </c>
      <c r="N138" s="1" t="s">
        <v>1453</v>
      </c>
      <c r="O138" s="1">
        <v>3.0</v>
      </c>
      <c r="P138" s="2">
        <v>42907.0</v>
      </c>
      <c r="R138" s="1">
        <v>0.0</v>
      </c>
      <c r="S138" s="1" t="s">
        <v>75</v>
      </c>
      <c r="T138" s="1" t="s">
        <v>76</v>
      </c>
      <c r="U138" s="1" t="s">
        <v>1454</v>
      </c>
      <c r="X138" s="1" t="s">
        <v>1455</v>
      </c>
      <c r="Y138" s="1">
        <v>533.0</v>
      </c>
      <c r="Z138" s="3" t="s">
        <v>1456</v>
      </c>
      <c r="AA138" s="1">
        <v>718810.0</v>
      </c>
      <c r="AB138" s="1" t="s">
        <v>1457</v>
      </c>
      <c r="AC138" s="3" t="s">
        <v>1458</v>
      </c>
      <c r="AD138" s="3" t="s">
        <v>1459</v>
      </c>
      <c r="AE138" s="1">
        <v>1.0</v>
      </c>
      <c r="AF138" s="1" t="s">
        <v>1460</v>
      </c>
      <c r="AG138" s="1">
        <v>23.0</v>
      </c>
      <c r="AH138" s="1">
        <v>44.0</v>
      </c>
      <c r="AI138" s="1">
        <v>5.0</v>
      </c>
      <c r="AJ138" s="1">
        <v>5.0</v>
      </c>
      <c r="AK138" s="1">
        <v>2.0</v>
      </c>
      <c r="AL138" s="1">
        <v>0.0</v>
      </c>
      <c r="AM138" s="1">
        <v>72.0</v>
      </c>
      <c r="AN138" s="1">
        <v>26.0</v>
      </c>
      <c r="AO138" s="1">
        <v>0.0</v>
      </c>
      <c r="AP138" s="1">
        <v>0.0</v>
      </c>
      <c r="AQ138" s="1">
        <v>7.0</v>
      </c>
      <c r="AR138" s="1">
        <v>3.0</v>
      </c>
      <c r="AS138" s="1">
        <v>2.0</v>
      </c>
    </row>
    <row r="139" hidden="1">
      <c r="A139" s="1">
        <v>447.0</v>
      </c>
      <c r="B139" s="1" t="s">
        <v>1461</v>
      </c>
      <c r="C139" s="1" t="s">
        <v>1462</v>
      </c>
      <c r="D139" s="1" t="s">
        <v>86</v>
      </c>
      <c r="E139" s="1" t="s">
        <v>43</v>
      </c>
      <c r="F139" s="2">
        <v>25580.0</v>
      </c>
      <c r="G139" s="1">
        <f t="shared" si="1"/>
        <v>56</v>
      </c>
      <c r="H139" s="1" t="s">
        <v>1463</v>
      </c>
      <c r="I139" s="1" t="str">
        <f>IFERROR(__xludf.DUMMYFUNCTION("SPLIT(left(H139,len(H139)-1),""("")"),"Chamonix ")</f>
        <v>Chamonix </v>
      </c>
      <c r="J139" s="1" t="str">
        <f>IFERROR(__xludf.DUMMYFUNCTION("""COMPUTED_VALUE"""),"Haute-Savoie")</f>
        <v>Haute-Savoie</v>
      </c>
      <c r="K139" s="1" t="str">
        <f>IFERROR(__xludf.DUMMYFUNCTION("IF( COUNTA( IFERROR( FILTER('départements_edition'!$C$2:$C$102 , 'départements_edition'!$C$2:$C$102=J139 ) ) ) , ""Oui"" , ""Non"" )"),"Oui")</f>
        <v>Oui</v>
      </c>
      <c r="L139" s="1" t="str">
        <f t="shared" si="2"/>
        <v>France</v>
      </c>
      <c r="M139" s="1">
        <v>74.0</v>
      </c>
      <c r="N139" s="1" t="s">
        <v>1441</v>
      </c>
      <c r="O139" s="1">
        <v>6.0</v>
      </c>
      <c r="P139" s="2">
        <v>42907.0</v>
      </c>
      <c r="R139" s="1">
        <v>0.0</v>
      </c>
      <c r="S139" s="1" t="s">
        <v>75</v>
      </c>
      <c r="T139" s="1" t="s">
        <v>76</v>
      </c>
      <c r="U139" s="1" t="s">
        <v>1464</v>
      </c>
      <c r="X139" s="1" t="s">
        <v>1465</v>
      </c>
      <c r="Y139" s="1">
        <v>394.0</v>
      </c>
      <c r="Z139" s="3" t="s">
        <v>1466</v>
      </c>
      <c r="AA139" s="1">
        <v>721458.0</v>
      </c>
      <c r="AB139" s="1" t="s">
        <v>1467</v>
      </c>
      <c r="AC139" s="3" t="s">
        <v>1468</v>
      </c>
      <c r="AD139" s="3" t="s">
        <v>1469</v>
      </c>
      <c r="AE139" s="1">
        <v>2.0</v>
      </c>
      <c r="AF139" s="1" t="s">
        <v>1470</v>
      </c>
      <c r="AG139" s="1">
        <v>23.0</v>
      </c>
      <c r="AH139" s="1">
        <v>52.0</v>
      </c>
      <c r="AI139" s="1">
        <v>15.0</v>
      </c>
      <c r="AJ139" s="1">
        <v>35.0</v>
      </c>
      <c r="AK139" s="1">
        <v>3.0</v>
      </c>
      <c r="AL139" s="1">
        <v>16.0</v>
      </c>
      <c r="AM139" s="1">
        <v>181.0</v>
      </c>
      <c r="AN139" s="1">
        <v>110.0</v>
      </c>
      <c r="AO139" s="1">
        <v>1.0</v>
      </c>
      <c r="AP139" s="1">
        <v>0.0</v>
      </c>
      <c r="AQ139" s="1">
        <v>7.0</v>
      </c>
      <c r="AR139" s="1">
        <v>6.0</v>
      </c>
      <c r="AS139" s="1">
        <v>1.0</v>
      </c>
    </row>
    <row r="140" hidden="1">
      <c r="A140" s="1">
        <v>315.0</v>
      </c>
      <c r="B140" s="1" t="s">
        <v>1471</v>
      </c>
      <c r="C140" s="1" t="s">
        <v>1472</v>
      </c>
      <c r="D140" s="1" t="s">
        <v>1473</v>
      </c>
      <c r="E140" s="1" t="s">
        <v>58</v>
      </c>
      <c r="F140" s="2">
        <v>22141.0</v>
      </c>
      <c r="G140" s="1">
        <f t="shared" si="1"/>
        <v>66</v>
      </c>
      <c r="H140" s="1" t="s">
        <v>207</v>
      </c>
      <c r="I140" s="1" t="str">
        <f>IFERROR(__xludf.DUMMYFUNCTION("SPLIT(left(H140,len(H140)-1),""("")"),"Paris ")</f>
        <v>Paris </v>
      </c>
      <c r="J140" s="1" t="str">
        <f>IFERROR(__xludf.DUMMYFUNCTION("""COMPUTED_VALUE"""),"Paris")</f>
        <v>Paris</v>
      </c>
      <c r="K140" s="1" t="str">
        <f>IFERROR(__xludf.DUMMYFUNCTION("IF( COUNTA( IFERROR( FILTER('départements_edition'!$C$2:$C$102 , 'départements_edition'!$C$2:$C$102=J140 ) ) ) , ""Oui"" , ""Non"" )"),"Oui")</f>
        <v>Oui</v>
      </c>
      <c r="L140" s="1" t="str">
        <f t="shared" si="2"/>
        <v>France</v>
      </c>
      <c r="M140" s="1">
        <v>93.0</v>
      </c>
      <c r="N140" s="1" t="s">
        <v>196</v>
      </c>
      <c r="O140" s="1">
        <v>9.0</v>
      </c>
      <c r="P140" s="2">
        <v>42907.0</v>
      </c>
      <c r="R140" s="1">
        <v>0.0</v>
      </c>
      <c r="S140" s="1" t="s">
        <v>173</v>
      </c>
      <c r="T140" s="1" t="s">
        <v>174</v>
      </c>
      <c r="U140" s="1" t="s">
        <v>1474</v>
      </c>
      <c r="X140" s="1" t="s">
        <v>118</v>
      </c>
      <c r="Y140" s="1">
        <v>628.0</v>
      </c>
      <c r="Z140" s="3" t="s">
        <v>1475</v>
      </c>
      <c r="AA140" s="1">
        <v>721226.0</v>
      </c>
      <c r="AB140" s="1" t="s">
        <v>1476</v>
      </c>
      <c r="AC140" s="3" t="s">
        <v>1477</v>
      </c>
      <c r="AD140" s="3" t="s">
        <v>1478</v>
      </c>
      <c r="AE140" s="1">
        <v>1.0</v>
      </c>
      <c r="AF140" s="1" t="s">
        <v>1479</v>
      </c>
      <c r="AG140" s="1">
        <v>23.0</v>
      </c>
      <c r="AH140" s="1">
        <v>30.0</v>
      </c>
      <c r="AI140" s="1">
        <v>63.0</v>
      </c>
      <c r="AJ140" s="1">
        <v>127.0</v>
      </c>
      <c r="AK140" s="1">
        <v>27.0</v>
      </c>
      <c r="AL140" s="1">
        <v>110.0</v>
      </c>
      <c r="AM140" s="1">
        <v>2060.0</v>
      </c>
      <c r="AN140" s="1">
        <v>32.0</v>
      </c>
      <c r="AO140" s="1">
        <v>0.0</v>
      </c>
      <c r="AP140" s="1">
        <v>0.0</v>
      </c>
      <c r="AQ140" s="1">
        <v>14.0</v>
      </c>
      <c r="AR140" s="1">
        <v>12.0</v>
      </c>
      <c r="AS140" s="1">
        <v>3.0</v>
      </c>
    </row>
    <row r="141" hidden="1">
      <c r="A141" s="1">
        <v>510.0</v>
      </c>
      <c r="B141" s="1" t="s">
        <v>1488</v>
      </c>
      <c r="C141" s="1" t="s">
        <v>1489</v>
      </c>
      <c r="D141" s="1" t="s">
        <v>1490</v>
      </c>
      <c r="E141" s="1" t="s">
        <v>43</v>
      </c>
      <c r="F141" s="2">
        <v>27004.0</v>
      </c>
      <c r="G141" s="1">
        <f t="shared" si="1"/>
        <v>52</v>
      </c>
      <c r="H141" s="1" t="s">
        <v>1291</v>
      </c>
      <c r="I141" s="1" t="str">
        <f>IFERROR(__xludf.DUMMYFUNCTION("SPLIT(left(H141,len(H141)-1),""("")"),"Nantes ")</f>
        <v>Nantes </v>
      </c>
      <c r="J141" s="1" t="str">
        <f>IFERROR(__xludf.DUMMYFUNCTION("""COMPUTED_VALUE"""),"Loire-Atlantique")</f>
        <v>Loire-Atlantique</v>
      </c>
      <c r="K141" s="1" t="str">
        <f>IFERROR(__xludf.DUMMYFUNCTION("IF( COUNTA( IFERROR( FILTER('départements_edition'!$C$2:$C$102 , 'départements_edition'!$C$2:$C$102=J141 ) ) ) , ""Oui"" , ""Non"" )"),"Oui")</f>
        <v>Oui</v>
      </c>
      <c r="L141" s="1" t="str">
        <f t="shared" si="2"/>
        <v>France</v>
      </c>
      <c r="M141" s="1">
        <v>44.0</v>
      </c>
      <c r="N141" s="1" t="s">
        <v>492</v>
      </c>
      <c r="O141" s="1">
        <v>1.0</v>
      </c>
      <c r="P141" s="2">
        <v>42907.0</v>
      </c>
      <c r="R141" s="1">
        <v>0.0</v>
      </c>
      <c r="S141" s="1" t="s">
        <v>75</v>
      </c>
      <c r="T141" s="1" t="s">
        <v>76</v>
      </c>
      <c r="U141" s="1" t="s">
        <v>1491</v>
      </c>
      <c r="X141" s="1" t="s">
        <v>1492</v>
      </c>
      <c r="Y141" s="1">
        <v>494.0</v>
      </c>
      <c r="Z141" s="3" t="s">
        <v>1493</v>
      </c>
      <c r="AA141" s="1">
        <v>332747.0</v>
      </c>
      <c r="AB141" s="1" t="s">
        <v>1494</v>
      </c>
      <c r="AC141" s="3" t="s">
        <v>1495</v>
      </c>
      <c r="AD141" s="3" t="s">
        <v>1496</v>
      </c>
      <c r="AE141" s="1">
        <v>1.0</v>
      </c>
      <c r="AF141" s="1" t="s">
        <v>1497</v>
      </c>
      <c r="AG141" s="1">
        <v>23.0</v>
      </c>
      <c r="AH141" s="1">
        <v>6.0</v>
      </c>
      <c r="AI141" s="1">
        <v>20.0</v>
      </c>
      <c r="AJ141" s="1">
        <v>655.0</v>
      </c>
      <c r="AK141" s="1">
        <v>3478.0</v>
      </c>
      <c r="AL141" s="1">
        <v>0.0</v>
      </c>
      <c r="AM141" s="1">
        <v>5.0</v>
      </c>
      <c r="AN141" s="1">
        <v>2.0</v>
      </c>
      <c r="AO141" s="1">
        <v>0.0</v>
      </c>
      <c r="AP141" s="1">
        <v>2.0</v>
      </c>
      <c r="AQ141" s="1">
        <v>6.0</v>
      </c>
      <c r="AR141" s="1">
        <v>2.0</v>
      </c>
      <c r="AS141" s="1">
        <v>0.0</v>
      </c>
    </row>
    <row r="142" hidden="1">
      <c r="A142" s="1">
        <v>110.0</v>
      </c>
      <c r="B142" s="1" t="s">
        <v>1498</v>
      </c>
      <c r="C142" s="1" t="s">
        <v>1499</v>
      </c>
      <c r="D142" s="1" t="s">
        <v>148</v>
      </c>
      <c r="E142" s="1" t="s">
        <v>43</v>
      </c>
      <c r="F142" s="2">
        <v>23606.0</v>
      </c>
      <c r="G142" s="1">
        <f t="shared" si="1"/>
        <v>61</v>
      </c>
      <c r="H142" s="1" t="s">
        <v>1500</v>
      </c>
      <c r="I142" s="1" t="str">
        <f>IFERROR(__xludf.DUMMYFUNCTION("SPLIT(left(H142,len(H142)-1),""("")"),"Colmar ")</f>
        <v>Colmar </v>
      </c>
      <c r="J142" s="1" t="str">
        <f>IFERROR(__xludf.DUMMYFUNCTION("""COMPUTED_VALUE"""),"Haut-Rhin")</f>
        <v>Haut-Rhin</v>
      </c>
      <c r="K142" s="1" t="str">
        <f>IFERROR(__xludf.DUMMYFUNCTION("IF( COUNTA( IFERROR( FILTER('départements_edition'!$C$2:$C$102 , 'départements_edition'!$C$2:$C$102=J142 ) ) ) , ""Oui"" , ""Non"" )"),"Oui")</f>
        <v>Oui</v>
      </c>
      <c r="L142" s="1" t="str">
        <f t="shared" si="2"/>
        <v>France</v>
      </c>
      <c r="M142" s="1">
        <v>68.0</v>
      </c>
      <c r="N142" s="1" t="s">
        <v>1501</v>
      </c>
      <c r="O142" s="1">
        <v>1.0</v>
      </c>
      <c r="P142" s="2">
        <v>42907.0</v>
      </c>
      <c r="R142" s="1">
        <v>0.0</v>
      </c>
      <c r="S142" s="1" t="s">
        <v>61</v>
      </c>
      <c r="T142" s="1" t="s">
        <v>62</v>
      </c>
      <c r="U142" s="1" t="s">
        <v>1502</v>
      </c>
      <c r="X142" s="1" t="s">
        <v>1503</v>
      </c>
      <c r="Y142" s="1">
        <v>76.0</v>
      </c>
      <c r="Z142" s="3" t="s">
        <v>1504</v>
      </c>
      <c r="AA142" s="1">
        <v>334654.0</v>
      </c>
      <c r="AB142" s="1" t="s">
        <v>1505</v>
      </c>
      <c r="AC142" s="3" t="s">
        <v>1506</v>
      </c>
      <c r="AD142" s="3" t="s">
        <v>1507</v>
      </c>
      <c r="AE142" s="1">
        <v>1.0</v>
      </c>
      <c r="AF142" s="1" t="s">
        <v>1508</v>
      </c>
      <c r="AG142" s="1">
        <v>23.0</v>
      </c>
      <c r="AH142" s="1">
        <v>43.0</v>
      </c>
      <c r="AI142" s="1">
        <v>22.0</v>
      </c>
      <c r="AJ142" s="1">
        <v>18.0</v>
      </c>
      <c r="AK142" s="1">
        <v>277.0</v>
      </c>
      <c r="AL142" s="1">
        <v>22.0</v>
      </c>
      <c r="AM142" s="1">
        <v>1777.0</v>
      </c>
      <c r="AN142" s="1">
        <v>52.0</v>
      </c>
      <c r="AO142" s="1">
        <v>0.0</v>
      </c>
      <c r="AP142" s="1">
        <v>0.0</v>
      </c>
      <c r="AQ142" s="1">
        <v>78.0</v>
      </c>
      <c r="AR142" s="1">
        <v>17.0</v>
      </c>
      <c r="AS142" s="1">
        <v>1.0</v>
      </c>
    </row>
    <row r="143" hidden="1">
      <c r="A143" s="1">
        <v>306.0</v>
      </c>
      <c r="B143" s="1" t="s">
        <v>1509</v>
      </c>
      <c r="C143" s="1" t="s">
        <v>1510</v>
      </c>
      <c r="D143" s="1" t="s">
        <v>1511</v>
      </c>
      <c r="E143" s="1" t="s">
        <v>43</v>
      </c>
      <c r="F143" s="2">
        <v>26442.0</v>
      </c>
      <c r="G143" s="1">
        <f t="shared" si="1"/>
        <v>54</v>
      </c>
      <c r="H143" s="1" t="s">
        <v>404</v>
      </c>
      <c r="I143" s="1" t="str">
        <f>IFERROR(__xludf.DUMMYFUNCTION("SPLIT(left(H143,len(H143)-1),""("")"),"Toulouse ")</f>
        <v>Toulouse </v>
      </c>
      <c r="J143" s="1" t="str">
        <f>IFERROR(__xludf.DUMMYFUNCTION("""COMPUTED_VALUE"""),"Haute-Garonne")</f>
        <v>Haute-Garonne</v>
      </c>
      <c r="K143" s="1" t="str">
        <f>IFERROR(__xludf.DUMMYFUNCTION("IF( COUNTA( IFERROR( FILTER('départements_edition'!$C$2:$C$102 , 'départements_edition'!$C$2:$C$102=J143 ) ) ) , ""Oui"" , ""Non"" )"),"Oui")</f>
        <v>Oui</v>
      </c>
      <c r="L143" s="1" t="str">
        <f t="shared" si="2"/>
        <v>France</v>
      </c>
      <c r="M143" s="1">
        <v>67.0</v>
      </c>
      <c r="N143" s="1" t="s">
        <v>244</v>
      </c>
      <c r="O143" s="1">
        <v>9.0</v>
      </c>
      <c r="P143" s="2">
        <v>42907.0</v>
      </c>
      <c r="R143" s="1">
        <v>0.0</v>
      </c>
      <c r="S143" s="1" t="s">
        <v>75</v>
      </c>
      <c r="T143" s="1" t="s">
        <v>76</v>
      </c>
      <c r="U143" s="1" t="s">
        <v>1512</v>
      </c>
      <c r="X143" s="1" t="s">
        <v>162</v>
      </c>
      <c r="Y143" s="1">
        <v>432.0</v>
      </c>
      <c r="Z143" s="3" t="s">
        <v>1513</v>
      </c>
      <c r="AA143" s="1">
        <v>722336.0</v>
      </c>
      <c r="AB143" s="1" t="s">
        <v>1514</v>
      </c>
      <c r="AC143" s="3" t="s">
        <v>1515</v>
      </c>
      <c r="AD143" s="3" t="s">
        <v>1516</v>
      </c>
      <c r="AE143" s="1">
        <v>1.0</v>
      </c>
      <c r="AF143" s="1" t="s">
        <v>1517</v>
      </c>
      <c r="AG143" s="1">
        <v>23.0</v>
      </c>
      <c r="AH143" s="1">
        <v>44.0</v>
      </c>
      <c r="AI143" s="1">
        <v>7.0</v>
      </c>
      <c r="AJ143" s="1">
        <v>7.0</v>
      </c>
      <c r="AK143" s="1">
        <v>11.0</v>
      </c>
      <c r="AL143" s="1">
        <v>3.0</v>
      </c>
      <c r="AM143" s="1">
        <v>98.0</v>
      </c>
      <c r="AN143" s="1">
        <v>42.0</v>
      </c>
      <c r="AO143" s="1">
        <v>0.0</v>
      </c>
      <c r="AP143" s="1">
        <v>0.0</v>
      </c>
      <c r="AQ143" s="1">
        <v>5.0</v>
      </c>
      <c r="AR143" s="1">
        <v>2.0</v>
      </c>
      <c r="AS143" s="1">
        <v>0.0</v>
      </c>
    </row>
    <row r="144" hidden="1">
      <c r="A144" s="1">
        <v>140.0</v>
      </c>
      <c r="B144" s="1" t="s">
        <v>1518</v>
      </c>
      <c r="C144" s="1" t="s">
        <v>1519</v>
      </c>
      <c r="D144" s="1" t="s">
        <v>994</v>
      </c>
      <c r="E144" s="1" t="s">
        <v>58</v>
      </c>
      <c r="F144" s="2">
        <v>22666.0</v>
      </c>
      <c r="G144" s="1">
        <f t="shared" si="1"/>
        <v>64</v>
      </c>
      <c r="H144" s="1" t="s">
        <v>1520</v>
      </c>
      <c r="I144" s="1" t="str">
        <f>IFERROR(__xludf.DUMMYFUNCTION("SPLIT(left(H144,len(H144)-1),""("")"),"Puy-en-Velay ")</f>
        <v>Puy-en-Velay </v>
      </c>
      <c r="J144" s="1" t="str">
        <f>IFERROR(__xludf.DUMMYFUNCTION("""COMPUTED_VALUE"""),"Haute-Loire")</f>
        <v>Haute-Loire</v>
      </c>
      <c r="K144" s="1" t="str">
        <f>IFERROR(__xludf.DUMMYFUNCTION("IF( COUNTA( IFERROR( FILTER('départements_edition'!$C$2:$C$102 , 'départements_edition'!$C$2:$C$102=J144 ) ) ) , ""Oui"" , ""Non"" )"),"Oui")</f>
        <v>Oui</v>
      </c>
      <c r="L144" s="1" t="str">
        <f t="shared" si="2"/>
        <v>France</v>
      </c>
      <c r="M144" s="1">
        <v>43.0</v>
      </c>
      <c r="N144" s="1" t="s">
        <v>139</v>
      </c>
      <c r="O144" s="1">
        <v>1.0</v>
      </c>
      <c r="P144" s="2">
        <v>42907.0</v>
      </c>
      <c r="R144" s="1">
        <v>0.0</v>
      </c>
      <c r="S144" s="1" t="s">
        <v>61</v>
      </c>
      <c r="T144" s="1" t="s">
        <v>62</v>
      </c>
      <c r="U144" s="3" t="s">
        <v>1521</v>
      </c>
      <c r="X144" s="1" t="s">
        <v>1522</v>
      </c>
      <c r="Y144" s="1">
        <v>24.0</v>
      </c>
      <c r="Z144" s="3" t="s">
        <v>1523</v>
      </c>
      <c r="AA144" s="1">
        <v>643134.0</v>
      </c>
      <c r="AB144" s="1" t="s">
        <v>1524</v>
      </c>
      <c r="AC144" s="3" t="s">
        <v>1525</v>
      </c>
      <c r="AD144" s="3" t="s">
        <v>1526</v>
      </c>
      <c r="AE144" s="1">
        <v>1.0</v>
      </c>
      <c r="AF144" s="1" t="s">
        <v>1527</v>
      </c>
      <c r="AG144" s="1">
        <v>23.0</v>
      </c>
      <c r="AH144" s="1">
        <v>27.0</v>
      </c>
      <c r="AI144" s="1">
        <v>12.0</v>
      </c>
      <c r="AJ144" s="1">
        <v>24.0</v>
      </c>
      <c r="AK144" s="1">
        <v>14.0</v>
      </c>
      <c r="AL144" s="1">
        <v>19.0</v>
      </c>
      <c r="AM144" s="1">
        <v>1126.0</v>
      </c>
      <c r="AN144" s="1">
        <v>34.0</v>
      </c>
      <c r="AO144" s="1">
        <v>0.0</v>
      </c>
      <c r="AP144" s="1">
        <v>1.0</v>
      </c>
      <c r="AQ144" s="1">
        <v>73.0</v>
      </c>
      <c r="AR144" s="1">
        <v>15.0</v>
      </c>
      <c r="AS144" s="1">
        <v>2.0</v>
      </c>
    </row>
    <row r="145" hidden="1">
      <c r="A145" s="1">
        <v>417.0</v>
      </c>
      <c r="B145" s="1" t="s">
        <v>1528</v>
      </c>
      <c r="C145" s="1" t="s">
        <v>1529</v>
      </c>
      <c r="D145" s="1" t="s">
        <v>619</v>
      </c>
      <c r="E145" s="1" t="s">
        <v>58</v>
      </c>
      <c r="F145" s="2">
        <v>23419.0</v>
      </c>
      <c r="G145" s="1">
        <f t="shared" si="1"/>
        <v>62</v>
      </c>
      <c r="H145" s="1" t="s">
        <v>1530</v>
      </c>
      <c r="I145" s="1" t="str">
        <f>IFERROR(__xludf.DUMMYFUNCTION("SPLIT(left(H145,len(H145)-1),""("")"),"Albertville ")</f>
        <v>Albertville </v>
      </c>
      <c r="J145" s="1" t="str">
        <f>IFERROR(__xludf.DUMMYFUNCTION("""COMPUTED_VALUE"""),"Savoie")</f>
        <v>Savoie</v>
      </c>
      <c r="K145" s="1" t="str">
        <f>IFERROR(__xludf.DUMMYFUNCTION("IF( COUNTA( IFERROR( FILTER('départements_edition'!$C$2:$C$102 , 'départements_edition'!$C$2:$C$102=J145 ) ) ) , ""Oui"" , ""Non"" )"),"Oui")</f>
        <v>Oui</v>
      </c>
      <c r="L145" s="1" t="str">
        <f t="shared" si="2"/>
        <v>France</v>
      </c>
      <c r="M145" s="1">
        <v>78.0</v>
      </c>
      <c r="N145" s="1" t="s">
        <v>74</v>
      </c>
      <c r="O145" s="1">
        <v>7.0</v>
      </c>
      <c r="P145" s="2">
        <v>42907.0</v>
      </c>
      <c r="R145" s="1">
        <v>0.0</v>
      </c>
      <c r="S145" s="1" t="s">
        <v>280</v>
      </c>
      <c r="T145" s="1" t="s">
        <v>281</v>
      </c>
      <c r="U145" s="1" t="s">
        <v>1531</v>
      </c>
      <c r="X145" s="1" t="s">
        <v>1532</v>
      </c>
      <c r="Y145" s="1">
        <v>266.0</v>
      </c>
      <c r="Z145" s="3" t="s">
        <v>1533</v>
      </c>
      <c r="AA145" s="1">
        <v>721924.0</v>
      </c>
      <c r="AB145" s="1" t="s">
        <v>1534</v>
      </c>
      <c r="AC145" s="3" t="s">
        <v>1535</v>
      </c>
      <c r="AD145" s="3" t="s">
        <v>1536</v>
      </c>
      <c r="AE145" s="1">
        <v>1.0</v>
      </c>
      <c r="AF145" s="1" t="s">
        <v>1537</v>
      </c>
      <c r="AG145" s="1">
        <v>23.0</v>
      </c>
      <c r="AH145" s="1">
        <v>49.0</v>
      </c>
      <c r="AI145" s="1">
        <v>33.0</v>
      </c>
      <c r="AJ145" s="1">
        <v>19.0</v>
      </c>
      <c r="AK145" s="1">
        <v>3.0</v>
      </c>
      <c r="AL145" s="1">
        <v>14.0</v>
      </c>
      <c r="AM145" s="1">
        <v>268.0</v>
      </c>
      <c r="AN145" s="1">
        <v>25.0</v>
      </c>
      <c r="AO145" s="1">
        <v>0.0</v>
      </c>
      <c r="AP145" s="1">
        <v>0.0</v>
      </c>
      <c r="AQ145" s="1">
        <v>5.0</v>
      </c>
      <c r="AR145" s="1">
        <v>7.0</v>
      </c>
      <c r="AS145" s="1">
        <v>3.0</v>
      </c>
    </row>
    <row r="146" hidden="1">
      <c r="A146" s="1">
        <v>551.0</v>
      </c>
      <c r="B146" s="1" t="s">
        <v>1538</v>
      </c>
      <c r="C146" s="1" t="s">
        <v>1539</v>
      </c>
      <c r="D146" s="1" t="s">
        <v>1540</v>
      </c>
      <c r="E146" s="1" t="s">
        <v>43</v>
      </c>
      <c r="F146" s="2">
        <v>25490.0</v>
      </c>
      <c r="G146" s="1">
        <f t="shared" si="1"/>
        <v>56</v>
      </c>
      <c r="H146" s="1" t="s">
        <v>1541</v>
      </c>
      <c r="I146" s="1" t="str">
        <f>IFERROR(__xludf.DUMMYFUNCTION("SPLIT(left(H146,len(H146)-1),""("")"),"Épinal ")</f>
        <v>Épinal </v>
      </c>
      <c r="J146" s="1" t="str">
        <f>IFERROR(__xludf.DUMMYFUNCTION("""COMPUTED_VALUE"""),"Vosges")</f>
        <v>Vosges</v>
      </c>
      <c r="K146" s="1" t="str">
        <f>IFERROR(__xludf.DUMMYFUNCTION("IF( COUNTA( IFERROR( FILTER('départements_edition'!$C$2:$C$102 , 'départements_edition'!$C$2:$C$102=J146 ) ) ) , ""Oui"" , ""Non"" )"),"Oui")</f>
        <v>Oui</v>
      </c>
      <c r="L146" s="1" t="str">
        <f t="shared" si="2"/>
        <v>France</v>
      </c>
      <c r="M146" s="1">
        <v>88.0</v>
      </c>
      <c r="N146" s="1" t="s">
        <v>1542</v>
      </c>
      <c r="O146" s="1">
        <v>1.0</v>
      </c>
      <c r="P146" s="2">
        <v>42907.0</v>
      </c>
      <c r="R146" s="1">
        <v>0.0</v>
      </c>
      <c r="S146" s="1" t="s">
        <v>61</v>
      </c>
      <c r="T146" s="1" t="s">
        <v>62</v>
      </c>
      <c r="U146" s="1" t="s">
        <v>1543</v>
      </c>
      <c r="X146" s="1" t="s">
        <v>304</v>
      </c>
      <c r="Y146" s="1">
        <v>23.0</v>
      </c>
      <c r="Z146" s="3" t="s">
        <v>1544</v>
      </c>
      <c r="AA146" s="1">
        <v>721474.0</v>
      </c>
      <c r="AB146" s="1" t="s">
        <v>1545</v>
      </c>
      <c r="AC146" s="3" t="s">
        <v>1546</v>
      </c>
      <c r="AD146" s="3" t="s">
        <v>1547</v>
      </c>
      <c r="AE146" s="1">
        <v>2.0</v>
      </c>
      <c r="AF146" s="1" t="s">
        <v>1548</v>
      </c>
      <c r="AG146" s="1">
        <v>23.0</v>
      </c>
      <c r="AH146" s="1">
        <v>60.0</v>
      </c>
      <c r="AI146" s="1">
        <v>53.0</v>
      </c>
      <c r="AJ146" s="1">
        <v>59.0</v>
      </c>
      <c r="AK146" s="1">
        <v>7.0</v>
      </c>
      <c r="AL146" s="1">
        <v>38.0</v>
      </c>
      <c r="AM146" s="1">
        <v>925.0</v>
      </c>
      <c r="AN146" s="1">
        <v>27.0</v>
      </c>
      <c r="AO146" s="1">
        <v>1.0</v>
      </c>
      <c r="AP146" s="1">
        <v>0.0</v>
      </c>
      <c r="AQ146" s="1">
        <v>53.0</v>
      </c>
      <c r="AR146" s="1">
        <v>23.0</v>
      </c>
      <c r="AS146" s="1">
        <v>1.0</v>
      </c>
    </row>
    <row r="147" hidden="1">
      <c r="A147" s="1">
        <v>130.0</v>
      </c>
      <c r="B147" s="1" t="s">
        <v>1549</v>
      </c>
      <c r="C147" s="1" t="s">
        <v>1550</v>
      </c>
      <c r="D147" s="1" t="s">
        <v>1551</v>
      </c>
      <c r="E147" s="1" t="s">
        <v>58</v>
      </c>
      <c r="F147" s="2">
        <v>26561.0</v>
      </c>
      <c r="G147" s="1">
        <f t="shared" si="1"/>
        <v>53</v>
      </c>
      <c r="H147" s="1" t="s">
        <v>1552</v>
      </c>
      <c r="I147" s="1" t="str">
        <f>IFERROR(__xludf.DUMMYFUNCTION("SPLIT(left(H147,len(H147)-1),""("")"),"Saint-Avold ")</f>
        <v>Saint-Avold </v>
      </c>
      <c r="J147" s="1" t="str">
        <f>IFERROR(__xludf.DUMMYFUNCTION("""COMPUTED_VALUE"""),"Moselle")</f>
        <v>Moselle</v>
      </c>
      <c r="K147" s="1" t="str">
        <f>IFERROR(__xludf.DUMMYFUNCTION("IF( COUNTA( IFERROR( FILTER('départements_edition'!$C$2:$C$102 , 'départements_edition'!$C$2:$C$102=J147 ) ) ) , ""Oui"" , ""Non"" )"),"Oui")</f>
        <v>Oui</v>
      </c>
      <c r="L147" s="1" t="str">
        <f t="shared" si="2"/>
        <v>France</v>
      </c>
      <c r="M147" s="1">
        <v>57.0</v>
      </c>
      <c r="N147" s="1" t="s">
        <v>471</v>
      </c>
      <c r="O147" s="1">
        <v>7.0</v>
      </c>
      <c r="P147" s="2">
        <v>42907.0</v>
      </c>
      <c r="R147" s="1">
        <v>0.0</v>
      </c>
      <c r="S147" s="1" t="s">
        <v>75</v>
      </c>
      <c r="T147" s="1" t="s">
        <v>76</v>
      </c>
      <c r="U147" s="1" t="s">
        <v>1553</v>
      </c>
      <c r="X147" s="1" t="s">
        <v>118</v>
      </c>
      <c r="Y147" s="1">
        <v>296.0</v>
      </c>
      <c r="Z147" s="3" t="s">
        <v>1554</v>
      </c>
      <c r="AA147" s="1">
        <v>720318.0</v>
      </c>
      <c r="AB147" s="1" t="s">
        <v>1555</v>
      </c>
      <c r="AC147" s="3" t="s">
        <v>1556</v>
      </c>
      <c r="AD147" s="3" t="s">
        <v>1557</v>
      </c>
      <c r="AE147" s="1">
        <v>1.0</v>
      </c>
      <c r="AF147" s="1" t="s">
        <v>1558</v>
      </c>
      <c r="AG147" s="1">
        <v>23.0</v>
      </c>
      <c r="AH147" s="1">
        <v>47.0</v>
      </c>
      <c r="AI147" s="1">
        <v>14.0</v>
      </c>
      <c r="AJ147" s="1">
        <v>38.0</v>
      </c>
      <c r="AK147" s="1">
        <v>14.0</v>
      </c>
      <c r="AL147" s="1">
        <v>3.0</v>
      </c>
      <c r="AM147" s="1">
        <v>78.0</v>
      </c>
      <c r="AN147" s="1">
        <v>32.0</v>
      </c>
      <c r="AO147" s="1">
        <v>0.0</v>
      </c>
      <c r="AP147" s="1">
        <v>0.0</v>
      </c>
      <c r="AQ147" s="1">
        <v>6.0</v>
      </c>
      <c r="AR147" s="1">
        <v>2.0</v>
      </c>
      <c r="AS147" s="1">
        <v>2.0</v>
      </c>
    </row>
    <row r="148" hidden="1">
      <c r="A148" s="1">
        <v>32.0</v>
      </c>
      <c r="B148" s="1" t="s">
        <v>1559</v>
      </c>
      <c r="C148" s="1" t="s">
        <v>1560</v>
      </c>
      <c r="D148" s="1" t="s">
        <v>1561</v>
      </c>
      <c r="E148" s="1" t="s">
        <v>43</v>
      </c>
      <c r="F148" s="2">
        <v>29316.0</v>
      </c>
      <c r="G148" s="1">
        <f t="shared" si="1"/>
        <v>46</v>
      </c>
      <c r="H148" s="1" t="s">
        <v>620</v>
      </c>
      <c r="I148" s="1" t="str">
        <f>IFERROR(__xludf.DUMMYFUNCTION("SPLIT(left(H148,len(H148)-1),""("")"),"Nîmes ")</f>
        <v>Nîmes </v>
      </c>
      <c r="J148" s="1" t="str">
        <f>IFERROR(__xludf.DUMMYFUNCTION("""COMPUTED_VALUE"""),"Gard")</f>
        <v>Gard</v>
      </c>
      <c r="K148" s="1" t="str">
        <f>IFERROR(__xludf.DUMMYFUNCTION("IF( COUNTA( IFERROR( FILTER('départements_edition'!$C$2:$C$102 , 'départements_edition'!$C$2:$C$102=J148 ) ) ) , ""Oui"" , ""Non"" )"),"Oui")</f>
        <v>Oui</v>
      </c>
      <c r="L148" s="1" t="str">
        <f t="shared" si="2"/>
        <v>France</v>
      </c>
      <c r="M148" s="1">
        <v>1.0</v>
      </c>
      <c r="N148" s="1" t="s">
        <v>88</v>
      </c>
      <c r="O148" s="1">
        <v>5.0</v>
      </c>
      <c r="P148" s="2">
        <v>42907.0</v>
      </c>
      <c r="R148" s="1">
        <v>0.0</v>
      </c>
      <c r="S148" s="1" t="s">
        <v>61</v>
      </c>
      <c r="T148" s="1" t="s">
        <v>62</v>
      </c>
      <c r="U148" s="1" t="s">
        <v>1562</v>
      </c>
      <c r="X148" s="1">
        <v>0.0</v>
      </c>
      <c r="Y148" s="1">
        <v>78.0</v>
      </c>
      <c r="Z148" s="3" t="s">
        <v>1563</v>
      </c>
      <c r="AA148" s="1">
        <v>605036.0</v>
      </c>
      <c r="AB148" s="1" t="s">
        <v>1564</v>
      </c>
      <c r="AC148" s="3" t="s">
        <v>1565</v>
      </c>
      <c r="AD148" s="3" t="s">
        <v>1566</v>
      </c>
      <c r="AE148" s="1">
        <v>1.0</v>
      </c>
      <c r="AF148" s="1" t="s">
        <v>1567</v>
      </c>
      <c r="AG148" s="1">
        <v>22.0</v>
      </c>
      <c r="AH148" s="1">
        <v>26.0</v>
      </c>
      <c r="AI148" s="1">
        <v>13.0</v>
      </c>
      <c r="AJ148" s="1">
        <v>155.0</v>
      </c>
      <c r="AK148" s="1">
        <v>135.0</v>
      </c>
      <c r="AL148" s="1">
        <v>210.0</v>
      </c>
      <c r="AM148" s="1">
        <v>1559.0</v>
      </c>
      <c r="AN148" s="1">
        <v>51.0</v>
      </c>
      <c r="AO148" s="1">
        <v>0.0</v>
      </c>
      <c r="AP148" s="1">
        <v>6.0</v>
      </c>
      <c r="AQ148" s="1">
        <v>93.0</v>
      </c>
      <c r="AR148" s="1">
        <v>12.0</v>
      </c>
      <c r="AS148" s="1">
        <v>2.0</v>
      </c>
    </row>
    <row r="149" hidden="1">
      <c r="A149" s="1">
        <v>404.0</v>
      </c>
      <c r="B149" s="1" t="s">
        <v>1578</v>
      </c>
      <c r="C149" s="1" t="s">
        <v>1579</v>
      </c>
      <c r="D149" s="1" t="s">
        <v>1580</v>
      </c>
      <c r="E149" s="1" t="s">
        <v>58</v>
      </c>
      <c r="F149" s="2">
        <v>26810.0</v>
      </c>
      <c r="G149" s="1">
        <f t="shared" si="1"/>
        <v>53</v>
      </c>
      <c r="H149" s="1" t="s">
        <v>1581</v>
      </c>
      <c r="I149" s="1" t="str">
        <f>IFERROR(__xludf.DUMMYFUNCTION("SPLIT(left(H149,len(H149)-1),""("")"),"Saint-Cloud ")</f>
        <v>Saint-Cloud </v>
      </c>
      <c r="J149" s="1" t="str">
        <f>IFERROR(__xludf.DUMMYFUNCTION("""COMPUTED_VALUE"""),"Hauts-de-Seine")</f>
        <v>Hauts-de-Seine</v>
      </c>
      <c r="K149" s="1" t="str">
        <f>IFERROR(__xludf.DUMMYFUNCTION("IF( COUNTA( IFERROR( FILTER('départements_edition'!$C$2:$C$102 , 'départements_edition'!$C$2:$C$102=J149 ) ) ) , ""Oui"" , ""Non"" )"),"Oui")</f>
        <v>Oui</v>
      </c>
      <c r="L149" s="1" t="str">
        <f t="shared" si="2"/>
        <v>France</v>
      </c>
      <c r="M149" s="1">
        <v>93.0</v>
      </c>
      <c r="N149" s="1" t="s">
        <v>196</v>
      </c>
      <c r="O149" s="1">
        <v>11.0</v>
      </c>
      <c r="P149" s="2">
        <v>42907.0</v>
      </c>
      <c r="R149" s="1">
        <v>0.0</v>
      </c>
      <c r="S149" s="1" t="s">
        <v>173</v>
      </c>
      <c r="T149" s="1" t="s">
        <v>174</v>
      </c>
      <c r="U149" s="1" t="s">
        <v>1582</v>
      </c>
      <c r="X149" s="1" t="s">
        <v>1254</v>
      </c>
      <c r="Y149" s="1">
        <v>618.0</v>
      </c>
      <c r="Z149" s="3" t="s">
        <v>1583</v>
      </c>
      <c r="AA149" s="1">
        <v>588884.0</v>
      </c>
      <c r="AB149" s="1" t="s">
        <v>1584</v>
      </c>
      <c r="AC149" s="3" t="s">
        <v>1585</v>
      </c>
      <c r="AD149" s="3" t="s">
        <v>1586</v>
      </c>
      <c r="AE149" s="1">
        <v>2.0</v>
      </c>
      <c r="AF149" s="1" t="s">
        <v>1587</v>
      </c>
      <c r="AG149" s="1">
        <v>22.0</v>
      </c>
      <c r="AH149" s="1">
        <v>16.0</v>
      </c>
      <c r="AI149" s="1">
        <v>10.0</v>
      </c>
      <c r="AJ149" s="1">
        <v>112.0</v>
      </c>
      <c r="AK149" s="1">
        <v>44.0</v>
      </c>
      <c r="AL149" s="1">
        <v>6.0</v>
      </c>
      <c r="AM149" s="1">
        <v>2056.0</v>
      </c>
      <c r="AN149" s="1">
        <v>32.0</v>
      </c>
      <c r="AO149" s="1">
        <v>0.0</v>
      </c>
      <c r="AP149" s="1">
        <v>0.0</v>
      </c>
      <c r="AQ149" s="1">
        <v>14.0</v>
      </c>
      <c r="AR149" s="1">
        <v>11.0</v>
      </c>
      <c r="AS149" s="1">
        <v>5.0</v>
      </c>
    </row>
    <row r="150" hidden="1">
      <c r="A150" s="1">
        <v>106.0</v>
      </c>
      <c r="B150" s="1" t="s">
        <v>1588</v>
      </c>
      <c r="C150" s="1" t="s">
        <v>1589</v>
      </c>
      <c r="D150" s="1" t="s">
        <v>1590</v>
      </c>
      <c r="E150" s="1" t="s">
        <v>43</v>
      </c>
      <c r="F150" s="2">
        <v>30449.0</v>
      </c>
      <c r="G150" s="1">
        <f t="shared" si="1"/>
        <v>43</v>
      </c>
      <c r="H150" s="1" t="s">
        <v>207</v>
      </c>
      <c r="I150" s="1" t="str">
        <f>IFERROR(__xludf.DUMMYFUNCTION("SPLIT(left(H150,len(H150)-1),""("")"),"Paris ")</f>
        <v>Paris </v>
      </c>
      <c r="J150" s="1" t="str">
        <f>IFERROR(__xludf.DUMMYFUNCTION("""COMPUTED_VALUE"""),"Paris")</f>
        <v>Paris</v>
      </c>
      <c r="K150" s="1" t="str">
        <f>IFERROR(__xludf.DUMMYFUNCTION("IF( COUNTA( IFERROR( FILTER('départements_edition'!$C$2:$C$102 , 'départements_edition'!$C$2:$C$102=J150 ) ) ) , ""Oui"" , ""Non"" )"),"Oui")</f>
        <v>Oui</v>
      </c>
      <c r="L150" s="1" t="str">
        <f t="shared" si="2"/>
        <v>France</v>
      </c>
      <c r="M150" s="1">
        <v>78.0</v>
      </c>
      <c r="N150" s="1" t="s">
        <v>74</v>
      </c>
      <c r="O150" s="1">
        <v>2.0</v>
      </c>
      <c r="P150" s="2">
        <v>42907.0</v>
      </c>
      <c r="R150" s="1">
        <v>0.0</v>
      </c>
      <c r="S150" s="1" t="s">
        <v>280</v>
      </c>
      <c r="T150" s="1" t="s">
        <v>281</v>
      </c>
      <c r="U150" s="1" t="s">
        <v>1591</v>
      </c>
      <c r="X150" s="1" t="s">
        <v>1592</v>
      </c>
      <c r="Y150" s="1">
        <v>167.0</v>
      </c>
      <c r="Z150" s="3" t="s">
        <v>1593</v>
      </c>
      <c r="AA150" s="1">
        <v>721836.0</v>
      </c>
      <c r="AB150" s="1" t="s">
        <v>1594</v>
      </c>
      <c r="AC150" s="3" t="s">
        <v>1595</v>
      </c>
      <c r="AD150" s="3" t="s">
        <v>1596</v>
      </c>
      <c r="AE150" s="1">
        <v>1.0</v>
      </c>
      <c r="AF150" s="1" t="s">
        <v>1597</v>
      </c>
      <c r="AG150" s="1">
        <v>22.0</v>
      </c>
      <c r="AH150" s="1">
        <v>50.0</v>
      </c>
      <c r="AI150" s="1">
        <v>34.0</v>
      </c>
      <c r="AJ150" s="1">
        <v>82.0</v>
      </c>
      <c r="AK150" s="1">
        <v>19.0</v>
      </c>
      <c r="AL150" s="1">
        <v>44.0</v>
      </c>
      <c r="AM150" s="1">
        <v>272.0</v>
      </c>
      <c r="AN150" s="1">
        <v>40.0</v>
      </c>
      <c r="AO150" s="1">
        <v>1.0</v>
      </c>
      <c r="AP150" s="1">
        <v>0.0</v>
      </c>
      <c r="AQ150" s="1">
        <v>7.0</v>
      </c>
      <c r="AR150" s="1">
        <v>0.0</v>
      </c>
      <c r="AS150" s="1">
        <v>2.0</v>
      </c>
    </row>
    <row r="151" hidden="1">
      <c r="A151" s="1">
        <v>209.0</v>
      </c>
      <c r="B151" s="1" t="s">
        <v>1598</v>
      </c>
      <c r="C151" s="1" t="s">
        <v>1599</v>
      </c>
      <c r="D151" s="1" t="s">
        <v>1600</v>
      </c>
      <c r="E151" s="1" t="s">
        <v>58</v>
      </c>
      <c r="F151" s="2">
        <v>20687.0</v>
      </c>
      <c r="G151" s="1">
        <f t="shared" si="1"/>
        <v>69</v>
      </c>
      <c r="H151" s="1" t="s">
        <v>1075</v>
      </c>
      <c r="I151" s="1" t="str">
        <f>IFERROR(__xludf.DUMMYFUNCTION("SPLIT(left(H151,len(H151)-1),""("")"),"Grenoble ")</f>
        <v>Grenoble </v>
      </c>
      <c r="J151" s="1" t="str">
        <f>IFERROR(__xludf.DUMMYFUNCTION("""COMPUTED_VALUE"""),"Isère")</f>
        <v>Isère</v>
      </c>
      <c r="K151" s="1" t="str">
        <f>IFERROR(__xludf.DUMMYFUNCTION("IF( COUNTA( IFERROR( FILTER('départements_edition'!$C$2:$C$102 , 'départements_edition'!$C$2:$C$102=J151 ) ) ) , ""Oui"" , ""Non"" )"),"Oui")</f>
        <v>Oui</v>
      </c>
      <c r="L151" s="1" t="str">
        <f t="shared" si="2"/>
        <v>France</v>
      </c>
      <c r="M151" s="1">
        <v>38.0</v>
      </c>
      <c r="N151" s="1" t="s">
        <v>267</v>
      </c>
      <c r="O151" s="1">
        <v>4.0</v>
      </c>
      <c r="P151" s="2">
        <v>42907.0</v>
      </c>
      <c r="R151" s="1">
        <v>0.0</v>
      </c>
      <c r="S151" s="1" t="s">
        <v>115</v>
      </c>
      <c r="T151" s="1" t="s">
        <v>116</v>
      </c>
      <c r="X151" s="1" t="s">
        <v>162</v>
      </c>
      <c r="Y151" s="1">
        <v>513.0</v>
      </c>
      <c r="Z151" s="3" t="s">
        <v>1601</v>
      </c>
      <c r="AA151" s="1">
        <v>342415.0</v>
      </c>
      <c r="AB151" s="1" t="s">
        <v>1602</v>
      </c>
      <c r="AC151" s="3" t="s">
        <v>1603</v>
      </c>
      <c r="AD151" s="3" t="s">
        <v>1604</v>
      </c>
      <c r="AE151" s="1">
        <v>1.0</v>
      </c>
      <c r="AG151" s="1">
        <v>22.0</v>
      </c>
      <c r="AH151" s="1">
        <v>56.0</v>
      </c>
      <c r="AI151" s="1">
        <v>55.0</v>
      </c>
      <c r="AJ151" s="1">
        <v>48.0</v>
      </c>
      <c r="AK151" s="1">
        <v>49.0</v>
      </c>
      <c r="AL151" s="1">
        <v>34.0</v>
      </c>
      <c r="AM151" s="1">
        <v>1207.0</v>
      </c>
      <c r="AN151" s="1">
        <v>81.0</v>
      </c>
      <c r="AO151" s="1">
        <v>1.0</v>
      </c>
      <c r="AP151" s="1">
        <v>0.0</v>
      </c>
      <c r="AQ151" s="1">
        <v>5.0</v>
      </c>
      <c r="AR151" s="1">
        <v>17.0</v>
      </c>
      <c r="AS151" s="1">
        <v>1.0</v>
      </c>
    </row>
    <row r="152" hidden="1">
      <c r="A152" s="1">
        <v>361.0</v>
      </c>
      <c r="B152" s="1" t="s">
        <v>1605</v>
      </c>
      <c r="C152" s="1" t="s">
        <v>1606</v>
      </c>
      <c r="D152" s="1" t="s">
        <v>42</v>
      </c>
      <c r="E152" s="1" t="s">
        <v>43</v>
      </c>
      <c r="F152" s="2">
        <v>24556.0</v>
      </c>
      <c r="G152" s="1">
        <f t="shared" si="1"/>
        <v>59</v>
      </c>
      <c r="H152" s="1" t="s">
        <v>1199</v>
      </c>
      <c r="I152" s="1" t="str">
        <f>IFERROR(__xludf.DUMMYFUNCTION("SPLIT(left(H152,len(H152)-1),""("")"),"Limoges ")</f>
        <v>Limoges </v>
      </c>
      <c r="J152" s="1" t="str">
        <f>IFERROR(__xludf.DUMMYFUNCTION("""COMPUTED_VALUE"""),"Haute-Vienne")</f>
        <v>Haute-Vienne</v>
      </c>
      <c r="K152" s="1" t="str">
        <f>IFERROR(__xludf.DUMMYFUNCTION("IF( COUNTA( IFERROR( FILTER('départements_edition'!$C$2:$C$102 , 'départements_edition'!$C$2:$C$102=J152 ) ) ) , ""Oui"" , ""Non"" )"),"Oui")</f>
        <v>Oui</v>
      </c>
      <c r="L152" s="1" t="str">
        <f t="shared" si="2"/>
        <v>France</v>
      </c>
      <c r="M152" s="1">
        <v>49.0</v>
      </c>
      <c r="N152" s="1" t="s">
        <v>220</v>
      </c>
      <c r="O152" s="1">
        <v>7.0</v>
      </c>
      <c r="P152" s="2">
        <v>42907.0</v>
      </c>
      <c r="R152" s="1">
        <v>0.0</v>
      </c>
      <c r="S152" s="1" t="s">
        <v>280</v>
      </c>
      <c r="T152" s="1" t="s">
        <v>281</v>
      </c>
      <c r="U152" s="1" t="s">
        <v>1607</v>
      </c>
      <c r="X152" s="1" t="s">
        <v>827</v>
      </c>
      <c r="Y152" s="1">
        <v>166.0</v>
      </c>
      <c r="Z152" s="3" t="s">
        <v>1608</v>
      </c>
      <c r="AA152" s="1">
        <v>720162.0</v>
      </c>
      <c r="AB152" s="1" t="s">
        <v>1609</v>
      </c>
      <c r="AC152" s="3" t="s">
        <v>1610</v>
      </c>
      <c r="AD152" s="3" t="s">
        <v>1611</v>
      </c>
      <c r="AE152" s="1">
        <v>1.0</v>
      </c>
      <c r="AF152" s="1" t="s">
        <v>1612</v>
      </c>
      <c r="AG152" s="1">
        <v>22.0</v>
      </c>
      <c r="AH152" s="1">
        <v>40.0</v>
      </c>
      <c r="AI152" s="1">
        <v>19.0</v>
      </c>
      <c r="AJ152" s="1">
        <v>9.0</v>
      </c>
      <c r="AK152" s="1">
        <v>3.0</v>
      </c>
      <c r="AL152" s="1">
        <v>3.0</v>
      </c>
      <c r="AM152" s="1">
        <v>184.0</v>
      </c>
      <c r="AN152" s="1">
        <v>17.0</v>
      </c>
      <c r="AO152" s="1">
        <v>1.0</v>
      </c>
      <c r="AP152" s="1">
        <v>0.0</v>
      </c>
      <c r="AQ152" s="1">
        <v>4.0</v>
      </c>
      <c r="AR152" s="1">
        <v>1.0</v>
      </c>
      <c r="AS152" s="1">
        <v>0.0</v>
      </c>
    </row>
    <row r="153" hidden="1">
      <c r="A153" s="1">
        <v>171.0</v>
      </c>
      <c r="B153" s="1" t="s">
        <v>1613</v>
      </c>
      <c r="C153" s="1" t="s">
        <v>1614</v>
      </c>
      <c r="D153" s="1" t="s">
        <v>183</v>
      </c>
      <c r="E153" s="1" t="s">
        <v>43</v>
      </c>
      <c r="F153" s="2">
        <v>16996.0</v>
      </c>
      <c r="G153" s="1">
        <f t="shared" si="1"/>
        <v>80</v>
      </c>
      <c r="H153" s="1" t="s">
        <v>1615</v>
      </c>
      <c r="I153" s="1" t="str">
        <f>IFERROR(__xludf.DUMMYFUNCTION("SPLIT(left(H153,len(H153)-1),""("")"),"Neuilly-Sur-Seine ")</f>
        <v>Neuilly-Sur-Seine </v>
      </c>
      <c r="J153" s="1" t="str">
        <f>IFERROR(__xludf.DUMMYFUNCTION("""COMPUTED_VALUE"""),"Hauts-de-Seine")</f>
        <v>Hauts-de-Seine</v>
      </c>
      <c r="K153" s="1" t="str">
        <f>IFERROR(__xludf.DUMMYFUNCTION("IF( COUNTA( IFERROR( FILTER('départements_edition'!$C$2:$C$102 , 'départements_edition'!$C$2:$C$102=J153 ) ) ) , ""Oui"" , ""Non"" )"),"Oui")</f>
        <v>Oui</v>
      </c>
      <c r="L153" s="1" t="str">
        <f t="shared" si="2"/>
        <v>France</v>
      </c>
      <c r="M153" s="1">
        <v>92.0</v>
      </c>
      <c r="N153" s="1" t="s">
        <v>781</v>
      </c>
      <c r="O153" s="1">
        <v>12.0</v>
      </c>
      <c r="P153" s="2">
        <v>42907.0</v>
      </c>
      <c r="R153" s="1">
        <v>0.0</v>
      </c>
      <c r="S153" s="1" t="s">
        <v>280</v>
      </c>
      <c r="T153" s="1" t="s">
        <v>281</v>
      </c>
      <c r="X153" s="1" t="s">
        <v>1616</v>
      </c>
      <c r="Y153" s="1">
        <v>165.0</v>
      </c>
      <c r="Z153" s="3" t="s">
        <v>1617</v>
      </c>
      <c r="AA153" s="1">
        <v>721608.0</v>
      </c>
      <c r="AB153" s="1" t="s">
        <v>1618</v>
      </c>
      <c r="AC153" s="3" t="s">
        <v>1619</v>
      </c>
      <c r="AD153" s="3" t="s">
        <v>1620</v>
      </c>
      <c r="AE153" s="1">
        <v>1.0</v>
      </c>
      <c r="AG153" s="1">
        <v>22.0</v>
      </c>
      <c r="AH153" s="1">
        <v>59.0</v>
      </c>
      <c r="AI153" s="1">
        <v>109.0</v>
      </c>
      <c r="AJ153" s="1">
        <v>68.0</v>
      </c>
      <c r="AK153" s="1">
        <v>81.0</v>
      </c>
      <c r="AL153" s="1">
        <v>13.0</v>
      </c>
      <c r="AM153" s="1">
        <v>252.0</v>
      </c>
      <c r="AN153" s="1">
        <v>37.0</v>
      </c>
      <c r="AO153" s="1">
        <v>0.0</v>
      </c>
      <c r="AP153" s="1">
        <v>0.0</v>
      </c>
      <c r="AQ153" s="1">
        <v>4.0</v>
      </c>
      <c r="AR153" s="1">
        <v>0.0</v>
      </c>
      <c r="AS153" s="1">
        <v>1.0</v>
      </c>
    </row>
    <row r="154" hidden="1">
      <c r="A154" s="1">
        <v>435.0</v>
      </c>
      <c r="B154" s="1" t="s">
        <v>1621</v>
      </c>
      <c r="C154" s="1" t="s">
        <v>1622</v>
      </c>
      <c r="D154" s="1" t="s">
        <v>1623</v>
      </c>
      <c r="E154" s="1" t="s">
        <v>58</v>
      </c>
      <c r="F154" s="2">
        <v>24013.0</v>
      </c>
      <c r="G154" s="1">
        <f t="shared" si="1"/>
        <v>60</v>
      </c>
      <c r="H154" s="1" t="s">
        <v>1624</v>
      </c>
      <c r="I154" s="1" t="str">
        <f>IFERROR(__xludf.DUMMYFUNCTION("SPLIT(left(H154,len(H154)-1),""("")"),"Saint Mandé ")</f>
        <v>Saint Mandé </v>
      </c>
      <c r="J154" s="1" t="str">
        <f>IFERROR(__xludf.DUMMYFUNCTION("""COMPUTED_VALUE"""),"Val-de-Marne")</f>
        <v>Val-de-Marne</v>
      </c>
      <c r="K154" s="1" t="str">
        <f>IFERROR(__xludf.DUMMYFUNCTION("IF( COUNTA( IFERROR( FILTER('départements_edition'!$C$2:$C$102 , 'départements_edition'!$C$2:$C$102=J154 ) ) ) , ""Oui"" , ""Non"" )"),"Oui")</f>
        <v>Oui</v>
      </c>
      <c r="L154" s="1" t="str">
        <f t="shared" si="2"/>
        <v>France</v>
      </c>
      <c r="M154" s="1">
        <v>5.0</v>
      </c>
      <c r="N154" s="1" t="s">
        <v>1005</v>
      </c>
      <c r="O154" s="1">
        <v>1.0</v>
      </c>
      <c r="P154" s="2">
        <v>42907.0</v>
      </c>
      <c r="R154" s="1">
        <v>0.0</v>
      </c>
      <c r="S154" s="1" t="s">
        <v>75</v>
      </c>
      <c r="T154" s="1" t="s">
        <v>76</v>
      </c>
      <c r="U154" s="3" t="s">
        <v>1625</v>
      </c>
      <c r="X154" s="1">
        <v>0.0</v>
      </c>
      <c r="Y154" s="1">
        <v>315.0</v>
      </c>
      <c r="Z154" s="3" t="s">
        <v>1626</v>
      </c>
      <c r="AA154" s="1">
        <v>718710.0</v>
      </c>
      <c r="AB154" s="1" t="s">
        <v>1627</v>
      </c>
      <c r="AC154" s="3" t="s">
        <v>1628</v>
      </c>
      <c r="AD154" s="3" t="s">
        <v>1629</v>
      </c>
      <c r="AE154" s="1">
        <v>1.0</v>
      </c>
      <c r="AF154" s="1" t="s">
        <v>1630</v>
      </c>
      <c r="AG154" s="1">
        <v>22.0</v>
      </c>
      <c r="AH154" s="1">
        <v>26.0</v>
      </c>
      <c r="AI154" s="1">
        <v>5.0</v>
      </c>
      <c r="AJ154" s="1">
        <v>16.0</v>
      </c>
      <c r="AK154" s="1">
        <v>2.0</v>
      </c>
      <c r="AL154" s="1">
        <v>7.0</v>
      </c>
      <c r="AM154" s="1">
        <v>115.0</v>
      </c>
      <c r="AN154" s="1">
        <v>44.0</v>
      </c>
      <c r="AO154" s="1">
        <v>0.0</v>
      </c>
      <c r="AP154" s="1">
        <v>0.0</v>
      </c>
      <c r="AQ154" s="1">
        <v>5.0</v>
      </c>
      <c r="AR154" s="1">
        <v>11.0</v>
      </c>
      <c r="AS154" s="1">
        <v>3.0</v>
      </c>
    </row>
    <row r="155" hidden="1">
      <c r="A155" s="1">
        <v>468.0</v>
      </c>
      <c r="B155" s="1" t="s">
        <v>1631</v>
      </c>
      <c r="C155" s="1" t="s">
        <v>1632</v>
      </c>
      <c r="D155" s="1" t="s">
        <v>1511</v>
      </c>
      <c r="E155" s="1" t="s">
        <v>43</v>
      </c>
      <c r="F155" s="2">
        <v>20208.0</v>
      </c>
      <c r="G155" s="1">
        <f t="shared" si="1"/>
        <v>71</v>
      </c>
      <c r="H155" s="1" t="s">
        <v>1633</v>
      </c>
      <c r="I155" s="1" t="str">
        <f>IFERROR(__xludf.DUMMYFUNCTION("SPLIT(left(H155,len(H155)-1),""("")"),"Bayonne ")</f>
        <v>Bayonne </v>
      </c>
      <c r="J155" s="1" t="str">
        <f>IFERROR(__xludf.DUMMYFUNCTION("""COMPUTED_VALUE"""),"Pyrénées-Atlantiques")</f>
        <v>Pyrénées-Atlantiques</v>
      </c>
      <c r="K155" s="1" t="str">
        <f>IFERROR(__xludf.DUMMYFUNCTION("IF( COUNTA( IFERROR( FILTER('départements_edition'!$C$2:$C$102 , 'départements_edition'!$C$2:$C$102=J155 ) ) ) , ""Oui"" , ""Non"" )"),"Oui")</f>
        <v>Oui</v>
      </c>
      <c r="L155" s="1" t="str">
        <f t="shared" si="2"/>
        <v>France</v>
      </c>
      <c r="M155" s="1">
        <v>64.0</v>
      </c>
      <c r="N155" s="1" t="s">
        <v>579</v>
      </c>
      <c r="O155" s="1">
        <v>6.0</v>
      </c>
      <c r="P155" s="2">
        <v>42907.0</v>
      </c>
      <c r="R155" s="1">
        <v>0.0</v>
      </c>
      <c r="S155" s="1" t="s">
        <v>280</v>
      </c>
      <c r="T155" s="1" t="s">
        <v>281</v>
      </c>
      <c r="U155" s="1" t="s">
        <v>1634</v>
      </c>
      <c r="X155" s="1" t="s">
        <v>1592</v>
      </c>
      <c r="Y155" s="1">
        <v>168.0</v>
      </c>
      <c r="Z155" s="3" t="s">
        <v>1635</v>
      </c>
      <c r="AA155" s="1">
        <v>720772.0</v>
      </c>
      <c r="AB155" s="1" t="s">
        <v>1636</v>
      </c>
      <c r="AC155" s="3" t="s">
        <v>1637</v>
      </c>
      <c r="AD155" s="3" t="s">
        <v>1638</v>
      </c>
      <c r="AE155" s="1">
        <v>1.0</v>
      </c>
      <c r="AF155" s="1" t="s">
        <v>1639</v>
      </c>
      <c r="AG155" s="1">
        <v>22.0</v>
      </c>
      <c r="AH155" s="1">
        <v>40.0</v>
      </c>
      <c r="AI155" s="1">
        <v>37.0</v>
      </c>
      <c r="AJ155" s="1">
        <v>19.0</v>
      </c>
      <c r="AK155" s="1">
        <v>5.0</v>
      </c>
      <c r="AL155" s="1">
        <v>10.0</v>
      </c>
      <c r="AM155" s="1">
        <v>280.0</v>
      </c>
      <c r="AN155" s="1">
        <v>35.0</v>
      </c>
      <c r="AO155" s="1">
        <v>1.0</v>
      </c>
      <c r="AP155" s="1">
        <v>0.0</v>
      </c>
      <c r="AQ155" s="1">
        <v>4.0</v>
      </c>
      <c r="AR155" s="1">
        <v>5.0</v>
      </c>
      <c r="AS155" s="1">
        <v>2.0</v>
      </c>
    </row>
    <row r="156" hidden="1">
      <c r="A156" s="1">
        <v>35.0</v>
      </c>
      <c r="B156" s="1" t="s">
        <v>1640</v>
      </c>
      <c r="C156" s="1" t="s">
        <v>1641</v>
      </c>
      <c r="D156" s="1" t="s">
        <v>1642</v>
      </c>
      <c r="E156" s="1" t="s">
        <v>58</v>
      </c>
      <c r="F156" s="2">
        <v>32441.0</v>
      </c>
      <c r="G156" s="1">
        <f t="shared" si="1"/>
        <v>37</v>
      </c>
      <c r="H156" s="1" t="s">
        <v>1643</v>
      </c>
      <c r="I156" s="1" t="str">
        <f>IFERROR(__xludf.DUMMYFUNCTION("SPLIT(left(H156,len(H156)-1),""("")"),"Maubeuge ")</f>
        <v>Maubeuge </v>
      </c>
      <c r="J156" s="1" t="str">
        <f>IFERROR(__xludf.DUMMYFUNCTION("""COMPUTED_VALUE"""),"Nord")</f>
        <v>Nord</v>
      </c>
      <c r="K156" s="1" t="str">
        <f>IFERROR(__xludf.DUMMYFUNCTION("IF( COUNTA( IFERROR( FILTER('départements_edition'!$C$2:$C$102 , 'départements_edition'!$C$2:$C$102=J156 ) ) ) , ""Oui"" , ""Non"" )"),"Oui")</f>
        <v>Oui</v>
      </c>
      <c r="L156" s="1" t="str">
        <f t="shared" si="2"/>
        <v>France</v>
      </c>
      <c r="M156" s="1">
        <v>59.0</v>
      </c>
      <c r="N156" s="1" t="s">
        <v>172</v>
      </c>
      <c r="O156" s="1">
        <v>12.0</v>
      </c>
      <c r="P156" s="2">
        <v>42907.0</v>
      </c>
      <c r="R156" s="1">
        <v>0.0</v>
      </c>
      <c r="S156" s="1" t="s">
        <v>75</v>
      </c>
      <c r="T156" s="1" t="s">
        <v>76</v>
      </c>
      <c r="U156" s="1" t="s">
        <v>1644</v>
      </c>
      <c r="X156" s="1" t="s">
        <v>1645</v>
      </c>
      <c r="Y156" s="1">
        <v>211.0</v>
      </c>
      <c r="Z156" s="3" t="s">
        <v>1646</v>
      </c>
      <c r="AA156" s="1">
        <v>720520.0</v>
      </c>
      <c r="AB156" s="1" t="s">
        <v>1647</v>
      </c>
      <c r="AC156" s="3" t="s">
        <v>1648</v>
      </c>
      <c r="AD156" s="3" t="s">
        <v>1649</v>
      </c>
      <c r="AE156" s="1">
        <v>1.0</v>
      </c>
      <c r="AF156" s="1" t="s">
        <v>1650</v>
      </c>
      <c r="AG156" s="1">
        <v>22.0</v>
      </c>
      <c r="AH156" s="1">
        <v>70.0</v>
      </c>
      <c r="AI156" s="1">
        <v>15.0</v>
      </c>
      <c r="AJ156" s="1">
        <v>20.0</v>
      </c>
      <c r="AK156" s="1">
        <v>2.0</v>
      </c>
      <c r="AL156" s="1">
        <v>7.0</v>
      </c>
      <c r="AM156" s="1">
        <v>238.0</v>
      </c>
      <c r="AN156" s="1">
        <v>139.0</v>
      </c>
      <c r="AO156" s="1">
        <v>1.0</v>
      </c>
      <c r="AP156" s="1">
        <v>0.0</v>
      </c>
      <c r="AQ156" s="1">
        <v>5.0</v>
      </c>
      <c r="AR156" s="1">
        <v>2.0</v>
      </c>
      <c r="AS156" s="1">
        <v>1.0</v>
      </c>
    </row>
    <row r="157" hidden="1">
      <c r="A157" s="1">
        <v>287.0</v>
      </c>
      <c r="B157" s="1" t="s">
        <v>1651</v>
      </c>
      <c r="C157" s="1" t="s">
        <v>546</v>
      </c>
      <c r="D157" s="1" t="s">
        <v>1652</v>
      </c>
      <c r="E157" s="1" t="s">
        <v>43</v>
      </c>
      <c r="F157" s="2">
        <v>19936.0</v>
      </c>
      <c r="G157" s="1">
        <f t="shared" si="1"/>
        <v>72</v>
      </c>
      <c r="H157" s="1" t="s">
        <v>1653</v>
      </c>
      <c r="I157" s="1" t="str">
        <f>IFERROR(__xludf.DUMMYFUNCTION("SPLIT(left(H157,len(H157)-1),""("")"),"Mouais ")</f>
        <v>Mouais </v>
      </c>
      <c r="J157" s="1" t="str">
        <f>IFERROR(__xludf.DUMMYFUNCTION("""COMPUTED_VALUE"""),"Loire-Atlantique")</f>
        <v>Loire-Atlantique</v>
      </c>
      <c r="K157" s="1" t="str">
        <f>IFERROR(__xludf.DUMMYFUNCTION("IF( COUNTA( IFERROR( FILTER('départements_edition'!$C$2:$C$102 , 'départements_edition'!$C$2:$C$102=J157 ) ) ) , ""Oui"" , ""Non"" )"),"Oui")</f>
        <v>Oui</v>
      </c>
      <c r="L157" s="1" t="str">
        <f t="shared" si="2"/>
        <v>France</v>
      </c>
      <c r="M157" s="1">
        <v>44.0</v>
      </c>
      <c r="N157" s="1" t="s">
        <v>492</v>
      </c>
      <c r="O157" s="1">
        <v>6.0</v>
      </c>
      <c r="P157" s="2">
        <v>42907.0</v>
      </c>
      <c r="R157" s="1">
        <v>0.0</v>
      </c>
      <c r="S157" s="1" t="s">
        <v>75</v>
      </c>
      <c r="T157" s="1" t="s">
        <v>76</v>
      </c>
      <c r="U157" s="1" t="s">
        <v>1654</v>
      </c>
      <c r="X157" s="1" t="s">
        <v>1655</v>
      </c>
      <c r="Y157" s="1">
        <v>295.0</v>
      </c>
      <c r="Z157" s="3" t="s">
        <v>1656</v>
      </c>
      <c r="AA157" s="1">
        <v>607155.0</v>
      </c>
      <c r="AB157" s="1" t="s">
        <v>1657</v>
      </c>
      <c r="AC157" s="3" t="s">
        <v>1658</v>
      </c>
      <c r="AD157" s="3" t="s">
        <v>1659</v>
      </c>
      <c r="AE157" s="1">
        <v>1.0</v>
      </c>
      <c r="AF157" s="1" t="s">
        <v>1660</v>
      </c>
      <c r="AG157" s="1">
        <v>22.0</v>
      </c>
      <c r="AH157" s="1">
        <v>53.0</v>
      </c>
      <c r="AI157" s="1">
        <v>18.0</v>
      </c>
      <c r="AJ157" s="1">
        <v>6.0</v>
      </c>
      <c r="AK157" s="1">
        <v>0.0</v>
      </c>
      <c r="AL157" s="1">
        <v>18.0</v>
      </c>
      <c r="AM157" s="1">
        <v>151.0</v>
      </c>
      <c r="AN157" s="1">
        <v>63.0</v>
      </c>
      <c r="AO157" s="1">
        <v>0.0</v>
      </c>
      <c r="AP157" s="1">
        <v>0.0</v>
      </c>
      <c r="AQ157" s="1">
        <v>6.0</v>
      </c>
      <c r="AR157" s="1">
        <v>14.0</v>
      </c>
      <c r="AS157" s="1">
        <v>1.0</v>
      </c>
    </row>
    <row r="158" hidden="1">
      <c r="A158" s="1">
        <v>53.0</v>
      </c>
      <c r="B158" s="1" t="s">
        <v>1661</v>
      </c>
      <c r="C158" s="1" t="s">
        <v>1662</v>
      </c>
      <c r="D158" s="1" t="s">
        <v>1511</v>
      </c>
      <c r="E158" s="1" t="s">
        <v>43</v>
      </c>
      <c r="F158" s="2">
        <v>22993.0</v>
      </c>
      <c r="G158" s="1">
        <f t="shared" si="1"/>
        <v>63</v>
      </c>
      <c r="H158" s="1" t="s">
        <v>1663</v>
      </c>
      <c r="I158" s="1" t="str">
        <f>IFERROR(__xludf.DUMMYFUNCTION("SPLIT(left(H158,len(H158)-1),""("")"),"Aurillac ")</f>
        <v>Aurillac </v>
      </c>
      <c r="J158" s="1" t="str">
        <f>IFERROR(__xludf.DUMMYFUNCTION("""COMPUTED_VALUE"""),"Cantal")</f>
        <v>Cantal</v>
      </c>
      <c r="K158" s="1" t="str">
        <f>IFERROR(__xludf.DUMMYFUNCTION("IF( COUNTA( IFERROR( FILTER('départements_edition'!$C$2:$C$102 , 'départements_edition'!$C$2:$C$102=J158 ) ) ) , ""Oui"" , ""Non"" )"),"Oui")</f>
        <v>Oui</v>
      </c>
      <c r="L158" s="1" t="str">
        <f t="shared" si="2"/>
        <v>France</v>
      </c>
      <c r="M158" s="1">
        <v>15.0</v>
      </c>
      <c r="N158" s="1" t="s">
        <v>1664</v>
      </c>
      <c r="O158" s="1">
        <v>1.0</v>
      </c>
      <c r="P158" s="2">
        <v>42907.0</v>
      </c>
      <c r="R158" s="1">
        <v>0.0</v>
      </c>
      <c r="S158" s="1" t="s">
        <v>61</v>
      </c>
      <c r="T158" s="1" t="s">
        <v>62</v>
      </c>
      <c r="U158" s="1" t="s">
        <v>1665</v>
      </c>
      <c r="X158" s="1" t="s">
        <v>1666</v>
      </c>
      <c r="Y158" s="1">
        <v>3.0</v>
      </c>
      <c r="Z158" s="3" t="s">
        <v>1667</v>
      </c>
      <c r="AA158" s="1">
        <v>330909.0</v>
      </c>
      <c r="AB158" s="1" t="s">
        <v>1668</v>
      </c>
      <c r="AC158" s="3" t="s">
        <v>1669</v>
      </c>
      <c r="AD158" s="3" t="s">
        <v>1670</v>
      </c>
      <c r="AE158" s="1">
        <v>2.0</v>
      </c>
      <c r="AF158" s="1" t="s">
        <v>1671</v>
      </c>
      <c r="AG158" s="1">
        <v>22.0</v>
      </c>
      <c r="AH158" s="1">
        <v>36.0</v>
      </c>
      <c r="AI158" s="1">
        <v>27.0</v>
      </c>
      <c r="AJ158" s="1">
        <v>78.0</v>
      </c>
      <c r="AK158" s="1">
        <v>146.0</v>
      </c>
      <c r="AL158" s="1">
        <v>117.0</v>
      </c>
      <c r="AM158" s="1">
        <v>934.0</v>
      </c>
      <c r="AN158" s="1">
        <v>43.0</v>
      </c>
      <c r="AO158" s="1">
        <v>0.0</v>
      </c>
      <c r="AP158" s="1">
        <v>0.0</v>
      </c>
      <c r="AQ158" s="1">
        <v>13.0</v>
      </c>
      <c r="AR158" s="1">
        <v>19.0</v>
      </c>
      <c r="AS158" s="1">
        <v>2.0</v>
      </c>
    </row>
    <row r="159" hidden="1">
      <c r="A159" s="1">
        <v>543.0</v>
      </c>
      <c r="B159" s="1" t="s">
        <v>1672</v>
      </c>
      <c r="C159" s="1" t="s">
        <v>1673</v>
      </c>
      <c r="D159" s="1" t="s">
        <v>1674</v>
      </c>
      <c r="E159" s="1" t="s">
        <v>58</v>
      </c>
      <c r="F159" s="2">
        <v>27845.0</v>
      </c>
      <c r="G159" s="1">
        <f t="shared" si="1"/>
        <v>50</v>
      </c>
      <c r="H159" s="1" t="s">
        <v>1675</v>
      </c>
      <c r="I159" s="1" t="str">
        <f>IFERROR(__xludf.DUMMYFUNCTION("SPLIT(left(H159,len(H159)-1),""("")"),"Coteau ")</f>
        <v>Coteau </v>
      </c>
      <c r="J159" s="1" t="str">
        <f>IFERROR(__xludf.DUMMYFUNCTION("""COMPUTED_VALUE"""),"Loire")</f>
        <v>Loire</v>
      </c>
      <c r="K159" s="1" t="str">
        <f>IFERROR(__xludf.DUMMYFUNCTION("IF( COUNTA( IFERROR( FILTER('départements_edition'!$C$2:$C$102 , 'départements_edition'!$C$2:$C$102=J159 ) ) ) , ""Oui"" , ""Non"" )"),"Oui")</f>
        <v>Oui</v>
      </c>
      <c r="L159" s="1" t="str">
        <f t="shared" si="2"/>
        <v>France</v>
      </c>
      <c r="M159" s="1">
        <v>33.0</v>
      </c>
      <c r="N159" s="1" t="s">
        <v>348</v>
      </c>
      <c r="O159" s="1">
        <v>12.0</v>
      </c>
      <c r="P159" s="2">
        <v>42907.0</v>
      </c>
      <c r="R159" s="1">
        <v>0.0</v>
      </c>
      <c r="S159" s="1" t="s">
        <v>75</v>
      </c>
      <c r="T159" s="1" t="s">
        <v>76</v>
      </c>
      <c r="U159" s="1" t="s">
        <v>1676</v>
      </c>
      <c r="X159" s="1" t="s">
        <v>1677</v>
      </c>
      <c r="Y159" s="1">
        <v>370.0</v>
      </c>
      <c r="Z159" s="3" t="s">
        <v>1678</v>
      </c>
      <c r="AA159" s="1">
        <v>719660.0</v>
      </c>
      <c r="AB159" s="1" t="s">
        <v>1679</v>
      </c>
      <c r="AC159" s="3" t="s">
        <v>1680</v>
      </c>
      <c r="AD159" s="3" t="s">
        <v>1681</v>
      </c>
      <c r="AE159" s="1">
        <v>1.0</v>
      </c>
      <c r="AF159" s="1" t="s">
        <v>1682</v>
      </c>
      <c r="AG159" s="1">
        <v>22.0</v>
      </c>
      <c r="AH159" s="1">
        <v>41.0</v>
      </c>
      <c r="AI159" s="1">
        <v>6.0</v>
      </c>
      <c r="AJ159" s="1">
        <v>10.0</v>
      </c>
      <c r="AK159" s="1">
        <v>1.0</v>
      </c>
      <c r="AL159" s="1">
        <v>3.0</v>
      </c>
      <c r="AM159" s="1">
        <v>59.0</v>
      </c>
      <c r="AN159" s="1">
        <v>27.0</v>
      </c>
      <c r="AO159" s="1">
        <v>0.0</v>
      </c>
      <c r="AP159" s="1">
        <v>0.0</v>
      </c>
      <c r="AQ159" s="1">
        <v>5.0</v>
      </c>
      <c r="AR159" s="1">
        <v>3.0</v>
      </c>
      <c r="AS159" s="1">
        <v>2.0</v>
      </c>
    </row>
    <row r="160" hidden="1">
      <c r="A160" s="1">
        <v>63.0</v>
      </c>
      <c r="B160" s="1" t="s">
        <v>1683</v>
      </c>
      <c r="C160" s="1" t="s">
        <v>1684</v>
      </c>
      <c r="D160" s="1" t="s">
        <v>1685</v>
      </c>
      <c r="E160" s="1" t="s">
        <v>58</v>
      </c>
      <c r="F160" s="2">
        <v>29375.0</v>
      </c>
      <c r="G160" s="1">
        <f t="shared" si="1"/>
        <v>46</v>
      </c>
      <c r="H160" s="1" t="s">
        <v>1302</v>
      </c>
      <c r="I160" s="1" t="str">
        <f>IFERROR(__xludf.DUMMYFUNCTION("SPLIT(left(H160,len(H160)-1),""("")"),"Saint-Nazaire ")</f>
        <v>Saint-Nazaire </v>
      </c>
      <c r="J160" s="1" t="str">
        <f>IFERROR(__xludf.DUMMYFUNCTION("""COMPUTED_VALUE"""),"Loire-Atlantique")</f>
        <v>Loire-Atlantique</v>
      </c>
      <c r="K160" s="1" t="str">
        <f>IFERROR(__xludf.DUMMYFUNCTION("IF( COUNTA( IFERROR( FILTER('départements_edition'!$C$2:$C$102 , 'départements_edition'!$C$2:$C$102=J160 ) ) ) , ""Oui"" , ""Non"" )"),"Oui")</f>
        <v>Oui</v>
      </c>
      <c r="L160" s="1" t="str">
        <f t="shared" si="2"/>
        <v>France</v>
      </c>
      <c r="M160" s="1">
        <v>44.0</v>
      </c>
      <c r="N160" s="1" t="s">
        <v>492</v>
      </c>
      <c r="O160" s="1">
        <v>8.0</v>
      </c>
      <c r="P160" s="2">
        <v>42907.0</v>
      </c>
      <c r="R160" s="1">
        <v>0.0</v>
      </c>
      <c r="S160" s="1" t="s">
        <v>75</v>
      </c>
      <c r="T160" s="1" t="s">
        <v>76</v>
      </c>
      <c r="U160" s="1" t="s">
        <v>1686</v>
      </c>
      <c r="X160" s="1" t="s">
        <v>1687</v>
      </c>
      <c r="Y160" s="1">
        <v>522.0</v>
      </c>
      <c r="Z160" s="3" t="s">
        <v>1688</v>
      </c>
      <c r="AA160" s="1">
        <v>720046.0</v>
      </c>
      <c r="AB160" s="1" t="s">
        <v>1689</v>
      </c>
      <c r="AC160" s="3" t="s">
        <v>1690</v>
      </c>
      <c r="AD160" s="3" t="s">
        <v>1691</v>
      </c>
      <c r="AE160" s="1">
        <v>1.0</v>
      </c>
      <c r="AF160" s="1" t="s">
        <v>1692</v>
      </c>
      <c r="AG160" s="1">
        <v>22.0</v>
      </c>
      <c r="AH160" s="1">
        <v>40.0</v>
      </c>
      <c r="AI160" s="1">
        <v>12.0</v>
      </c>
      <c r="AJ160" s="1">
        <v>22.0</v>
      </c>
      <c r="AK160" s="1">
        <v>5.0</v>
      </c>
      <c r="AL160" s="1">
        <v>1.0</v>
      </c>
      <c r="AM160" s="1">
        <v>61.0</v>
      </c>
      <c r="AN160" s="1">
        <v>25.0</v>
      </c>
      <c r="AO160" s="1">
        <v>0.0</v>
      </c>
      <c r="AP160" s="1">
        <v>0.0</v>
      </c>
      <c r="AQ160" s="1">
        <v>5.0</v>
      </c>
      <c r="AR160" s="1">
        <v>1.0</v>
      </c>
      <c r="AS160" s="1">
        <v>3.0</v>
      </c>
    </row>
    <row r="161" hidden="1">
      <c r="A161" s="1">
        <v>495.0</v>
      </c>
      <c r="B161" s="1" t="s">
        <v>1693</v>
      </c>
      <c r="C161" s="1" t="s">
        <v>1694</v>
      </c>
      <c r="D161" s="1" t="s">
        <v>1695</v>
      </c>
      <c r="E161" s="1" t="s">
        <v>58</v>
      </c>
      <c r="F161" s="2">
        <v>26820.0</v>
      </c>
      <c r="G161" s="1">
        <f t="shared" si="1"/>
        <v>53</v>
      </c>
      <c r="H161" s="1" t="s">
        <v>836</v>
      </c>
      <c r="I161" s="1" t="str">
        <f>IFERROR(__xludf.DUMMYFUNCTION("SPLIT(left(H161,len(H161)-1),""("")"),"Beauvais ")</f>
        <v>Beauvais </v>
      </c>
      <c r="J161" s="1" t="str">
        <f>IFERROR(__xludf.DUMMYFUNCTION("""COMPUTED_VALUE"""),"Oise")</f>
        <v>Oise</v>
      </c>
      <c r="K161" s="1" t="str">
        <f>IFERROR(__xludf.DUMMYFUNCTION("IF( COUNTA( IFERROR( FILTER('départements_edition'!$C$2:$C$102 , 'départements_edition'!$C$2:$C$102=J161 ) ) ) , ""Oui"" , ""Non"" )"),"Oui")</f>
        <v>Oui</v>
      </c>
      <c r="L161" s="1" t="str">
        <f t="shared" si="2"/>
        <v>France</v>
      </c>
      <c r="M161" s="1">
        <v>95.0</v>
      </c>
      <c r="N161" s="1" t="s">
        <v>302</v>
      </c>
      <c r="O161" s="1">
        <v>6.0</v>
      </c>
      <c r="P161" s="2">
        <v>42907.0</v>
      </c>
      <c r="R161" s="1">
        <v>0.0</v>
      </c>
      <c r="S161" s="1" t="s">
        <v>280</v>
      </c>
      <c r="T161" s="1" t="s">
        <v>281</v>
      </c>
      <c r="U161" s="1" t="s">
        <v>1696</v>
      </c>
      <c r="X161" s="1" t="s">
        <v>1455</v>
      </c>
      <c r="Y161" s="1">
        <v>173.0</v>
      </c>
      <c r="Z161" s="3" t="s">
        <v>1697</v>
      </c>
      <c r="AA161" s="1">
        <v>720924.0</v>
      </c>
      <c r="AB161" s="1" t="s">
        <v>1698</v>
      </c>
      <c r="AC161" s="3" t="s">
        <v>1699</v>
      </c>
      <c r="AD161" s="3" t="s">
        <v>1700</v>
      </c>
      <c r="AE161" s="1">
        <v>1.0</v>
      </c>
      <c r="AF161" s="1" t="s">
        <v>1701</v>
      </c>
      <c r="AG161" s="1">
        <v>22.0</v>
      </c>
      <c r="AH161" s="1">
        <v>27.0</v>
      </c>
      <c r="AI161" s="1">
        <v>17.0</v>
      </c>
      <c r="AJ161" s="1">
        <v>67.0</v>
      </c>
      <c r="AK161" s="1">
        <v>19.0</v>
      </c>
      <c r="AL161" s="1">
        <v>48.0</v>
      </c>
      <c r="AM161" s="1">
        <v>259.0</v>
      </c>
      <c r="AN161" s="1">
        <v>25.0</v>
      </c>
      <c r="AO161" s="1">
        <v>0.0</v>
      </c>
      <c r="AP161" s="1">
        <v>0.0</v>
      </c>
      <c r="AQ161" s="1">
        <v>3.0</v>
      </c>
      <c r="AR161" s="1">
        <v>20.0</v>
      </c>
      <c r="AS161" s="1">
        <v>2.0</v>
      </c>
    </row>
    <row r="162" hidden="1">
      <c r="A162" s="1">
        <v>548.0</v>
      </c>
      <c r="B162" s="1" t="s">
        <v>1702</v>
      </c>
      <c r="C162" s="1" t="s">
        <v>1703</v>
      </c>
      <c r="D162" s="1" t="s">
        <v>403</v>
      </c>
      <c r="E162" s="1" t="s">
        <v>58</v>
      </c>
      <c r="F162" s="2">
        <v>26136.0</v>
      </c>
      <c r="G162" s="1">
        <f t="shared" si="1"/>
        <v>55</v>
      </c>
      <c r="H162" s="1" t="s">
        <v>1291</v>
      </c>
      <c r="I162" s="1" t="str">
        <f>IFERROR(__xludf.DUMMYFUNCTION("SPLIT(left(H162,len(H162)-1),""("")"),"Nantes ")</f>
        <v>Nantes </v>
      </c>
      <c r="J162" s="1" t="str">
        <f>IFERROR(__xludf.DUMMYFUNCTION("""COMPUTED_VALUE"""),"Loire-Atlantique")</f>
        <v>Loire-Atlantique</v>
      </c>
      <c r="K162" s="1" t="str">
        <f>IFERROR(__xludf.DUMMYFUNCTION("IF( COUNTA( IFERROR( FILTER('départements_edition'!$C$2:$C$102 , 'départements_edition'!$C$2:$C$102=J162 ) ) ) , ""Oui"" , ""Non"" )"),"Oui")</f>
        <v>Oui</v>
      </c>
      <c r="L162" s="1" t="str">
        <f t="shared" si="2"/>
        <v>France</v>
      </c>
      <c r="M162" s="1">
        <v>44.0</v>
      </c>
      <c r="N162" s="1" t="s">
        <v>492</v>
      </c>
      <c r="O162" s="1">
        <v>10.0</v>
      </c>
      <c r="P162" s="2">
        <v>42907.0</v>
      </c>
      <c r="R162" s="1">
        <v>0.0</v>
      </c>
      <c r="S162" s="1" t="s">
        <v>75</v>
      </c>
      <c r="T162" s="1" t="s">
        <v>76</v>
      </c>
      <c r="U162" s="1" t="s">
        <v>1704</v>
      </c>
      <c r="X162" s="1" t="s">
        <v>198</v>
      </c>
      <c r="Y162" s="1">
        <v>361.0</v>
      </c>
      <c r="Z162" s="3" t="s">
        <v>1705</v>
      </c>
      <c r="AA162" s="1">
        <v>607193.0</v>
      </c>
      <c r="AB162" s="1" t="s">
        <v>1706</v>
      </c>
      <c r="AC162" s="3" t="s">
        <v>1707</v>
      </c>
      <c r="AD162" s="3" t="s">
        <v>1708</v>
      </c>
      <c r="AE162" s="1">
        <v>1.0</v>
      </c>
      <c r="AF162" s="1" t="s">
        <v>1709</v>
      </c>
      <c r="AG162" s="1">
        <v>22.0</v>
      </c>
      <c r="AH162" s="1">
        <v>44.0</v>
      </c>
      <c r="AI162" s="1">
        <v>56.0</v>
      </c>
      <c r="AJ162" s="1">
        <v>2.0</v>
      </c>
      <c r="AK162" s="1">
        <v>4.0</v>
      </c>
      <c r="AL162" s="1">
        <v>0.0</v>
      </c>
      <c r="AM162" s="1">
        <v>114.0</v>
      </c>
      <c r="AN162" s="1">
        <v>57.0</v>
      </c>
      <c r="AO162" s="1">
        <v>0.0</v>
      </c>
      <c r="AP162" s="1">
        <v>0.0</v>
      </c>
      <c r="AQ162" s="1">
        <v>5.0</v>
      </c>
      <c r="AR162" s="1">
        <v>0.0</v>
      </c>
      <c r="AS162" s="1">
        <v>0.0</v>
      </c>
    </row>
    <row r="163" hidden="1">
      <c r="A163" s="1">
        <v>365.0</v>
      </c>
      <c r="B163" s="1" t="s">
        <v>1710</v>
      </c>
      <c r="C163" s="1" t="s">
        <v>1711</v>
      </c>
      <c r="D163" s="1" t="s">
        <v>265</v>
      </c>
      <c r="E163" s="1" t="s">
        <v>58</v>
      </c>
      <c r="F163" s="2">
        <v>28752.0</v>
      </c>
      <c r="G163" s="1">
        <f t="shared" si="1"/>
        <v>47</v>
      </c>
      <c r="H163" s="1" t="s">
        <v>404</v>
      </c>
      <c r="I163" s="1" t="str">
        <f>IFERROR(__xludf.DUMMYFUNCTION("SPLIT(left(H163,len(H163)-1),""("")"),"Toulouse ")</f>
        <v>Toulouse </v>
      </c>
      <c r="J163" s="1" t="str">
        <f>IFERROR(__xludf.DUMMYFUNCTION("""COMPUTED_VALUE"""),"Haute-Garonne")</f>
        <v>Haute-Garonne</v>
      </c>
      <c r="K163" s="1" t="str">
        <f>IFERROR(__xludf.DUMMYFUNCTION("IF( COUNTA( IFERROR( FILTER('départements_edition'!$C$2:$C$102 , 'départements_edition'!$C$2:$C$102=J163 ) ) ) , ""Oui"" , ""Non"" )"),"Oui")</f>
        <v>Oui</v>
      </c>
      <c r="L163" s="1" t="str">
        <f t="shared" si="2"/>
        <v>France</v>
      </c>
      <c r="M163" s="1">
        <v>33.0</v>
      </c>
      <c r="N163" s="1" t="s">
        <v>348</v>
      </c>
      <c r="O163" s="1">
        <v>2.0</v>
      </c>
      <c r="P163" s="2">
        <v>42907.0</v>
      </c>
      <c r="R163" s="1">
        <v>0.0</v>
      </c>
      <c r="S163" s="1" t="s">
        <v>75</v>
      </c>
      <c r="T163" s="1" t="s">
        <v>76</v>
      </c>
      <c r="U163" s="1" t="s">
        <v>1712</v>
      </c>
      <c r="X163" s="1" t="s">
        <v>1713</v>
      </c>
      <c r="Y163" s="1">
        <v>217.0</v>
      </c>
      <c r="Z163" s="3" t="s">
        <v>1714</v>
      </c>
      <c r="AA163" s="1">
        <v>719570.0</v>
      </c>
      <c r="AB163" s="1" t="s">
        <v>1715</v>
      </c>
      <c r="AC163" s="3" t="s">
        <v>1716</v>
      </c>
      <c r="AD163" s="3" t="s">
        <v>1717</v>
      </c>
      <c r="AE163" s="1">
        <v>1.0</v>
      </c>
      <c r="AF163" s="1" t="s">
        <v>1718</v>
      </c>
      <c r="AG163" s="1">
        <v>22.0</v>
      </c>
      <c r="AH163" s="1">
        <v>46.0</v>
      </c>
      <c r="AI163" s="1">
        <v>14.0</v>
      </c>
      <c r="AJ163" s="1">
        <v>11.0</v>
      </c>
      <c r="AK163" s="1">
        <v>6.0</v>
      </c>
      <c r="AL163" s="1">
        <v>0.0</v>
      </c>
      <c r="AM163" s="1">
        <v>56.0</v>
      </c>
      <c r="AN163" s="1">
        <v>25.0</v>
      </c>
      <c r="AO163" s="1">
        <v>0.0</v>
      </c>
      <c r="AP163" s="1">
        <v>0.0</v>
      </c>
      <c r="AQ163" s="1">
        <v>5.0</v>
      </c>
      <c r="AR163" s="1">
        <v>8.0</v>
      </c>
      <c r="AS163" s="1">
        <v>0.0</v>
      </c>
    </row>
    <row r="164" hidden="1">
      <c r="A164" s="1">
        <v>174.0</v>
      </c>
      <c r="B164" s="1" t="s">
        <v>1719</v>
      </c>
      <c r="C164" s="1" t="s">
        <v>1720</v>
      </c>
      <c r="D164" s="1" t="s">
        <v>546</v>
      </c>
      <c r="E164" s="1" t="s">
        <v>43</v>
      </c>
      <c r="F164" s="2">
        <v>23027.0</v>
      </c>
      <c r="G164" s="1">
        <f t="shared" si="1"/>
        <v>63</v>
      </c>
      <c r="H164" s="1" t="s">
        <v>1721</v>
      </c>
      <c r="I164" s="1" t="str">
        <f>IFERROR(__xludf.DUMMYFUNCTION("SPLIT(left(H164,len(H164)-1),""("")"),"Saint-Omer ")</f>
        <v>Saint-Omer </v>
      </c>
      <c r="J164" s="1" t="str">
        <f>IFERROR(__xludf.DUMMYFUNCTION("""COMPUTED_VALUE"""),"Pas-de-Calais")</f>
        <v>Pas-de-Calais</v>
      </c>
      <c r="K164" s="1" t="str">
        <f>IFERROR(__xludf.DUMMYFUNCTION("IF( COUNTA( IFERROR( FILTER('départements_edition'!$C$2:$C$102 , 'départements_edition'!$C$2:$C$102=J164 ) ) ) , ""Oui"" , ""Non"" )"),"Oui")</f>
        <v>Oui</v>
      </c>
      <c r="L164" s="1" t="str">
        <f t="shared" si="2"/>
        <v>France</v>
      </c>
      <c r="M164" s="1">
        <v>62.0</v>
      </c>
      <c r="N164" s="1" t="s">
        <v>427</v>
      </c>
      <c r="O164" s="1">
        <v>4.0</v>
      </c>
      <c r="P164" s="2">
        <v>42907.0</v>
      </c>
      <c r="R164" s="1">
        <v>0.0</v>
      </c>
      <c r="S164" s="1" t="s">
        <v>61</v>
      </c>
      <c r="T164" s="1" t="s">
        <v>62</v>
      </c>
      <c r="U164" s="1" t="s">
        <v>1722</v>
      </c>
      <c r="X164" s="1" t="s">
        <v>246</v>
      </c>
      <c r="Y164" s="1">
        <v>62.0</v>
      </c>
      <c r="Z164" s="3" t="s">
        <v>1723</v>
      </c>
      <c r="AA164" s="1">
        <v>334149.0</v>
      </c>
      <c r="AB164" s="1" t="s">
        <v>1724</v>
      </c>
      <c r="AC164" s="3" t="s">
        <v>1725</v>
      </c>
      <c r="AD164" s="3" t="s">
        <v>1726</v>
      </c>
      <c r="AE164" s="1">
        <v>2.0</v>
      </c>
      <c r="AF164" s="1" t="s">
        <v>1727</v>
      </c>
      <c r="AG164" s="1">
        <v>22.0</v>
      </c>
      <c r="AH164" s="1">
        <v>27.0</v>
      </c>
      <c r="AI164" s="1">
        <v>25.0</v>
      </c>
      <c r="AJ164" s="1">
        <v>16.0</v>
      </c>
      <c r="AK164" s="1">
        <v>29.0</v>
      </c>
      <c r="AL164" s="1">
        <v>0.0</v>
      </c>
      <c r="AM164" s="1">
        <v>247.0</v>
      </c>
      <c r="AN164" s="1">
        <v>13.0</v>
      </c>
      <c r="AO164" s="1">
        <v>0.0</v>
      </c>
      <c r="AP164" s="1">
        <v>1.0</v>
      </c>
      <c r="AQ164" s="1">
        <v>55.0</v>
      </c>
      <c r="AR164" s="1">
        <v>7.0</v>
      </c>
      <c r="AS164" s="1">
        <v>1.0</v>
      </c>
    </row>
    <row r="165" hidden="1">
      <c r="A165" s="1">
        <v>399.0</v>
      </c>
      <c r="B165" s="1" t="s">
        <v>1728</v>
      </c>
      <c r="C165" s="1" t="s">
        <v>1729</v>
      </c>
      <c r="D165" s="1" t="s">
        <v>1730</v>
      </c>
      <c r="E165" s="1" t="s">
        <v>58</v>
      </c>
      <c r="F165" s="2">
        <v>29804.0</v>
      </c>
      <c r="G165" s="1">
        <f t="shared" si="1"/>
        <v>45</v>
      </c>
      <c r="H165" s="1" t="s">
        <v>1731</v>
      </c>
      <c r="I165" s="1" t="str">
        <f>IFERROR(__xludf.DUMMYFUNCTION("SPLIT(left(H165,len(H165)-1),""("")"),"Amiens ")</f>
        <v>Amiens </v>
      </c>
      <c r="J165" s="1" t="str">
        <f>IFERROR(__xludf.DUMMYFUNCTION("""COMPUTED_VALUE"""),"Somme")</f>
        <v>Somme</v>
      </c>
      <c r="K165" s="1" t="str">
        <f>IFERROR(__xludf.DUMMYFUNCTION("IF( COUNTA( IFERROR( FILTER('départements_edition'!$C$2:$C$102 , 'départements_edition'!$C$2:$C$102=J165 ) ) ) , ""Oui"" , ""Non"" )"),"Oui")</f>
        <v>Oui</v>
      </c>
      <c r="L165" s="1" t="str">
        <f t="shared" si="2"/>
        <v>France</v>
      </c>
      <c r="M165" s="1">
        <v>92.0</v>
      </c>
      <c r="N165" s="1" t="s">
        <v>781</v>
      </c>
      <c r="O165" s="1">
        <v>1.0</v>
      </c>
      <c r="P165" s="2">
        <v>42907.0</v>
      </c>
      <c r="R165" s="1">
        <v>0.0</v>
      </c>
      <c r="S165" s="1" t="s">
        <v>101</v>
      </c>
      <c r="T165" s="1" t="s">
        <v>102</v>
      </c>
      <c r="U165" s="1" t="s">
        <v>1732</v>
      </c>
      <c r="X165" s="1" t="s">
        <v>1733</v>
      </c>
      <c r="Y165" s="1">
        <v>588.0</v>
      </c>
      <c r="Z165" s="3" t="s">
        <v>1734</v>
      </c>
      <c r="AA165" s="1">
        <v>721896.0</v>
      </c>
      <c r="AB165" s="1" t="s">
        <v>1735</v>
      </c>
      <c r="AC165" s="3" t="s">
        <v>1736</v>
      </c>
      <c r="AD165" s="3" t="s">
        <v>1737</v>
      </c>
      <c r="AE165" s="1">
        <v>1.0</v>
      </c>
      <c r="AF165" s="1" t="s">
        <v>1738</v>
      </c>
      <c r="AG165" s="1">
        <v>22.0</v>
      </c>
      <c r="AH165" s="1">
        <v>31.0</v>
      </c>
      <c r="AI165" s="1">
        <v>17.0</v>
      </c>
      <c r="AJ165" s="1">
        <v>92.0</v>
      </c>
      <c r="AK165" s="1">
        <v>100.0</v>
      </c>
      <c r="AL165" s="1">
        <v>5.0</v>
      </c>
      <c r="AM165" s="1">
        <v>675.0</v>
      </c>
      <c r="AN165" s="1">
        <v>23.0</v>
      </c>
      <c r="AO165" s="1">
        <v>0.0</v>
      </c>
      <c r="AP165" s="1">
        <v>0.0</v>
      </c>
      <c r="AQ165" s="1">
        <v>19.0</v>
      </c>
      <c r="AR165" s="1">
        <v>5.0</v>
      </c>
      <c r="AS165" s="1">
        <v>5.0</v>
      </c>
    </row>
    <row r="166" hidden="1">
      <c r="A166" s="1">
        <v>273.0</v>
      </c>
      <c r="B166" s="1" t="s">
        <v>1739</v>
      </c>
      <c r="C166" s="1" t="s">
        <v>1740</v>
      </c>
      <c r="D166" s="1" t="s">
        <v>944</v>
      </c>
      <c r="E166" s="1" t="s">
        <v>43</v>
      </c>
      <c r="F166" s="2">
        <v>25944.0</v>
      </c>
      <c r="G166" s="1">
        <f t="shared" si="1"/>
        <v>55</v>
      </c>
      <c r="H166" s="1" t="s">
        <v>231</v>
      </c>
      <c r="I166" s="1" t="str">
        <f>IFERROR(__xludf.DUMMYFUNCTION("SPLIT(left(H166,len(H166)-1),""("")"),"Paris 15ème ")</f>
        <v>Paris 15ème </v>
      </c>
      <c r="J166" s="1" t="str">
        <f>IFERROR(__xludf.DUMMYFUNCTION("""COMPUTED_VALUE"""),"Paris")</f>
        <v>Paris</v>
      </c>
      <c r="K166" s="1" t="str">
        <f>IFERROR(__xludf.DUMMYFUNCTION("IF( COUNTA( IFERROR( FILTER('départements_edition'!$C$2:$C$102 , 'départements_edition'!$C$2:$C$102=J166 ) ) ) , ""Oui"" , ""Non"" )"),"Oui")</f>
        <v>Oui</v>
      </c>
      <c r="L166" s="1" t="str">
        <f t="shared" si="2"/>
        <v>France</v>
      </c>
      <c r="M166" s="1">
        <v>41.0</v>
      </c>
      <c r="N166" s="1" t="s">
        <v>1741</v>
      </c>
      <c r="O166" s="1">
        <v>1.0</v>
      </c>
      <c r="P166" s="2">
        <v>42907.0</v>
      </c>
      <c r="R166" s="1">
        <v>0.0</v>
      </c>
      <c r="S166" s="1" t="s">
        <v>280</v>
      </c>
      <c r="T166" s="1" t="s">
        <v>281</v>
      </c>
      <c r="U166" s="1" t="s">
        <v>1742</v>
      </c>
      <c r="X166" s="1" t="s">
        <v>1743</v>
      </c>
      <c r="Y166" s="1">
        <v>180.0</v>
      </c>
      <c r="Z166" s="3" t="s">
        <v>1744</v>
      </c>
      <c r="AA166" s="1">
        <v>719938.0</v>
      </c>
      <c r="AB166" s="1" t="s">
        <v>1745</v>
      </c>
      <c r="AC166" s="3" t="s">
        <v>1746</v>
      </c>
      <c r="AD166" s="3" t="s">
        <v>1747</v>
      </c>
      <c r="AE166" s="1">
        <v>2.0</v>
      </c>
      <c r="AF166" s="1" t="s">
        <v>1748</v>
      </c>
      <c r="AG166" s="1">
        <v>22.0</v>
      </c>
      <c r="AH166" s="1">
        <v>10.0</v>
      </c>
      <c r="AI166" s="1">
        <v>1.0</v>
      </c>
      <c r="AJ166" s="1">
        <v>199.0</v>
      </c>
      <c r="AK166" s="1">
        <v>90.0</v>
      </c>
      <c r="AL166" s="1">
        <v>35.0</v>
      </c>
      <c r="AM166" s="1">
        <v>214.0</v>
      </c>
      <c r="AN166" s="1">
        <v>22.0</v>
      </c>
      <c r="AO166" s="1">
        <v>0.0</v>
      </c>
      <c r="AP166" s="1">
        <v>1.0</v>
      </c>
      <c r="AQ166" s="1">
        <v>7.0</v>
      </c>
      <c r="AR166" s="1">
        <v>0.0</v>
      </c>
      <c r="AS166" s="1">
        <v>2.0</v>
      </c>
    </row>
    <row r="167" hidden="1">
      <c r="A167" s="1">
        <v>228.0</v>
      </c>
      <c r="B167" s="1" t="s">
        <v>1749</v>
      </c>
      <c r="C167" s="1" t="s">
        <v>1750</v>
      </c>
      <c r="D167" s="1" t="s">
        <v>905</v>
      </c>
      <c r="E167" s="1" t="s">
        <v>43</v>
      </c>
      <c r="F167" s="2">
        <v>24531.0</v>
      </c>
      <c r="G167" s="1">
        <f t="shared" si="1"/>
        <v>59</v>
      </c>
      <c r="H167" s="1" t="s">
        <v>620</v>
      </c>
      <c r="I167" s="1" t="str">
        <f>IFERROR(__xludf.DUMMYFUNCTION("SPLIT(left(H167,len(H167)-1),""("")"),"Nîmes ")</f>
        <v>Nîmes </v>
      </c>
      <c r="J167" s="1" t="str">
        <f>IFERROR(__xludf.DUMMYFUNCTION("""COMPUTED_VALUE"""),"Gard")</f>
        <v>Gard</v>
      </c>
      <c r="K167" s="1" t="str">
        <f>IFERROR(__xludf.DUMMYFUNCTION("IF( COUNTA( IFERROR( FILTER('départements_edition'!$C$2:$C$102 , 'départements_edition'!$C$2:$C$102=J167 ) ) ) , ""Oui"" , ""Non"" )"),"Oui")</f>
        <v>Oui</v>
      </c>
      <c r="L167" s="1" t="str">
        <f t="shared" si="2"/>
        <v>France</v>
      </c>
      <c r="M167" s="1">
        <v>30.0</v>
      </c>
      <c r="N167" s="1" t="s">
        <v>1751</v>
      </c>
      <c r="O167" s="1">
        <v>5.0</v>
      </c>
      <c r="P167" s="2">
        <v>42907.0</v>
      </c>
      <c r="R167" s="1">
        <v>0.0</v>
      </c>
      <c r="S167" s="1" t="s">
        <v>75</v>
      </c>
      <c r="T167" s="1" t="s">
        <v>76</v>
      </c>
      <c r="U167" s="3" t="s">
        <v>1752</v>
      </c>
      <c r="X167" s="1" t="s">
        <v>118</v>
      </c>
      <c r="Y167" s="1">
        <v>243.0</v>
      </c>
      <c r="Z167" s="3" t="s">
        <v>1753</v>
      </c>
      <c r="AA167" s="1">
        <v>719480.0</v>
      </c>
      <c r="AB167" s="1" t="s">
        <v>1754</v>
      </c>
      <c r="AC167" s="3" t="s">
        <v>1755</v>
      </c>
      <c r="AD167" s="3" t="s">
        <v>1756</v>
      </c>
      <c r="AE167" s="1">
        <v>1.0</v>
      </c>
      <c r="AF167" s="1" t="s">
        <v>1757</v>
      </c>
      <c r="AG167" s="1">
        <v>22.0</v>
      </c>
      <c r="AH167" s="1">
        <v>61.0</v>
      </c>
      <c r="AI167" s="1">
        <v>9.0</v>
      </c>
      <c r="AJ167" s="1">
        <v>16.0</v>
      </c>
      <c r="AK167" s="1">
        <v>8.0</v>
      </c>
      <c r="AL167" s="1">
        <v>20.0</v>
      </c>
      <c r="AM167" s="1">
        <v>182.0</v>
      </c>
      <c r="AN167" s="1">
        <v>106.0</v>
      </c>
      <c r="AO167" s="1">
        <v>1.0</v>
      </c>
      <c r="AP167" s="1">
        <v>0.0</v>
      </c>
      <c r="AQ167" s="1">
        <v>5.0</v>
      </c>
      <c r="AR167" s="1">
        <v>22.0</v>
      </c>
      <c r="AS167" s="1">
        <v>2.0</v>
      </c>
    </row>
    <row r="168" hidden="1">
      <c r="A168" s="1">
        <v>355.0</v>
      </c>
      <c r="B168" s="1" t="s">
        <v>1758</v>
      </c>
      <c r="C168" s="1" t="s">
        <v>1759</v>
      </c>
      <c r="D168" s="1" t="s">
        <v>1760</v>
      </c>
      <c r="E168" s="1" t="s">
        <v>43</v>
      </c>
      <c r="F168" s="2">
        <v>16508.0</v>
      </c>
      <c r="G168" s="1">
        <f t="shared" si="1"/>
        <v>81</v>
      </c>
      <c r="H168" s="1" t="s">
        <v>1761</v>
      </c>
      <c r="I168" s="1" t="str">
        <f>IFERROR(__xludf.DUMMYFUNCTION("SPLIT(left(H168,len(H168)-1),""("")"),"Toulon ")</f>
        <v>Toulon </v>
      </c>
      <c r="J168" s="1" t="str">
        <f>IFERROR(__xludf.DUMMYFUNCTION("""COMPUTED_VALUE"""),"Var")</f>
        <v>Var</v>
      </c>
      <c r="K168" s="1" t="str">
        <f>IFERROR(__xludf.DUMMYFUNCTION("IF( COUNTA( IFERROR( FILTER('départements_edition'!$C$2:$C$102 , 'départements_edition'!$C$2:$C$102=J168 ) ) ) , ""Oui"" , ""Non"" )"),"Oui")</f>
        <v>Oui</v>
      </c>
      <c r="L168" s="1" t="str">
        <f t="shared" si="2"/>
        <v>France</v>
      </c>
      <c r="M168" s="1">
        <v>75.0</v>
      </c>
      <c r="N168" s="1" t="s">
        <v>232</v>
      </c>
      <c r="O168" s="1">
        <v>14.0</v>
      </c>
      <c r="P168" s="2">
        <v>42907.0</v>
      </c>
      <c r="R168" s="1">
        <v>0.0</v>
      </c>
      <c r="S168" s="1" t="s">
        <v>61</v>
      </c>
      <c r="T168" s="1" t="s">
        <v>62</v>
      </c>
      <c r="U168" s="1" t="s">
        <v>1762</v>
      </c>
      <c r="X168" s="1" t="s">
        <v>1763</v>
      </c>
      <c r="Y168" s="1">
        <v>93.0</v>
      </c>
      <c r="Z168" s="3" t="s">
        <v>1764</v>
      </c>
      <c r="AA168" s="1">
        <v>1498.0</v>
      </c>
      <c r="AB168" s="1" t="s">
        <v>1765</v>
      </c>
      <c r="AC168" s="3" t="s">
        <v>1766</v>
      </c>
      <c r="AD168" s="3" t="s">
        <v>1767</v>
      </c>
      <c r="AE168" s="1">
        <v>2.0</v>
      </c>
      <c r="AF168" s="1" t="s">
        <v>1768</v>
      </c>
      <c r="AG168" s="1">
        <v>22.0</v>
      </c>
      <c r="AH168" s="1">
        <v>27.0</v>
      </c>
      <c r="AI168" s="1">
        <v>23.0</v>
      </c>
      <c r="AJ168" s="1">
        <v>19.0</v>
      </c>
      <c r="AK168" s="1">
        <v>196.0</v>
      </c>
      <c r="AL168" s="1">
        <v>4.0</v>
      </c>
      <c r="AM168" s="1">
        <v>300.0</v>
      </c>
      <c r="AN168" s="1">
        <v>15.0</v>
      </c>
      <c r="AO168" s="1">
        <v>1.0</v>
      </c>
      <c r="AP168" s="1">
        <v>0.0</v>
      </c>
      <c r="AQ168" s="1">
        <v>36.0</v>
      </c>
      <c r="AR168" s="1">
        <v>2.0</v>
      </c>
      <c r="AS168" s="1">
        <v>1.0</v>
      </c>
    </row>
    <row r="169" hidden="1">
      <c r="A169" s="1">
        <v>208.0</v>
      </c>
      <c r="B169" s="1" t="s">
        <v>1769</v>
      </c>
      <c r="C169" s="1" t="s">
        <v>1770</v>
      </c>
      <c r="D169" s="1" t="s">
        <v>1771</v>
      </c>
      <c r="E169" s="1" t="s">
        <v>43</v>
      </c>
      <c r="F169" s="2">
        <v>27201.0</v>
      </c>
      <c r="G169" s="1">
        <f t="shared" si="1"/>
        <v>52</v>
      </c>
      <c r="H169" s="1" t="s">
        <v>1772</v>
      </c>
      <c r="I169" s="1" t="str">
        <f>IFERROR(__xludf.DUMMYFUNCTION("SPLIT(left(H169,len(H169)-1),""("")"),"Perpignan ")</f>
        <v>Perpignan </v>
      </c>
      <c r="J169" s="1" t="str">
        <f>IFERROR(__xludf.DUMMYFUNCTION("""COMPUTED_VALUE"""),"Pyrénées-Orientales")</f>
        <v>Pyrénées-Orientales</v>
      </c>
      <c r="K169" s="1" t="str">
        <f>IFERROR(__xludf.DUMMYFUNCTION("IF( COUNTA( IFERROR( FILTER('départements_edition'!$C$2:$C$102 , 'départements_edition'!$C$2:$C$102=J169 ) ) ) , ""Oui"" , ""Non"" )"),"Oui")</f>
        <v>Oui</v>
      </c>
      <c r="L169" s="1" t="str">
        <f t="shared" si="2"/>
        <v>France</v>
      </c>
      <c r="M169" s="1">
        <v>66.0</v>
      </c>
      <c r="N169" s="1" t="s">
        <v>1773</v>
      </c>
      <c r="O169" s="1">
        <v>1.0</v>
      </c>
      <c r="P169" s="2">
        <v>42907.0</v>
      </c>
      <c r="R169" s="1">
        <v>0.0</v>
      </c>
      <c r="S169" s="1" t="s">
        <v>75</v>
      </c>
      <c r="T169" s="1" t="s">
        <v>76</v>
      </c>
      <c r="U169" s="1" t="s">
        <v>1774</v>
      </c>
      <c r="X169" s="1" t="s">
        <v>198</v>
      </c>
      <c r="Y169" s="1">
        <v>531.0</v>
      </c>
      <c r="Z169" s="3" t="s">
        <v>1775</v>
      </c>
      <c r="AA169" s="1">
        <v>720790.0</v>
      </c>
      <c r="AB169" s="1" t="s">
        <v>1776</v>
      </c>
      <c r="AC169" s="3" t="s">
        <v>1777</v>
      </c>
      <c r="AD169" s="3" t="s">
        <v>1778</v>
      </c>
      <c r="AE169" s="1">
        <v>1.0</v>
      </c>
      <c r="AF169" s="1" t="s">
        <v>1779</v>
      </c>
      <c r="AG169" s="1">
        <v>22.0</v>
      </c>
      <c r="AH169" s="1">
        <v>54.0</v>
      </c>
      <c r="AI169" s="1">
        <v>5.0</v>
      </c>
      <c r="AJ169" s="1">
        <v>13.0</v>
      </c>
      <c r="AK169" s="1">
        <v>1.0</v>
      </c>
      <c r="AL169" s="1">
        <v>0.0</v>
      </c>
      <c r="AM169" s="1">
        <v>163.0</v>
      </c>
      <c r="AN169" s="1">
        <v>104.0</v>
      </c>
      <c r="AO169" s="1">
        <v>1.0</v>
      </c>
      <c r="AP169" s="1">
        <v>0.0</v>
      </c>
      <c r="AQ169" s="1">
        <v>5.0</v>
      </c>
      <c r="AR169" s="1">
        <v>38.0</v>
      </c>
      <c r="AS169" s="1">
        <v>1.0</v>
      </c>
    </row>
    <row r="170" hidden="1">
      <c r="A170" s="1">
        <v>356.0</v>
      </c>
      <c r="B170" s="1" t="s">
        <v>1780</v>
      </c>
      <c r="C170" s="1" t="s">
        <v>1781</v>
      </c>
      <c r="D170" s="1" t="s">
        <v>1782</v>
      </c>
      <c r="E170" s="1" t="s">
        <v>43</v>
      </c>
      <c r="F170" s="2">
        <v>19887.0</v>
      </c>
      <c r="G170" s="1">
        <f t="shared" si="1"/>
        <v>72</v>
      </c>
      <c r="H170" s="1" t="s">
        <v>1291</v>
      </c>
      <c r="I170" s="1" t="str">
        <f>IFERROR(__xludf.DUMMYFUNCTION("SPLIT(left(H170,len(H170)-1),""("")"),"Nantes ")</f>
        <v>Nantes </v>
      </c>
      <c r="J170" s="1" t="str">
        <f>IFERROR(__xludf.DUMMYFUNCTION("""COMPUTED_VALUE"""),"Loire-Atlantique")</f>
        <v>Loire-Atlantique</v>
      </c>
      <c r="K170" s="1" t="str">
        <f>IFERROR(__xludf.DUMMYFUNCTION("IF( COUNTA( IFERROR( FILTER('départements_edition'!$C$2:$C$102 , 'départements_edition'!$C$2:$C$102=J170 ) ) ) , ""Oui"" , ""Non"" )"),"Oui")</f>
        <v>Oui</v>
      </c>
      <c r="L170" s="1" t="str">
        <f t="shared" si="2"/>
        <v>France</v>
      </c>
      <c r="M170" s="1">
        <v>44.0</v>
      </c>
      <c r="N170" s="1" t="s">
        <v>492</v>
      </c>
      <c r="O170" s="1">
        <v>9.0</v>
      </c>
      <c r="P170" s="2">
        <v>42907.0</v>
      </c>
      <c r="R170" s="1">
        <v>0.0</v>
      </c>
      <c r="S170" s="1" t="s">
        <v>75</v>
      </c>
      <c r="T170" s="1" t="s">
        <v>76</v>
      </c>
      <c r="U170" s="1" t="s">
        <v>1783</v>
      </c>
      <c r="X170" s="1" t="s">
        <v>1784</v>
      </c>
      <c r="Y170" s="1">
        <v>566.0</v>
      </c>
      <c r="Z170" s="3" t="s">
        <v>1785</v>
      </c>
      <c r="AA170" s="1">
        <v>720054.0</v>
      </c>
      <c r="AB170" s="1" t="s">
        <v>1786</v>
      </c>
      <c r="AC170" s="3" t="s">
        <v>1787</v>
      </c>
      <c r="AD170" s="3" t="s">
        <v>1788</v>
      </c>
      <c r="AE170" s="1">
        <v>1.0</v>
      </c>
      <c r="AF170" s="1" t="s">
        <v>1789</v>
      </c>
      <c r="AG170" s="1">
        <v>22.0</v>
      </c>
      <c r="AH170" s="1">
        <v>36.0</v>
      </c>
      <c r="AI170" s="1">
        <v>23.0</v>
      </c>
      <c r="AJ170" s="1">
        <v>17.0</v>
      </c>
      <c r="AK170" s="1">
        <v>2.0</v>
      </c>
      <c r="AL170" s="1">
        <v>2.0</v>
      </c>
      <c r="AM170" s="1">
        <v>96.0</v>
      </c>
      <c r="AN170" s="1">
        <v>43.0</v>
      </c>
      <c r="AO170" s="1">
        <v>1.0</v>
      </c>
      <c r="AP170" s="1">
        <v>0.0</v>
      </c>
      <c r="AQ170" s="1">
        <v>5.0</v>
      </c>
      <c r="AR170" s="1">
        <v>16.0</v>
      </c>
      <c r="AS170" s="1">
        <v>2.0</v>
      </c>
    </row>
    <row r="171" hidden="1">
      <c r="A171" s="1">
        <v>456.0</v>
      </c>
      <c r="B171" s="1" t="s">
        <v>1790</v>
      </c>
      <c r="C171" s="1" t="s">
        <v>1791</v>
      </c>
      <c r="D171" s="1" t="s">
        <v>1792</v>
      </c>
      <c r="E171" s="1" t="s">
        <v>43</v>
      </c>
      <c r="F171" s="2">
        <v>23056.0</v>
      </c>
      <c r="G171" s="1">
        <f t="shared" si="1"/>
        <v>63</v>
      </c>
      <c r="H171" s="1" t="s">
        <v>1793</v>
      </c>
      <c r="I171" s="1" t="str">
        <f>IFERROR(__xludf.DUMMYFUNCTION("SPLIT(left(H171,len(H171)-1),""("")"),"Sélestat ")</f>
        <v>Sélestat </v>
      </c>
      <c r="J171" s="1" t="str">
        <f>IFERROR(__xludf.DUMMYFUNCTION("""COMPUTED_VALUE"""),"Bas-Rhin")</f>
        <v>Bas-Rhin</v>
      </c>
      <c r="K171" s="1" t="str">
        <f>IFERROR(__xludf.DUMMYFUNCTION("IF( COUNTA( IFERROR( FILTER('départements_edition'!$C$2:$C$102 , 'départements_edition'!$C$2:$C$102=J171 ) ) ) , ""Oui"" , ""Non"" )"),"Oui")</f>
        <v>Oui</v>
      </c>
      <c r="L171" s="1" t="str">
        <f t="shared" si="2"/>
        <v>France</v>
      </c>
      <c r="M171" s="1">
        <v>67.0</v>
      </c>
      <c r="N171" s="1" t="s">
        <v>244</v>
      </c>
      <c r="O171" s="1">
        <v>5.0</v>
      </c>
      <c r="P171" s="2">
        <v>42907.0</v>
      </c>
      <c r="R171" s="1">
        <v>0.0</v>
      </c>
      <c r="S171" s="1" t="s">
        <v>46</v>
      </c>
      <c r="T171" s="1" t="s">
        <v>47</v>
      </c>
      <c r="U171" s="1" t="s">
        <v>1794</v>
      </c>
      <c r="X171" s="1" t="s">
        <v>1067</v>
      </c>
      <c r="Y171" s="1">
        <v>143.0</v>
      </c>
      <c r="Z171" s="3" t="s">
        <v>1795</v>
      </c>
      <c r="AA171" s="1">
        <v>267355.0</v>
      </c>
      <c r="AB171" s="1" t="s">
        <v>1796</v>
      </c>
      <c r="AC171" s="3" t="s">
        <v>1797</v>
      </c>
      <c r="AD171" s="3" t="s">
        <v>1798</v>
      </c>
      <c r="AE171" s="1">
        <v>1.0</v>
      </c>
      <c r="AF171" s="1" t="s">
        <v>1799</v>
      </c>
      <c r="AG171" s="1">
        <v>22.0</v>
      </c>
      <c r="AH171" s="1">
        <v>38.0</v>
      </c>
      <c r="AI171" s="1">
        <v>17.0</v>
      </c>
      <c r="AJ171" s="1">
        <v>3.0</v>
      </c>
      <c r="AK171" s="1">
        <v>0.0</v>
      </c>
      <c r="AL171" s="1">
        <v>3.0</v>
      </c>
      <c r="AM171" s="1">
        <v>415.0</v>
      </c>
      <c r="AN171" s="1">
        <v>23.0</v>
      </c>
      <c r="AO171" s="1">
        <v>0.0</v>
      </c>
      <c r="AP171" s="1">
        <v>2.0</v>
      </c>
      <c r="AQ171" s="1">
        <v>23.0</v>
      </c>
      <c r="AR171" s="1">
        <v>9.0</v>
      </c>
      <c r="AS171" s="1">
        <v>1.0</v>
      </c>
    </row>
    <row r="172" hidden="1">
      <c r="A172" s="1">
        <v>317.0</v>
      </c>
      <c r="B172" s="1" t="s">
        <v>1800</v>
      </c>
      <c r="C172" s="1" t="s">
        <v>1801</v>
      </c>
      <c r="D172" s="1" t="s">
        <v>501</v>
      </c>
      <c r="E172" s="1" t="s">
        <v>43</v>
      </c>
      <c r="F172" s="2">
        <v>24897.0</v>
      </c>
      <c r="G172" s="1">
        <f t="shared" si="1"/>
        <v>58</v>
      </c>
      <c r="H172" s="1" t="s">
        <v>1802</v>
      </c>
      <c r="I172" s="1" t="str">
        <f>IFERROR(__xludf.DUMMYFUNCTION("SPLIT(left(H172,len(H172)-1),""("")"),"Metz ")</f>
        <v>Metz </v>
      </c>
      <c r="J172" s="1" t="str">
        <f>IFERROR(__xludf.DUMMYFUNCTION("""COMPUTED_VALUE"""),"Moselle")</f>
        <v>Moselle</v>
      </c>
      <c r="K172" s="1" t="str">
        <f>IFERROR(__xludf.DUMMYFUNCTION("IF( COUNTA( IFERROR( FILTER('départements_edition'!$C$2:$C$102 , 'départements_edition'!$C$2:$C$102=J172 ) ) ) , ""Oui"" , ""Non"" )"),"Oui")</f>
        <v>Oui</v>
      </c>
      <c r="L172" s="1" t="str">
        <f t="shared" si="2"/>
        <v>France</v>
      </c>
      <c r="M172" s="1">
        <v>56.0</v>
      </c>
      <c r="N172" s="1" t="s">
        <v>1343</v>
      </c>
      <c r="O172" s="1">
        <v>6.0</v>
      </c>
      <c r="P172" s="2">
        <v>42907.0</v>
      </c>
      <c r="R172" s="1">
        <v>0.0</v>
      </c>
      <c r="S172" s="1" t="s">
        <v>75</v>
      </c>
      <c r="T172" s="1" t="s">
        <v>76</v>
      </c>
      <c r="U172" s="3" t="s">
        <v>1803</v>
      </c>
      <c r="X172" s="1" t="s">
        <v>1804</v>
      </c>
      <c r="Y172" s="1">
        <v>404.0</v>
      </c>
      <c r="Z172" s="3" t="s">
        <v>1805</v>
      </c>
      <c r="AA172" s="1">
        <v>720354.0</v>
      </c>
      <c r="AB172" s="1" t="s">
        <v>1806</v>
      </c>
      <c r="AC172" s="3" t="s">
        <v>1807</v>
      </c>
      <c r="AD172" s="3" t="s">
        <v>1808</v>
      </c>
      <c r="AE172" s="1">
        <v>2.0</v>
      </c>
      <c r="AF172" s="1" t="s">
        <v>1809</v>
      </c>
      <c r="AG172" s="1">
        <v>22.0</v>
      </c>
      <c r="AH172" s="1">
        <v>38.0</v>
      </c>
      <c r="AI172" s="1">
        <v>26.0</v>
      </c>
      <c r="AJ172" s="1">
        <v>2.0</v>
      </c>
      <c r="AK172" s="1">
        <v>34.0</v>
      </c>
      <c r="AL172" s="1">
        <v>0.0</v>
      </c>
      <c r="AM172" s="1">
        <v>12.0</v>
      </c>
      <c r="AN172" s="1">
        <v>3.0</v>
      </c>
      <c r="AO172" s="1">
        <v>0.0</v>
      </c>
      <c r="AP172" s="1">
        <v>0.0</v>
      </c>
      <c r="AQ172" s="1">
        <v>5.0</v>
      </c>
      <c r="AR172" s="1">
        <v>11.0</v>
      </c>
      <c r="AS172" s="1">
        <v>0.0</v>
      </c>
    </row>
    <row r="173" hidden="1">
      <c r="A173" s="1">
        <v>197.0</v>
      </c>
      <c r="B173" s="1" t="s">
        <v>1810</v>
      </c>
      <c r="C173" s="1" t="s">
        <v>1811</v>
      </c>
      <c r="D173" s="1" t="s">
        <v>1490</v>
      </c>
      <c r="E173" s="1" t="s">
        <v>43</v>
      </c>
      <c r="F173" s="2">
        <v>24187.0</v>
      </c>
      <c r="G173" s="1">
        <f t="shared" si="1"/>
        <v>60</v>
      </c>
      <c r="H173" s="1" t="s">
        <v>1812</v>
      </c>
      <c r="I173" s="1" t="str">
        <f>IFERROR(__xludf.DUMMYFUNCTION("SPLIT(left(H173,len(H173)-1),""("")"),"Chateauroux ")</f>
        <v>Chateauroux </v>
      </c>
      <c r="J173" s="1" t="str">
        <f>IFERROR(__xludf.DUMMYFUNCTION("""COMPUTED_VALUE"""),"Indre")</f>
        <v>Indre</v>
      </c>
      <c r="K173" s="1" t="str">
        <f>IFERROR(__xludf.DUMMYFUNCTION("IF( COUNTA( IFERROR( FILTER('départements_edition'!$C$2:$C$102 , 'départements_edition'!$C$2:$C$102=J173 ) ) ) , ""Oui"" , ""Non"" )"),"Oui")</f>
        <v>Oui</v>
      </c>
      <c r="L173" s="1" t="str">
        <f t="shared" si="2"/>
        <v>France</v>
      </c>
      <c r="M173" s="1">
        <v>36.0</v>
      </c>
      <c r="N173" s="1" t="s">
        <v>1813</v>
      </c>
      <c r="O173" s="1">
        <v>1.0</v>
      </c>
      <c r="P173" s="2">
        <v>42907.0</v>
      </c>
      <c r="R173" s="1">
        <v>0.0</v>
      </c>
      <c r="S173" s="1" t="s">
        <v>75</v>
      </c>
      <c r="T173" s="1" t="s">
        <v>76</v>
      </c>
      <c r="U173" s="1" t="s">
        <v>1814</v>
      </c>
      <c r="X173" s="1" t="s">
        <v>234</v>
      </c>
      <c r="Y173" s="1">
        <v>606.0</v>
      </c>
      <c r="Z173" s="3" t="s">
        <v>1815</v>
      </c>
      <c r="AA173" s="1">
        <v>719778.0</v>
      </c>
      <c r="AB173" s="1" t="s">
        <v>1816</v>
      </c>
      <c r="AC173" s="3" t="s">
        <v>1817</v>
      </c>
      <c r="AD173" s="3" t="s">
        <v>1818</v>
      </c>
      <c r="AE173" s="1">
        <v>2.0</v>
      </c>
      <c r="AF173" s="1" t="s">
        <v>1819</v>
      </c>
      <c r="AG173" s="1">
        <v>22.0</v>
      </c>
      <c r="AH173" s="1">
        <v>49.0</v>
      </c>
      <c r="AI173" s="1">
        <v>19.0</v>
      </c>
      <c r="AJ173" s="1">
        <v>32.0</v>
      </c>
      <c r="AK173" s="1">
        <v>10.0</v>
      </c>
      <c r="AL173" s="1">
        <v>18.0</v>
      </c>
      <c r="AM173" s="1">
        <v>175.0</v>
      </c>
      <c r="AN173" s="1">
        <v>105.0</v>
      </c>
      <c r="AO173" s="1">
        <v>1.0</v>
      </c>
      <c r="AP173" s="1">
        <v>0.0</v>
      </c>
      <c r="AQ173" s="1">
        <v>5.0</v>
      </c>
      <c r="AR173" s="1">
        <v>2.0</v>
      </c>
      <c r="AS173" s="1">
        <v>0.0</v>
      </c>
    </row>
    <row r="174" hidden="1">
      <c r="A174" s="1">
        <v>5.0</v>
      </c>
      <c r="B174" s="1" t="s">
        <v>1820</v>
      </c>
      <c r="C174" s="1" t="s">
        <v>1821</v>
      </c>
      <c r="D174" s="1" t="s">
        <v>1822</v>
      </c>
      <c r="E174" s="1" t="s">
        <v>43</v>
      </c>
      <c r="F174" s="2">
        <v>31836.0</v>
      </c>
      <c r="G174" s="1">
        <f t="shared" si="1"/>
        <v>39</v>
      </c>
      <c r="H174" s="1" t="s">
        <v>718</v>
      </c>
      <c r="I174" s="1" t="str">
        <f>IFERROR(__xludf.DUMMYFUNCTION("SPLIT(left(H174,len(H174)-1),""("")"),"Marseille ")</f>
        <v>Marseille </v>
      </c>
      <c r="J174" s="1" t="str">
        <f>IFERROR(__xludf.DUMMYFUNCTION("""COMPUTED_VALUE"""),"Bouches-du-Rhône")</f>
        <v>Bouches-du-Rhône</v>
      </c>
      <c r="K174" s="1" t="str">
        <f>IFERROR(__xludf.DUMMYFUNCTION("IF( COUNTA( IFERROR( FILTER('départements_edition'!$C$2:$C$102 , 'départements_edition'!$C$2:$C$102=J174 ) ) ) , ""Oui"" , ""Non"" )"),"Oui")</f>
        <v>Oui</v>
      </c>
      <c r="L174" s="1" t="str">
        <f t="shared" si="2"/>
        <v>France</v>
      </c>
      <c r="M174" s="1">
        <v>28.0</v>
      </c>
      <c r="N174" s="1" t="s">
        <v>45</v>
      </c>
      <c r="O174" s="1">
        <v>1.0</v>
      </c>
      <c r="P174" s="2">
        <v>42907.0</v>
      </c>
      <c r="R174" s="1">
        <v>0.0</v>
      </c>
      <c r="S174" s="1" t="s">
        <v>75</v>
      </c>
      <c r="T174" s="1" t="s">
        <v>76</v>
      </c>
      <c r="U174" s="1" t="s">
        <v>1823</v>
      </c>
      <c r="X174" s="1" t="s">
        <v>234</v>
      </c>
      <c r="Y174" s="1">
        <v>458.0</v>
      </c>
      <c r="Z174" s="3" t="s">
        <v>1824</v>
      </c>
      <c r="AA174" s="1">
        <v>719372.0</v>
      </c>
      <c r="AB174" s="1" t="s">
        <v>1825</v>
      </c>
      <c r="AC174" s="3" t="s">
        <v>1826</v>
      </c>
      <c r="AD174" s="3" t="s">
        <v>1827</v>
      </c>
      <c r="AE174" s="1">
        <v>1.0</v>
      </c>
      <c r="AF174" s="1" t="s">
        <v>1828</v>
      </c>
      <c r="AG174" s="1">
        <v>22.0</v>
      </c>
      <c r="AH174" s="1">
        <v>46.0</v>
      </c>
      <c r="AI174" s="1">
        <v>36.0</v>
      </c>
      <c r="AJ174" s="1">
        <v>0.0</v>
      </c>
      <c r="AK174" s="1">
        <v>0.0</v>
      </c>
      <c r="AL174" s="1">
        <v>0.0</v>
      </c>
      <c r="AM174" s="1">
        <v>47.0</v>
      </c>
      <c r="AN174" s="1">
        <v>25.0</v>
      </c>
      <c r="AO174" s="1">
        <v>1.0</v>
      </c>
      <c r="AP174" s="1">
        <v>0.0</v>
      </c>
      <c r="AQ174" s="1">
        <v>5.0</v>
      </c>
      <c r="AR174" s="1">
        <v>9.0</v>
      </c>
      <c r="AS174" s="1">
        <v>0.0</v>
      </c>
    </row>
    <row r="175" hidden="1">
      <c r="A175" s="1">
        <v>136.0</v>
      </c>
      <c r="B175" s="1" t="s">
        <v>1829</v>
      </c>
      <c r="C175" s="1" t="s">
        <v>1830</v>
      </c>
      <c r="D175" s="1" t="s">
        <v>1831</v>
      </c>
      <c r="E175" s="1" t="s">
        <v>58</v>
      </c>
      <c r="F175" s="2">
        <v>22700.0</v>
      </c>
      <c r="G175" s="1">
        <f t="shared" si="1"/>
        <v>64</v>
      </c>
      <c r="H175" s="1" t="s">
        <v>1832</v>
      </c>
      <c r="I175" s="1" t="str">
        <f>IFERROR(__xludf.DUMMYFUNCTION("SPLIT(left(H175,len(H175)-1),""("")"),"Montbéliard ")</f>
        <v>Montbéliard </v>
      </c>
      <c r="J175" s="1" t="str">
        <f>IFERROR(__xludf.DUMMYFUNCTION("""COMPUTED_VALUE"""),"Doubs")</f>
        <v>Doubs</v>
      </c>
      <c r="K175" s="1" t="str">
        <f>IFERROR(__xludf.DUMMYFUNCTION("IF( COUNTA( IFERROR( FILTER('départements_edition'!$C$2:$C$102 , 'départements_edition'!$C$2:$C$102=J175 ) ) ) , ""Oui"" , ""Non"" )"),"Oui")</f>
        <v>Oui</v>
      </c>
      <c r="L175" s="1" t="str">
        <f t="shared" si="2"/>
        <v>France</v>
      </c>
      <c r="M175" s="1">
        <v>21.0</v>
      </c>
      <c r="N175" s="1" t="s">
        <v>1220</v>
      </c>
      <c r="O175" s="1">
        <v>3.0</v>
      </c>
      <c r="P175" s="2">
        <v>42907.0</v>
      </c>
      <c r="R175" s="1">
        <v>0.0</v>
      </c>
      <c r="S175" s="1" t="s">
        <v>75</v>
      </c>
      <c r="T175" s="1" t="s">
        <v>76</v>
      </c>
      <c r="U175" s="1" t="s">
        <v>1833</v>
      </c>
      <c r="X175" s="1" t="s">
        <v>1834</v>
      </c>
      <c r="Y175" s="1">
        <v>294.0</v>
      </c>
      <c r="Z175" s="3" t="s">
        <v>1835</v>
      </c>
      <c r="AA175" s="1">
        <v>719186.0</v>
      </c>
      <c r="AB175" s="1" t="s">
        <v>1836</v>
      </c>
      <c r="AC175" s="3" t="s">
        <v>1837</v>
      </c>
      <c r="AD175" s="3" t="s">
        <v>1838</v>
      </c>
      <c r="AE175" s="1">
        <v>1.0</v>
      </c>
      <c r="AF175" s="1" t="s">
        <v>1839</v>
      </c>
      <c r="AG175" s="1">
        <v>22.0</v>
      </c>
      <c r="AH175" s="1">
        <v>42.0</v>
      </c>
      <c r="AI175" s="1">
        <v>5.0</v>
      </c>
      <c r="AJ175" s="1">
        <v>4.0</v>
      </c>
      <c r="AK175" s="1">
        <v>1.0</v>
      </c>
      <c r="AL175" s="1">
        <v>0.0</v>
      </c>
      <c r="AM175" s="1">
        <v>63.0</v>
      </c>
      <c r="AN175" s="1">
        <v>25.0</v>
      </c>
      <c r="AO175" s="1">
        <v>0.0</v>
      </c>
      <c r="AP175" s="1">
        <v>0.0</v>
      </c>
      <c r="AQ175" s="1">
        <v>5.0</v>
      </c>
      <c r="AR175" s="1">
        <v>2.0</v>
      </c>
      <c r="AS175" s="1">
        <v>2.0</v>
      </c>
    </row>
    <row r="176" hidden="1">
      <c r="A176" s="1">
        <v>363.0</v>
      </c>
      <c r="B176" s="1" t="s">
        <v>1840</v>
      </c>
      <c r="C176" s="1" t="s">
        <v>1841</v>
      </c>
      <c r="D176" s="1" t="s">
        <v>1822</v>
      </c>
      <c r="E176" s="1" t="s">
        <v>43</v>
      </c>
      <c r="F176" s="2">
        <v>28149.0</v>
      </c>
      <c r="G176" s="1">
        <f t="shared" si="1"/>
        <v>49</v>
      </c>
      <c r="H176" s="1" t="s">
        <v>1842</v>
      </c>
      <c r="I176" s="1" t="str">
        <f>IFERROR(__xludf.DUMMYFUNCTION("SPLIT(left(H176,len(H176)-1),""("")"),"Mulhouse ")</f>
        <v>Mulhouse </v>
      </c>
      <c r="J176" s="1" t="str">
        <f>IFERROR(__xludf.DUMMYFUNCTION("""COMPUTED_VALUE"""),"Haut-Rhin")</f>
        <v>Haut-Rhin</v>
      </c>
      <c r="K176" s="1" t="str">
        <f>IFERROR(__xludf.DUMMYFUNCTION("IF( COUNTA( IFERROR( FILTER('départements_edition'!$C$2:$C$102 , 'départements_edition'!$C$2:$C$102=J176 ) ) ) , ""Oui"" , ""Non"" )"),"Oui")</f>
        <v>Oui</v>
      </c>
      <c r="L176" s="1" t="str">
        <f t="shared" si="2"/>
        <v>France</v>
      </c>
      <c r="M176" s="1">
        <v>89.0</v>
      </c>
      <c r="N176" s="1" t="s">
        <v>877</v>
      </c>
      <c r="O176" s="1">
        <v>1.0</v>
      </c>
      <c r="P176" s="2">
        <v>42907.0</v>
      </c>
      <c r="R176" s="1">
        <v>0.0</v>
      </c>
      <c r="S176" s="1" t="s">
        <v>61</v>
      </c>
      <c r="T176" s="1" t="s">
        <v>62</v>
      </c>
      <c r="U176" s="1" t="s">
        <v>1843</v>
      </c>
      <c r="X176" s="1" t="s">
        <v>1844</v>
      </c>
      <c r="Y176" s="1">
        <v>45.0</v>
      </c>
      <c r="Z176" s="3" t="s">
        <v>1845</v>
      </c>
      <c r="AA176" s="1">
        <v>267785.0</v>
      </c>
      <c r="AB176" s="1" t="s">
        <v>1846</v>
      </c>
      <c r="AC176" s="3" t="s">
        <v>1847</v>
      </c>
      <c r="AD176" s="3" t="s">
        <v>1848</v>
      </c>
      <c r="AE176" s="1">
        <v>1.0</v>
      </c>
      <c r="AF176" s="1" t="s">
        <v>1849</v>
      </c>
      <c r="AG176" s="1">
        <v>22.0</v>
      </c>
      <c r="AH176" s="1">
        <v>37.0</v>
      </c>
      <c r="AI176" s="1">
        <v>56.0</v>
      </c>
      <c r="AJ176" s="1">
        <v>152.0</v>
      </c>
      <c r="AK176" s="1">
        <v>55.0</v>
      </c>
      <c r="AL176" s="1">
        <v>67.0</v>
      </c>
      <c r="AM176" s="1">
        <v>523.0</v>
      </c>
      <c r="AN176" s="1">
        <v>21.0</v>
      </c>
      <c r="AO176" s="1">
        <v>0.0</v>
      </c>
      <c r="AP176" s="1">
        <v>5.0</v>
      </c>
      <c r="AQ176" s="1">
        <v>20.0</v>
      </c>
      <c r="AR176" s="1">
        <v>25.0</v>
      </c>
      <c r="AS176" s="1">
        <v>2.0</v>
      </c>
    </row>
    <row r="177" hidden="1">
      <c r="A177" s="1">
        <v>56.0</v>
      </c>
      <c r="B177" s="1" t="s">
        <v>1850</v>
      </c>
      <c r="C177" s="1" t="s">
        <v>1851</v>
      </c>
      <c r="D177" s="1" t="s">
        <v>42</v>
      </c>
      <c r="E177" s="1" t="s">
        <v>43</v>
      </c>
      <c r="F177" s="2">
        <v>27505.0</v>
      </c>
      <c r="G177" s="1">
        <f t="shared" si="1"/>
        <v>51</v>
      </c>
      <c r="H177" s="1" t="s">
        <v>1852</v>
      </c>
      <c r="I177" s="1" t="str">
        <f>IFERROR(__xludf.DUMMYFUNCTION("SPLIT(left(H177,len(H177)-1),""("")"),"Paris 14 ")</f>
        <v>Paris 14 </v>
      </c>
      <c r="J177" s="1" t="str">
        <f>IFERROR(__xludf.DUMMYFUNCTION("""COMPUTED_VALUE"""),"Paris")</f>
        <v>Paris</v>
      </c>
      <c r="K177" s="1" t="str">
        <f>IFERROR(__xludf.DUMMYFUNCTION("IF( COUNTA( IFERROR( FILTER('départements_edition'!$C$2:$C$102 , 'départements_edition'!$C$2:$C$102=J177 ) ) ) , ""Oui"" , ""Non"" )"),"Oui")</f>
        <v>Oui</v>
      </c>
      <c r="L177" s="1" t="str">
        <f t="shared" si="2"/>
        <v>France</v>
      </c>
      <c r="M177" s="1">
        <v>85.0</v>
      </c>
      <c r="N177" s="1" t="s">
        <v>1853</v>
      </c>
      <c r="O177" s="1">
        <v>1.0</v>
      </c>
      <c r="P177" s="2">
        <v>42907.0</v>
      </c>
      <c r="R177" s="1">
        <v>0.0</v>
      </c>
      <c r="S177" s="1" t="s">
        <v>280</v>
      </c>
      <c r="T177" s="1" t="s">
        <v>281</v>
      </c>
      <c r="U177" s="3" t="s">
        <v>1854</v>
      </c>
      <c r="X177" s="1" t="s">
        <v>234</v>
      </c>
      <c r="Y177" s="1">
        <v>253.0</v>
      </c>
      <c r="Z177" s="3" t="s">
        <v>1855</v>
      </c>
      <c r="AA177" s="1">
        <v>721984.0</v>
      </c>
      <c r="AB177" s="1" t="s">
        <v>1856</v>
      </c>
      <c r="AC177" s="3" t="s">
        <v>1857</v>
      </c>
      <c r="AD177" s="3" t="s">
        <v>1858</v>
      </c>
      <c r="AE177" s="1">
        <v>1.0</v>
      </c>
      <c r="AF177" s="1" t="s">
        <v>1859</v>
      </c>
      <c r="AG177" s="1">
        <v>22.0</v>
      </c>
      <c r="AH177" s="1">
        <v>40.0</v>
      </c>
      <c r="AI177" s="1">
        <v>48.0</v>
      </c>
      <c r="AJ177" s="1">
        <v>47.0</v>
      </c>
      <c r="AK177" s="1">
        <v>6.0</v>
      </c>
      <c r="AL177" s="1">
        <v>20.0</v>
      </c>
      <c r="AM177" s="1">
        <v>261.0</v>
      </c>
      <c r="AN177" s="1">
        <v>25.0</v>
      </c>
      <c r="AO177" s="1">
        <v>0.0</v>
      </c>
      <c r="AP177" s="1">
        <v>1.0</v>
      </c>
      <c r="AQ177" s="1">
        <v>5.0</v>
      </c>
      <c r="AR177" s="1">
        <v>6.0</v>
      </c>
      <c r="AS177" s="1">
        <v>0.0</v>
      </c>
    </row>
    <row r="178" hidden="1">
      <c r="A178" s="1">
        <v>141.0</v>
      </c>
      <c r="B178" s="1" t="s">
        <v>1860</v>
      </c>
      <c r="C178" s="1" t="s">
        <v>1861</v>
      </c>
      <c r="D178" s="1" t="s">
        <v>810</v>
      </c>
      <c r="E178" s="1" t="s">
        <v>43</v>
      </c>
      <c r="F178" s="2">
        <v>20899.0</v>
      </c>
      <c r="G178" s="1">
        <f t="shared" si="1"/>
        <v>69</v>
      </c>
      <c r="H178" s="1" t="s">
        <v>1862</v>
      </c>
      <c r="I178" s="1" t="str">
        <f>IFERROR(__xludf.DUMMYFUNCTION("SPLIT(left(H178,len(H178)-1),""("")"),"Castelsarrasin ")</f>
        <v>Castelsarrasin </v>
      </c>
      <c r="J178" s="1" t="str">
        <f>IFERROR(__xludf.DUMMYFUNCTION("""COMPUTED_VALUE"""),"Tarn-et-Garonne")</f>
        <v>Tarn-et-Garonne</v>
      </c>
      <c r="K178" s="1" t="str">
        <f>IFERROR(__xludf.DUMMYFUNCTION("IF( COUNTA( IFERROR( FILTER('départements_edition'!$C$2:$C$102 , 'départements_edition'!$C$2:$C$102=J178 ) ) ) , ""Oui"" , ""Non"" )"),"Oui")</f>
        <v>Oui</v>
      </c>
      <c r="L178" s="1" t="str">
        <f t="shared" si="2"/>
        <v>France</v>
      </c>
      <c r="M178" s="1">
        <v>47.0</v>
      </c>
      <c r="N178" s="1" t="s">
        <v>907</v>
      </c>
      <c r="O178" s="1">
        <v>1.0</v>
      </c>
      <c r="P178" s="2">
        <v>42907.0</v>
      </c>
      <c r="R178" s="1">
        <v>0.0</v>
      </c>
      <c r="S178" s="1" t="s">
        <v>75</v>
      </c>
      <c r="T178" s="1" t="s">
        <v>76</v>
      </c>
      <c r="U178" s="3" t="s">
        <v>1863</v>
      </c>
      <c r="X178" s="1" t="s">
        <v>151</v>
      </c>
      <c r="Y178" s="1">
        <v>400.0</v>
      </c>
      <c r="Z178" s="3" t="s">
        <v>1864</v>
      </c>
      <c r="AA178" s="1">
        <v>720022.0</v>
      </c>
      <c r="AB178" s="1" t="s">
        <v>1865</v>
      </c>
      <c r="AC178" s="3" t="s">
        <v>1866</v>
      </c>
      <c r="AD178" s="3" t="s">
        <v>1867</v>
      </c>
      <c r="AE178" s="1">
        <v>2.0</v>
      </c>
      <c r="AF178" s="1" t="s">
        <v>1868</v>
      </c>
      <c r="AG178" s="1">
        <v>22.0</v>
      </c>
      <c r="AH178" s="1">
        <v>65.0</v>
      </c>
      <c r="AI178" s="1">
        <v>25.0</v>
      </c>
      <c r="AJ178" s="1">
        <v>6.0</v>
      </c>
      <c r="AK178" s="1">
        <v>0.0</v>
      </c>
      <c r="AL178" s="1">
        <v>0.0</v>
      </c>
      <c r="AM178" s="1">
        <v>152.0</v>
      </c>
      <c r="AN178" s="1">
        <v>104.0</v>
      </c>
      <c r="AO178" s="1">
        <v>1.0</v>
      </c>
      <c r="AP178" s="1">
        <v>0.0</v>
      </c>
      <c r="AQ178" s="1">
        <v>6.0</v>
      </c>
      <c r="AR178" s="1">
        <v>6.0</v>
      </c>
      <c r="AS178" s="1">
        <v>1.0</v>
      </c>
    </row>
    <row r="179" hidden="1">
      <c r="A179" s="1">
        <v>341.0</v>
      </c>
      <c r="B179" s="1" t="s">
        <v>1869</v>
      </c>
      <c r="C179" s="1" t="s">
        <v>1870</v>
      </c>
      <c r="D179" s="1" t="s">
        <v>1871</v>
      </c>
      <c r="E179" s="1" t="s">
        <v>58</v>
      </c>
      <c r="F179" s="2">
        <v>29180.0</v>
      </c>
      <c r="G179" s="1">
        <f t="shared" si="1"/>
        <v>46</v>
      </c>
      <c r="H179" s="1" t="s">
        <v>1872</v>
      </c>
      <c r="I179" s="1" t="str">
        <f>IFERROR(__xludf.DUMMYFUNCTION("SPLIT(left(H179,len(H179)-1),""("")"),"Clamart ")</f>
        <v>Clamart </v>
      </c>
      <c r="J179" s="1" t="str">
        <f>IFERROR(__xludf.DUMMYFUNCTION("""COMPUTED_VALUE"""),"Hauts-de-Seine")</f>
        <v>Hauts-de-Seine</v>
      </c>
      <c r="K179" s="1" t="str">
        <f>IFERROR(__xludf.DUMMYFUNCTION("IF( COUNTA( IFERROR( FILTER('départements_edition'!$C$2:$C$102 , 'départements_edition'!$C$2:$C$102=J179 ) ) ) , ""Oui"" , ""Non"" )"),"Oui")</f>
        <v>Oui</v>
      </c>
      <c r="L179" s="1" t="str">
        <f t="shared" si="2"/>
        <v>France</v>
      </c>
      <c r="M179" s="1">
        <v>26.0</v>
      </c>
      <c r="N179" s="1" t="s">
        <v>1873</v>
      </c>
      <c r="O179" s="1">
        <v>3.0</v>
      </c>
      <c r="P179" s="2">
        <v>42907.0</v>
      </c>
      <c r="R179" s="1">
        <v>0.0</v>
      </c>
      <c r="S179" s="1" t="s">
        <v>75</v>
      </c>
      <c r="T179" s="1" t="s">
        <v>76</v>
      </c>
      <c r="U179" s="1" t="s">
        <v>1874</v>
      </c>
      <c r="X179" s="1" t="s">
        <v>827</v>
      </c>
      <c r="Y179" s="1">
        <v>473.0</v>
      </c>
      <c r="Z179" s="3" t="s">
        <v>1875</v>
      </c>
      <c r="AA179" s="1">
        <v>719310.0</v>
      </c>
      <c r="AB179" s="1" t="s">
        <v>1876</v>
      </c>
      <c r="AC179" s="3" t="s">
        <v>1877</v>
      </c>
      <c r="AD179" s="3" t="s">
        <v>1878</v>
      </c>
      <c r="AE179" s="1">
        <v>1.0</v>
      </c>
      <c r="AF179" s="1" t="s">
        <v>1879</v>
      </c>
      <c r="AG179" s="1">
        <v>22.0</v>
      </c>
      <c r="AH179" s="1">
        <v>40.0</v>
      </c>
      <c r="AI179" s="1">
        <v>51.0</v>
      </c>
      <c r="AJ179" s="1">
        <v>28.0</v>
      </c>
      <c r="AK179" s="1">
        <v>2.0</v>
      </c>
      <c r="AL179" s="1">
        <v>73.0</v>
      </c>
      <c r="AM179" s="1">
        <v>173.0</v>
      </c>
      <c r="AN179" s="1">
        <v>140.0</v>
      </c>
      <c r="AO179" s="1">
        <v>2.0</v>
      </c>
      <c r="AP179" s="1">
        <v>0.0</v>
      </c>
      <c r="AQ179" s="1">
        <v>5.0</v>
      </c>
      <c r="AR179" s="1">
        <v>0.0</v>
      </c>
      <c r="AS179" s="1">
        <v>1.0</v>
      </c>
    </row>
    <row r="180" hidden="1">
      <c r="A180" s="1">
        <v>344.0</v>
      </c>
      <c r="B180" s="1" t="s">
        <v>1891</v>
      </c>
      <c r="C180" s="1" t="s">
        <v>1892</v>
      </c>
      <c r="D180" s="1" t="s">
        <v>567</v>
      </c>
      <c r="E180" s="1" t="s">
        <v>43</v>
      </c>
      <c r="F180" s="2">
        <v>21318.0</v>
      </c>
      <c r="G180" s="1">
        <f t="shared" si="1"/>
        <v>68</v>
      </c>
      <c r="H180" s="1" t="s">
        <v>1893</v>
      </c>
      <c r="I180" s="1" t="str">
        <f>IFERROR(__xludf.DUMMYFUNCTION("SPLIT(left(H180,len(H180)-1),""("")"),"Neuilly-sur-Seine ")</f>
        <v>Neuilly-sur-Seine </v>
      </c>
      <c r="J180" s="1" t="str">
        <f>IFERROR(__xludf.DUMMYFUNCTION("""COMPUTED_VALUE"""),"Hauts-de-Seine")</f>
        <v>Hauts-de-Seine</v>
      </c>
      <c r="K180" s="1" t="str">
        <f>IFERROR(__xludf.DUMMYFUNCTION("IF( COUNTA( IFERROR( FILTER('départements_edition'!$C$2:$C$102 , 'départements_edition'!$C$2:$C$102=J180 ) ) ) , ""Oui"" , ""Non"" )"),"Oui")</f>
        <v>Oui</v>
      </c>
      <c r="L180" s="1" t="str">
        <f t="shared" si="2"/>
        <v>France</v>
      </c>
      <c r="M180" s="1">
        <v>75.0</v>
      </c>
      <c r="N180" s="1" t="s">
        <v>232</v>
      </c>
      <c r="O180" s="1">
        <v>2.0</v>
      </c>
      <c r="P180" s="2">
        <v>42907.0</v>
      </c>
      <c r="R180" s="1">
        <v>0.0</v>
      </c>
      <c r="S180" s="1" t="s">
        <v>75</v>
      </c>
      <c r="T180" s="1" t="s">
        <v>76</v>
      </c>
      <c r="U180" s="1" t="s">
        <v>1894</v>
      </c>
      <c r="X180" s="1" t="s">
        <v>198</v>
      </c>
      <c r="Y180" s="1">
        <v>436.0</v>
      </c>
      <c r="Z180" s="3" t="s">
        <v>1895</v>
      </c>
      <c r="AA180" s="1">
        <v>721466.0</v>
      </c>
      <c r="AB180" s="1" t="s">
        <v>1896</v>
      </c>
      <c r="AC180" s="3" t="s">
        <v>1897</v>
      </c>
      <c r="AD180" s="3" t="s">
        <v>1898</v>
      </c>
      <c r="AE180" s="1">
        <v>1.0</v>
      </c>
      <c r="AF180" s="1" t="s">
        <v>1899</v>
      </c>
      <c r="AG180" s="1">
        <v>22.0</v>
      </c>
      <c r="AH180" s="1">
        <v>48.0</v>
      </c>
      <c r="AI180" s="1">
        <v>9.0</v>
      </c>
      <c r="AJ180" s="1">
        <v>38.0</v>
      </c>
      <c r="AK180" s="1">
        <v>17.0</v>
      </c>
      <c r="AL180" s="1">
        <v>0.0</v>
      </c>
      <c r="AM180" s="1">
        <v>149.0</v>
      </c>
      <c r="AN180" s="1">
        <v>103.0</v>
      </c>
      <c r="AO180" s="1">
        <v>1.0</v>
      </c>
      <c r="AP180" s="1">
        <v>0.0</v>
      </c>
      <c r="AQ180" s="1">
        <v>5.0</v>
      </c>
      <c r="AR180" s="1">
        <v>0.0</v>
      </c>
      <c r="AS180" s="1">
        <v>0.0</v>
      </c>
    </row>
    <row r="181" hidden="1">
      <c r="A181" s="1">
        <v>485.0</v>
      </c>
      <c r="B181" s="1" t="s">
        <v>1900</v>
      </c>
      <c r="C181" s="1" t="s">
        <v>1901</v>
      </c>
      <c r="D181" s="1" t="s">
        <v>1902</v>
      </c>
      <c r="E181" s="1" t="s">
        <v>58</v>
      </c>
      <c r="F181" s="2">
        <v>21821.0</v>
      </c>
      <c r="G181" s="1">
        <f t="shared" si="1"/>
        <v>66</v>
      </c>
      <c r="H181" s="1" t="s">
        <v>1903</v>
      </c>
      <c r="I181" s="1" t="str">
        <f>IFERROR(__xludf.DUMMYFUNCTION("SPLIT(left(H181,len(H181)-1),""("")"),"Pontivy ")</f>
        <v>Pontivy </v>
      </c>
      <c r="J181" s="1" t="str">
        <f>IFERROR(__xludf.DUMMYFUNCTION("""COMPUTED_VALUE"""),"Morbihan")</f>
        <v>Morbihan</v>
      </c>
      <c r="K181" s="1" t="str">
        <f>IFERROR(__xludf.DUMMYFUNCTION("IF( COUNTA( IFERROR( FILTER('départements_edition'!$C$2:$C$102 , 'départements_edition'!$C$2:$C$102=J181 ) ) ) , ""Oui"" , ""Non"" )"),"Oui")</f>
        <v>Oui</v>
      </c>
      <c r="L181" s="1" t="str">
        <f t="shared" si="2"/>
        <v>France</v>
      </c>
      <c r="M181" s="1">
        <v>56.0</v>
      </c>
      <c r="N181" s="1" t="s">
        <v>1343</v>
      </c>
      <c r="O181" s="1">
        <v>3.0</v>
      </c>
      <c r="P181" s="2">
        <v>42907.0</v>
      </c>
      <c r="R181" s="1">
        <v>0.0</v>
      </c>
      <c r="S181" s="1" t="s">
        <v>75</v>
      </c>
      <c r="T181" s="1" t="s">
        <v>76</v>
      </c>
      <c r="U181" s="1" t="s">
        <v>1904</v>
      </c>
      <c r="X181" s="1" t="s">
        <v>1905</v>
      </c>
      <c r="Y181" s="1">
        <v>220.0</v>
      </c>
      <c r="Z181" s="3" t="s">
        <v>1906</v>
      </c>
      <c r="AA181" s="1">
        <v>720342.0</v>
      </c>
      <c r="AB181" s="1" t="s">
        <v>1907</v>
      </c>
      <c r="AC181" s="3" t="s">
        <v>1908</v>
      </c>
      <c r="AD181" s="3" t="s">
        <v>1909</v>
      </c>
      <c r="AE181" s="1">
        <v>1.0</v>
      </c>
      <c r="AF181" s="1" t="s">
        <v>1910</v>
      </c>
      <c r="AG181" s="1">
        <v>22.0</v>
      </c>
      <c r="AH181" s="1">
        <v>68.0</v>
      </c>
      <c r="AI181" s="1">
        <v>3.0</v>
      </c>
      <c r="AJ181" s="1">
        <v>0.0</v>
      </c>
      <c r="AK181" s="1">
        <v>0.0</v>
      </c>
      <c r="AL181" s="1">
        <v>0.0</v>
      </c>
      <c r="AM181" s="1">
        <v>88.0</v>
      </c>
      <c r="AN181" s="1">
        <v>41.0</v>
      </c>
      <c r="AO181" s="1">
        <v>0.0</v>
      </c>
      <c r="AP181" s="1">
        <v>0.0</v>
      </c>
      <c r="AQ181" s="1">
        <v>6.0</v>
      </c>
      <c r="AR181" s="1">
        <v>6.0</v>
      </c>
      <c r="AS181" s="1">
        <v>0.0</v>
      </c>
    </row>
    <row r="182" hidden="1">
      <c r="A182" s="1">
        <v>276.0</v>
      </c>
      <c r="B182" s="1" t="s">
        <v>1911</v>
      </c>
      <c r="C182" s="1" t="s">
        <v>1912</v>
      </c>
      <c r="D182" s="1" t="s">
        <v>1913</v>
      </c>
      <c r="E182" s="1" t="s">
        <v>58</v>
      </c>
      <c r="F182" s="2">
        <v>28323.0</v>
      </c>
      <c r="G182" s="1">
        <f t="shared" si="1"/>
        <v>49</v>
      </c>
      <c r="H182" s="1" t="s">
        <v>1914</v>
      </c>
      <c r="I182" s="1" t="str">
        <f>IFERROR(__xludf.DUMMYFUNCTION("SPLIT(left(H182,len(H182)-1),""("")"),"Pointe-à-Pitre ")</f>
        <v>Pointe-à-Pitre </v>
      </c>
      <c r="J182" s="1" t="str">
        <f>IFERROR(__xludf.DUMMYFUNCTION("""COMPUTED_VALUE"""),"Guadeloupe")</f>
        <v>Guadeloupe</v>
      </c>
      <c r="K182" s="1" t="str">
        <f>IFERROR(__xludf.DUMMYFUNCTION("IF( COUNTA( IFERROR( FILTER('départements_edition'!$C$2:$C$102 , 'départements_edition'!$C$2:$C$102=J182 ) ) ) , ""Oui"" , ""Non"" )"),"Oui")</f>
        <v>Oui</v>
      </c>
      <c r="L182" s="1" t="str">
        <f t="shared" si="2"/>
        <v>France</v>
      </c>
      <c r="M182" s="1">
        <v>59.0</v>
      </c>
      <c r="N182" s="1" t="s">
        <v>172</v>
      </c>
      <c r="O182" s="1">
        <v>6.0</v>
      </c>
      <c r="P182" s="2">
        <v>42907.0</v>
      </c>
      <c r="R182" s="1">
        <v>0.0</v>
      </c>
      <c r="S182" s="1" t="s">
        <v>75</v>
      </c>
      <c r="T182" s="1" t="s">
        <v>76</v>
      </c>
      <c r="U182" s="1" t="s">
        <v>1915</v>
      </c>
      <c r="X182" s="1" t="s">
        <v>198</v>
      </c>
      <c r="Y182" s="1">
        <v>393.0</v>
      </c>
      <c r="Z182" s="3" t="s">
        <v>1916</v>
      </c>
      <c r="AA182" s="1">
        <v>720480.0</v>
      </c>
      <c r="AB182" s="1" t="s">
        <v>1917</v>
      </c>
      <c r="AC182" s="3" t="s">
        <v>1918</v>
      </c>
      <c r="AD182" s="3" t="s">
        <v>1919</v>
      </c>
      <c r="AE182" s="1">
        <v>1.0</v>
      </c>
      <c r="AF182" s="1" t="s">
        <v>1920</v>
      </c>
      <c r="AG182" s="1">
        <v>22.0</v>
      </c>
      <c r="AH182" s="1">
        <v>48.0</v>
      </c>
      <c r="AI182" s="1">
        <v>15.0</v>
      </c>
      <c r="AJ182" s="1">
        <v>6.0</v>
      </c>
      <c r="AK182" s="1">
        <v>1.0</v>
      </c>
      <c r="AL182" s="1">
        <v>4.0</v>
      </c>
      <c r="AM182" s="1">
        <v>73.0</v>
      </c>
      <c r="AN182" s="1">
        <v>27.0</v>
      </c>
      <c r="AO182" s="1">
        <v>1.0</v>
      </c>
      <c r="AP182" s="1">
        <v>0.0</v>
      </c>
      <c r="AQ182" s="1">
        <v>7.0</v>
      </c>
      <c r="AR182" s="1">
        <v>13.0</v>
      </c>
      <c r="AS182" s="1">
        <v>1.0</v>
      </c>
    </row>
    <row r="183" hidden="1">
      <c r="A183" s="1">
        <v>572.0</v>
      </c>
      <c r="B183" s="1" t="s">
        <v>1931</v>
      </c>
      <c r="C183" s="1" t="s">
        <v>1932</v>
      </c>
      <c r="D183" s="1" t="s">
        <v>1933</v>
      </c>
      <c r="E183" s="1" t="s">
        <v>58</v>
      </c>
      <c r="F183" s="2">
        <v>30576.0</v>
      </c>
      <c r="G183" s="1">
        <f t="shared" si="1"/>
        <v>42</v>
      </c>
      <c r="H183" s="1" t="s">
        <v>1075</v>
      </c>
      <c r="I183" s="1" t="str">
        <f>IFERROR(__xludf.DUMMYFUNCTION("SPLIT(left(H183,len(H183)-1),""("")"),"Grenoble ")</f>
        <v>Grenoble </v>
      </c>
      <c r="J183" s="1" t="str">
        <f>IFERROR(__xludf.DUMMYFUNCTION("""COMPUTED_VALUE"""),"Isère")</f>
        <v>Isère</v>
      </c>
      <c r="K183" s="1" t="str">
        <f>IFERROR(__xludf.DUMMYFUNCTION("IF( COUNTA( IFERROR( FILTER('départements_edition'!$C$2:$C$102 , 'départements_edition'!$C$2:$C$102=J183 ) ) ) , ""Oui"" , ""Non"" )"),"Oui")</f>
        <v>Oui</v>
      </c>
      <c r="L183" s="1" t="str">
        <f t="shared" si="2"/>
        <v>France</v>
      </c>
      <c r="M183" s="1">
        <v>13.0</v>
      </c>
      <c r="N183" s="1" t="s">
        <v>279</v>
      </c>
      <c r="O183" s="1">
        <v>3.0</v>
      </c>
      <c r="P183" s="2">
        <v>42907.0</v>
      </c>
      <c r="R183" s="1">
        <v>0.0</v>
      </c>
      <c r="S183" s="1" t="s">
        <v>75</v>
      </c>
      <c r="T183" s="1" t="s">
        <v>76</v>
      </c>
      <c r="X183" s="1" t="s">
        <v>304</v>
      </c>
      <c r="Y183" s="1">
        <v>456.0</v>
      </c>
      <c r="Z183" s="3" t="s">
        <v>1934</v>
      </c>
      <c r="AA183" s="1">
        <v>718918.0</v>
      </c>
      <c r="AB183" s="1" t="s">
        <v>1935</v>
      </c>
      <c r="AC183" s="3" t="s">
        <v>1936</v>
      </c>
      <c r="AD183" s="3" t="s">
        <v>1937</v>
      </c>
      <c r="AE183" s="1">
        <v>1.0</v>
      </c>
      <c r="AG183" s="1">
        <v>22.0</v>
      </c>
      <c r="AH183" s="1">
        <v>37.0</v>
      </c>
      <c r="AI183" s="1">
        <v>7.0</v>
      </c>
      <c r="AJ183" s="1">
        <v>22.0</v>
      </c>
      <c r="AK183" s="1">
        <v>3.0</v>
      </c>
      <c r="AL183" s="1">
        <v>0.0</v>
      </c>
      <c r="AM183" s="1">
        <v>59.0</v>
      </c>
      <c r="AN183" s="1">
        <v>25.0</v>
      </c>
      <c r="AO183" s="1">
        <v>0.0</v>
      </c>
      <c r="AP183" s="1">
        <v>0.0</v>
      </c>
      <c r="AQ183" s="1">
        <v>5.0</v>
      </c>
      <c r="AR183" s="1">
        <v>0.0</v>
      </c>
      <c r="AS183" s="1">
        <v>1.0</v>
      </c>
    </row>
    <row r="184" hidden="1">
      <c r="A184" s="1">
        <v>259.0</v>
      </c>
      <c r="B184" s="1" t="s">
        <v>1938</v>
      </c>
      <c r="C184" s="1" t="s">
        <v>1939</v>
      </c>
      <c r="D184" s="1" t="s">
        <v>1940</v>
      </c>
      <c r="E184" s="1" t="s">
        <v>58</v>
      </c>
      <c r="F184" s="2">
        <v>31047.0</v>
      </c>
      <c r="G184" s="1">
        <f t="shared" si="1"/>
        <v>41</v>
      </c>
      <c r="H184" s="1" t="s">
        <v>1941</v>
      </c>
      <c r="I184" s="1" t="str">
        <f>IFERROR(__xludf.DUMMYFUNCTION("SPLIT(left(H184,len(H184)-1),""("")"),"Châlons-sur-Marne ")</f>
        <v>Châlons-sur-Marne </v>
      </c>
      <c r="J184" s="1" t="str">
        <f>IFERROR(__xludf.DUMMYFUNCTION("""COMPUTED_VALUE"""),"Marne")</f>
        <v>Marne</v>
      </c>
      <c r="K184" s="1" t="str">
        <f>IFERROR(__xludf.DUMMYFUNCTION("IF( COUNTA( IFERROR( FILTER('départements_edition'!$C$2:$C$102 , 'départements_edition'!$C$2:$C$102=J184 ) ) ) , ""Oui"" , ""Non"" )"),"Oui")</f>
        <v>Oui</v>
      </c>
      <c r="L184" s="1" t="str">
        <f t="shared" si="2"/>
        <v>France</v>
      </c>
      <c r="M184" s="1">
        <v>51.0</v>
      </c>
      <c r="N184" s="1" t="s">
        <v>208</v>
      </c>
      <c r="O184" s="1">
        <v>4.0</v>
      </c>
      <c r="P184" s="2">
        <v>42907.0</v>
      </c>
      <c r="R184" s="1">
        <v>0.0</v>
      </c>
      <c r="S184" s="1" t="s">
        <v>46</v>
      </c>
      <c r="T184" s="1" t="s">
        <v>47</v>
      </c>
      <c r="U184" s="1" t="s">
        <v>1942</v>
      </c>
      <c r="X184" s="1" t="s">
        <v>1943</v>
      </c>
      <c r="Y184" s="1">
        <v>156.0</v>
      </c>
      <c r="Z184" s="3" t="s">
        <v>1944</v>
      </c>
      <c r="AA184" s="1">
        <v>720230.0</v>
      </c>
      <c r="AB184" s="1" t="s">
        <v>1945</v>
      </c>
      <c r="AC184" s="3" t="s">
        <v>1946</v>
      </c>
      <c r="AD184" s="3" t="s">
        <v>1947</v>
      </c>
      <c r="AE184" s="1">
        <v>2.0</v>
      </c>
      <c r="AF184" s="1" t="s">
        <v>1948</v>
      </c>
      <c r="AG184" s="1">
        <v>22.0</v>
      </c>
      <c r="AH184" s="1">
        <v>45.0</v>
      </c>
      <c r="AI184" s="1">
        <v>41.0</v>
      </c>
      <c r="AJ184" s="1">
        <v>87.0</v>
      </c>
      <c r="AK184" s="1">
        <v>24.0</v>
      </c>
      <c r="AL184" s="1">
        <v>146.0</v>
      </c>
      <c r="AM184" s="1">
        <v>662.0</v>
      </c>
      <c r="AN184" s="1">
        <v>33.0</v>
      </c>
      <c r="AO184" s="1">
        <v>0.0</v>
      </c>
      <c r="AP184" s="1">
        <v>0.0</v>
      </c>
      <c r="AQ184" s="1">
        <v>22.0</v>
      </c>
      <c r="AR184" s="1">
        <v>13.0</v>
      </c>
      <c r="AS184" s="1">
        <v>3.0</v>
      </c>
    </row>
    <row r="185" hidden="1">
      <c r="A185" s="1">
        <v>565.0</v>
      </c>
      <c r="B185" s="1" t="s">
        <v>1949</v>
      </c>
      <c r="C185" s="1" t="s">
        <v>1950</v>
      </c>
      <c r="D185" s="1" t="s">
        <v>905</v>
      </c>
      <c r="E185" s="1" t="s">
        <v>43</v>
      </c>
      <c r="F185" s="2">
        <v>25970.0</v>
      </c>
      <c r="G185" s="1">
        <f t="shared" si="1"/>
        <v>55</v>
      </c>
      <c r="H185" s="1" t="s">
        <v>695</v>
      </c>
      <c r="I185" s="1" t="str">
        <f>IFERROR(__xludf.DUMMYFUNCTION("SPLIT(left(H185,len(H185)-1),""("")"),"Boulogne-Billancourt ")</f>
        <v>Boulogne-Billancourt </v>
      </c>
      <c r="J185" s="1" t="str">
        <f>IFERROR(__xludf.DUMMYFUNCTION("""COMPUTED_VALUE"""),"Hauts-de-Seine")</f>
        <v>Hauts-de-Seine</v>
      </c>
      <c r="K185" s="1" t="str">
        <f>IFERROR(__xludf.DUMMYFUNCTION("IF( COUNTA( IFERROR( FILTER('départements_edition'!$C$2:$C$102 , 'départements_edition'!$C$2:$C$102=J185 ) ) ) , ""Oui"" , ""Non"" )"),"Oui")</f>
        <v>Oui</v>
      </c>
      <c r="L185" s="1" t="str">
        <f t="shared" si="2"/>
        <v>France</v>
      </c>
      <c r="M185" s="1">
        <v>28.0</v>
      </c>
      <c r="N185" s="1" t="s">
        <v>45</v>
      </c>
      <c r="O185" s="1">
        <v>2.0</v>
      </c>
      <c r="P185" s="2">
        <v>42907.0</v>
      </c>
      <c r="R185" s="1">
        <v>0.0</v>
      </c>
      <c r="S185" s="1" t="s">
        <v>61</v>
      </c>
      <c r="T185" s="1" t="s">
        <v>62</v>
      </c>
      <c r="U185" s="1" t="s">
        <v>1951</v>
      </c>
      <c r="X185" s="1" t="s">
        <v>118</v>
      </c>
      <c r="Y185" s="1">
        <v>33.0</v>
      </c>
      <c r="Z185" s="3" t="s">
        <v>1952</v>
      </c>
      <c r="AA185" s="1">
        <v>606098.0</v>
      </c>
      <c r="AB185" s="1" t="s">
        <v>1953</v>
      </c>
      <c r="AC185" s="3" t="s">
        <v>1954</v>
      </c>
      <c r="AD185" s="3" t="s">
        <v>1955</v>
      </c>
      <c r="AE185" s="1">
        <v>2.0</v>
      </c>
      <c r="AF185" s="1" t="s">
        <v>1956</v>
      </c>
      <c r="AG185" s="1">
        <v>22.0</v>
      </c>
      <c r="AH185" s="1">
        <v>57.0</v>
      </c>
      <c r="AI185" s="1">
        <v>201.0</v>
      </c>
      <c r="AJ185" s="1">
        <v>62.0</v>
      </c>
      <c r="AK185" s="1">
        <v>51.0</v>
      </c>
      <c r="AL185" s="1">
        <v>34.0</v>
      </c>
      <c r="AM185" s="1">
        <v>537.0</v>
      </c>
      <c r="AN185" s="1">
        <v>19.0</v>
      </c>
      <c r="AO185" s="1">
        <v>2.0</v>
      </c>
      <c r="AP185" s="1">
        <v>2.0</v>
      </c>
      <c r="AQ185" s="1">
        <v>27.0</v>
      </c>
      <c r="AR185" s="1">
        <v>3.0</v>
      </c>
      <c r="AS185" s="1">
        <v>1.0</v>
      </c>
    </row>
    <row r="186" hidden="1">
      <c r="A186" s="1">
        <v>569.0</v>
      </c>
      <c r="B186" s="1" t="s">
        <v>1957</v>
      </c>
      <c r="C186" s="1" t="s">
        <v>1958</v>
      </c>
      <c r="D186" s="1" t="s">
        <v>1540</v>
      </c>
      <c r="E186" s="1" t="s">
        <v>43</v>
      </c>
      <c r="F186" s="2">
        <v>25287.0</v>
      </c>
      <c r="G186" s="1">
        <f t="shared" si="1"/>
        <v>57</v>
      </c>
      <c r="H186" s="1" t="s">
        <v>1959</v>
      </c>
      <c r="I186" s="1" t="str">
        <f>IFERROR(__xludf.DUMMYFUNCTION("SPLIT(left(H186,len(H186)-1),""("")"),"Saint-Yriex-la-Perche ")</f>
        <v>Saint-Yriex-la-Perche </v>
      </c>
      <c r="J186" s="1" t="str">
        <f>IFERROR(__xludf.DUMMYFUNCTION("""COMPUTED_VALUE"""),"Haute-Vienne")</f>
        <v>Haute-Vienne</v>
      </c>
      <c r="K186" s="1" t="str">
        <f>IFERROR(__xludf.DUMMYFUNCTION("IF( COUNTA( IFERROR( FILTER('départements_edition'!$C$2:$C$102 , 'départements_edition'!$C$2:$C$102=J186 ) ) ) , ""Oui"" , ""Non"" )"),"Oui")</f>
        <v>Oui</v>
      </c>
      <c r="L186" s="1" t="str">
        <f t="shared" si="2"/>
        <v>France</v>
      </c>
      <c r="M186" s="1">
        <v>12.0</v>
      </c>
      <c r="N186" s="1" t="s">
        <v>685</v>
      </c>
      <c r="O186" s="1">
        <v>1.0</v>
      </c>
      <c r="P186" s="2">
        <v>42907.0</v>
      </c>
      <c r="R186" s="1">
        <v>0.0</v>
      </c>
      <c r="S186" s="1" t="s">
        <v>75</v>
      </c>
      <c r="T186" s="1" t="s">
        <v>76</v>
      </c>
      <c r="U186" s="1" t="s">
        <v>1960</v>
      </c>
      <c r="X186" s="1" t="s">
        <v>304</v>
      </c>
      <c r="Y186" s="1">
        <v>407.0</v>
      </c>
      <c r="Z186" s="3" t="s">
        <v>1961</v>
      </c>
      <c r="AA186" s="1">
        <v>677483.0</v>
      </c>
      <c r="AB186" s="1" t="s">
        <v>1962</v>
      </c>
      <c r="AC186" s="3" t="s">
        <v>1963</v>
      </c>
      <c r="AD186" s="3" t="s">
        <v>1964</v>
      </c>
      <c r="AE186" s="1">
        <v>1.0</v>
      </c>
      <c r="AF186" s="1" t="s">
        <v>1965</v>
      </c>
      <c r="AG186" s="1">
        <v>22.0</v>
      </c>
      <c r="AH186" s="1">
        <v>50.0</v>
      </c>
      <c r="AI186" s="1">
        <v>57.0</v>
      </c>
      <c r="AJ186" s="1">
        <v>15.0</v>
      </c>
      <c r="AK186" s="1">
        <v>3.0</v>
      </c>
      <c r="AL186" s="1">
        <v>11.0</v>
      </c>
      <c r="AM186" s="1">
        <v>149.0</v>
      </c>
      <c r="AN186" s="1">
        <v>65.0</v>
      </c>
      <c r="AO186" s="1">
        <v>1.0</v>
      </c>
      <c r="AP186" s="1">
        <v>0.0</v>
      </c>
      <c r="AQ186" s="1">
        <v>5.0</v>
      </c>
      <c r="AR186" s="1">
        <v>1.0</v>
      </c>
      <c r="AS186" s="1">
        <v>2.0</v>
      </c>
    </row>
    <row r="187" hidden="1">
      <c r="A187" s="1">
        <v>412.0</v>
      </c>
      <c r="B187" s="1" t="s">
        <v>1966</v>
      </c>
      <c r="C187" s="1" t="s">
        <v>1967</v>
      </c>
      <c r="D187" s="1" t="s">
        <v>1968</v>
      </c>
      <c r="E187" s="1" t="s">
        <v>43</v>
      </c>
      <c r="F187" s="2">
        <v>19121.0</v>
      </c>
      <c r="G187" s="1">
        <f t="shared" si="1"/>
        <v>74</v>
      </c>
      <c r="H187" s="1" t="s">
        <v>1969</v>
      </c>
      <c r="I187" s="1" t="str">
        <f>IFERROR(__xludf.DUMMYFUNCTION("SPLIT(left(H187,len(H187)-1),""("")"),"Jasseines ")</f>
        <v>Jasseines </v>
      </c>
      <c r="J187" s="1" t="str">
        <f>IFERROR(__xludf.DUMMYFUNCTION("""COMPUTED_VALUE"""),"Aube")</f>
        <v>Aube</v>
      </c>
      <c r="K187" s="1" t="str">
        <f>IFERROR(__xludf.DUMMYFUNCTION("IF( COUNTA( IFERROR( FILTER('départements_edition'!$C$2:$C$102 , 'départements_edition'!$C$2:$C$102=J187 ) ) ) , ""Oui"" , ""Non"" )"),"Oui")</f>
        <v>Oui</v>
      </c>
      <c r="L187" s="1" t="str">
        <f t="shared" si="2"/>
        <v>France</v>
      </c>
      <c r="M187" s="1">
        <v>10.0</v>
      </c>
      <c r="N187" s="1" t="s">
        <v>1970</v>
      </c>
      <c r="O187" s="1">
        <v>3.0</v>
      </c>
      <c r="P187" s="2">
        <v>42907.0</v>
      </c>
      <c r="R187" s="1">
        <v>0.0</v>
      </c>
      <c r="S187" s="1" t="s">
        <v>61</v>
      </c>
      <c r="T187" s="1" t="s">
        <v>62</v>
      </c>
      <c r="X187" s="1" t="s">
        <v>1067</v>
      </c>
      <c r="Y187" s="1">
        <v>118.0</v>
      </c>
      <c r="Z187" s="3" t="s">
        <v>1971</v>
      </c>
      <c r="AA187" s="1">
        <v>2155.0</v>
      </c>
      <c r="AB187" s="1" t="s">
        <v>1972</v>
      </c>
      <c r="AC187" s="3" t="s">
        <v>1973</v>
      </c>
      <c r="AD187" s="3" t="s">
        <v>1974</v>
      </c>
      <c r="AE187" s="1">
        <v>2.0</v>
      </c>
      <c r="AG187" s="1">
        <v>22.0</v>
      </c>
      <c r="AH187" s="1">
        <v>43.0</v>
      </c>
      <c r="AI187" s="1">
        <v>13.0</v>
      </c>
      <c r="AJ187" s="1">
        <v>8.0</v>
      </c>
      <c r="AK187" s="1">
        <v>5.0</v>
      </c>
      <c r="AL187" s="1">
        <v>1.0</v>
      </c>
      <c r="AM187" s="1">
        <v>640.0</v>
      </c>
      <c r="AN187" s="1">
        <v>20.0</v>
      </c>
      <c r="AO187" s="1">
        <v>1.0</v>
      </c>
      <c r="AP187" s="1">
        <v>0.0</v>
      </c>
      <c r="AQ187" s="1">
        <v>18.0</v>
      </c>
      <c r="AR187" s="1">
        <v>14.0</v>
      </c>
      <c r="AS187" s="1">
        <v>1.0</v>
      </c>
    </row>
    <row r="188" hidden="1">
      <c r="A188" s="1">
        <v>29.0</v>
      </c>
      <c r="B188" s="1" t="s">
        <v>1975</v>
      </c>
      <c r="C188" s="1" t="s">
        <v>1976</v>
      </c>
      <c r="D188" s="1" t="s">
        <v>846</v>
      </c>
      <c r="E188" s="1" t="s">
        <v>43</v>
      </c>
      <c r="F188" s="2">
        <v>22787.0</v>
      </c>
      <c r="G188" s="1">
        <f t="shared" si="1"/>
        <v>64</v>
      </c>
      <c r="H188" s="1" t="s">
        <v>1977</v>
      </c>
      <c r="I188" s="1" t="str">
        <f>IFERROR(__xludf.DUMMYFUNCTION("SPLIT(left(H188,len(H188)-1),""("")"),"Ploërmel ")</f>
        <v>Ploërmel </v>
      </c>
      <c r="J188" s="1" t="str">
        <f>IFERROR(__xludf.DUMMYFUNCTION("""COMPUTED_VALUE"""),"Morbihan")</f>
        <v>Morbihan</v>
      </c>
      <c r="K188" s="1" t="str">
        <f>IFERROR(__xludf.DUMMYFUNCTION("IF( COUNTA( IFERROR( FILTER('départements_edition'!$C$2:$C$102 , 'départements_edition'!$C$2:$C$102=J188 ) ) ) , ""Oui"" , ""Non"" )"),"Oui")</f>
        <v>Oui</v>
      </c>
      <c r="L188" s="1" t="str">
        <f t="shared" si="2"/>
        <v>France</v>
      </c>
      <c r="M188" s="1">
        <v>56.0</v>
      </c>
      <c r="N188" s="1" t="s">
        <v>1343</v>
      </c>
      <c r="O188" s="1">
        <v>4.0</v>
      </c>
      <c r="P188" s="2">
        <v>42907.0</v>
      </c>
      <c r="R188" s="1">
        <v>0.0</v>
      </c>
      <c r="S188" s="1" t="s">
        <v>75</v>
      </c>
      <c r="T188" s="1" t="s">
        <v>815</v>
      </c>
      <c r="U188" s="1" t="s">
        <v>1978</v>
      </c>
      <c r="X188" s="1" t="s">
        <v>1979</v>
      </c>
      <c r="Y188" s="1">
        <v>448.0</v>
      </c>
      <c r="Z188" s="3" t="s">
        <v>1980</v>
      </c>
      <c r="AA188" s="1">
        <v>607619.0</v>
      </c>
      <c r="AB188" s="1" t="s">
        <v>1981</v>
      </c>
      <c r="AC188" s="3" t="s">
        <v>1982</v>
      </c>
      <c r="AD188" s="3" t="s">
        <v>1983</v>
      </c>
      <c r="AE188" s="1">
        <v>1.0</v>
      </c>
      <c r="AF188" s="1" t="s">
        <v>1984</v>
      </c>
      <c r="AG188" s="1">
        <v>22.0</v>
      </c>
      <c r="AH188" s="1">
        <v>48.0</v>
      </c>
      <c r="AI188" s="1">
        <v>35.0</v>
      </c>
      <c r="AJ188" s="1">
        <v>43.0</v>
      </c>
      <c r="AK188" s="1">
        <v>19.0</v>
      </c>
      <c r="AL188" s="1">
        <v>37.0</v>
      </c>
      <c r="AM188" s="1">
        <v>132.0</v>
      </c>
      <c r="AN188" s="1">
        <v>42.0</v>
      </c>
      <c r="AO188" s="1">
        <v>1.0</v>
      </c>
      <c r="AP188" s="1">
        <v>0.0</v>
      </c>
      <c r="AQ188" s="1">
        <v>7.0</v>
      </c>
      <c r="AR188" s="1">
        <v>29.0</v>
      </c>
      <c r="AS188" s="1">
        <v>1.0</v>
      </c>
    </row>
    <row r="189" hidden="1">
      <c r="A189" s="1">
        <v>400.0</v>
      </c>
      <c r="B189" s="1" t="s">
        <v>1985</v>
      </c>
      <c r="C189" s="1" t="s">
        <v>1986</v>
      </c>
      <c r="D189" s="1" t="s">
        <v>1987</v>
      </c>
      <c r="E189" s="1" t="s">
        <v>43</v>
      </c>
      <c r="F189" s="2">
        <v>28170.0</v>
      </c>
      <c r="G189" s="1">
        <f t="shared" si="1"/>
        <v>49</v>
      </c>
      <c r="H189" s="1" t="s">
        <v>1988</v>
      </c>
      <c r="I189" s="1" t="str">
        <f>IFERROR(__xludf.DUMMYFUNCTION("SPLIT(left(H189,len(H189)-1),""("")"),"Guéret ")</f>
        <v>Guéret </v>
      </c>
      <c r="J189" s="1" t="str">
        <f>IFERROR(__xludf.DUMMYFUNCTION("""COMPUTED_VALUE"""),"Creuse")</f>
        <v>Creuse</v>
      </c>
      <c r="K189" s="1" t="str">
        <f>IFERROR(__xludf.DUMMYFUNCTION("IF( COUNTA( IFERROR( FILTER('départements_edition'!$C$2:$C$102 , 'départements_edition'!$C$2:$C$102=J189 ) ) ) , ""Oui"" , ""Non"" )"),"Oui")</f>
        <v>Oui</v>
      </c>
      <c r="L189" s="1" t="str">
        <f t="shared" si="2"/>
        <v>France</v>
      </c>
      <c r="M189" s="1">
        <v>23.0</v>
      </c>
      <c r="N189" s="1" t="s">
        <v>1989</v>
      </c>
      <c r="O189" s="1">
        <v>1.0</v>
      </c>
      <c r="P189" s="2">
        <v>42907.0</v>
      </c>
      <c r="R189" s="1">
        <v>0.0</v>
      </c>
      <c r="S189" s="1" t="s">
        <v>75</v>
      </c>
      <c r="T189" s="1" t="s">
        <v>76</v>
      </c>
      <c r="U189" s="1" t="s">
        <v>1990</v>
      </c>
      <c r="X189" s="1" t="s">
        <v>1905</v>
      </c>
      <c r="Y189" s="1">
        <v>337.0</v>
      </c>
      <c r="Z189" s="3" t="s">
        <v>1991</v>
      </c>
      <c r="AA189" s="1">
        <v>719242.0</v>
      </c>
      <c r="AB189" s="1" t="s">
        <v>1992</v>
      </c>
      <c r="AC189" s="3" t="s">
        <v>1993</v>
      </c>
      <c r="AD189" s="3" t="s">
        <v>1994</v>
      </c>
      <c r="AE189" s="1">
        <v>1.0</v>
      </c>
      <c r="AF189" s="1" t="s">
        <v>1995</v>
      </c>
      <c r="AG189" s="1">
        <v>22.0</v>
      </c>
      <c r="AH189" s="1">
        <v>50.0</v>
      </c>
      <c r="AI189" s="1">
        <v>55.0</v>
      </c>
      <c r="AJ189" s="1">
        <v>23.0</v>
      </c>
      <c r="AK189" s="1">
        <v>4.0</v>
      </c>
      <c r="AL189" s="1">
        <v>5.0</v>
      </c>
      <c r="AM189" s="1">
        <v>116.0</v>
      </c>
      <c r="AN189" s="1">
        <v>58.0</v>
      </c>
      <c r="AO189" s="1">
        <v>1.0</v>
      </c>
      <c r="AP189" s="1">
        <v>0.0</v>
      </c>
      <c r="AQ189" s="1">
        <v>5.0</v>
      </c>
      <c r="AR189" s="1">
        <v>0.0</v>
      </c>
      <c r="AS189" s="1">
        <v>1.0</v>
      </c>
    </row>
    <row r="190" hidden="1">
      <c r="A190" s="1">
        <v>114.0</v>
      </c>
      <c r="B190" s="1" t="s">
        <v>1996</v>
      </c>
      <c r="C190" s="1" t="s">
        <v>1997</v>
      </c>
      <c r="D190" s="1" t="s">
        <v>522</v>
      </c>
      <c r="E190" s="1" t="s">
        <v>43</v>
      </c>
      <c r="F190" s="2">
        <v>30680.0</v>
      </c>
      <c r="G190" s="1">
        <f t="shared" si="1"/>
        <v>42</v>
      </c>
      <c r="H190" s="1" t="s">
        <v>1998</v>
      </c>
      <c r="I190" s="1" t="str">
        <f>IFERROR(__xludf.DUMMYFUNCTION("SPLIT(left(H190,len(H190)-1),""("")"),"Remiremont ")</f>
        <v>Remiremont </v>
      </c>
      <c r="J190" s="1" t="str">
        <f>IFERROR(__xludf.DUMMYFUNCTION("""COMPUTED_VALUE"""),"Vosges")</f>
        <v>Vosges</v>
      </c>
      <c r="K190" s="1" t="str">
        <f>IFERROR(__xludf.DUMMYFUNCTION("IF( COUNTA( IFERROR( FILTER('départements_edition'!$C$2:$C$102 , 'départements_edition'!$C$2:$C$102=J190 ) ) ) , ""Oui"" , ""Non"" )"),"Oui")</f>
        <v>Oui</v>
      </c>
      <c r="L190" s="1" t="str">
        <f t="shared" si="2"/>
        <v>France</v>
      </c>
      <c r="M190" s="1">
        <v>88.0</v>
      </c>
      <c r="N190" s="1" t="s">
        <v>1542</v>
      </c>
      <c r="O190" s="1">
        <v>3.0</v>
      </c>
      <c r="P190" s="2">
        <v>42907.0</v>
      </c>
      <c r="R190" s="1">
        <v>0.0</v>
      </c>
      <c r="S190" s="1" t="s">
        <v>46</v>
      </c>
      <c r="T190" s="1" t="s">
        <v>47</v>
      </c>
      <c r="U190" s="1" t="s">
        <v>1999</v>
      </c>
      <c r="X190" s="1" t="s">
        <v>198</v>
      </c>
      <c r="Y190" s="1">
        <v>155.0</v>
      </c>
      <c r="Z190" s="3" t="s">
        <v>2000</v>
      </c>
      <c r="AA190" s="1">
        <v>721486.0</v>
      </c>
      <c r="AB190" s="1" t="s">
        <v>2001</v>
      </c>
      <c r="AC190" s="3" t="s">
        <v>2002</v>
      </c>
      <c r="AD190" s="3" t="s">
        <v>2003</v>
      </c>
      <c r="AE190" s="1">
        <v>1.0</v>
      </c>
      <c r="AF190" s="1" t="s">
        <v>2004</v>
      </c>
      <c r="AG190" s="1">
        <v>22.0</v>
      </c>
      <c r="AH190" s="1">
        <v>52.0</v>
      </c>
      <c r="AI190" s="1">
        <v>37.0</v>
      </c>
      <c r="AJ190" s="1">
        <v>69.0</v>
      </c>
      <c r="AK190" s="1">
        <v>27.0</v>
      </c>
      <c r="AL190" s="1">
        <v>54.0</v>
      </c>
      <c r="AM190" s="1">
        <v>448.0</v>
      </c>
      <c r="AN190" s="1">
        <v>17.0</v>
      </c>
      <c r="AO190" s="1">
        <v>2.0</v>
      </c>
      <c r="AP190" s="1">
        <v>2.0</v>
      </c>
      <c r="AQ190" s="1">
        <v>28.0</v>
      </c>
      <c r="AR190" s="1">
        <v>25.0</v>
      </c>
      <c r="AS190" s="1">
        <v>6.0</v>
      </c>
    </row>
    <row r="191" hidden="1">
      <c r="A191" s="1">
        <v>297.0</v>
      </c>
      <c r="B191" s="1" t="s">
        <v>2005</v>
      </c>
      <c r="C191" s="1" t="s">
        <v>2006</v>
      </c>
      <c r="D191" s="1" t="s">
        <v>2007</v>
      </c>
      <c r="E191" s="1" t="s">
        <v>43</v>
      </c>
      <c r="F191" s="2">
        <v>22781.0</v>
      </c>
      <c r="G191" s="1">
        <f t="shared" si="1"/>
        <v>64</v>
      </c>
      <c r="H191" s="1" t="s">
        <v>207</v>
      </c>
      <c r="I191" s="1" t="str">
        <f>IFERROR(__xludf.DUMMYFUNCTION("SPLIT(left(H191,len(H191)-1),""("")"),"Paris ")</f>
        <v>Paris </v>
      </c>
      <c r="J191" s="1" t="str">
        <f>IFERROR(__xludf.DUMMYFUNCTION("""COMPUTED_VALUE"""),"Paris")</f>
        <v>Paris</v>
      </c>
      <c r="K191" s="1" t="str">
        <f>IFERROR(__xludf.DUMMYFUNCTION("IF( COUNTA( IFERROR( FILTER('départements_edition'!$C$2:$C$102 , 'départements_edition'!$C$2:$C$102=J191 ) ) ) , ""Oui"" , ""Non"" )"),"Oui")</f>
        <v>Oui</v>
      </c>
      <c r="L191" s="1" t="str">
        <f t="shared" si="2"/>
        <v>France</v>
      </c>
      <c r="M191" s="1">
        <v>56.0</v>
      </c>
      <c r="N191" s="1" t="s">
        <v>1343</v>
      </c>
      <c r="O191" s="1">
        <v>2.0</v>
      </c>
      <c r="P191" s="2">
        <v>42907.0</v>
      </c>
      <c r="R191" s="1">
        <v>0.0</v>
      </c>
      <c r="S191" s="1" t="s">
        <v>280</v>
      </c>
      <c r="T191" s="1" t="s">
        <v>281</v>
      </c>
      <c r="U191" s="1" t="s">
        <v>2008</v>
      </c>
      <c r="X191" s="1" t="s">
        <v>2009</v>
      </c>
      <c r="Y191" s="1">
        <v>187.0</v>
      </c>
      <c r="Z191" s="3" t="s">
        <v>2010</v>
      </c>
      <c r="AA191" s="1">
        <v>720334.0</v>
      </c>
      <c r="AB191" s="1" t="s">
        <v>2011</v>
      </c>
      <c r="AC191" s="3" t="s">
        <v>2012</v>
      </c>
      <c r="AD191" s="3" t="s">
        <v>2013</v>
      </c>
      <c r="AE191" s="1">
        <v>1.0</v>
      </c>
      <c r="AF191" s="1" t="s">
        <v>2014</v>
      </c>
      <c r="AG191" s="1">
        <v>22.0</v>
      </c>
      <c r="AH191" s="1">
        <v>36.0</v>
      </c>
      <c r="AI191" s="1">
        <v>17.0</v>
      </c>
      <c r="AJ191" s="1">
        <v>19.0</v>
      </c>
      <c r="AK191" s="1">
        <v>40.0</v>
      </c>
      <c r="AL191" s="1">
        <v>7.0</v>
      </c>
      <c r="AM191" s="1">
        <v>207.0</v>
      </c>
      <c r="AN191" s="1">
        <v>21.0</v>
      </c>
      <c r="AO191" s="1">
        <v>1.0</v>
      </c>
      <c r="AP191" s="1">
        <v>0.0</v>
      </c>
      <c r="AQ191" s="1">
        <v>6.0</v>
      </c>
      <c r="AR191" s="1">
        <v>4.0</v>
      </c>
      <c r="AS191" s="1">
        <v>2.0</v>
      </c>
    </row>
    <row r="192" hidden="1">
      <c r="A192" s="1">
        <v>246.0</v>
      </c>
      <c r="B192" s="1" t="s">
        <v>2015</v>
      </c>
      <c r="C192" s="1" t="s">
        <v>2016</v>
      </c>
      <c r="D192" s="1" t="s">
        <v>403</v>
      </c>
      <c r="E192" s="1" t="s">
        <v>58</v>
      </c>
      <c r="F192" s="2">
        <v>25188.0</v>
      </c>
      <c r="G192" s="1">
        <f t="shared" si="1"/>
        <v>57</v>
      </c>
      <c r="H192" s="1" t="s">
        <v>347</v>
      </c>
      <c r="I192" s="1" t="str">
        <f>IFERROR(__xludf.DUMMYFUNCTION("SPLIT(left(H192,len(H192)-1),""("")"),"Bordeaux ")</f>
        <v>Bordeaux </v>
      </c>
      <c r="J192" s="1" t="str">
        <f>IFERROR(__xludf.DUMMYFUNCTION("""COMPUTED_VALUE"""),"Gironde")</f>
        <v>Gironde</v>
      </c>
      <c r="K192" s="1" t="str">
        <f>IFERROR(__xludf.DUMMYFUNCTION("IF( COUNTA( IFERROR( FILTER('départements_edition'!$C$2:$C$102 , 'départements_edition'!$C$2:$C$102=J192 ) ) ) , ""Oui"" , ""Non"" )"),"Oui")</f>
        <v>Oui</v>
      </c>
      <c r="L192" s="1" t="str">
        <f t="shared" si="2"/>
        <v>France</v>
      </c>
      <c r="M192" s="1">
        <v>33.0</v>
      </c>
      <c r="N192" s="1" t="s">
        <v>348</v>
      </c>
      <c r="O192" s="1">
        <v>8.0</v>
      </c>
      <c r="P192" s="2">
        <v>42907.0</v>
      </c>
      <c r="R192" s="1">
        <v>0.0</v>
      </c>
      <c r="S192" s="1" t="s">
        <v>75</v>
      </c>
      <c r="T192" s="1" t="s">
        <v>76</v>
      </c>
      <c r="U192" s="3" t="s">
        <v>2017</v>
      </c>
      <c r="X192" s="1">
        <v>0.0</v>
      </c>
      <c r="Y192" s="1">
        <v>281.0</v>
      </c>
      <c r="Z192" s="3" t="s">
        <v>2018</v>
      </c>
      <c r="AA192" s="1">
        <v>719632.0</v>
      </c>
      <c r="AB192" s="1" t="s">
        <v>2019</v>
      </c>
      <c r="AC192" s="3" t="s">
        <v>2020</v>
      </c>
      <c r="AD192" s="3" t="s">
        <v>2021</v>
      </c>
      <c r="AE192" s="1">
        <v>1.0</v>
      </c>
      <c r="AF192" s="1" t="s">
        <v>2022</v>
      </c>
      <c r="AG192" s="1">
        <v>22.0</v>
      </c>
      <c r="AH192" s="1">
        <v>37.0</v>
      </c>
      <c r="AI192" s="1">
        <v>23.0</v>
      </c>
      <c r="AJ192" s="1">
        <v>6.0</v>
      </c>
      <c r="AK192" s="1">
        <v>3.0</v>
      </c>
      <c r="AL192" s="1">
        <v>2.0</v>
      </c>
      <c r="AM192" s="1">
        <v>101.0</v>
      </c>
      <c r="AN192" s="1">
        <v>44.0</v>
      </c>
      <c r="AO192" s="1">
        <v>1.0</v>
      </c>
      <c r="AP192" s="1">
        <v>0.0</v>
      </c>
      <c r="AQ192" s="1">
        <v>5.0</v>
      </c>
      <c r="AR192" s="1">
        <v>22.0</v>
      </c>
      <c r="AS192" s="1">
        <v>1.0</v>
      </c>
    </row>
    <row r="193" hidden="1">
      <c r="A193" s="1">
        <v>307.0</v>
      </c>
      <c r="B193" s="1" t="s">
        <v>2023</v>
      </c>
      <c r="C193" s="1" t="s">
        <v>2024</v>
      </c>
      <c r="D193" s="1" t="s">
        <v>137</v>
      </c>
      <c r="E193" s="1" t="s">
        <v>43</v>
      </c>
      <c r="F193" s="2">
        <v>18392.0</v>
      </c>
      <c r="G193" s="1">
        <f t="shared" si="1"/>
        <v>76</v>
      </c>
      <c r="H193" s="1" t="s">
        <v>2025</v>
      </c>
      <c r="I193" s="1" t="str">
        <f>IFERROR(__xludf.DUMMYFUNCTION("SPLIT(left(H193,len(H193)-1),""("")"),"Portel ")</f>
        <v>Portel </v>
      </c>
      <c r="J193" s="1" t="str">
        <f>IFERROR(__xludf.DUMMYFUNCTION("""COMPUTED_VALUE"""),"Pas-de-Calais")</f>
        <v>Pas-de-Calais</v>
      </c>
      <c r="K193" s="1" t="str">
        <f>IFERROR(__xludf.DUMMYFUNCTION("IF( COUNTA( IFERROR( FILTER('départements_edition'!$C$2:$C$102 , 'départements_edition'!$C$2:$C$102=J193 ) ) ) , ""Oui"" , ""Non"" )"),"Oui")</f>
        <v>Oui</v>
      </c>
      <c r="L193" s="1" t="str">
        <f t="shared" si="2"/>
        <v>France</v>
      </c>
      <c r="M193" s="1">
        <v>62.0</v>
      </c>
      <c r="N193" s="1" t="s">
        <v>427</v>
      </c>
      <c r="O193" s="1">
        <v>5.0</v>
      </c>
      <c r="P193" s="2">
        <v>42907.0</v>
      </c>
      <c r="R193" s="1">
        <v>0.0</v>
      </c>
      <c r="S193" s="1" t="s">
        <v>75</v>
      </c>
      <c r="T193" s="1" t="s">
        <v>76</v>
      </c>
      <c r="U193" s="1" t="s">
        <v>2026</v>
      </c>
      <c r="X193" s="1" t="s">
        <v>151</v>
      </c>
      <c r="Y193" s="1">
        <v>234.0</v>
      </c>
      <c r="Z193" s="3" t="s">
        <v>2027</v>
      </c>
      <c r="AA193" s="1">
        <v>2449.0</v>
      </c>
      <c r="AB193" s="1" t="s">
        <v>2028</v>
      </c>
      <c r="AC193" s="3" t="s">
        <v>2029</v>
      </c>
      <c r="AD193" s="3" t="s">
        <v>2030</v>
      </c>
      <c r="AE193" s="1">
        <v>2.0</v>
      </c>
      <c r="AF193" s="1" t="s">
        <v>2031</v>
      </c>
      <c r="AG193" s="1">
        <v>22.0</v>
      </c>
      <c r="AH193" s="1">
        <v>55.0</v>
      </c>
      <c r="AI193" s="1">
        <v>2.0</v>
      </c>
      <c r="AJ193" s="1">
        <v>0.0</v>
      </c>
      <c r="AK193" s="1">
        <v>0.0</v>
      </c>
      <c r="AL193" s="1">
        <v>0.0</v>
      </c>
      <c r="AM193" s="1">
        <v>65.0</v>
      </c>
      <c r="AN193" s="1">
        <v>26.0</v>
      </c>
      <c r="AO193" s="1">
        <v>0.0</v>
      </c>
      <c r="AP193" s="1">
        <v>0.0</v>
      </c>
      <c r="AQ193" s="1">
        <v>10.0</v>
      </c>
      <c r="AR193" s="1">
        <v>7.0</v>
      </c>
      <c r="AS193" s="1">
        <v>0.0</v>
      </c>
    </row>
    <row r="194" hidden="1">
      <c r="A194" s="1">
        <v>292.0</v>
      </c>
      <c r="B194" s="1" t="s">
        <v>2032</v>
      </c>
      <c r="C194" s="1" t="s">
        <v>2033</v>
      </c>
      <c r="D194" s="1" t="s">
        <v>2034</v>
      </c>
      <c r="E194" s="1" t="s">
        <v>43</v>
      </c>
      <c r="F194" s="2">
        <v>18413.0</v>
      </c>
      <c r="G194" s="1">
        <f t="shared" si="1"/>
        <v>76</v>
      </c>
      <c r="H194" s="1" t="s">
        <v>2035</v>
      </c>
      <c r="I194" s="1" t="str">
        <f>IFERROR(__xludf.DUMMYFUNCTION("SPLIT(left(H194,len(H194)-1),""("")"),"Alençon ")</f>
        <v>Alençon </v>
      </c>
      <c r="J194" s="1" t="str">
        <f>IFERROR(__xludf.DUMMYFUNCTION("""COMPUTED_VALUE"""),"Orne")</f>
        <v>Orne</v>
      </c>
      <c r="K194" s="1" t="str">
        <f>IFERROR(__xludf.DUMMYFUNCTION("IF( COUNTA( IFERROR( FILTER('départements_edition'!$C$2:$C$102 , 'départements_edition'!$C$2:$C$102=J194 ) ) ) , ""Oui"" , ""Non"" )"),"Oui")</f>
        <v>Oui</v>
      </c>
      <c r="L194" s="1" t="str">
        <f t="shared" si="2"/>
        <v>France</v>
      </c>
      <c r="M194" s="1">
        <v>61.0</v>
      </c>
      <c r="N194" s="1" t="s">
        <v>1188</v>
      </c>
      <c r="O194" s="1">
        <v>1.0</v>
      </c>
      <c r="P194" s="2">
        <v>42907.0</v>
      </c>
      <c r="R194" s="1">
        <v>0.0</v>
      </c>
      <c r="S194" s="1" t="s">
        <v>115</v>
      </c>
      <c r="T194" s="1" t="s">
        <v>116</v>
      </c>
      <c r="U194" s="1" t="s">
        <v>2036</v>
      </c>
      <c r="X194" s="1" t="s">
        <v>1616</v>
      </c>
      <c r="Y194" s="1">
        <v>516.0</v>
      </c>
      <c r="Z194" s="3" t="s">
        <v>2037</v>
      </c>
      <c r="AA194" s="1">
        <v>608011.0</v>
      </c>
      <c r="AB194" s="1" t="s">
        <v>2038</v>
      </c>
      <c r="AC194" s="3" t="s">
        <v>2039</v>
      </c>
      <c r="AD194" s="3" t="s">
        <v>2040</v>
      </c>
      <c r="AE194" s="1">
        <v>2.0</v>
      </c>
      <c r="AF194" s="1" t="s">
        <v>2041</v>
      </c>
      <c r="AG194" s="1">
        <v>22.0</v>
      </c>
      <c r="AH194" s="1">
        <v>46.0</v>
      </c>
      <c r="AI194" s="1">
        <v>37.0</v>
      </c>
      <c r="AJ194" s="1">
        <v>32.0</v>
      </c>
      <c r="AK194" s="1">
        <v>6.0</v>
      </c>
      <c r="AL194" s="1">
        <v>2.0</v>
      </c>
      <c r="AM194" s="1">
        <v>1049.0</v>
      </c>
      <c r="AN194" s="1">
        <v>72.0</v>
      </c>
      <c r="AO194" s="1">
        <v>0.0</v>
      </c>
      <c r="AP194" s="1">
        <v>0.0</v>
      </c>
      <c r="AQ194" s="1">
        <v>5.0</v>
      </c>
      <c r="AR194" s="1">
        <v>4.0</v>
      </c>
      <c r="AS194" s="1">
        <v>3.0</v>
      </c>
    </row>
    <row r="195" hidden="1">
      <c r="A195" s="1">
        <v>250.0</v>
      </c>
      <c r="B195" s="1" t="s">
        <v>2042</v>
      </c>
      <c r="C195" s="1" t="s">
        <v>2043</v>
      </c>
      <c r="D195" s="1" t="s">
        <v>1490</v>
      </c>
      <c r="E195" s="1" t="s">
        <v>43</v>
      </c>
      <c r="F195" s="2">
        <v>22858.0</v>
      </c>
      <c r="G195" s="1">
        <f t="shared" si="1"/>
        <v>64</v>
      </c>
      <c r="H195" s="1" t="s">
        <v>2044</v>
      </c>
      <c r="I195" s="1" t="str">
        <f>IFERROR(__xludf.DUMMYFUNCTION("SPLIT(left(H195,len(H195)-1),""("")"),"Nantua ")</f>
        <v>Nantua </v>
      </c>
      <c r="J195" s="1" t="str">
        <f>IFERROR(__xludf.DUMMYFUNCTION("""COMPUTED_VALUE"""),"Ain")</f>
        <v>Ain</v>
      </c>
      <c r="K195" s="1" t="str">
        <f>IFERROR(__xludf.DUMMYFUNCTION("IF( COUNTA( IFERROR( FILTER('départements_edition'!$C$2:$C$102 , 'départements_edition'!$C$2:$C$102=J195 ) ) ) , ""Oui"" , ""Non"" )"),"Oui")</f>
        <v>Oui</v>
      </c>
      <c r="L195" s="1" t="str">
        <f t="shared" si="2"/>
        <v>France</v>
      </c>
      <c r="M195" s="1">
        <v>95.0</v>
      </c>
      <c r="N195" s="1" t="s">
        <v>302</v>
      </c>
      <c r="O195" s="1">
        <v>8.0</v>
      </c>
      <c r="P195" s="2">
        <v>42907.0</v>
      </c>
      <c r="R195" s="1">
        <v>0.0</v>
      </c>
      <c r="S195" s="1" t="s">
        <v>115</v>
      </c>
      <c r="T195" s="1" t="s">
        <v>116</v>
      </c>
      <c r="U195" s="1" t="s">
        <v>2045</v>
      </c>
      <c r="X195" s="1" t="s">
        <v>2046</v>
      </c>
      <c r="Y195" s="1">
        <v>510.0</v>
      </c>
      <c r="Z195" s="3" t="s">
        <v>2047</v>
      </c>
      <c r="AA195" s="1">
        <v>405480.0</v>
      </c>
      <c r="AB195" s="1" t="s">
        <v>2048</v>
      </c>
      <c r="AC195" s="3" t="s">
        <v>2049</v>
      </c>
      <c r="AD195" s="3" t="s">
        <v>2050</v>
      </c>
      <c r="AE195" s="1">
        <v>2.0</v>
      </c>
      <c r="AF195" s="1" t="s">
        <v>2051</v>
      </c>
      <c r="AG195" s="1">
        <v>22.0</v>
      </c>
      <c r="AH195" s="1">
        <v>41.0</v>
      </c>
      <c r="AI195" s="1">
        <v>120.0</v>
      </c>
      <c r="AJ195" s="1">
        <v>272.0</v>
      </c>
      <c r="AK195" s="1">
        <v>288.0</v>
      </c>
      <c r="AL195" s="1">
        <v>274.0</v>
      </c>
      <c r="AM195" s="1">
        <v>1130.0</v>
      </c>
      <c r="AN195" s="1">
        <v>86.0</v>
      </c>
      <c r="AO195" s="1">
        <v>0.0</v>
      </c>
      <c r="AP195" s="1">
        <v>0.0</v>
      </c>
      <c r="AQ195" s="1">
        <v>6.0</v>
      </c>
      <c r="AR195" s="1">
        <v>1.0</v>
      </c>
      <c r="AS195" s="1">
        <v>3.0</v>
      </c>
    </row>
    <row r="196" hidden="1">
      <c r="A196" s="1">
        <v>402.0</v>
      </c>
      <c r="B196" s="1" t="s">
        <v>2052</v>
      </c>
      <c r="C196" s="1" t="s">
        <v>2053</v>
      </c>
      <c r="D196" s="1" t="s">
        <v>1115</v>
      </c>
      <c r="E196" s="1" t="s">
        <v>43</v>
      </c>
      <c r="F196" s="2">
        <v>17159.0</v>
      </c>
      <c r="G196" s="1">
        <f t="shared" si="1"/>
        <v>79</v>
      </c>
      <c r="H196" s="1" t="s">
        <v>2054</v>
      </c>
      <c r="I196" s="1" t="str">
        <f>IFERROR(__xludf.DUMMYFUNCTION("SPLIT(left(H196,len(H196)-1),""("")"),"Royan ")</f>
        <v>Royan </v>
      </c>
      <c r="J196" s="1" t="str">
        <f>IFERROR(__xludf.DUMMYFUNCTION("""COMPUTED_VALUE"""),"Charente-Maritime")</f>
        <v>Charente-Maritime</v>
      </c>
      <c r="K196" s="1" t="str">
        <f>IFERROR(__xludf.DUMMYFUNCTION("IF( COUNTA( IFERROR( FILTER('départements_edition'!$C$2:$C$102 , 'départements_edition'!$C$2:$C$102=J196 ) ) ) , ""Oui"" , ""Non"" )"),"Oui")</f>
        <v>Oui</v>
      </c>
      <c r="L196" s="1" t="str">
        <f t="shared" si="2"/>
        <v>France</v>
      </c>
      <c r="M196" s="1">
        <v>17.0</v>
      </c>
      <c r="N196" s="1" t="s">
        <v>2055</v>
      </c>
      <c r="O196" s="1">
        <v>5.0</v>
      </c>
      <c r="P196" s="2">
        <v>42907.0</v>
      </c>
      <c r="R196" s="1">
        <v>0.0</v>
      </c>
      <c r="S196" s="1" t="s">
        <v>61</v>
      </c>
      <c r="T196" s="1" t="s">
        <v>62</v>
      </c>
      <c r="U196" s="1" t="s">
        <v>2056</v>
      </c>
      <c r="X196" s="1" t="s">
        <v>2057</v>
      </c>
      <c r="Y196" s="1">
        <v>28.0</v>
      </c>
      <c r="Z196" s="3" t="s">
        <v>2058</v>
      </c>
      <c r="AA196" s="1">
        <v>2492.0</v>
      </c>
      <c r="AB196" s="1" t="s">
        <v>2059</v>
      </c>
      <c r="AC196" s="3" t="s">
        <v>2060</v>
      </c>
      <c r="AD196" s="3" t="s">
        <v>2061</v>
      </c>
      <c r="AE196" s="1">
        <v>2.0</v>
      </c>
      <c r="AF196" s="1" t="s">
        <v>2062</v>
      </c>
      <c r="AG196" s="1">
        <v>22.0</v>
      </c>
      <c r="AH196" s="1">
        <v>54.0</v>
      </c>
      <c r="AI196" s="1">
        <v>15.0</v>
      </c>
      <c r="AJ196" s="1">
        <v>9.0</v>
      </c>
      <c r="AK196" s="1">
        <v>3.0</v>
      </c>
      <c r="AL196" s="1">
        <v>0.0</v>
      </c>
      <c r="AM196" s="1">
        <v>1051.0</v>
      </c>
      <c r="AN196" s="1">
        <v>35.0</v>
      </c>
      <c r="AO196" s="1">
        <v>1.0</v>
      </c>
      <c r="AP196" s="1">
        <v>0.0</v>
      </c>
      <c r="AQ196" s="1">
        <v>50.0</v>
      </c>
      <c r="AR196" s="1">
        <v>23.0</v>
      </c>
      <c r="AS196" s="1">
        <v>1.0</v>
      </c>
    </row>
    <row r="197" hidden="1">
      <c r="A197" s="1">
        <v>222.0</v>
      </c>
      <c r="B197" s="1" t="s">
        <v>2063</v>
      </c>
      <c r="C197" s="1" t="s">
        <v>2064</v>
      </c>
      <c r="D197" s="1" t="s">
        <v>916</v>
      </c>
      <c r="E197" s="1" t="s">
        <v>43</v>
      </c>
      <c r="F197" s="2">
        <v>21374.0</v>
      </c>
      <c r="G197" s="1">
        <f t="shared" si="1"/>
        <v>68</v>
      </c>
      <c r="H197" s="1" t="s">
        <v>207</v>
      </c>
      <c r="I197" s="1" t="str">
        <f>IFERROR(__xludf.DUMMYFUNCTION("SPLIT(left(H197,len(H197)-1),""("")"),"Paris ")</f>
        <v>Paris </v>
      </c>
      <c r="J197" s="1" t="str">
        <f>IFERROR(__xludf.DUMMYFUNCTION("""COMPUTED_VALUE"""),"Paris")</f>
        <v>Paris</v>
      </c>
      <c r="K197" s="1" t="str">
        <f>IFERROR(__xludf.DUMMYFUNCTION("IF( COUNTA( IFERROR( FILTER('départements_edition'!$C$2:$C$102 , 'départements_edition'!$C$2:$C$102=J197 ) ) ) , ""Oui"" , ""Non"" )"),"Oui")</f>
        <v>Oui</v>
      </c>
      <c r="L197" s="1" t="str">
        <f t="shared" si="2"/>
        <v>France</v>
      </c>
      <c r="M197" s="1">
        <v>93.0</v>
      </c>
      <c r="N197" s="1" t="s">
        <v>196</v>
      </c>
      <c r="O197" s="1">
        <v>10.0</v>
      </c>
      <c r="P197" s="2">
        <v>42907.0</v>
      </c>
      <c r="R197" s="1">
        <v>0.0</v>
      </c>
      <c r="S197" s="1" t="s">
        <v>61</v>
      </c>
      <c r="T197" s="1" t="s">
        <v>62</v>
      </c>
      <c r="U197" s="1" t="s">
        <v>2065</v>
      </c>
      <c r="X197" s="1" t="s">
        <v>2066</v>
      </c>
      <c r="Y197" s="1">
        <v>48.0</v>
      </c>
      <c r="Z197" s="3" t="s">
        <v>2067</v>
      </c>
      <c r="AA197" s="1">
        <v>721286.0</v>
      </c>
      <c r="AB197" s="1" t="s">
        <v>2068</v>
      </c>
      <c r="AC197" s="3" t="s">
        <v>2069</v>
      </c>
      <c r="AD197" s="3" t="s">
        <v>2070</v>
      </c>
      <c r="AE197" s="1">
        <v>2.0</v>
      </c>
      <c r="AF197" s="1" t="s">
        <v>2071</v>
      </c>
      <c r="AG197" s="1">
        <v>22.0</v>
      </c>
      <c r="AH197" s="1">
        <v>42.0</v>
      </c>
      <c r="AI197" s="1">
        <v>20.0</v>
      </c>
      <c r="AJ197" s="1">
        <v>33.0</v>
      </c>
      <c r="AK197" s="1">
        <v>20.0</v>
      </c>
      <c r="AL197" s="1">
        <v>49.0</v>
      </c>
      <c r="AM197" s="1">
        <v>790.0</v>
      </c>
      <c r="AN197" s="1">
        <v>29.0</v>
      </c>
      <c r="AO197" s="1">
        <v>0.0</v>
      </c>
      <c r="AP197" s="1">
        <v>0.0</v>
      </c>
      <c r="AQ197" s="1">
        <v>48.0</v>
      </c>
      <c r="AR197" s="1">
        <v>8.0</v>
      </c>
      <c r="AS197" s="1">
        <v>1.0</v>
      </c>
    </row>
    <row r="198" hidden="1">
      <c r="A198" s="1">
        <v>342.0</v>
      </c>
      <c r="B198" s="1" t="s">
        <v>2072</v>
      </c>
      <c r="C198" s="1" t="s">
        <v>2073</v>
      </c>
      <c r="D198" s="1" t="s">
        <v>469</v>
      </c>
      <c r="E198" s="1" t="s">
        <v>43</v>
      </c>
      <c r="F198" s="2">
        <v>25309.0</v>
      </c>
      <c r="G198" s="1">
        <f t="shared" si="1"/>
        <v>57</v>
      </c>
      <c r="H198" s="1" t="s">
        <v>955</v>
      </c>
      <c r="I198" s="1" t="str">
        <f>IFERROR(__xludf.DUMMYFUNCTION("SPLIT(left(H198,len(H198)-1),""("")"),"Béthune ")</f>
        <v>Béthune </v>
      </c>
      <c r="J198" s="1" t="str">
        <f>IFERROR(__xludf.DUMMYFUNCTION("""COMPUTED_VALUE"""),"Pas-de-Calais")</f>
        <v>Pas-de-Calais</v>
      </c>
      <c r="K198" s="1" t="str">
        <f>IFERROR(__xludf.DUMMYFUNCTION("IF( COUNTA( IFERROR( FILTER('départements_edition'!$C$2:$C$102 , 'départements_edition'!$C$2:$C$102=J198 ) ) ) , ""Oui"" , ""Non"" )"),"Oui")</f>
        <v>Oui</v>
      </c>
      <c r="L198" s="1" t="str">
        <f t="shared" si="2"/>
        <v>France</v>
      </c>
      <c r="M198" s="1">
        <v>59.0</v>
      </c>
      <c r="N198" s="1" t="s">
        <v>172</v>
      </c>
      <c r="O198" s="1">
        <v>20.0</v>
      </c>
      <c r="P198" s="2">
        <v>42907.0</v>
      </c>
      <c r="R198" s="1">
        <v>0.0</v>
      </c>
      <c r="S198" s="1" t="s">
        <v>101</v>
      </c>
      <c r="T198" s="1" t="s">
        <v>102</v>
      </c>
      <c r="U198" s="1" t="s">
        <v>2074</v>
      </c>
      <c r="X198" s="1" t="s">
        <v>2075</v>
      </c>
      <c r="Y198" s="1">
        <v>590.0</v>
      </c>
      <c r="Z198" s="3" t="s">
        <v>2076</v>
      </c>
      <c r="AA198" s="1">
        <v>720692.0</v>
      </c>
      <c r="AB198" s="1" t="s">
        <v>2077</v>
      </c>
      <c r="AC198" s="3" t="s">
        <v>2078</v>
      </c>
      <c r="AD198" s="3" t="s">
        <v>2079</v>
      </c>
      <c r="AE198" s="1">
        <v>2.0</v>
      </c>
      <c r="AF198" s="1" t="s">
        <v>2080</v>
      </c>
      <c r="AG198" s="1">
        <v>22.0</v>
      </c>
      <c r="AH198" s="1">
        <v>31.0</v>
      </c>
      <c r="AI198" s="1">
        <v>59.0</v>
      </c>
      <c r="AJ198" s="1">
        <v>311.0</v>
      </c>
      <c r="AK198" s="1">
        <v>210.0</v>
      </c>
      <c r="AL198" s="1">
        <v>162.0</v>
      </c>
      <c r="AM198" s="1">
        <v>726.0</v>
      </c>
      <c r="AN198" s="1">
        <v>31.0</v>
      </c>
      <c r="AO198" s="1">
        <v>1.0</v>
      </c>
      <c r="AP198" s="1">
        <v>2.0</v>
      </c>
      <c r="AQ198" s="1">
        <v>19.0</v>
      </c>
      <c r="AR198" s="1">
        <v>8.0</v>
      </c>
      <c r="AS198" s="1">
        <v>3.0</v>
      </c>
    </row>
    <row r="199" hidden="1">
      <c r="A199" s="1">
        <v>92.0</v>
      </c>
      <c r="B199" s="1" t="s">
        <v>2081</v>
      </c>
      <c r="C199" s="1" t="s">
        <v>2082</v>
      </c>
      <c r="D199" s="1" t="s">
        <v>1695</v>
      </c>
      <c r="E199" s="1" t="s">
        <v>58</v>
      </c>
      <c r="F199" s="2">
        <v>22753.0</v>
      </c>
      <c r="G199" s="1">
        <f t="shared" si="1"/>
        <v>64</v>
      </c>
      <c r="H199" s="1" t="s">
        <v>44</v>
      </c>
      <c r="I199" s="1" t="str">
        <f>IFERROR(__xludf.DUMMYFUNCTION("SPLIT(left(H199,len(H199)-1),""("")"),"Valence ")</f>
        <v>Valence </v>
      </c>
      <c r="J199" s="1" t="str">
        <f>IFERROR(__xludf.DUMMYFUNCTION("""COMPUTED_VALUE"""),"Drôme")</f>
        <v>Drôme</v>
      </c>
      <c r="K199" s="1" t="str">
        <f>IFERROR(__xludf.DUMMYFUNCTION("IF( COUNTA( IFERROR( FILTER('départements_edition'!$C$2:$C$102 , 'départements_edition'!$C$2:$C$102=J199 ) ) ) , ""Oui"" , ""Non"" )"),"Oui")</f>
        <v>Oui</v>
      </c>
      <c r="L199" s="1" t="str">
        <f t="shared" si="2"/>
        <v>France</v>
      </c>
      <c r="M199" s="1">
        <v>42.0</v>
      </c>
      <c r="N199" s="1" t="s">
        <v>536</v>
      </c>
      <c r="O199" s="1">
        <v>5.0</v>
      </c>
      <c r="P199" s="2">
        <v>42907.0</v>
      </c>
      <c r="R199" s="1">
        <v>0.0</v>
      </c>
      <c r="S199" s="1" t="s">
        <v>75</v>
      </c>
      <c r="T199" s="1" t="s">
        <v>76</v>
      </c>
      <c r="U199" s="3" t="s">
        <v>2083</v>
      </c>
      <c r="X199" s="1" t="s">
        <v>986</v>
      </c>
      <c r="Y199" s="1">
        <v>290.0</v>
      </c>
      <c r="Z199" s="3" t="s">
        <v>2084</v>
      </c>
      <c r="AA199" s="1">
        <v>719972.0</v>
      </c>
      <c r="AB199" s="1" t="s">
        <v>2085</v>
      </c>
      <c r="AC199" s="3" t="s">
        <v>2086</v>
      </c>
      <c r="AD199" s="3" t="s">
        <v>2087</v>
      </c>
      <c r="AE199" s="1">
        <v>1.0</v>
      </c>
      <c r="AG199" s="1">
        <v>22.0</v>
      </c>
      <c r="AH199" s="1">
        <v>35.0</v>
      </c>
      <c r="AI199" s="1">
        <v>3.0</v>
      </c>
      <c r="AJ199" s="1">
        <v>4.0</v>
      </c>
      <c r="AK199" s="1">
        <v>0.0</v>
      </c>
      <c r="AL199" s="1">
        <v>0.0</v>
      </c>
      <c r="AM199" s="1">
        <v>89.0</v>
      </c>
      <c r="AN199" s="1">
        <v>43.0</v>
      </c>
      <c r="AO199" s="1">
        <v>0.0</v>
      </c>
      <c r="AP199" s="1">
        <v>0.0</v>
      </c>
      <c r="AQ199" s="1">
        <v>5.0</v>
      </c>
      <c r="AR199" s="1">
        <v>7.0</v>
      </c>
      <c r="AS199" s="1">
        <v>2.0</v>
      </c>
    </row>
    <row r="200" hidden="1">
      <c r="A200" s="1">
        <v>419.0</v>
      </c>
      <c r="B200" s="1" t="s">
        <v>2088</v>
      </c>
      <c r="C200" s="1" t="s">
        <v>2089</v>
      </c>
      <c r="D200" s="1" t="s">
        <v>2090</v>
      </c>
      <c r="E200" s="1" t="s">
        <v>58</v>
      </c>
      <c r="F200" s="2">
        <v>18714.0</v>
      </c>
      <c r="G200" s="1">
        <f t="shared" si="1"/>
        <v>75</v>
      </c>
      <c r="H200" s="1" t="s">
        <v>207</v>
      </c>
      <c r="I200" s="1" t="str">
        <f>IFERROR(__xludf.DUMMYFUNCTION("SPLIT(left(H200,len(H200)-1),""("")"),"Paris ")</f>
        <v>Paris </v>
      </c>
      <c r="J200" s="1" t="str">
        <f>IFERROR(__xludf.DUMMYFUNCTION("""COMPUTED_VALUE"""),"Paris")</f>
        <v>Paris</v>
      </c>
      <c r="K200" s="1" t="str">
        <f>IFERROR(__xludf.DUMMYFUNCTION("IF( COUNTA( IFERROR( FILTER('départements_edition'!$C$2:$C$102 , 'départements_edition'!$C$2:$C$102=J200 ) ) ) , ""Oui"" , ""Non"" )"),"Oui")</f>
        <v>Oui</v>
      </c>
      <c r="L200" s="1" t="str">
        <f t="shared" si="2"/>
        <v>France</v>
      </c>
      <c r="M200" s="1">
        <v>75.0</v>
      </c>
      <c r="N200" s="1" t="s">
        <v>232</v>
      </c>
      <c r="O200" s="1">
        <v>11.0</v>
      </c>
      <c r="P200" s="2">
        <v>42907.0</v>
      </c>
      <c r="R200" s="1">
        <v>0.0</v>
      </c>
      <c r="S200" s="1" t="s">
        <v>280</v>
      </c>
      <c r="T200" s="1" t="s">
        <v>281</v>
      </c>
      <c r="U200" s="1" t="s">
        <v>2091</v>
      </c>
      <c r="X200" s="1" t="s">
        <v>440</v>
      </c>
      <c r="Y200" s="1">
        <v>257.0</v>
      </c>
      <c r="Z200" s="3" t="s">
        <v>2092</v>
      </c>
      <c r="AA200" s="1">
        <v>717151.0</v>
      </c>
      <c r="AB200" s="1" t="s">
        <v>2093</v>
      </c>
      <c r="AC200" s="3" t="s">
        <v>2094</v>
      </c>
      <c r="AD200" s="3" t="s">
        <v>2095</v>
      </c>
      <c r="AE200" s="1">
        <v>3.0</v>
      </c>
      <c r="AF200" s="1" t="s">
        <v>2096</v>
      </c>
      <c r="AG200" s="1">
        <v>22.0</v>
      </c>
      <c r="AH200" s="1">
        <v>46.0</v>
      </c>
      <c r="AI200" s="1">
        <v>121.0</v>
      </c>
      <c r="AJ200" s="1">
        <v>23.0</v>
      </c>
      <c r="AK200" s="1">
        <v>13.0</v>
      </c>
      <c r="AL200" s="1">
        <v>2.0</v>
      </c>
      <c r="AM200" s="1">
        <v>183.0</v>
      </c>
      <c r="AN200" s="1">
        <v>16.0</v>
      </c>
      <c r="AO200" s="1">
        <v>0.0</v>
      </c>
      <c r="AP200" s="1">
        <v>0.0</v>
      </c>
      <c r="AQ200" s="1">
        <v>9.0</v>
      </c>
      <c r="AR200" s="1">
        <v>24.0</v>
      </c>
      <c r="AS200" s="1">
        <v>2.0</v>
      </c>
    </row>
    <row r="201" hidden="1">
      <c r="A201" s="1">
        <v>72.0</v>
      </c>
      <c r="B201" s="1" t="s">
        <v>2097</v>
      </c>
      <c r="C201" s="1" t="s">
        <v>2098</v>
      </c>
      <c r="D201" s="1" t="s">
        <v>2099</v>
      </c>
      <c r="E201" s="1" t="s">
        <v>43</v>
      </c>
      <c r="F201" s="2">
        <v>32918.0</v>
      </c>
      <c r="G201" s="1">
        <f t="shared" si="1"/>
        <v>36</v>
      </c>
      <c r="H201" s="1" t="s">
        <v>1842</v>
      </c>
      <c r="I201" s="1" t="str">
        <f>IFERROR(__xludf.DUMMYFUNCTION("SPLIT(left(H201,len(H201)-1),""("")"),"Mulhouse ")</f>
        <v>Mulhouse </v>
      </c>
      <c r="J201" s="1" t="str">
        <f>IFERROR(__xludf.DUMMYFUNCTION("""COMPUTED_VALUE"""),"Haut-Rhin")</f>
        <v>Haut-Rhin</v>
      </c>
      <c r="K201" s="1" t="str">
        <f>IFERROR(__xludf.DUMMYFUNCTION("IF( COUNTA( IFERROR( FILTER('départements_edition'!$C$2:$C$102 , 'départements_edition'!$C$2:$C$102=J201 ) ) ) , ""Oui"" , ""Non"" )"),"Oui")</f>
        <v>Oui</v>
      </c>
      <c r="L201" s="1" t="str">
        <f t="shared" si="2"/>
        <v>France</v>
      </c>
      <c r="M201" s="1">
        <v>68.0</v>
      </c>
      <c r="N201" s="1" t="s">
        <v>1501</v>
      </c>
      <c r="O201" s="1">
        <v>4.0</v>
      </c>
      <c r="P201" s="2">
        <v>42907.0</v>
      </c>
      <c r="R201" s="1">
        <v>0.0</v>
      </c>
      <c r="S201" s="1" t="s">
        <v>61</v>
      </c>
      <c r="T201" s="1" t="s">
        <v>62</v>
      </c>
      <c r="U201" s="3" t="s">
        <v>2100</v>
      </c>
      <c r="X201" s="1" t="s">
        <v>2101</v>
      </c>
      <c r="Y201" s="1">
        <v>72.0</v>
      </c>
      <c r="Z201" s="3" t="s">
        <v>2102</v>
      </c>
      <c r="AA201" s="1">
        <v>721314.0</v>
      </c>
      <c r="AB201" s="1" t="s">
        <v>2103</v>
      </c>
      <c r="AC201" s="3" t="s">
        <v>2104</v>
      </c>
      <c r="AD201" s="3" t="s">
        <v>2105</v>
      </c>
      <c r="AE201" s="1">
        <v>3.0</v>
      </c>
      <c r="AF201" s="1" t="s">
        <v>2106</v>
      </c>
      <c r="AG201" s="1">
        <v>22.0</v>
      </c>
      <c r="AH201" s="1">
        <v>35.0</v>
      </c>
      <c r="AI201" s="1">
        <v>64.0</v>
      </c>
      <c r="AJ201" s="1">
        <v>113.0</v>
      </c>
      <c r="AK201" s="1">
        <v>239.0</v>
      </c>
      <c r="AL201" s="1">
        <v>69.0</v>
      </c>
      <c r="AM201" s="1">
        <v>884.0</v>
      </c>
      <c r="AN201" s="1">
        <v>25.0</v>
      </c>
      <c r="AO201" s="1">
        <v>0.0</v>
      </c>
      <c r="AP201" s="1">
        <v>4.0</v>
      </c>
      <c r="AQ201" s="1">
        <v>83.0</v>
      </c>
      <c r="AR201" s="1">
        <v>16.0</v>
      </c>
      <c r="AS201" s="1">
        <v>3.0</v>
      </c>
    </row>
    <row r="202" hidden="1">
      <c r="A202" s="1">
        <v>251.0</v>
      </c>
      <c r="B202" s="1" t="s">
        <v>2107</v>
      </c>
      <c r="C202" s="1" t="s">
        <v>2108</v>
      </c>
      <c r="D202" s="1" t="s">
        <v>2109</v>
      </c>
      <c r="E202" s="1" t="s">
        <v>43</v>
      </c>
      <c r="F202" s="2">
        <v>21086.0</v>
      </c>
      <c r="G202" s="1">
        <f t="shared" si="1"/>
        <v>68</v>
      </c>
      <c r="H202" s="1" t="s">
        <v>2110</v>
      </c>
      <c r="I202" s="1" t="str">
        <f>IFERROR(__xludf.DUMMYFUNCTION("SPLIT(left(H202,len(H202)-1),""("")"),"Lure ")</f>
        <v>Lure </v>
      </c>
      <c r="J202" s="1" t="str">
        <f>IFERROR(__xludf.DUMMYFUNCTION("""COMPUTED_VALUE"""),"Haute-Saône")</f>
        <v>Haute-Saône</v>
      </c>
      <c r="K202" s="1" t="str">
        <f>IFERROR(__xludf.DUMMYFUNCTION("IF( COUNTA( IFERROR( FILTER('départements_edition'!$C$2:$C$102 , 'départements_edition'!$C$2:$C$102=J202 ) ) ) , ""Oui"" , ""Non"" )"),"Oui")</f>
        <v>Oui</v>
      </c>
      <c r="L202" s="1" t="str">
        <f t="shared" si="2"/>
        <v>France</v>
      </c>
      <c r="M202" s="1">
        <v>25.0</v>
      </c>
      <c r="N202" s="1" t="s">
        <v>149</v>
      </c>
      <c r="O202" s="1">
        <v>3.0</v>
      </c>
      <c r="P202" s="2">
        <v>42907.0</v>
      </c>
      <c r="R202" s="1">
        <v>0.0</v>
      </c>
      <c r="S202" s="1" t="s">
        <v>75</v>
      </c>
      <c r="T202" s="1" t="s">
        <v>76</v>
      </c>
      <c r="U202" s="1" t="s">
        <v>2111</v>
      </c>
      <c r="X202" s="1" t="s">
        <v>269</v>
      </c>
      <c r="Y202" s="1">
        <v>623.0</v>
      </c>
      <c r="Z202" s="3" t="s">
        <v>2112</v>
      </c>
      <c r="AA202" s="1">
        <v>719420.0</v>
      </c>
      <c r="AB202" s="1" t="s">
        <v>2113</v>
      </c>
      <c r="AC202" s="3" t="s">
        <v>2114</v>
      </c>
      <c r="AD202" s="3" t="s">
        <v>2115</v>
      </c>
      <c r="AE202" s="1">
        <v>2.0</v>
      </c>
      <c r="AF202" s="1" t="s">
        <v>2116</v>
      </c>
      <c r="AG202" s="1">
        <v>22.0</v>
      </c>
      <c r="AH202" s="1">
        <v>37.0</v>
      </c>
      <c r="AI202" s="1">
        <v>16.0</v>
      </c>
      <c r="AJ202" s="1">
        <v>10.0</v>
      </c>
      <c r="AK202" s="1">
        <v>2.0</v>
      </c>
      <c r="AL202" s="1">
        <v>21.0</v>
      </c>
      <c r="AM202" s="1">
        <v>86.0</v>
      </c>
      <c r="AN202" s="1">
        <v>25.0</v>
      </c>
      <c r="AO202" s="1">
        <v>0.0</v>
      </c>
      <c r="AP202" s="1">
        <v>0.0</v>
      </c>
      <c r="AQ202" s="1">
        <v>5.0</v>
      </c>
      <c r="AR202" s="1">
        <v>17.0</v>
      </c>
      <c r="AS202" s="1">
        <v>1.0</v>
      </c>
    </row>
    <row r="203" hidden="1">
      <c r="A203" s="1">
        <v>162.0</v>
      </c>
      <c r="B203" s="1" t="s">
        <v>2128</v>
      </c>
      <c r="C203" s="1" t="s">
        <v>2129</v>
      </c>
      <c r="D203" s="1" t="s">
        <v>694</v>
      </c>
      <c r="E203" s="1" t="s">
        <v>58</v>
      </c>
      <c r="F203" s="2">
        <v>25694.0</v>
      </c>
      <c r="G203" s="1">
        <f t="shared" si="1"/>
        <v>56</v>
      </c>
      <c r="H203" s="1" t="s">
        <v>2130</v>
      </c>
      <c r="I203" s="1" t="str">
        <f>IFERROR(__xludf.DUMMYFUNCTION("SPLIT(left(H203,len(H203)-1),""("")"),"Avion ")</f>
        <v>Avion </v>
      </c>
      <c r="J203" s="1" t="str">
        <f>IFERROR(__xludf.DUMMYFUNCTION("""COMPUTED_VALUE"""),"Pas-de-Calais")</f>
        <v>Pas-de-Calais</v>
      </c>
      <c r="K203" s="1" t="str">
        <f>IFERROR(__xludf.DUMMYFUNCTION("IF( COUNTA( IFERROR( FILTER('départements_edition'!$C$2:$C$102 , 'départements_edition'!$C$2:$C$102=J203 ) ) ) , ""Oui"" , ""Non"" )"),"Oui")</f>
        <v>Oui</v>
      </c>
      <c r="L203" s="1" t="str">
        <f t="shared" si="2"/>
        <v>France</v>
      </c>
      <c r="M203" s="1">
        <v>3.0</v>
      </c>
      <c r="N203" s="1" t="s">
        <v>100</v>
      </c>
      <c r="O203" s="1">
        <v>2.0</v>
      </c>
      <c r="P203" s="2">
        <v>42907.0</v>
      </c>
      <c r="R203" s="1">
        <v>0.0</v>
      </c>
      <c r="S203" s="1" t="s">
        <v>75</v>
      </c>
      <c r="T203" s="1" t="s">
        <v>76</v>
      </c>
      <c r="U203" s="3" t="s">
        <v>2131</v>
      </c>
      <c r="X203" s="1" t="s">
        <v>429</v>
      </c>
      <c r="Y203" s="1">
        <v>292.0</v>
      </c>
      <c r="Z203" s="3" t="s">
        <v>2132</v>
      </c>
      <c r="AA203" s="1">
        <v>718728.0</v>
      </c>
      <c r="AB203" s="1" t="s">
        <v>2133</v>
      </c>
      <c r="AC203" s="3" t="s">
        <v>2134</v>
      </c>
      <c r="AD203" s="3" t="s">
        <v>2135</v>
      </c>
      <c r="AE203" s="1">
        <v>1.0</v>
      </c>
      <c r="AG203" s="1">
        <v>22.0</v>
      </c>
      <c r="AH203" s="1">
        <v>31.0</v>
      </c>
      <c r="AI203" s="1">
        <v>3.0</v>
      </c>
      <c r="AJ203" s="1">
        <v>7.0</v>
      </c>
      <c r="AK203" s="1">
        <v>1.0</v>
      </c>
      <c r="AL203" s="1">
        <v>7.0</v>
      </c>
      <c r="AM203" s="1">
        <v>105.0</v>
      </c>
      <c r="AN203" s="1">
        <v>43.0</v>
      </c>
      <c r="AO203" s="1">
        <v>0.0</v>
      </c>
      <c r="AP203" s="1">
        <v>0.0</v>
      </c>
      <c r="AQ203" s="1">
        <v>6.0</v>
      </c>
      <c r="AR203" s="1">
        <v>17.0</v>
      </c>
      <c r="AS203" s="1">
        <v>1.0</v>
      </c>
    </row>
    <row r="204" hidden="1">
      <c r="A204" s="1">
        <v>308.0</v>
      </c>
      <c r="B204" s="1" t="s">
        <v>2136</v>
      </c>
      <c r="C204" s="1" t="s">
        <v>2137</v>
      </c>
      <c r="D204" s="1" t="s">
        <v>905</v>
      </c>
      <c r="E204" s="1" t="s">
        <v>43</v>
      </c>
      <c r="F204" s="2">
        <v>29333.0</v>
      </c>
      <c r="G204" s="1">
        <f t="shared" si="1"/>
        <v>46</v>
      </c>
      <c r="H204" s="1" t="s">
        <v>381</v>
      </c>
      <c r="I204" s="1" t="str">
        <f>IFERROR(__xludf.DUMMYFUNCTION("SPLIT(left(H204,len(H204)-1),""("")"),"Saint-Martin-d'Hères ")</f>
        <v>Saint-Martin-d'Hères </v>
      </c>
      <c r="J204" s="1" t="str">
        <f>IFERROR(__xludf.DUMMYFUNCTION("""COMPUTED_VALUE"""),"Isère")</f>
        <v>Isère</v>
      </c>
      <c r="K204" s="1" t="str">
        <f>IFERROR(__xludf.DUMMYFUNCTION("IF( COUNTA( IFERROR( FILTER('départements_edition'!$C$2:$C$102 , 'départements_edition'!$C$2:$C$102=J204 ) ) ) , ""Oui"" , ""Non"" )"),"Oui")</f>
        <v>Oui</v>
      </c>
      <c r="L204" s="1" t="str">
        <f t="shared" si="2"/>
        <v>France</v>
      </c>
      <c r="M204" s="1">
        <v>38.0</v>
      </c>
      <c r="N204" s="1" t="s">
        <v>267</v>
      </c>
      <c r="O204" s="1">
        <v>1.0</v>
      </c>
      <c r="P204" s="2">
        <v>42907.0</v>
      </c>
      <c r="R204" s="1">
        <v>0.0</v>
      </c>
      <c r="S204" s="1" t="s">
        <v>75</v>
      </c>
      <c r="T204" s="1" t="s">
        <v>76</v>
      </c>
      <c r="U204" s="1" t="s">
        <v>2138</v>
      </c>
      <c r="X204" s="1" t="s">
        <v>2139</v>
      </c>
      <c r="Y204" s="1">
        <v>540.0</v>
      </c>
      <c r="Z204" s="3" t="s">
        <v>2140</v>
      </c>
      <c r="AA204" s="1">
        <v>642788.0</v>
      </c>
      <c r="AB204" s="1" t="s">
        <v>2141</v>
      </c>
      <c r="AC204" s="3" t="s">
        <v>2142</v>
      </c>
      <c r="AD204" s="3" t="s">
        <v>2143</v>
      </c>
      <c r="AE204" s="1">
        <v>1.0</v>
      </c>
      <c r="AF204" s="1" t="s">
        <v>2144</v>
      </c>
      <c r="AG204" s="1">
        <v>22.0</v>
      </c>
      <c r="AH204" s="1">
        <v>43.0</v>
      </c>
      <c r="AI204" s="1">
        <v>317.0</v>
      </c>
      <c r="AJ204" s="1">
        <v>384.0</v>
      </c>
      <c r="AK204" s="1">
        <v>290.0</v>
      </c>
      <c r="AL204" s="1">
        <v>263.0</v>
      </c>
      <c r="AM204" s="1">
        <v>357.0</v>
      </c>
      <c r="AN204" s="1">
        <v>288.0</v>
      </c>
      <c r="AO204" s="1">
        <v>4.0</v>
      </c>
      <c r="AP204" s="1">
        <v>0.0</v>
      </c>
      <c r="AQ204" s="1">
        <v>5.0</v>
      </c>
      <c r="AR204" s="1">
        <v>3.0</v>
      </c>
      <c r="AS204" s="1">
        <v>2.0</v>
      </c>
    </row>
    <row r="205" hidden="1">
      <c r="A205" s="1">
        <v>480.0</v>
      </c>
      <c r="B205" s="1" t="s">
        <v>2145</v>
      </c>
      <c r="C205" s="1" t="s">
        <v>2146</v>
      </c>
      <c r="D205" s="1" t="s">
        <v>1352</v>
      </c>
      <c r="E205" s="1" t="s">
        <v>43</v>
      </c>
      <c r="F205" s="2">
        <v>27027.0</v>
      </c>
      <c r="G205" s="1">
        <f t="shared" si="1"/>
        <v>52</v>
      </c>
      <c r="H205" s="1" t="s">
        <v>1675</v>
      </c>
      <c r="I205" s="1" t="str">
        <f>IFERROR(__xludf.DUMMYFUNCTION("SPLIT(left(H205,len(H205)-1),""("")"),"Coteau ")</f>
        <v>Coteau </v>
      </c>
      <c r="J205" s="1" t="str">
        <f>IFERROR(__xludf.DUMMYFUNCTION("""COMPUTED_VALUE"""),"Loire")</f>
        <v>Loire</v>
      </c>
      <c r="K205" s="1" t="str">
        <f>IFERROR(__xludf.DUMMYFUNCTION("IF( COUNTA( IFERROR( FILTER('départements_edition'!$C$2:$C$102 , 'départements_edition'!$C$2:$C$102=J205 ) ) ) , ""Oui"" , ""Non"" )"),"Oui")</f>
        <v>Oui</v>
      </c>
      <c r="L205" s="1" t="str">
        <f t="shared" si="2"/>
        <v>France</v>
      </c>
      <c r="M205" s="1">
        <v>69.0</v>
      </c>
      <c r="N205" s="1" t="s">
        <v>1363</v>
      </c>
      <c r="O205" s="1">
        <v>8.0</v>
      </c>
      <c r="P205" s="2">
        <v>42907.0</v>
      </c>
      <c r="R205" s="1">
        <v>0.0</v>
      </c>
      <c r="S205" s="1" t="s">
        <v>61</v>
      </c>
      <c r="T205" s="1" t="s">
        <v>62</v>
      </c>
      <c r="U205" s="1" t="s">
        <v>2147</v>
      </c>
      <c r="X205" s="1" t="s">
        <v>1492</v>
      </c>
      <c r="Y205" s="1">
        <v>126.0</v>
      </c>
      <c r="Z205" s="3" t="s">
        <v>2148</v>
      </c>
      <c r="AA205" s="1">
        <v>334843.0</v>
      </c>
      <c r="AB205" s="1" t="s">
        <v>2149</v>
      </c>
      <c r="AC205" s="3" t="s">
        <v>2150</v>
      </c>
      <c r="AD205" s="3" t="s">
        <v>2151</v>
      </c>
      <c r="AE205" s="1">
        <v>1.0</v>
      </c>
      <c r="AF205" s="1" t="s">
        <v>2152</v>
      </c>
      <c r="AG205" s="1">
        <v>22.0</v>
      </c>
      <c r="AH205" s="1">
        <v>27.0</v>
      </c>
      <c r="AI205" s="1">
        <v>16.0</v>
      </c>
      <c r="AJ205" s="1">
        <v>27.0</v>
      </c>
      <c r="AK205" s="1">
        <v>54.0</v>
      </c>
      <c r="AL205" s="1">
        <v>16.0</v>
      </c>
      <c r="AM205" s="1">
        <v>575.0</v>
      </c>
      <c r="AN205" s="1">
        <v>24.0</v>
      </c>
      <c r="AO205" s="1">
        <v>0.0</v>
      </c>
      <c r="AP205" s="1">
        <v>0.0</v>
      </c>
      <c r="AQ205" s="1">
        <v>66.0</v>
      </c>
      <c r="AR205" s="1">
        <v>28.0</v>
      </c>
      <c r="AS205" s="1">
        <v>2.0</v>
      </c>
    </row>
    <row r="206" hidden="1">
      <c r="A206" s="1">
        <v>175.0</v>
      </c>
      <c r="B206" s="1" t="s">
        <v>2153</v>
      </c>
      <c r="C206" s="1" t="s">
        <v>2154</v>
      </c>
      <c r="D206" s="1" t="s">
        <v>2155</v>
      </c>
      <c r="E206" s="1" t="s">
        <v>58</v>
      </c>
      <c r="F206" s="2">
        <v>20715.0</v>
      </c>
      <c r="G206" s="1">
        <f t="shared" si="1"/>
        <v>69</v>
      </c>
      <c r="H206" s="1" t="s">
        <v>2156</v>
      </c>
      <c r="I206" s="1" t="str">
        <f>IFERROR(__xludf.DUMMYFUNCTION("SPLIT(left(H206,len(H206)-1),""("")"),"La Bohalle ")</f>
        <v>La Bohalle </v>
      </c>
      <c r="J206" s="1" t="str">
        <f>IFERROR(__xludf.DUMMYFUNCTION("""COMPUTED_VALUE"""),"Maine-et-Loire")</f>
        <v>Maine-et-Loire</v>
      </c>
      <c r="K206" s="1" t="str">
        <f>IFERROR(__xludf.DUMMYFUNCTION("IF( COUNTA( IFERROR( FILTER('départements_edition'!$C$2:$C$102 , 'départements_edition'!$C$2:$C$102=J206 ) ) ) , ""Oui"" , ""Non"" )"),"Oui")</f>
        <v>Oui</v>
      </c>
      <c r="L206" s="1" t="str">
        <f t="shared" si="2"/>
        <v>France</v>
      </c>
      <c r="M206" s="1">
        <v>76.0</v>
      </c>
      <c r="N206" s="1" t="s">
        <v>371</v>
      </c>
      <c r="O206" s="1">
        <v>2.0</v>
      </c>
      <c r="P206" s="2">
        <v>42907.0</v>
      </c>
      <c r="R206" s="1">
        <v>0.0</v>
      </c>
      <c r="S206" s="1" t="s">
        <v>75</v>
      </c>
      <c r="T206" s="1" t="s">
        <v>76</v>
      </c>
      <c r="U206" s="1" t="s">
        <v>2157</v>
      </c>
      <c r="X206" s="1" t="s">
        <v>2158</v>
      </c>
      <c r="Y206" s="1">
        <v>433.0</v>
      </c>
      <c r="Z206" s="3" t="s">
        <v>2159</v>
      </c>
      <c r="AA206" s="1">
        <v>722102.0</v>
      </c>
      <c r="AB206" s="1" t="s">
        <v>2160</v>
      </c>
      <c r="AC206" s="3" t="s">
        <v>2161</v>
      </c>
      <c r="AD206" s="3" t="s">
        <v>2162</v>
      </c>
      <c r="AE206" s="1">
        <v>1.0</v>
      </c>
      <c r="AF206" s="1" t="s">
        <v>2163</v>
      </c>
      <c r="AG206" s="1">
        <v>22.0</v>
      </c>
      <c r="AH206" s="1">
        <v>46.0</v>
      </c>
      <c r="AI206" s="1">
        <v>13.0</v>
      </c>
      <c r="AJ206" s="1">
        <v>22.0</v>
      </c>
      <c r="AK206" s="1">
        <v>3.0</v>
      </c>
      <c r="AL206" s="1">
        <v>4.0</v>
      </c>
      <c r="AM206" s="1">
        <v>58.0</v>
      </c>
      <c r="AN206" s="1">
        <v>26.0</v>
      </c>
      <c r="AO206" s="1">
        <v>0.0</v>
      </c>
      <c r="AP206" s="1">
        <v>0.0</v>
      </c>
      <c r="AQ206" s="1">
        <v>5.0</v>
      </c>
      <c r="AR206" s="1">
        <v>2.0</v>
      </c>
      <c r="AS206" s="1">
        <v>1.0</v>
      </c>
    </row>
    <row r="207" hidden="1">
      <c r="A207" s="1">
        <v>258.0</v>
      </c>
      <c r="B207" s="1" t="s">
        <v>2164</v>
      </c>
      <c r="C207" s="1" t="s">
        <v>2165</v>
      </c>
      <c r="D207" s="1" t="s">
        <v>2166</v>
      </c>
      <c r="E207" s="1" t="s">
        <v>58</v>
      </c>
      <c r="F207" s="2">
        <v>23172.0</v>
      </c>
      <c r="G207" s="1">
        <f t="shared" si="1"/>
        <v>63</v>
      </c>
      <c r="H207" s="1" t="s">
        <v>2167</v>
      </c>
      <c r="I207" s="1" t="str">
        <f>IFERROR(__xludf.DUMMYFUNCTION("SPLIT(left(H207,len(H207)-1),""("")"),"Agen ")</f>
        <v>Agen </v>
      </c>
      <c r="J207" s="1" t="str">
        <f>IFERROR(__xludf.DUMMYFUNCTION("""COMPUTED_VALUE"""),"Lot-et-Garonne")</f>
        <v>Lot-et-Garonne</v>
      </c>
      <c r="K207" s="1" t="str">
        <f>IFERROR(__xludf.DUMMYFUNCTION("IF( COUNTA( IFERROR( FILTER('départements_edition'!$C$2:$C$102 , 'départements_edition'!$C$2:$C$102=J207 ) ) ) , ""Oui"" , ""Non"" )"),"Oui")</f>
        <v>Oui</v>
      </c>
      <c r="L207" s="1" t="str">
        <f t="shared" si="2"/>
        <v>France</v>
      </c>
      <c r="M207" s="1">
        <v>31.0</v>
      </c>
      <c r="N207" s="1" t="s">
        <v>360</v>
      </c>
      <c r="O207" s="1">
        <v>3.0</v>
      </c>
      <c r="P207" s="2">
        <v>42907.0</v>
      </c>
      <c r="R207" s="1">
        <v>0.0</v>
      </c>
      <c r="S207" s="1" t="s">
        <v>75</v>
      </c>
      <c r="T207" s="1" t="s">
        <v>76</v>
      </c>
      <c r="U207" s="1" t="s">
        <v>2168</v>
      </c>
      <c r="X207" s="1" t="s">
        <v>234</v>
      </c>
      <c r="Y207" s="1">
        <v>375.0</v>
      </c>
      <c r="Z207" s="3" t="s">
        <v>2169</v>
      </c>
      <c r="AA207" s="1">
        <v>719512.0</v>
      </c>
      <c r="AB207" s="1" t="s">
        <v>2170</v>
      </c>
      <c r="AC207" s="3" t="s">
        <v>2171</v>
      </c>
      <c r="AD207" s="3" t="s">
        <v>2172</v>
      </c>
      <c r="AE207" s="1">
        <v>2.0</v>
      </c>
      <c r="AF207" s="1" t="s">
        <v>2173</v>
      </c>
      <c r="AG207" s="1">
        <v>22.0</v>
      </c>
      <c r="AH207" s="1">
        <v>51.0</v>
      </c>
      <c r="AI207" s="1">
        <v>14.0</v>
      </c>
      <c r="AJ207" s="1">
        <v>2.0</v>
      </c>
      <c r="AK207" s="1">
        <v>0.0</v>
      </c>
      <c r="AL207" s="1">
        <v>0.0</v>
      </c>
      <c r="AM207" s="1">
        <v>55.0</v>
      </c>
      <c r="AN207" s="1">
        <v>25.0</v>
      </c>
      <c r="AO207" s="1">
        <v>1.0</v>
      </c>
      <c r="AP207" s="1">
        <v>0.0</v>
      </c>
      <c r="AQ207" s="1">
        <v>6.0</v>
      </c>
      <c r="AR207" s="1">
        <v>9.0</v>
      </c>
      <c r="AS207" s="1">
        <v>1.0</v>
      </c>
    </row>
    <row r="208" hidden="1">
      <c r="A208" s="1">
        <v>192.0</v>
      </c>
      <c r="B208" s="1" t="s">
        <v>2174</v>
      </c>
      <c r="C208" s="1" t="s">
        <v>2175</v>
      </c>
      <c r="D208" s="1" t="s">
        <v>148</v>
      </c>
      <c r="E208" s="1" t="s">
        <v>43</v>
      </c>
      <c r="F208" s="2">
        <v>20483.0</v>
      </c>
      <c r="G208" s="1">
        <f t="shared" si="1"/>
        <v>70</v>
      </c>
      <c r="H208" s="1" t="s">
        <v>2176</v>
      </c>
      <c r="I208" s="1" t="str">
        <f>IFERROR(__xludf.DUMMYFUNCTION("SPLIT(left(H208,len(H208)-1),""("")"),"Creil ")</f>
        <v>Creil </v>
      </c>
      <c r="J208" s="1" t="str">
        <f>IFERROR(__xludf.DUMMYFUNCTION("""COMPUTED_VALUE"""),"Oise")</f>
        <v>Oise</v>
      </c>
      <c r="K208" s="1" t="str">
        <f>IFERROR(__xludf.DUMMYFUNCTION("IF( COUNTA( IFERROR( FILTER('départements_edition'!$C$2:$C$102 , 'départements_edition'!$C$2:$C$102=J208 ) ) ) , ""Oui"" , ""Non"" )"),"Oui")</f>
        <v>Oui</v>
      </c>
      <c r="L208" s="1" t="str">
        <f t="shared" si="2"/>
        <v>France</v>
      </c>
      <c r="M208" s="1">
        <v>60.0</v>
      </c>
      <c r="N208" s="1" t="s">
        <v>769</v>
      </c>
      <c r="O208" s="1">
        <v>4.0</v>
      </c>
      <c r="P208" s="2">
        <v>42907.0</v>
      </c>
      <c r="R208" s="1">
        <v>0.0</v>
      </c>
      <c r="S208" s="1" t="s">
        <v>61</v>
      </c>
      <c r="T208" s="1" t="s">
        <v>62</v>
      </c>
      <c r="U208" s="1" t="s">
        <v>2177</v>
      </c>
      <c r="X208" s="1" t="s">
        <v>2178</v>
      </c>
      <c r="Y208" s="1">
        <v>89.0</v>
      </c>
      <c r="Z208" s="3" t="s">
        <v>2179</v>
      </c>
      <c r="AA208" s="1">
        <v>2960.0</v>
      </c>
      <c r="AB208" s="1" t="s">
        <v>2180</v>
      </c>
      <c r="AC208" s="3" t="s">
        <v>2181</v>
      </c>
      <c r="AD208" s="3" t="s">
        <v>2182</v>
      </c>
      <c r="AE208" s="1">
        <v>2.0</v>
      </c>
      <c r="AF208" s="1" t="s">
        <v>2183</v>
      </c>
      <c r="AG208" s="1">
        <v>22.0</v>
      </c>
      <c r="AH208" s="1">
        <v>79.0</v>
      </c>
      <c r="AI208" s="1">
        <v>563.0</v>
      </c>
      <c r="AJ208" s="1">
        <v>269.0</v>
      </c>
      <c r="AK208" s="1">
        <v>112.0</v>
      </c>
      <c r="AL208" s="1">
        <v>93.0</v>
      </c>
      <c r="AM208" s="1">
        <v>308.0</v>
      </c>
      <c r="AN208" s="1">
        <v>22.0</v>
      </c>
      <c r="AO208" s="1">
        <v>0.0</v>
      </c>
      <c r="AP208" s="1">
        <v>0.0</v>
      </c>
      <c r="AQ208" s="1">
        <v>5.0</v>
      </c>
      <c r="AR208" s="1">
        <v>6.0</v>
      </c>
      <c r="AS208" s="1">
        <v>2.0</v>
      </c>
    </row>
    <row r="209" hidden="1">
      <c r="A209" s="1">
        <v>26.0</v>
      </c>
      <c r="B209" s="1" t="s">
        <v>2184</v>
      </c>
      <c r="C209" s="1" t="s">
        <v>2185</v>
      </c>
      <c r="D209" s="1" t="s">
        <v>2186</v>
      </c>
      <c r="E209" s="1" t="s">
        <v>58</v>
      </c>
      <c r="F209" s="2">
        <v>23463.0</v>
      </c>
      <c r="G209" s="1">
        <f t="shared" si="1"/>
        <v>62</v>
      </c>
      <c r="H209" s="1" t="s">
        <v>2187</v>
      </c>
      <c r="I209" s="1" t="str">
        <f>IFERROR(__xludf.DUMMYFUNCTION("SPLIT(left(H209,len(H209)-1),""("")"),"Hayange ")</f>
        <v>Hayange </v>
      </c>
      <c r="J209" s="1" t="str">
        <f>IFERROR(__xludf.DUMMYFUNCTION("""COMPUTED_VALUE"""),"Moselle")</f>
        <v>Moselle</v>
      </c>
      <c r="K209" s="1" t="str">
        <f>IFERROR(__xludf.DUMMYFUNCTION("IF( COUNTA( IFERROR( FILTER('départements_edition'!$C$2:$C$102 , 'départements_edition'!$C$2:$C$102=J209 ) ) ) , ""Oui"" , ""Non"" )"),"Oui")</f>
        <v>Oui</v>
      </c>
      <c r="L209" s="1" t="str">
        <f t="shared" si="2"/>
        <v>France</v>
      </c>
      <c r="M209" s="1">
        <v>67.0</v>
      </c>
      <c r="N209" s="1" t="s">
        <v>244</v>
      </c>
      <c r="O209" s="1">
        <v>4.0</v>
      </c>
      <c r="P209" s="2">
        <v>42907.0</v>
      </c>
      <c r="R209" s="1">
        <v>0.0</v>
      </c>
      <c r="S209" s="1" t="s">
        <v>75</v>
      </c>
      <c r="T209" s="1" t="s">
        <v>76</v>
      </c>
      <c r="U209" s="1" t="s">
        <v>2188</v>
      </c>
      <c r="X209" s="1" t="s">
        <v>2189</v>
      </c>
      <c r="Y209" s="1">
        <v>488.0</v>
      </c>
      <c r="Z209" s="3" t="s">
        <v>2190</v>
      </c>
      <c r="AA209" s="1">
        <v>722268.0</v>
      </c>
      <c r="AB209" s="1" t="s">
        <v>2191</v>
      </c>
      <c r="AC209" s="3" t="s">
        <v>2192</v>
      </c>
      <c r="AD209" s="3" t="s">
        <v>2193</v>
      </c>
      <c r="AE209" s="1">
        <v>1.0</v>
      </c>
      <c r="AF209" s="1" t="s">
        <v>2194</v>
      </c>
      <c r="AG209" s="1">
        <v>22.0</v>
      </c>
      <c r="AH209" s="1">
        <v>45.0</v>
      </c>
      <c r="AI209" s="1">
        <v>24.0</v>
      </c>
      <c r="AJ209" s="1">
        <v>30.0</v>
      </c>
      <c r="AK209" s="1">
        <v>6.0</v>
      </c>
      <c r="AL209" s="1">
        <v>2.0</v>
      </c>
      <c r="AM209" s="1">
        <v>83.0</v>
      </c>
      <c r="AN209" s="1">
        <v>32.0</v>
      </c>
      <c r="AO209" s="1">
        <v>0.0</v>
      </c>
      <c r="AP209" s="1">
        <v>0.0</v>
      </c>
      <c r="AQ209" s="1">
        <v>7.0</v>
      </c>
      <c r="AR209" s="1">
        <v>8.0</v>
      </c>
      <c r="AS209" s="1">
        <v>2.0</v>
      </c>
    </row>
    <row r="210" hidden="1">
      <c r="A210" s="1">
        <v>31.0</v>
      </c>
      <c r="B210" s="1" t="s">
        <v>2195</v>
      </c>
      <c r="C210" s="1" t="s">
        <v>2196</v>
      </c>
      <c r="D210" s="1" t="s">
        <v>2197</v>
      </c>
      <c r="E210" s="1" t="s">
        <v>43</v>
      </c>
      <c r="F210" s="2">
        <v>32300.0</v>
      </c>
      <c r="G210" s="1">
        <f t="shared" si="1"/>
        <v>38</v>
      </c>
      <c r="H210" s="1" t="s">
        <v>718</v>
      </c>
      <c r="I210" s="1" t="str">
        <f>IFERROR(__xludf.DUMMYFUNCTION("SPLIT(left(H210,len(H210)-1),""("")"),"Marseille ")</f>
        <v>Marseille </v>
      </c>
      <c r="J210" s="1" t="str">
        <f>IFERROR(__xludf.DUMMYFUNCTION("""COMPUTED_VALUE"""),"Bouches-du-Rhône")</f>
        <v>Bouches-du-Rhône</v>
      </c>
      <c r="K210" s="1" t="str">
        <f>IFERROR(__xludf.DUMMYFUNCTION("IF( COUNTA( IFERROR( FILTER('départements_edition'!$C$2:$C$102 , 'départements_edition'!$C$2:$C$102=J210 ) ) ) , ""Oui"" , ""Non"" )"),"Oui")</f>
        <v>Oui</v>
      </c>
      <c r="L210" s="1" t="str">
        <f t="shared" si="2"/>
        <v>France</v>
      </c>
      <c r="M210" s="1">
        <v>13.0</v>
      </c>
      <c r="N210" s="1" t="s">
        <v>279</v>
      </c>
      <c r="O210" s="1">
        <v>8.0</v>
      </c>
      <c r="P210" s="2">
        <v>42907.0</v>
      </c>
      <c r="R210" s="1">
        <v>0.0</v>
      </c>
      <c r="S210" s="1" t="s">
        <v>75</v>
      </c>
      <c r="T210" s="1" t="s">
        <v>76</v>
      </c>
      <c r="U210" s="1" t="s">
        <v>2198</v>
      </c>
      <c r="X210" s="1" t="s">
        <v>162</v>
      </c>
      <c r="Y210" s="1">
        <v>305.0</v>
      </c>
      <c r="Z210" s="3" t="s">
        <v>2199</v>
      </c>
      <c r="AA210" s="1">
        <v>718962.0</v>
      </c>
      <c r="AB210" s="1" t="s">
        <v>2200</v>
      </c>
      <c r="AC210" s="3" t="s">
        <v>2201</v>
      </c>
      <c r="AD210" s="3" t="s">
        <v>2202</v>
      </c>
      <c r="AE210" s="1">
        <v>1.0</v>
      </c>
      <c r="AF210" s="1" t="s">
        <v>2203</v>
      </c>
      <c r="AG210" s="1">
        <v>22.0</v>
      </c>
      <c r="AH210" s="1">
        <v>41.0</v>
      </c>
      <c r="AI210" s="1">
        <v>34.0</v>
      </c>
      <c r="AJ210" s="1">
        <v>41.0</v>
      </c>
      <c r="AK210" s="1">
        <v>16.0</v>
      </c>
      <c r="AL210" s="1">
        <v>33.0</v>
      </c>
      <c r="AM210" s="1">
        <v>142.0</v>
      </c>
      <c r="AN210" s="1">
        <v>75.0</v>
      </c>
      <c r="AO210" s="1">
        <v>2.0</v>
      </c>
      <c r="AP210" s="1">
        <v>0.0</v>
      </c>
      <c r="AQ210" s="1">
        <v>6.0</v>
      </c>
      <c r="AR210" s="1">
        <v>13.0</v>
      </c>
      <c r="AS210" s="1">
        <v>1.0</v>
      </c>
    </row>
    <row r="211">
      <c r="A211" s="1">
        <v>441.0</v>
      </c>
      <c r="B211" s="1" t="s">
        <v>2214</v>
      </c>
      <c r="C211" s="1" t="s">
        <v>2215</v>
      </c>
      <c r="D211" s="1" t="s">
        <v>2216</v>
      </c>
      <c r="E211" s="1" t="s">
        <v>43</v>
      </c>
      <c r="F211" s="2">
        <v>31718.0</v>
      </c>
      <c r="G211" s="1">
        <f t="shared" si="1"/>
        <v>39</v>
      </c>
      <c r="H211" s="1" t="s">
        <v>2217</v>
      </c>
      <c r="I211" s="1" t="str">
        <f>IFERROR(__xludf.DUMMYFUNCTION("SPLIT(left(H211,len(H211)-1),""("")"),"Paris 16 ")</f>
        <v>Paris 16 </v>
      </c>
      <c r="J211" s="1" t="str">
        <f>IFERROR(__xludf.DUMMYFUNCTION("""COMPUTED_VALUE"""),"Paris")</f>
        <v>Paris</v>
      </c>
      <c r="K211" s="1" t="str">
        <f>IFERROR(__xludf.DUMMYFUNCTION("IF( COUNTA( IFERROR( FILTER('départements_edition'!$C$2:$C$102 , 'départements_edition'!$C$2:$C$102=J211 ) ) ) , ""Oui"" , ""Non"" )"),"Oui")</f>
        <v>Oui</v>
      </c>
      <c r="L211" s="1" t="str">
        <f t="shared" si="2"/>
        <v>France</v>
      </c>
      <c r="M211" s="1">
        <v>999.0</v>
      </c>
      <c r="N211" s="1" t="s">
        <v>256</v>
      </c>
      <c r="O211" s="1">
        <v>4.0</v>
      </c>
      <c r="P211" s="2">
        <v>42907.0</v>
      </c>
      <c r="R211" s="1">
        <v>0.0</v>
      </c>
      <c r="S211" s="1" t="s">
        <v>75</v>
      </c>
      <c r="T211" s="1" t="s">
        <v>76</v>
      </c>
      <c r="U211" s="1" t="s">
        <v>2218</v>
      </c>
      <c r="X211" s="1" t="s">
        <v>2219</v>
      </c>
      <c r="Y211" s="1">
        <v>227.0</v>
      </c>
      <c r="Z211" s="3" t="s">
        <v>2220</v>
      </c>
      <c r="AA211" s="1">
        <v>721158.0</v>
      </c>
      <c r="AB211" s="1" t="s">
        <v>2221</v>
      </c>
      <c r="AC211" s="3" t="s">
        <v>2222</v>
      </c>
      <c r="AD211" s="3" t="s">
        <v>2223</v>
      </c>
      <c r="AE211" s="1">
        <v>1.0</v>
      </c>
      <c r="AF211" s="1" t="s">
        <v>2224</v>
      </c>
      <c r="AG211" s="1">
        <v>21.0</v>
      </c>
      <c r="AH211" s="1">
        <v>48.0</v>
      </c>
      <c r="AI211" s="1">
        <v>26.0</v>
      </c>
      <c r="AJ211" s="1">
        <v>2.0</v>
      </c>
      <c r="AK211" s="1">
        <v>1.0</v>
      </c>
      <c r="AL211" s="1">
        <v>0.0</v>
      </c>
      <c r="AM211" s="1">
        <v>15.0</v>
      </c>
      <c r="AN211" s="1">
        <v>6.0</v>
      </c>
      <c r="AO211" s="1">
        <v>1.0</v>
      </c>
      <c r="AP211" s="1">
        <v>0.0</v>
      </c>
      <c r="AQ211" s="1">
        <v>5.0</v>
      </c>
      <c r="AR211" s="1">
        <v>5.0</v>
      </c>
      <c r="AS211" s="1">
        <v>0.0</v>
      </c>
    </row>
    <row r="212" hidden="1">
      <c r="A212" s="1">
        <v>500.0</v>
      </c>
      <c r="B212" s="1" t="s">
        <v>2225</v>
      </c>
      <c r="C212" s="1" t="s">
        <v>2226</v>
      </c>
      <c r="D212" s="1" t="s">
        <v>738</v>
      </c>
      <c r="E212" s="1" t="s">
        <v>58</v>
      </c>
      <c r="F212" s="2">
        <v>26746.0</v>
      </c>
      <c r="G212" s="1">
        <f t="shared" si="1"/>
        <v>53</v>
      </c>
      <c r="H212" s="1" t="s">
        <v>2227</v>
      </c>
      <c r="I212" s="1" t="str">
        <f>IFERROR(__xludf.DUMMYFUNCTION("SPLIT(left(H212,len(H212)-1),""("")"),"Paris 12ème ")</f>
        <v>Paris 12ème </v>
      </c>
      <c r="J212" s="1" t="str">
        <f>IFERROR(__xludf.DUMMYFUNCTION("""COMPUTED_VALUE"""),"Paris")</f>
        <v>Paris</v>
      </c>
      <c r="K212" s="1" t="str">
        <f>IFERROR(__xludf.DUMMYFUNCTION("IF( COUNTA( IFERROR( FILTER('départements_edition'!$C$2:$C$102 , 'départements_edition'!$C$2:$C$102=J212 ) ) ) , ""Oui"" , ""Non"" )"),"Oui")</f>
        <v>Oui</v>
      </c>
      <c r="L212" s="1" t="str">
        <f t="shared" si="2"/>
        <v>France</v>
      </c>
      <c r="M212" s="1">
        <v>79.0</v>
      </c>
      <c r="N212" s="1" t="s">
        <v>2228</v>
      </c>
      <c r="O212" s="1">
        <v>2.0</v>
      </c>
      <c r="P212" s="2">
        <v>42907.0</v>
      </c>
      <c r="R212" s="1">
        <v>0.0</v>
      </c>
      <c r="S212" s="1" t="s">
        <v>115</v>
      </c>
      <c r="T212" s="1" t="s">
        <v>116</v>
      </c>
      <c r="U212" s="1" t="s">
        <v>2229</v>
      </c>
      <c r="X212" s="1" t="s">
        <v>90</v>
      </c>
      <c r="Y212" s="1">
        <v>500.0</v>
      </c>
      <c r="Z212" s="3" t="s">
        <v>2230</v>
      </c>
      <c r="AA212" s="1">
        <v>335999.0</v>
      </c>
      <c r="AB212" s="1" t="s">
        <v>2231</v>
      </c>
      <c r="AC212" s="3" t="s">
        <v>2232</v>
      </c>
      <c r="AD212" s="3" t="s">
        <v>2233</v>
      </c>
      <c r="AE212" s="1">
        <v>1.0</v>
      </c>
      <c r="AF212" s="1" t="s">
        <v>2234</v>
      </c>
      <c r="AG212" s="1">
        <v>21.0</v>
      </c>
      <c r="AH212" s="1">
        <v>40.0</v>
      </c>
      <c r="AI212" s="1">
        <v>126.0</v>
      </c>
      <c r="AJ212" s="1">
        <v>174.0</v>
      </c>
      <c r="AK212" s="1">
        <v>146.0</v>
      </c>
      <c r="AL212" s="1">
        <v>151.0</v>
      </c>
      <c r="AM212" s="1">
        <v>1144.0</v>
      </c>
      <c r="AN212" s="1">
        <v>89.0</v>
      </c>
      <c r="AO212" s="1">
        <v>0.0</v>
      </c>
      <c r="AP212" s="1">
        <v>0.0</v>
      </c>
      <c r="AQ212" s="1">
        <v>7.0</v>
      </c>
      <c r="AR212" s="1">
        <v>7.0</v>
      </c>
      <c r="AS212" s="1">
        <v>1.0</v>
      </c>
    </row>
    <row r="213" hidden="1">
      <c r="A213" s="1">
        <v>387.0</v>
      </c>
      <c r="B213" s="1" t="s">
        <v>2235</v>
      </c>
      <c r="C213" s="1" t="s">
        <v>2236</v>
      </c>
      <c r="D213" s="1" t="s">
        <v>717</v>
      </c>
      <c r="E213" s="1" t="s">
        <v>43</v>
      </c>
      <c r="F213" s="2">
        <v>28977.0</v>
      </c>
      <c r="G213" s="1">
        <f t="shared" si="1"/>
        <v>47</v>
      </c>
      <c r="H213" s="1" t="s">
        <v>2237</v>
      </c>
      <c r="I213" s="1" t="str">
        <f>IFERROR(__xludf.DUMMYFUNCTION("SPLIT(left(H213,len(H213)-1),""("")"),"Montbrison ")</f>
        <v>Montbrison </v>
      </c>
      <c r="J213" s="1" t="str">
        <f>IFERROR(__xludf.DUMMYFUNCTION("""COMPUTED_VALUE"""),"Loire")</f>
        <v>Loire</v>
      </c>
      <c r="K213" s="1" t="str">
        <f>IFERROR(__xludf.DUMMYFUNCTION("IF( COUNTA( IFERROR( FILTER('départements_edition'!$C$2:$C$102 , 'départements_edition'!$C$2:$C$102=J213 ) ) ) , ""Oui"" , ""Non"" )"),"Oui")</f>
        <v>Oui</v>
      </c>
      <c r="L213" s="1" t="str">
        <f t="shared" si="2"/>
        <v>France</v>
      </c>
      <c r="M213" s="1">
        <v>42.0</v>
      </c>
      <c r="N213" s="1" t="s">
        <v>536</v>
      </c>
      <c r="O213" s="1">
        <v>6.0</v>
      </c>
      <c r="P213" s="2">
        <v>42907.0</v>
      </c>
      <c r="R213" s="1">
        <v>0.0</v>
      </c>
      <c r="S213" s="1" t="s">
        <v>75</v>
      </c>
      <c r="T213" s="1" t="s">
        <v>76</v>
      </c>
      <c r="U213" s="1" t="s">
        <v>2238</v>
      </c>
      <c r="X213" s="1" t="s">
        <v>151</v>
      </c>
      <c r="Y213" s="1">
        <v>387.0</v>
      </c>
      <c r="Z213" s="3" t="s">
        <v>2239</v>
      </c>
      <c r="AA213" s="1">
        <v>719980.0</v>
      </c>
      <c r="AB213" s="1" t="s">
        <v>2240</v>
      </c>
      <c r="AC213" s="3" t="s">
        <v>2241</v>
      </c>
      <c r="AD213" s="3" t="s">
        <v>2242</v>
      </c>
      <c r="AE213" s="1">
        <v>1.0</v>
      </c>
      <c r="AF213" s="1" t="s">
        <v>2243</v>
      </c>
      <c r="AG213" s="1">
        <v>21.0</v>
      </c>
      <c r="AH213" s="1">
        <v>43.0</v>
      </c>
      <c r="AI213" s="1">
        <v>22.0</v>
      </c>
      <c r="AJ213" s="1">
        <v>22.0</v>
      </c>
      <c r="AK213" s="1">
        <v>4.0</v>
      </c>
      <c r="AL213" s="1">
        <v>0.0</v>
      </c>
      <c r="AM213" s="1">
        <v>58.0</v>
      </c>
      <c r="AN213" s="1">
        <v>25.0</v>
      </c>
      <c r="AO213" s="1">
        <v>0.0</v>
      </c>
      <c r="AP213" s="1">
        <v>0.0</v>
      </c>
      <c r="AQ213" s="1">
        <v>7.0</v>
      </c>
      <c r="AR213" s="1">
        <v>11.0</v>
      </c>
      <c r="AS213" s="1">
        <v>0.0</v>
      </c>
    </row>
    <row r="214" hidden="1">
      <c r="A214" s="1">
        <v>64.0</v>
      </c>
      <c r="B214" s="1" t="s">
        <v>2244</v>
      </c>
      <c r="C214" s="1" t="s">
        <v>2245</v>
      </c>
      <c r="D214" s="1" t="s">
        <v>2246</v>
      </c>
      <c r="E214" s="1" t="s">
        <v>43</v>
      </c>
      <c r="F214" s="2">
        <v>26929.0</v>
      </c>
      <c r="G214" s="1">
        <f t="shared" si="1"/>
        <v>52</v>
      </c>
      <c r="H214" s="1" t="s">
        <v>2247</v>
      </c>
      <c r="I214" s="1" t="str">
        <f>IFERROR(__xludf.DUMMYFUNCTION("SPLIT(left(H214,len(H214)-1),""("")"),"Sainte-Foy-la-Grande ")</f>
        <v>Sainte-Foy-la-Grande </v>
      </c>
      <c r="J214" s="1" t="str">
        <f>IFERROR(__xludf.DUMMYFUNCTION("""COMPUTED_VALUE"""),"Gironde")</f>
        <v>Gironde</v>
      </c>
      <c r="K214" s="1" t="str">
        <f>IFERROR(__xludf.DUMMYFUNCTION("IF( COUNTA( IFERROR( FILTER('départements_edition'!$C$2:$C$102 , 'départements_edition'!$C$2:$C$102=J214 ) ) ) , ""Oui"" , ""Non"" )"),"Oui")</f>
        <v>Oui</v>
      </c>
      <c r="L214" s="1" t="str">
        <f t="shared" si="2"/>
        <v>France</v>
      </c>
      <c r="M214" s="1">
        <v>33.0</v>
      </c>
      <c r="N214" s="1" t="s">
        <v>348</v>
      </c>
      <c r="O214" s="1">
        <v>10.0</v>
      </c>
      <c r="P214" s="2">
        <v>42907.0</v>
      </c>
      <c r="R214" s="1">
        <v>0.0</v>
      </c>
      <c r="S214" s="1" t="s">
        <v>75</v>
      </c>
      <c r="T214" s="1" t="s">
        <v>76</v>
      </c>
      <c r="U214" s="1" t="s">
        <v>2248</v>
      </c>
      <c r="X214" s="1" t="s">
        <v>2249</v>
      </c>
      <c r="Y214" s="1">
        <v>233.0</v>
      </c>
      <c r="Z214" s="3" t="s">
        <v>2250</v>
      </c>
      <c r="AA214" s="1">
        <v>606507.0</v>
      </c>
      <c r="AB214" s="1" t="s">
        <v>2251</v>
      </c>
      <c r="AC214" s="3" t="s">
        <v>2252</v>
      </c>
      <c r="AD214" s="3" t="s">
        <v>2253</v>
      </c>
      <c r="AE214" s="1">
        <v>1.0</v>
      </c>
      <c r="AF214" s="1" t="s">
        <v>2254</v>
      </c>
      <c r="AG214" s="1">
        <v>21.0</v>
      </c>
      <c r="AH214" s="1">
        <v>37.0</v>
      </c>
      <c r="AI214" s="1">
        <v>6.0</v>
      </c>
      <c r="AJ214" s="1">
        <v>10.0</v>
      </c>
      <c r="AK214" s="1">
        <v>1.0</v>
      </c>
      <c r="AL214" s="1">
        <v>1.0</v>
      </c>
      <c r="AM214" s="1">
        <v>33.0</v>
      </c>
      <c r="AN214" s="1">
        <v>14.0</v>
      </c>
      <c r="AO214" s="1">
        <v>0.0</v>
      </c>
      <c r="AP214" s="1">
        <v>0.0</v>
      </c>
      <c r="AQ214" s="1">
        <v>5.0</v>
      </c>
      <c r="AR214" s="1">
        <v>7.0</v>
      </c>
      <c r="AS214" s="1">
        <v>2.0</v>
      </c>
    </row>
    <row r="215" hidden="1">
      <c r="A215" s="1">
        <v>334.0</v>
      </c>
      <c r="B215" s="1" t="s">
        <v>2255</v>
      </c>
      <c r="C215" s="1" t="s">
        <v>2256</v>
      </c>
      <c r="D215" s="1" t="s">
        <v>2257</v>
      </c>
      <c r="E215" s="1" t="s">
        <v>43</v>
      </c>
      <c r="F215" s="2">
        <v>28368.0</v>
      </c>
      <c r="G215" s="1">
        <f t="shared" si="1"/>
        <v>48</v>
      </c>
      <c r="H215" s="1" t="s">
        <v>2258</v>
      </c>
      <c r="I215" s="1" t="str">
        <f>IFERROR(__xludf.DUMMYFUNCTION("SPLIT(left(H215,len(H215)-1),""("")"),"Riom-Ès-Montagne ")</f>
        <v>Riom-Ès-Montagne </v>
      </c>
      <c r="J215" s="1" t="str">
        <f>IFERROR(__xludf.DUMMYFUNCTION("""COMPUTED_VALUE"""),"Cantal")</f>
        <v>Cantal</v>
      </c>
      <c r="K215" s="1" t="str">
        <f>IFERROR(__xludf.DUMMYFUNCTION("IF( COUNTA( IFERROR( FILTER('départements_edition'!$C$2:$C$102 , 'départements_edition'!$C$2:$C$102=J215 ) ) ) , ""Oui"" , ""Non"" )"),"Oui")</f>
        <v>Oui</v>
      </c>
      <c r="L215" s="1" t="str">
        <f t="shared" si="2"/>
        <v>France</v>
      </c>
      <c r="M215" s="1">
        <v>75.0</v>
      </c>
      <c r="N215" s="1" t="s">
        <v>232</v>
      </c>
      <c r="O215" s="1">
        <v>18.0</v>
      </c>
      <c r="P215" s="2">
        <v>42907.0</v>
      </c>
      <c r="R215" s="1">
        <v>0.0</v>
      </c>
      <c r="S215" s="1" t="s">
        <v>46</v>
      </c>
      <c r="T215" s="1" t="s">
        <v>47</v>
      </c>
      <c r="U215" s="1" t="s">
        <v>2259</v>
      </c>
      <c r="X215" s="1" t="s">
        <v>2260</v>
      </c>
      <c r="Y215" s="1">
        <v>146.0</v>
      </c>
      <c r="Z215" s="3" t="s">
        <v>2261</v>
      </c>
      <c r="AA215" s="1">
        <v>722030.0</v>
      </c>
      <c r="AB215" s="1" t="s">
        <v>2262</v>
      </c>
      <c r="AC215" s="3" t="s">
        <v>2263</v>
      </c>
      <c r="AD215" s="3" t="s">
        <v>2264</v>
      </c>
      <c r="AE215" s="1">
        <v>2.0</v>
      </c>
      <c r="AF215" s="1" t="s">
        <v>2265</v>
      </c>
      <c r="AG215" s="1">
        <v>21.0</v>
      </c>
      <c r="AH215" s="1">
        <v>30.0</v>
      </c>
      <c r="AI215" s="1">
        <v>35.0</v>
      </c>
      <c r="AJ215" s="1">
        <v>66.0</v>
      </c>
      <c r="AK215" s="1">
        <v>15.0</v>
      </c>
      <c r="AL215" s="1">
        <v>21.0</v>
      </c>
      <c r="AM215" s="1">
        <v>453.0</v>
      </c>
      <c r="AN215" s="1">
        <v>25.0</v>
      </c>
      <c r="AO215" s="1">
        <v>1.0</v>
      </c>
      <c r="AP215" s="1">
        <v>0.0</v>
      </c>
      <c r="AQ215" s="1">
        <v>6.0</v>
      </c>
      <c r="AR215" s="1">
        <v>13.0</v>
      </c>
      <c r="AS215" s="1">
        <v>5.0</v>
      </c>
    </row>
    <row r="216" hidden="1">
      <c r="A216" s="1">
        <v>512.0</v>
      </c>
      <c r="B216" s="1" t="s">
        <v>2266</v>
      </c>
      <c r="C216" s="1" t="s">
        <v>2267</v>
      </c>
      <c r="D216" s="1" t="s">
        <v>1135</v>
      </c>
      <c r="E216" s="1" t="s">
        <v>43</v>
      </c>
      <c r="F216" s="2">
        <v>24930.0</v>
      </c>
      <c r="G216" s="1">
        <f t="shared" si="1"/>
        <v>58</v>
      </c>
      <c r="H216" s="1" t="s">
        <v>2268</v>
      </c>
      <c r="I216" s="1" t="str">
        <f>IFERROR(__xludf.DUMMYFUNCTION("SPLIT(left(H216,len(H216)-1),""("")"),"Avignon ")</f>
        <v>Avignon </v>
      </c>
      <c r="J216" s="1" t="str">
        <f>IFERROR(__xludf.DUMMYFUNCTION("""COMPUTED_VALUE"""),"Vaucluse")</f>
        <v>Vaucluse</v>
      </c>
      <c r="K216" s="1" t="str">
        <f>IFERROR(__xludf.DUMMYFUNCTION("IF( COUNTA( IFERROR( FILTER('départements_edition'!$C$2:$C$102 , 'départements_edition'!$C$2:$C$102=J216 ) ) ) , ""Oui"" , ""Non"" )"),"Oui")</f>
        <v>Oui</v>
      </c>
      <c r="L216" s="1" t="str">
        <f t="shared" si="2"/>
        <v>France</v>
      </c>
      <c r="M216" s="1">
        <v>7.0</v>
      </c>
      <c r="N216" s="1" t="s">
        <v>2269</v>
      </c>
      <c r="O216" s="1">
        <v>3.0</v>
      </c>
      <c r="P216" s="2">
        <v>42907.0</v>
      </c>
      <c r="R216" s="1">
        <v>0.0</v>
      </c>
      <c r="S216" s="1" t="s">
        <v>61</v>
      </c>
      <c r="T216" s="1" t="s">
        <v>62</v>
      </c>
      <c r="U216" s="1" t="s">
        <v>2270</v>
      </c>
      <c r="X216" s="1" t="s">
        <v>198</v>
      </c>
      <c r="Y216" s="1">
        <v>137.0</v>
      </c>
      <c r="Z216" s="3" t="s">
        <v>2271</v>
      </c>
      <c r="AA216" s="1">
        <v>718838.0</v>
      </c>
      <c r="AB216" s="1" t="s">
        <v>2272</v>
      </c>
      <c r="AC216" s="3" t="s">
        <v>2273</v>
      </c>
      <c r="AD216" s="3" t="s">
        <v>2274</v>
      </c>
      <c r="AE216" s="1">
        <v>1.0</v>
      </c>
      <c r="AF216" s="1" t="s">
        <v>2275</v>
      </c>
      <c r="AG216" s="1">
        <v>21.0</v>
      </c>
      <c r="AH216" s="1">
        <v>36.0</v>
      </c>
      <c r="AI216" s="1">
        <v>81.0</v>
      </c>
      <c r="AJ216" s="1">
        <v>119.0</v>
      </c>
      <c r="AK216" s="1">
        <v>85.0</v>
      </c>
      <c r="AL216" s="1">
        <v>157.0</v>
      </c>
      <c r="AM216" s="1">
        <v>1656.0</v>
      </c>
      <c r="AN216" s="1">
        <v>50.0</v>
      </c>
      <c r="AO216" s="1">
        <v>2.0</v>
      </c>
      <c r="AP216" s="1">
        <v>12.0</v>
      </c>
      <c r="AQ216" s="1">
        <v>97.0</v>
      </c>
      <c r="AR216" s="1">
        <v>33.0</v>
      </c>
      <c r="AS216" s="1">
        <v>3.0</v>
      </c>
    </row>
    <row r="217" hidden="1">
      <c r="A217" s="1">
        <v>407.0</v>
      </c>
      <c r="B217" s="1" t="s">
        <v>2276</v>
      </c>
      <c r="C217" s="1" t="s">
        <v>2277</v>
      </c>
      <c r="D217" s="1" t="s">
        <v>916</v>
      </c>
      <c r="E217" s="1" t="s">
        <v>43</v>
      </c>
      <c r="F217" s="2">
        <v>19060.0</v>
      </c>
      <c r="G217" s="1">
        <f t="shared" si="1"/>
        <v>74</v>
      </c>
      <c r="H217" s="1" t="s">
        <v>2278</v>
      </c>
      <c r="I217" s="1" t="str">
        <f>IFERROR(__xludf.DUMMYFUNCTION("SPLIT(left(H217,len(H217)-1),""("")"),"Tourcoing ")</f>
        <v>Tourcoing </v>
      </c>
      <c r="J217" s="1" t="str">
        <f>IFERROR(__xludf.DUMMYFUNCTION("""COMPUTED_VALUE"""),"Nord")</f>
        <v>Nord</v>
      </c>
      <c r="K217" s="1" t="str">
        <f>IFERROR(__xludf.DUMMYFUNCTION("IF( COUNTA( IFERROR( FILTER('départements_edition'!$C$2:$C$102 , 'départements_edition'!$C$2:$C$102=J217 ) ) ) , ""Oui"" , ""Non"" )"),"Oui")</f>
        <v>Oui</v>
      </c>
      <c r="L217" s="1" t="str">
        <f t="shared" si="2"/>
        <v>France</v>
      </c>
      <c r="M217" s="1">
        <v>59.0</v>
      </c>
      <c r="N217" s="1" t="s">
        <v>172</v>
      </c>
      <c r="O217" s="1">
        <v>16.0</v>
      </c>
      <c r="P217" s="2">
        <v>42907.0</v>
      </c>
      <c r="R217" s="1">
        <v>0.0</v>
      </c>
      <c r="S217" s="1" t="s">
        <v>101</v>
      </c>
      <c r="T217" s="1" t="s">
        <v>102</v>
      </c>
      <c r="U217" s="3" t="s">
        <v>2279</v>
      </c>
      <c r="X217" s="1" t="s">
        <v>2280</v>
      </c>
      <c r="Y217" s="1">
        <v>586.0</v>
      </c>
      <c r="Z217" s="3" t="s">
        <v>2281</v>
      </c>
      <c r="AA217" s="1">
        <v>720546.0</v>
      </c>
      <c r="AB217" s="1" t="s">
        <v>2282</v>
      </c>
      <c r="AC217" s="3" t="s">
        <v>2283</v>
      </c>
      <c r="AD217" s="3" t="s">
        <v>2284</v>
      </c>
      <c r="AE217" s="1">
        <v>1.0</v>
      </c>
      <c r="AF217" s="1" t="s">
        <v>2285</v>
      </c>
      <c r="AG217" s="1">
        <v>21.0</v>
      </c>
      <c r="AH217" s="1">
        <v>29.0</v>
      </c>
      <c r="AI217" s="1">
        <v>35.0</v>
      </c>
      <c r="AJ217" s="1">
        <v>116.0</v>
      </c>
      <c r="AK217" s="1">
        <v>68.0</v>
      </c>
      <c r="AL217" s="1">
        <v>26.0</v>
      </c>
      <c r="AM217" s="1">
        <v>668.0</v>
      </c>
      <c r="AN217" s="1">
        <v>25.0</v>
      </c>
      <c r="AO217" s="1">
        <v>0.0</v>
      </c>
      <c r="AP217" s="1">
        <v>1.0</v>
      </c>
      <c r="AQ217" s="1">
        <v>19.0</v>
      </c>
      <c r="AR217" s="1">
        <v>16.0</v>
      </c>
      <c r="AS217" s="1">
        <v>6.0</v>
      </c>
    </row>
    <row r="218" hidden="1">
      <c r="A218" s="1">
        <v>289.0</v>
      </c>
      <c r="B218" s="1" t="s">
        <v>2286</v>
      </c>
      <c r="C218" s="1" t="s">
        <v>2287</v>
      </c>
      <c r="D218" s="1" t="s">
        <v>866</v>
      </c>
      <c r="E218" s="1" t="s">
        <v>43</v>
      </c>
      <c r="F218" s="2">
        <v>21166.0</v>
      </c>
      <c r="G218" s="1">
        <f t="shared" si="1"/>
        <v>68</v>
      </c>
      <c r="H218" s="1" t="s">
        <v>404</v>
      </c>
      <c r="I218" s="1" t="str">
        <f>IFERROR(__xludf.DUMMYFUNCTION("SPLIT(left(H218,len(H218)-1),""("")"),"Toulouse ")</f>
        <v>Toulouse </v>
      </c>
      <c r="J218" s="1" t="str">
        <f>IFERROR(__xludf.DUMMYFUNCTION("""COMPUTED_VALUE"""),"Haute-Garonne")</f>
        <v>Haute-Garonne</v>
      </c>
      <c r="K218" s="1" t="str">
        <f>IFERROR(__xludf.DUMMYFUNCTION("IF( COUNTA( IFERROR( FILTER('départements_edition'!$C$2:$C$102 , 'départements_edition'!$C$2:$C$102=J218 ) ) ) , ""Oui"" , ""Non"" )"),"Oui")</f>
        <v>Oui</v>
      </c>
      <c r="L218" s="1" t="str">
        <f t="shared" si="2"/>
        <v>France</v>
      </c>
      <c r="M218" s="1">
        <v>31.0</v>
      </c>
      <c r="N218" s="1" t="s">
        <v>360</v>
      </c>
      <c r="O218" s="1">
        <v>1.0</v>
      </c>
      <c r="P218" s="2">
        <v>42907.0</v>
      </c>
      <c r="R218" s="1">
        <v>0.0</v>
      </c>
      <c r="S218" s="1" t="s">
        <v>75</v>
      </c>
      <c r="T218" s="1" t="s">
        <v>76</v>
      </c>
      <c r="U218" s="1" t="s">
        <v>2288</v>
      </c>
      <c r="X218" s="1" t="s">
        <v>2289</v>
      </c>
      <c r="Y218" s="1">
        <v>637.0</v>
      </c>
      <c r="Z218" s="3" t="s">
        <v>2290</v>
      </c>
      <c r="AA218" s="1">
        <v>719496.0</v>
      </c>
      <c r="AB218" s="1" t="s">
        <v>2291</v>
      </c>
      <c r="AC218" s="3" t="s">
        <v>2292</v>
      </c>
      <c r="AD218" s="3" t="s">
        <v>2293</v>
      </c>
      <c r="AE218" s="1">
        <v>1.0</v>
      </c>
      <c r="AF218" s="1" t="s">
        <v>2294</v>
      </c>
      <c r="AG218" s="1">
        <v>21.0</v>
      </c>
      <c r="AH218" s="1">
        <v>47.0</v>
      </c>
      <c r="AI218" s="1">
        <v>10.0</v>
      </c>
      <c r="AJ218" s="1">
        <v>18.0</v>
      </c>
      <c r="AK218" s="1">
        <v>0.0</v>
      </c>
      <c r="AL218" s="1">
        <v>0.0</v>
      </c>
      <c r="AM218" s="1">
        <v>15.0</v>
      </c>
      <c r="AN218" s="1">
        <v>7.0</v>
      </c>
      <c r="AO218" s="1">
        <v>0.0</v>
      </c>
      <c r="AP218" s="1">
        <v>0.0</v>
      </c>
      <c r="AQ218" s="1">
        <v>5.0</v>
      </c>
      <c r="AR218" s="1">
        <v>1.0</v>
      </c>
      <c r="AS218" s="1">
        <v>2.0</v>
      </c>
    </row>
    <row r="219" hidden="1">
      <c r="A219" s="1">
        <v>465.0</v>
      </c>
      <c r="B219" s="1" t="s">
        <v>2295</v>
      </c>
      <c r="C219" s="1" t="s">
        <v>2296</v>
      </c>
      <c r="D219" s="1" t="s">
        <v>2297</v>
      </c>
      <c r="E219" s="1" t="s">
        <v>43</v>
      </c>
      <c r="F219" s="2">
        <v>27546.0</v>
      </c>
      <c r="G219" s="1">
        <f t="shared" si="1"/>
        <v>51</v>
      </c>
      <c r="H219" s="1" t="s">
        <v>2298</v>
      </c>
      <c r="I219" s="1" t="str">
        <f>IFERROR(__xludf.DUMMYFUNCTION("SPLIT(left(H219,len(H219)-1),""("")"),"Pierrelatte ")</f>
        <v>Pierrelatte </v>
      </c>
      <c r="J219" s="1" t="str">
        <f>IFERROR(__xludf.DUMMYFUNCTION("""COMPUTED_VALUE"""),"Drôme")</f>
        <v>Drôme</v>
      </c>
      <c r="K219" s="1" t="str">
        <f>IFERROR(__xludf.DUMMYFUNCTION("IF( COUNTA( IFERROR( FILTER('départements_edition'!$C$2:$C$102 , 'départements_edition'!$C$2:$C$102=J219 ) ) ) , ""Oui"" , ""Non"" )"),"Oui")</f>
        <v>Oui</v>
      </c>
      <c r="L219" s="1" t="str">
        <f t="shared" si="2"/>
        <v>France</v>
      </c>
      <c r="M219" s="1">
        <v>30.0</v>
      </c>
      <c r="N219" s="1" t="s">
        <v>1751</v>
      </c>
      <c r="O219" s="1">
        <v>3.0</v>
      </c>
      <c r="P219" s="2">
        <v>42907.0</v>
      </c>
      <c r="R219" s="1">
        <v>0.0</v>
      </c>
      <c r="S219" s="1" t="s">
        <v>75</v>
      </c>
      <c r="T219" s="1" t="s">
        <v>76</v>
      </c>
      <c r="U219" s="1" t="s">
        <v>2299</v>
      </c>
      <c r="X219" s="1" t="s">
        <v>162</v>
      </c>
      <c r="Y219" s="1">
        <v>615.0</v>
      </c>
      <c r="Z219" s="3" t="s">
        <v>2300</v>
      </c>
      <c r="AA219" s="1">
        <v>719440.0</v>
      </c>
      <c r="AB219" s="1" t="s">
        <v>2301</v>
      </c>
      <c r="AC219" s="3" t="s">
        <v>2302</v>
      </c>
      <c r="AD219" s="3" t="s">
        <v>2303</v>
      </c>
      <c r="AE219" s="1">
        <v>1.0</v>
      </c>
      <c r="AF219" s="1" t="s">
        <v>2304</v>
      </c>
      <c r="AG219" s="1">
        <v>21.0</v>
      </c>
      <c r="AH219" s="1">
        <v>35.0</v>
      </c>
      <c r="AI219" s="1">
        <v>16.0</v>
      </c>
      <c r="AJ219" s="1">
        <v>5.0</v>
      </c>
      <c r="AK219" s="1">
        <v>3.0</v>
      </c>
      <c r="AL219" s="1">
        <v>1.0</v>
      </c>
      <c r="AM219" s="1">
        <v>74.0</v>
      </c>
      <c r="AN219" s="1">
        <v>27.0</v>
      </c>
      <c r="AO219" s="1">
        <v>0.0</v>
      </c>
      <c r="AP219" s="1">
        <v>0.0</v>
      </c>
      <c r="AQ219" s="1">
        <v>5.0</v>
      </c>
      <c r="AR219" s="1">
        <v>4.0</v>
      </c>
      <c r="AS219" s="1">
        <v>1.0</v>
      </c>
    </row>
    <row r="220" hidden="1">
      <c r="A220" s="1">
        <v>142.0</v>
      </c>
      <c r="B220" s="1" t="s">
        <v>2305</v>
      </c>
      <c r="C220" s="1" t="s">
        <v>2306</v>
      </c>
      <c r="D220" s="1" t="s">
        <v>42</v>
      </c>
      <c r="E220" s="1" t="s">
        <v>43</v>
      </c>
      <c r="F220" s="2">
        <v>23323.0</v>
      </c>
      <c r="G220" s="1">
        <f t="shared" si="1"/>
        <v>62</v>
      </c>
      <c r="H220" s="1" t="s">
        <v>2307</v>
      </c>
      <c r="I220" s="1" t="str">
        <f>IFERROR(__xludf.DUMMYFUNCTION("SPLIT(left(H220,len(H220)-1),""("")"),"Rochefort ")</f>
        <v>Rochefort </v>
      </c>
      <c r="J220" s="1" t="str">
        <f>IFERROR(__xludf.DUMMYFUNCTION("""COMPUTED_VALUE"""),"Charente-Maritime")</f>
        <v>Charente-Maritime</v>
      </c>
      <c r="K220" s="1" t="str">
        <f>IFERROR(__xludf.DUMMYFUNCTION("IF( COUNTA( IFERROR( FILTER('départements_edition'!$C$2:$C$102 , 'départements_edition'!$C$2:$C$102=J220 ) ) ) , ""Oui"" , ""Non"" )"),"Oui")</f>
        <v>Oui</v>
      </c>
      <c r="L220" s="1" t="str">
        <f t="shared" si="2"/>
        <v>France</v>
      </c>
      <c r="M220" s="1">
        <v>37.0</v>
      </c>
      <c r="N220" s="1" t="s">
        <v>547</v>
      </c>
      <c r="O220" s="1">
        <v>1.0</v>
      </c>
      <c r="P220" s="2">
        <v>42907.0</v>
      </c>
      <c r="R220" s="1">
        <v>0.0</v>
      </c>
      <c r="S220" s="1" t="s">
        <v>75</v>
      </c>
      <c r="T220" s="1" t="s">
        <v>76</v>
      </c>
      <c r="U220" s="1" t="s">
        <v>2308</v>
      </c>
      <c r="X220" s="1" t="s">
        <v>151</v>
      </c>
      <c r="Y220" s="1">
        <v>444.0</v>
      </c>
      <c r="Z220" s="3" t="s">
        <v>2309</v>
      </c>
      <c r="AA220" s="1">
        <v>719790.0</v>
      </c>
      <c r="AB220" s="1" t="s">
        <v>2310</v>
      </c>
      <c r="AC220" s="3" t="s">
        <v>2311</v>
      </c>
      <c r="AD220" s="3" t="s">
        <v>2312</v>
      </c>
      <c r="AE220" s="1">
        <v>1.0</v>
      </c>
      <c r="AF220" s="1" t="s">
        <v>2313</v>
      </c>
      <c r="AG220" s="1">
        <v>21.0</v>
      </c>
      <c r="AH220" s="1">
        <v>31.0</v>
      </c>
      <c r="AI220" s="1">
        <v>7.0</v>
      </c>
      <c r="AJ220" s="1">
        <v>11.0</v>
      </c>
      <c r="AK220" s="1">
        <v>1.0</v>
      </c>
      <c r="AL220" s="1">
        <v>1.0</v>
      </c>
      <c r="AM220" s="1">
        <v>5.0</v>
      </c>
      <c r="AN220" s="1">
        <v>2.0</v>
      </c>
      <c r="AO220" s="1">
        <v>0.0</v>
      </c>
      <c r="AP220" s="1">
        <v>0.0</v>
      </c>
      <c r="AQ220" s="1">
        <v>5.0</v>
      </c>
      <c r="AR220" s="1">
        <v>5.0</v>
      </c>
      <c r="AS220" s="1">
        <v>1.0</v>
      </c>
    </row>
    <row r="221" hidden="1">
      <c r="A221" s="1">
        <v>94.0</v>
      </c>
      <c r="B221" s="1" t="s">
        <v>2314</v>
      </c>
      <c r="C221" s="1" t="s">
        <v>2315</v>
      </c>
      <c r="D221" s="1" t="s">
        <v>2316</v>
      </c>
      <c r="E221" s="1" t="s">
        <v>43</v>
      </c>
      <c r="F221" s="2">
        <v>18446.0</v>
      </c>
      <c r="G221" s="1">
        <f t="shared" si="1"/>
        <v>76</v>
      </c>
      <c r="H221" s="1" t="s">
        <v>2317</v>
      </c>
      <c r="I221" s="1" t="str">
        <f>IFERROR(__xludf.DUMMYFUNCTION("SPLIT(left(H221,len(H221)-1),""("")"),"Clermont-Ferrand ")</f>
        <v>Clermont-Ferrand </v>
      </c>
      <c r="J221" s="1" t="str">
        <f>IFERROR(__xludf.DUMMYFUNCTION("""COMPUTED_VALUE"""),"Puy-de-Dôme")</f>
        <v>Puy-de-Dôme</v>
      </c>
      <c r="K221" s="1" t="str">
        <f>IFERROR(__xludf.DUMMYFUNCTION("IF( COUNTA( IFERROR( FILTER('départements_edition'!$C$2:$C$102 , 'départements_edition'!$C$2:$C$102=J221 ) ) ) , ""Oui"" , ""Non"" )"),"Oui")</f>
        <v>Oui</v>
      </c>
      <c r="L221" s="1" t="str">
        <f t="shared" si="2"/>
        <v>France</v>
      </c>
      <c r="M221" s="1">
        <v>63.0</v>
      </c>
      <c r="N221" s="1" t="s">
        <v>114</v>
      </c>
      <c r="O221" s="1">
        <v>5.0</v>
      </c>
      <c r="P221" s="2">
        <v>42907.0</v>
      </c>
      <c r="R221" s="1">
        <v>0.0</v>
      </c>
      <c r="S221" s="1" t="s">
        <v>101</v>
      </c>
      <c r="T221" s="1" t="s">
        <v>102</v>
      </c>
      <c r="U221" s="1" t="s">
        <v>2318</v>
      </c>
      <c r="X221" s="1" t="s">
        <v>2319</v>
      </c>
      <c r="Y221" s="1">
        <v>587.0</v>
      </c>
      <c r="Z221" s="3" t="s">
        <v>2320</v>
      </c>
      <c r="AA221" s="1">
        <v>267306.0</v>
      </c>
      <c r="AB221" s="1" t="s">
        <v>2321</v>
      </c>
      <c r="AC221" s="3" t="s">
        <v>2322</v>
      </c>
      <c r="AD221" s="3" t="s">
        <v>2323</v>
      </c>
      <c r="AE221" s="1">
        <v>1.0</v>
      </c>
      <c r="AF221" s="1" t="s">
        <v>2324</v>
      </c>
      <c r="AG221" s="1">
        <v>21.0</v>
      </c>
      <c r="AH221" s="1">
        <v>34.0</v>
      </c>
      <c r="AI221" s="1">
        <v>51.0</v>
      </c>
      <c r="AJ221" s="1">
        <v>159.0</v>
      </c>
      <c r="AK221" s="1">
        <v>209.0</v>
      </c>
      <c r="AL221" s="1">
        <v>43.0</v>
      </c>
      <c r="AM221" s="1">
        <v>659.0</v>
      </c>
      <c r="AN221" s="1">
        <v>22.0</v>
      </c>
      <c r="AO221" s="1">
        <v>0.0</v>
      </c>
      <c r="AP221" s="1">
        <v>2.0</v>
      </c>
      <c r="AQ221" s="1">
        <v>20.0</v>
      </c>
      <c r="AR221" s="1">
        <v>31.0</v>
      </c>
      <c r="AS221" s="1">
        <v>2.0</v>
      </c>
    </row>
    <row r="222" hidden="1">
      <c r="A222" s="1">
        <v>236.0</v>
      </c>
      <c r="B222" s="1" t="s">
        <v>2325</v>
      </c>
      <c r="C222" s="1" t="s">
        <v>2326</v>
      </c>
      <c r="D222" s="1" t="s">
        <v>42</v>
      </c>
      <c r="E222" s="1" t="s">
        <v>43</v>
      </c>
      <c r="F222" s="2">
        <v>26437.0</v>
      </c>
      <c r="G222" s="1">
        <f t="shared" si="1"/>
        <v>54</v>
      </c>
      <c r="H222" s="1" t="s">
        <v>672</v>
      </c>
      <c r="I222" s="1" t="str">
        <f>IFERROR(__xludf.DUMMYFUNCTION("SPLIT(left(H222,len(H222)-1),""("")"),"Albi ")</f>
        <v>Albi </v>
      </c>
      <c r="J222" s="1" t="str">
        <f>IFERROR(__xludf.DUMMYFUNCTION("""COMPUTED_VALUE"""),"Tarn")</f>
        <v>Tarn</v>
      </c>
      <c r="K222" s="1" t="str">
        <f>IFERROR(__xludf.DUMMYFUNCTION("IF( COUNTA( IFERROR( FILTER('départements_edition'!$C$2:$C$102 , 'départements_edition'!$C$2:$C$102=J222 ) ) ) , ""Oui"" , ""Non"" )"),"Oui")</f>
        <v>Oui</v>
      </c>
      <c r="L222" s="1" t="str">
        <f t="shared" si="2"/>
        <v>France</v>
      </c>
      <c r="M222" s="1">
        <v>24.0</v>
      </c>
      <c r="N222" s="1" t="s">
        <v>2327</v>
      </c>
      <c r="O222" s="1">
        <v>1.0</v>
      </c>
      <c r="P222" s="2">
        <v>42907.0</v>
      </c>
      <c r="R222" s="1">
        <v>0.0</v>
      </c>
      <c r="S222" s="1" t="s">
        <v>75</v>
      </c>
      <c r="T222" s="1" t="s">
        <v>76</v>
      </c>
      <c r="U222" s="1" t="s">
        <v>2328</v>
      </c>
      <c r="X222" s="1" t="s">
        <v>1979</v>
      </c>
      <c r="Y222" s="1">
        <v>405.0</v>
      </c>
      <c r="Z222" s="3" t="s">
        <v>2329</v>
      </c>
      <c r="AA222" s="1">
        <v>719250.0</v>
      </c>
      <c r="AB222" s="1" t="s">
        <v>2330</v>
      </c>
      <c r="AC222" s="3" t="s">
        <v>2331</v>
      </c>
      <c r="AD222" s="3" t="s">
        <v>2332</v>
      </c>
      <c r="AE222" s="1">
        <v>1.0</v>
      </c>
      <c r="AG222" s="1">
        <v>21.0</v>
      </c>
      <c r="AH222" s="1">
        <v>48.0</v>
      </c>
      <c r="AI222" s="1">
        <v>15.0</v>
      </c>
      <c r="AJ222" s="1">
        <v>5.0</v>
      </c>
      <c r="AK222" s="1">
        <v>0.0</v>
      </c>
      <c r="AL222" s="1">
        <v>0.0</v>
      </c>
      <c r="AM222" s="1">
        <v>149.0</v>
      </c>
      <c r="AN222" s="1">
        <v>101.0</v>
      </c>
      <c r="AO222" s="1">
        <v>1.0</v>
      </c>
      <c r="AP222" s="1">
        <v>0.0</v>
      </c>
      <c r="AQ222" s="1">
        <v>5.0</v>
      </c>
      <c r="AR222" s="1">
        <v>2.0</v>
      </c>
      <c r="AS222" s="1">
        <v>0.0</v>
      </c>
    </row>
    <row r="223" hidden="1">
      <c r="A223" s="1">
        <v>261.0</v>
      </c>
      <c r="B223" s="1" t="s">
        <v>2333</v>
      </c>
      <c r="C223" s="1" t="s">
        <v>2334</v>
      </c>
      <c r="D223" s="1" t="s">
        <v>1490</v>
      </c>
      <c r="E223" s="1" t="s">
        <v>43</v>
      </c>
      <c r="F223" s="2">
        <v>26622.0</v>
      </c>
      <c r="G223" s="1">
        <f t="shared" si="1"/>
        <v>53</v>
      </c>
      <c r="H223" s="1" t="s">
        <v>2335</v>
      </c>
      <c r="I223" s="1" t="str">
        <f>IFERROR(__xludf.DUMMYFUNCTION("SPLIT(left(H223,len(H223)-1),""("")"),"Bourges ")</f>
        <v>Bourges </v>
      </c>
      <c r="J223" s="1" t="str">
        <f>IFERROR(__xludf.DUMMYFUNCTION("""COMPUTED_VALUE"""),"Cher")</f>
        <v>Cher</v>
      </c>
      <c r="K223" s="1" t="str">
        <f>IFERROR(__xludf.DUMMYFUNCTION("IF( COUNTA( IFERROR( FILTER('départements_edition'!$C$2:$C$102 , 'départements_edition'!$C$2:$C$102=J223 ) ) ) , ""Oui"" , ""Non"" )"),"Oui")</f>
        <v>Oui</v>
      </c>
      <c r="L223" s="1" t="str">
        <f t="shared" si="2"/>
        <v>France</v>
      </c>
      <c r="M223" s="1">
        <v>18.0</v>
      </c>
      <c r="N223" s="1" t="s">
        <v>2336</v>
      </c>
      <c r="O223" s="1">
        <v>1.0</v>
      </c>
      <c r="P223" s="2">
        <v>42907.0</v>
      </c>
      <c r="R223" s="1">
        <v>0.0</v>
      </c>
      <c r="S223" s="1" t="s">
        <v>75</v>
      </c>
      <c r="T223" s="1" t="s">
        <v>76</v>
      </c>
      <c r="U223" s="3" t="s">
        <v>2337</v>
      </c>
      <c r="X223" s="1" t="s">
        <v>2338</v>
      </c>
      <c r="Y223" s="1">
        <v>300.0</v>
      </c>
      <c r="Z223" s="3" t="s">
        <v>2339</v>
      </c>
      <c r="AA223" s="1">
        <v>719118.0</v>
      </c>
      <c r="AB223" s="1" t="s">
        <v>2340</v>
      </c>
      <c r="AC223" s="3" t="s">
        <v>2341</v>
      </c>
      <c r="AD223" s="3" t="s">
        <v>2342</v>
      </c>
      <c r="AE223" s="1">
        <v>1.0</v>
      </c>
      <c r="AG223" s="1">
        <v>21.0</v>
      </c>
      <c r="AH223" s="1">
        <v>27.0</v>
      </c>
      <c r="AI223" s="1">
        <v>8.0</v>
      </c>
      <c r="AJ223" s="1">
        <v>26.0</v>
      </c>
      <c r="AK223" s="1">
        <v>18.0</v>
      </c>
      <c r="AL223" s="1">
        <v>1.0</v>
      </c>
      <c r="AM223" s="1">
        <v>46.0</v>
      </c>
      <c r="AN223" s="1">
        <v>13.0</v>
      </c>
      <c r="AO223" s="1">
        <v>0.0</v>
      </c>
      <c r="AP223" s="1">
        <v>0.0</v>
      </c>
      <c r="AQ223" s="1">
        <v>5.0</v>
      </c>
      <c r="AR223" s="1">
        <v>5.0</v>
      </c>
      <c r="AS223" s="1">
        <v>1.0</v>
      </c>
    </row>
    <row r="224" hidden="1">
      <c r="A224" s="1">
        <v>515.0</v>
      </c>
      <c r="B224" s="1" t="s">
        <v>2343</v>
      </c>
      <c r="C224" s="1" t="s">
        <v>2344</v>
      </c>
      <c r="D224" s="1" t="s">
        <v>2345</v>
      </c>
      <c r="E224" s="1" t="s">
        <v>58</v>
      </c>
      <c r="F224" s="2">
        <v>21823.0</v>
      </c>
      <c r="G224" s="1">
        <f t="shared" si="1"/>
        <v>66</v>
      </c>
      <c r="H224" s="1" t="s">
        <v>2346</v>
      </c>
      <c r="I224" s="1" t="str">
        <f>IFERROR(__xludf.DUMMYFUNCTION("SPLIT(left(H224,len(H224)-1),""("")"),"Creusot ")</f>
        <v>Creusot </v>
      </c>
      <c r="J224" s="1" t="str">
        <f>IFERROR(__xludf.DUMMYFUNCTION("""COMPUTED_VALUE"""),"Saône-et-Loire")</f>
        <v>Saône-et-Loire</v>
      </c>
      <c r="K224" s="1" t="str">
        <f>IFERROR(__xludf.DUMMYFUNCTION("IF( COUNTA( IFERROR( FILTER('départements_edition'!$C$2:$C$102 , 'départements_edition'!$C$2:$C$102=J224 ) ) ) , ""Oui"" , ""Non"" )"),"Oui")</f>
        <v>Oui</v>
      </c>
      <c r="L224" s="1" t="str">
        <f t="shared" si="2"/>
        <v>France</v>
      </c>
      <c r="M224" s="1">
        <v>71.0</v>
      </c>
      <c r="N224" s="1" t="s">
        <v>336</v>
      </c>
      <c r="O224" s="1">
        <v>2.0</v>
      </c>
      <c r="P224" s="2">
        <v>42907.0</v>
      </c>
      <c r="R224" s="1">
        <v>0.0</v>
      </c>
      <c r="S224" s="1" t="s">
        <v>61</v>
      </c>
      <c r="T224" s="1" t="s">
        <v>62</v>
      </c>
      <c r="U224" s="3" t="s">
        <v>2347</v>
      </c>
      <c r="X224" s="1" t="s">
        <v>2348</v>
      </c>
      <c r="Y224" s="1">
        <v>6.0</v>
      </c>
      <c r="Z224" s="3" t="s">
        <v>2349</v>
      </c>
      <c r="AA224" s="1">
        <v>722390.0</v>
      </c>
      <c r="AB224" s="1" t="s">
        <v>2350</v>
      </c>
      <c r="AC224" s="3" t="s">
        <v>2351</v>
      </c>
      <c r="AD224" s="3" t="s">
        <v>2352</v>
      </c>
      <c r="AE224" s="1">
        <v>2.0</v>
      </c>
      <c r="AG224" s="1">
        <v>21.0</v>
      </c>
      <c r="AH224" s="1">
        <v>33.0</v>
      </c>
      <c r="AI224" s="1">
        <v>18.0</v>
      </c>
      <c r="AJ224" s="1">
        <v>15.0</v>
      </c>
      <c r="AK224" s="1">
        <v>4.0</v>
      </c>
      <c r="AL224" s="1">
        <v>16.0</v>
      </c>
      <c r="AM224" s="1">
        <v>710.0</v>
      </c>
      <c r="AN224" s="1">
        <v>30.0</v>
      </c>
      <c r="AO224" s="1">
        <v>0.0</v>
      </c>
      <c r="AP224" s="1">
        <v>0.0</v>
      </c>
      <c r="AQ224" s="1">
        <v>25.0</v>
      </c>
      <c r="AR224" s="1">
        <v>16.0</v>
      </c>
      <c r="AS224" s="1">
        <v>2.0</v>
      </c>
    </row>
    <row r="225" hidden="1">
      <c r="A225" s="1">
        <v>391.0</v>
      </c>
      <c r="B225" s="1" t="s">
        <v>2353</v>
      </c>
      <c r="C225" s="1" t="s">
        <v>2354</v>
      </c>
      <c r="D225" s="1" t="s">
        <v>2355</v>
      </c>
      <c r="E225" s="1" t="s">
        <v>58</v>
      </c>
      <c r="F225" s="2">
        <v>31617.0</v>
      </c>
      <c r="G225" s="1">
        <f t="shared" si="1"/>
        <v>40</v>
      </c>
      <c r="H225" s="1" t="s">
        <v>780</v>
      </c>
      <c r="I225" s="1" t="str">
        <f>IFERROR(__xludf.DUMMYFUNCTION("SPLIT(left(H225,len(H225)-1),""("")"),"Rennes ")</f>
        <v>Rennes </v>
      </c>
      <c r="J225" s="1" t="str">
        <f>IFERROR(__xludf.DUMMYFUNCTION("""COMPUTED_VALUE"""),"Ille-et-Vilaine")</f>
        <v>Ille-et-Vilaine</v>
      </c>
      <c r="K225" s="1" t="str">
        <f>IFERROR(__xludf.DUMMYFUNCTION("IF( COUNTA( IFERROR( FILTER('départements_edition'!$C$2:$C$102 , 'départements_edition'!$C$2:$C$102=J225 ) ) ) , ""Oui"" , ""Non"" )"),"Oui")</f>
        <v>Oui</v>
      </c>
      <c r="L225" s="1" t="str">
        <f t="shared" si="2"/>
        <v>France</v>
      </c>
      <c r="M225" s="1">
        <v>33.0</v>
      </c>
      <c r="N225" s="1" t="s">
        <v>348</v>
      </c>
      <c r="O225" s="1">
        <v>7.0</v>
      </c>
      <c r="P225" s="2">
        <v>42907.0</v>
      </c>
      <c r="R225" s="1">
        <v>0.0</v>
      </c>
      <c r="S225" s="1" t="s">
        <v>75</v>
      </c>
      <c r="T225" s="1" t="s">
        <v>76</v>
      </c>
      <c r="U225" s="1" t="s">
        <v>2356</v>
      </c>
      <c r="X225" s="1" t="s">
        <v>162</v>
      </c>
      <c r="Y225" s="1">
        <v>322.0</v>
      </c>
      <c r="Z225" s="3" t="s">
        <v>2357</v>
      </c>
      <c r="AA225" s="1">
        <v>719624.0</v>
      </c>
      <c r="AB225" s="1" t="s">
        <v>2358</v>
      </c>
      <c r="AC225" s="3" t="s">
        <v>2359</v>
      </c>
      <c r="AD225" s="3" t="s">
        <v>2360</v>
      </c>
      <c r="AE225" s="1">
        <v>1.0</v>
      </c>
      <c r="AF225" s="1" t="s">
        <v>2361</v>
      </c>
      <c r="AG225" s="1">
        <v>21.0</v>
      </c>
      <c r="AH225" s="1">
        <v>39.0</v>
      </c>
      <c r="AI225" s="1">
        <v>15.0</v>
      </c>
      <c r="AJ225" s="1">
        <v>3.0</v>
      </c>
      <c r="AK225" s="1">
        <v>0.0</v>
      </c>
      <c r="AL225" s="1">
        <v>0.0</v>
      </c>
      <c r="AM225" s="1">
        <v>77.0</v>
      </c>
      <c r="AN225" s="1">
        <v>42.0</v>
      </c>
      <c r="AO225" s="1">
        <v>0.0</v>
      </c>
      <c r="AP225" s="1">
        <v>0.0</v>
      </c>
      <c r="AQ225" s="1">
        <v>5.0</v>
      </c>
      <c r="AR225" s="1">
        <v>11.0</v>
      </c>
      <c r="AS225" s="1">
        <v>2.0</v>
      </c>
    </row>
    <row r="226" hidden="1">
      <c r="A226" s="1">
        <v>521.0</v>
      </c>
      <c r="B226" s="1" t="s">
        <v>2362</v>
      </c>
      <c r="C226" s="1" t="s">
        <v>2363</v>
      </c>
      <c r="D226" s="1" t="s">
        <v>810</v>
      </c>
      <c r="E226" s="1" t="s">
        <v>43</v>
      </c>
      <c r="F226" s="2">
        <v>18123.0</v>
      </c>
      <c r="G226" s="1">
        <f t="shared" si="1"/>
        <v>77</v>
      </c>
      <c r="H226" s="1" t="s">
        <v>2364</v>
      </c>
      <c r="I226" s="1" t="str">
        <f>IFERROR(__xludf.DUMMYFUNCTION("SPLIT(left(H226,len(H226)-1),""("")"),"Lafitte ")</f>
        <v>Lafitte </v>
      </c>
      <c r="J226" s="1" t="str">
        <f>IFERROR(__xludf.DUMMYFUNCTION("""COMPUTED_VALUE"""),"Tarn-et-Garonne")</f>
        <v>Tarn-et-Garonne</v>
      </c>
      <c r="K226" s="1" t="str">
        <f>IFERROR(__xludf.DUMMYFUNCTION("IF( COUNTA( IFERROR( FILTER('départements_edition'!$C$2:$C$102 , 'départements_edition'!$C$2:$C$102=J226 ) ) ) , ""Oui"" , ""Non"" )"),"Oui")</f>
        <v>Oui</v>
      </c>
      <c r="L226" s="1" t="str">
        <f t="shared" si="2"/>
        <v>France</v>
      </c>
      <c r="M226" s="1">
        <v>24.0</v>
      </c>
      <c r="N226" s="1" t="s">
        <v>2327</v>
      </c>
      <c r="O226" s="1">
        <v>2.0</v>
      </c>
      <c r="P226" s="2">
        <v>42907.0</v>
      </c>
      <c r="R226" s="1">
        <v>0.0</v>
      </c>
      <c r="S226" s="1" t="s">
        <v>75</v>
      </c>
      <c r="T226" s="1" t="s">
        <v>76</v>
      </c>
      <c r="U226" s="1" t="s">
        <v>2365</v>
      </c>
      <c r="X226" s="1" t="s">
        <v>2366</v>
      </c>
      <c r="Y226" s="1">
        <v>437.0</v>
      </c>
      <c r="Z226" s="3" t="s">
        <v>2367</v>
      </c>
      <c r="AA226" s="1">
        <v>719258.0</v>
      </c>
      <c r="AB226" s="1" t="s">
        <v>2368</v>
      </c>
      <c r="AC226" s="3" t="s">
        <v>2369</v>
      </c>
      <c r="AD226" s="3" t="s">
        <v>2370</v>
      </c>
      <c r="AE226" s="1">
        <v>1.0</v>
      </c>
      <c r="AF226" s="1" t="s">
        <v>2371</v>
      </c>
      <c r="AG226" s="1">
        <v>21.0</v>
      </c>
      <c r="AH226" s="1">
        <v>47.0</v>
      </c>
      <c r="AI226" s="1">
        <v>16.0</v>
      </c>
      <c r="AJ226" s="1">
        <v>7.0</v>
      </c>
      <c r="AK226" s="1">
        <v>1.0</v>
      </c>
      <c r="AL226" s="1">
        <v>0.0</v>
      </c>
      <c r="AM226" s="1">
        <v>64.0</v>
      </c>
      <c r="AN226" s="1">
        <v>26.0</v>
      </c>
      <c r="AO226" s="1">
        <v>0.0</v>
      </c>
      <c r="AP226" s="1">
        <v>0.0</v>
      </c>
      <c r="AQ226" s="1">
        <v>5.0</v>
      </c>
      <c r="AR226" s="1">
        <v>3.0</v>
      </c>
      <c r="AS226" s="1">
        <v>2.0</v>
      </c>
    </row>
    <row r="227" hidden="1">
      <c r="A227" s="1">
        <v>386.0</v>
      </c>
      <c r="B227" s="1" t="s">
        <v>2372</v>
      </c>
      <c r="C227" s="1" t="s">
        <v>2373</v>
      </c>
      <c r="D227" s="1" t="s">
        <v>2374</v>
      </c>
      <c r="E227" s="1" t="s">
        <v>43</v>
      </c>
      <c r="F227" s="2">
        <v>26502.0</v>
      </c>
      <c r="G227" s="1">
        <f t="shared" si="1"/>
        <v>54</v>
      </c>
      <c r="H227" s="1" t="s">
        <v>347</v>
      </c>
      <c r="I227" s="1" t="str">
        <f>IFERROR(__xludf.DUMMYFUNCTION("SPLIT(left(H227,len(H227)-1),""("")"),"Bordeaux ")</f>
        <v>Bordeaux </v>
      </c>
      <c r="J227" s="1" t="str">
        <f>IFERROR(__xludf.DUMMYFUNCTION("""COMPUTED_VALUE"""),"Gironde")</f>
        <v>Gironde</v>
      </c>
      <c r="K227" s="1" t="str">
        <f>IFERROR(__xludf.DUMMYFUNCTION("IF( COUNTA( IFERROR( FILTER('départements_edition'!$C$2:$C$102 , 'départements_edition'!$C$2:$C$102=J227 ) ) ) , ""Oui"" , ""Non"" )"),"Oui")</f>
        <v>Oui</v>
      </c>
      <c r="L227" s="1" t="str">
        <f t="shared" si="2"/>
        <v>France</v>
      </c>
      <c r="M227" s="1">
        <v>34.0</v>
      </c>
      <c r="N227" s="1" t="s">
        <v>1252</v>
      </c>
      <c r="O227" s="1">
        <v>8.0</v>
      </c>
      <c r="P227" s="2">
        <v>42907.0</v>
      </c>
      <c r="R227" s="1">
        <v>0.0</v>
      </c>
      <c r="S227" s="1" t="s">
        <v>75</v>
      </c>
      <c r="T227" s="1" t="s">
        <v>76</v>
      </c>
      <c r="U227" s="1" t="s">
        <v>2375</v>
      </c>
      <c r="X227" s="1" t="s">
        <v>2376</v>
      </c>
      <c r="Y227" s="1">
        <v>487.0</v>
      </c>
      <c r="Z227" s="3" t="s">
        <v>2377</v>
      </c>
      <c r="AA227" s="1">
        <v>719830.0</v>
      </c>
      <c r="AB227" s="1" t="s">
        <v>2378</v>
      </c>
      <c r="AC227" s="3" t="s">
        <v>2379</v>
      </c>
      <c r="AD227" s="3" t="s">
        <v>2380</v>
      </c>
      <c r="AE227" s="1">
        <v>1.0</v>
      </c>
      <c r="AF227" s="1" t="s">
        <v>2381</v>
      </c>
      <c r="AG227" s="1">
        <v>21.0</v>
      </c>
      <c r="AH227" s="1">
        <v>32.0</v>
      </c>
      <c r="AI227" s="1">
        <v>28.0</v>
      </c>
      <c r="AJ227" s="1">
        <v>0.0</v>
      </c>
      <c r="AK227" s="1">
        <v>1.0</v>
      </c>
      <c r="AL227" s="1">
        <v>47.0</v>
      </c>
      <c r="AM227" s="1">
        <v>102.0</v>
      </c>
      <c r="AN227" s="1">
        <v>70.0</v>
      </c>
      <c r="AO227" s="1">
        <v>1.0</v>
      </c>
      <c r="AP227" s="1">
        <v>0.0</v>
      </c>
      <c r="AQ227" s="1">
        <v>5.0</v>
      </c>
      <c r="AR227" s="1">
        <v>3.0</v>
      </c>
      <c r="AS227" s="1">
        <v>0.0</v>
      </c>
    </row>
    <row r="228" hidden="1">
      <c r="A228" s="1">
        <v>78.0</v>
      </c>
      <c r="B228" s="1" t="s">
        <v>2392</v>
      </c>
      <c r="C228" s="1" t="s">
        <v>2393</v>
      </c>
      <c r="D228" s="1" t="s">
        <v>2394</v>
      </c>
      <c r="E228" s="1" t="s">
        <v>58</v>
      </c>
      <c r="F228" s="2">
        <v>21188.0</v>
      </c>
      <c r="G228" s="1">
        <f t="shared" si="1"/>
        <v>68</v>
      </c>
      <c r="H228" s="1" t="s">
        <v>2395</v>
      </c>
      <c r="I228" s="1" t="str">
        <f>IFERROR(__xludf.DUMMYFUNCTION("SPLIT(left(H228,len(H228)-1),""("")"),"Lourdes ")</f>
        <v>Lourdes </v>
      </c>
      <c r="J228" s="1" t="str">
        <f>IFERROR(__xludf.DUMMYFUNCTION("""COMPUTED_VALUE"""),"Hautes-Pyrénées")</f>
        <v>Hautes-Pyrénées</v>
      </c>
      <c r="K228" s="1" t="str">
        <f>IFERROR(__xludf.DUMMYFUNCTION("IF( COUNTA( IFERROR( FILTER('départements_edition'!$C$2:$C$102 , 'départements_edition'!$C$2:$C$102=J228 ) ) ) , ""Oui"" , ""Non"" )"),"Oui")</f>
        <v>Oui</v>
      </c>
      <c r="L228" s="1" t="str">
        <f t="shared" si="2"/>
        <v>France</v>
      </c>
      <c r="M228" s="1">
        <v>65.0</v>
      </c>
      <c r="N228" s="1" t="s">
        <v>2396</v>
      </c>
      <c r="O228" s="1">
        <v>2.0</v>
      </c>
      <c r="P228" s="2">
        <v>42907.0</v>
      </c>
      <c r="R228" s="1">
        <v>0.0</v>
      </c>
      <c r="S228" s="1" t="s">
        <v>814</v>
      </c>
      <c r="T228" s="1" t="s">
        <v>2397</v>
      </c>
      <c r="U228" s="1" t="s">
        <v>2398</v>
      </c>
      <c r="X228" s="1" t="s">
        <v>118</v>
      </c>
      <c r="Y228" s="1">
        <v>191.0</v>
      </c>
      <c r="Z228" s="3" t="s">
        <v>2399</v>
      </c>
      <c r="AA228" s="1">
        <v>608292.0</v>
      </c>
      <c r="AB228" s="1" t="s">
        <v>2400</v>
      </c>
      <c r="AC228" s="3" t="s">
        <v>2401</v>
      </c>
      <c r="AD228" s="3" t="s">
        <v>2402</v>
      </c>
      <c r="AE228" s="1">
        <v>1.0</v>
      </c>
      <c r="AG228" s="1">
        <v>21.0</v>
      </c>
      <c r="AH228" s="1">
        <v>48.0</v>
      </c>
      <c r="AI228" s="1">
        <v>74.0</v>
      </c>
      <c r="AJ228" s="1">
        <v>51.0</v>
      </c>
      <c r="AK228" s="1">
        <v>14.0</v>
      </c>
      <c r="AL228" s="1">
        <v>95.0</v>
      </c>
      <c r="AM228" s="1">
        <v>147.0</v>
      </c>
      <c r="AN228" s="1">
        <v>5.0</v>
      </c>
      <c r="AO228" s="1">
        <v>0.0</v>
      </c>
      <c r="AP228" s="1">
        <v>0.0</v>
      </c>
      <c r="AQ228" s="1">
        <v>3.0</v>
      </c>
      <c r="AR228" s="1">
        <v>17.0</v>
      </c>
      <c r="AS228" s="1">
        <v>0.0</v>
      </c>
    </row>
    <row r="229" hidden="1">
      <c r="A229" s="1">
        <v>254.0</v>
      </c>
      <c r="B229" s="1" t="s">
        <v>2403</v>
      </c>
      <c r="C229" s="1" t="s">
        <v>2404</v>
      </c>
      <c r="D229" s="1" t="s">
        <v>1902</v>
      </c>
      <c r="E229" s="1" t="s">
        <v>58</v>
      </c>
      <c r="F229" s="2">
        <v>18980.0</v>
      </c>
      <c r="G229" s="1">
        <f t="shared" si="1"/>
        <v>74</v>
      </c>
      <c r="H229" s="1" t="s">
        <v>2405</v>
      </c>
      <c r="I229" s="1" t="str">
        <f>IFERROR(__xludf.DUMMYFUNCTION("SPLIT(left(H229,len(H229)-1),""("")"),"Felletin ")</f>
        <v>Felletin </v>
      </c>
      <c r="J229" s="1" t="str">
        <f>IFERROR(__xludf.DUMMYFUNCTION("""COMPUTED_VALUE"""),"Creuse")</f>
        <v>Creuse</v>
      </c>
      <c r="K229" s="1" t="str">
        <f>IFERROR(__xludf.DUMMYFUNCTION("IF( COUNTA( IFERROR( FILTER('départements_edition'!$C$2:$C$102 , 'départements_edition'!$C$2:$C$102=J229 ) ) ) , ""Oui"" , ""Non"" )"),"Oui")</f>
        <v>Oui</v>
      </c>
      <c r="L229" s="1" t="str">
        <f t="shared" si="2"/>
        <v>France</v>
      </c>
      <c r="M229" s="1">
        <v>49.0</v>
      </c>
      <c r="N229" s="1" t="s">
        <v>220</v>
      </c>
      <c r="O229" s="1">
        <v>6.0</v>
      </c>
      <c r="P229" s="2">
        <v>42907.0</v>
      </c>
      <c r="R229" s="1">
        <v>0.0</v>
      </c>
      <c r="S229" s="1" t="s">
        <v>75</v>
      </c>
      <c r="T229" s="1" t="s">
        <v>76</v>
      </c>
      <c r="U229" s="1" t="s">
        <v>2406</v>
      </c>
      <c r="X229" s="1" t="s">
        <v>2407</v>
      </c>
      <c r="Y229" s="1">
        <v>302.0</v>
      </c>
      <c r="Z229" s="3" t="s">
        <v>2408</v>
      </c>
      <c r="AA229" s="1">
        <v>720154.0</v>
      </c>
      <c r="AB229" s="1" t="s">
        <v>2409</v>
      </c>
      <c r="AC229" s="3" t="s">
        <v>2410</v>
      </c>
      <c r="AD229" s="3" t="s">
        <v>2411</v>
      </c>
      <c r="AE229" s="1">
        <v>1.0</v>
      </c>
      <c r="AF229" s="1" t="s">
        <v>2412</v>
      </c>
      <c r="AG229" s="1">
        <v>21.0</v>
      </c>
      <c r="AH229" s="1">
        <v>35.0</v>
      </c>
      <c r="AI229" s="1">
        <v>0.0</v>
      </c>
      <c r="AJ229" s="1">
        <v>10.0</v>
      </c>
      <c r="AK229" s="1">
        <v>1.0</v>
      </c>
      <c r="AL229" s="1">
        <v>0.0</v>
      </c>
      <c r="AM229" s="1">
        <v>66.0</v>
      </c>
      <c r="AN229" s="1">
        <v>25.0</v>
      </c>
      <c r="AO229" s="1">
        <v>0.0</v>
      </c>
      <c r="AP229" s="1">
        <v>0.0</v>
      </c>
      <c r="AQ229" s="1">
        <v>5.0</v>
      </c>
      <c r="AR229" s="1">
        <v>5.0</v>
      </c>
      <c r="AS229" s="1">
        <v>2.0</v>
      </c>
    </row>
    <row r="230" hidden="1">
      <c r="A230" s="1">
        <v>291.0</v>
      </c>
      <c r="B230" s="1" t="s">
        <v>2413</v>
      </c>
      <c r="C230" s="1" t="s">
        <v>2414</v>
      </c>
      <c r="D230" s="1" t="s">
        <v>2415</v>
      </c>
      <c r="E230" s="1" t="s">
        <v>58</v>
      </c>
      <c r="F230" s="2">
        <v>29083.0</v>
      </c>
      <c r="G230" s="1">
        <f t="shared" si="1"/>
        <v>47</v>
      </c>
      <c r="H230" s="1" t="s">
        <v>1440</v>
      </c>
      <c r="I230" s="1" t="str">
        <f>IFERROR(__xludf.DUMMYFUNCTION("SPLIT(left(H230,len(H230)-1),""("")"),"Bonneville ")</f>
        <v>Bonneville </v>
      </c>
      <c r="J230" s="1" t="str">
        <f>IFERROR(__xludf.DUMMYFUNCTION("""COMPUTED_VALUE"""),"Haute-Savoie")</f>
        <v>Haute-Savoie</v>
      </c>
      <c r="K230" s="1" t="str">
        <f>IFERROR(__xludf.DUMMYFUNCTION("IF( COUNTA( IFERROR( FILTER('départements_edition'!$C$2:$C$102 , 'départements_edition'!$C$2:$C$102=J230 ) ) ) , ""Oui"" , ""Non"" )"),"Oui")</f>
        <v>Oui</v>
      </c>
      <c r="L230" s="1" t="str">
        <f t="shared" si="2"/>
        <v>France</v>
      </c>
      <c r="M230" s="1">
        <v>74.0</v>
      </c>
      <c r="N230" s="1" t="s">
        <v>1441</v>
      </c>
      <c r="O230" s="1">
        <v>4.0</v>
      </c>
      <c r="P230" s="2">
        <v>42907.0</v>
      </c>
      <c r="R230" s="1">
        <v>0.0</v>
      </c>
      <c r="S230" s="1" t="s">
        <v>61</v>
      </c>
      <c r="T230" s="1" t="s">
        <v>62</v>
      </c>
      <c r="U230" s="1" t="s">
        <v>2416</v>
      </c>
      <c r="X230" s="1" t="s">
        <v>472</v>
      </c>
      <c r="Y230" s="1">
        <v>95.0</v>
      </c>
      <c r="Z230" s="3" t="s">
        <v>2417</v>
      </c>
      <c r="AA230" s="1">
        <v>608826.0</v>
      </c>
      <c r="AB230" s="1" t="s">
        <v>2418</v>
      </c>
      <c r="AC230" s="3" t="s">
        <v>2419</v>
      </c>
      <c r="AD230" s="3" t="s">
        <v>2420</v>
      </c>
      <c r="AE230" s="1">
        <v>1.0</v>
      </c>
      <c r="AF230" s="1" t="s">
        <v>2421</v>
      </c>
      <c r="AG230" s="1">
        <v>21.0</v>
      </c>
      <c r="AH230" s="1">
        <v>39.0</v>
      </c>
      <c r="AI230" s="1">
        <v>20.0</v>
      </c>
      <c r="AJ230" s="1">
        <v>20.0</v>
      </c>
      <c r="AK230" s="1">
        <v>3.0</v>
      </c>
      <c r="AL230" s="1">
        <v>13.0</v>
      </c>
      <c r="AM230" s="1">
        <v>1310.0</v>
      </c>
      <c r="AN230" s="1">
        <v>45.0</v>
      </c>
      <c r="AO230" s="1">
        <v>0.0</v>
      </c>
      <c r="AP230" s="1">
        <v>6.0</v>
      </c>
      <c r="AQ230" s="1">
        <v>80.0</v>
      </c>
      <c r="AR230" s="1">
        <v>31.0</v>
      </c>
      <c r="AS230" s="1">
        <v>3.0</v>
      </c>
    </row>
    <row r="231" hidden="1">
      <c r="A231" s="1">
        <v>24.0</v>
      </c>
      <c r="B231" s="1" t="s">
        <v>2422</v>
      </c>
      <c r="C231" s="1" t="s">
        <v>2423</v>
      </c>
      <c r="D231" s="1" t="s">
        <v>589</v>
      </c>
      <c r="E231" s="1" t="s">
        <v>43</v>
      </c>
      <c r="F231" s="2">
        <v>20913.0</v>
      </c>
      <c r="G231" s="1">
        <f t="shared" si="1"/>
        <v>69</v>
      </c>
      <c r="H231" s="1" t="s">
        <v>2424</v>
      </c>
      <c r="I231" s="1" t="str">
        <f>IFERROR(__xludf.DUMMYFUNCTION("SPLIT(left(H231,len(H231)-1),""("")"),"Cambrai ")</f>
        <v>Cambrai </v>
      </c>
      <c r="J231" s="1" t="str">
        <f>IFERROR(__xludf.DUMMYFUNCTION("""COMPUTED_VALUE"""),"Nord")</f>
        <v>Nord</v>
      </c>
      <c r="K231" s="1" t="str">
        <f>IFERROR(__xludf.DUMMYFUNCTION("IF( COUNTA( IFERROR( FILTER('départements_edition'!$C$2:$C$102 , 'départements_edition'!$C$2:$C$102=J231 ) ) ) , ""Oui"" , ""Non"" )"),"Oui")</f>
        <v>Oui</v>
      </c>
      <c r="L231" s="1" t="str">
        <f t="shared" si="2"/>
        <v>France</v>
      </c>
      <c r="M231" s="1">
        <v>62.0</v>
      </c>
      <c r="N231" s="1" t="s">
        <v>427</v>
      </c>
      <c r="O231" s="1">
        <v>1.0</v>
      </c>
      <c r="P231" s="2">
        <v>42907.0</v>
      </c>
      <c r="R231" s="1">
        <v>0.0</v>
      </c>
      <c r="S231" s="1" t="s">
        <v>280</v>
      </c>
      <c r="T231" s="1" t="s">
        <v>281</v>
      </c>
      <c r="U231" s="1" t="s">
        <v>2425</v>
      </c>
      <c r="X231" s="1" t="s">
        <v>234</v>
      </c>
      <c r="Y231" s="1">
        <v>171.0</v>
      </c>
      <c r="Z231" s="3" t="s">
        <v>2426</v>
      </c>
      <c r="AA231" s="1">
        <v>720652.0</v>
      </c>
      <c r="AB231" s="1" t="s">
        <v>2427</v>
      </c>
      <c r="AC231" s="3" t="s">
        <v>2428</v>
      </c>
      <c r="AD231" s="3" t="s">
        <v>2429</v>
      </c>
      <c r="AE231" s="1">
        <v>1.0</v>
      </c>
      <c r="AF231" s="1" t="s">
        <v>2430</v>
      </c>
      <c r="AG231" s="1">
        <v>21.0</v>
      </c>
      <c r="AH231" s="1">
        <v>31.0</v>
      </c>
      <c r="AI231" s="1">
        <v>19.0</v>
      </c>
      <c r="AJ231" s="1">
        <v>20.0</v>
      </c>
      <c r="AK231" s="1">
        <v>6.0</v>
      </c>
      <c r="AL231" s="1">
        <v>8.0</v>
      </c>
      <c r="AM231" s="1">
        <v>208.0</v>
      </c>
      <c r="AN231" s="1">
        <v>22.0</v>
      </c>
      <c r="AO231" s="1">
        <v>0.0</v>
      </c>
      <c r="AP231" s="1">
        <v>0.0</v>
      </c>
      <c r="AQ231" s="1">
        <v>5.0</v>
      </c>
      <c r="AR231" s="1">
        <v>2.0</v>
      </c>
      <c r="AS231" s="1">
        <v>1.0</v>
      </c>
    </row>
    <row r="232" hidden="1">
      <c r="A232" s="1">
        <v>30.0</v>
      </c>
      <c r="B232" s="1" t="s">
        <v>2431</v>
      </c>
      <c r="C232" s="1" t="s">
        <v>2432</v>
      </c>
      <c r="D232" s="1" t="s">
        <v>522</v>
      </c>
      <c r="E232" s="1" t="s">
        <v>43</v>
      </c>
      <c r="F232" s="2">
        <v>24564.0</v>
      </c>
      <c r="G232" s="1">
        <f t="shared" si="1"/>
        <v>59</v>
      </c>
      <c r="H232" s="1" t="s">
        <v>1772</v>
      </c>
      <c r="I232" s="1" t="str">
        <f>IFERROR(__xludf.DUMMYFUNCTION("SPLIT(left(H232,len(H232)-1),""("")"),"Perpignan ")</f>
        <v>Perpignan </v>
      </c>
      <c r="J232" s="1" t="str">
        <f>IFERROR(__xludf.DUMMYFUNCTION("""COMPUTED_VALUE"""),"Pyrénées-Orientales")</f>
        <v>Pyrénées-Orientales</v>
      </c>
      <c r="K232" s="1" t="str">
        <f>IFERROR(__xludf.DUMMYFUNCTION("IF( COUNTA( IFERROR( FILTER('départements_edition'!$C$2:$C$102 , 'départements_edition'!$C$2:$C$102=J232 ) ) ) , ""Oui"" , ""Non"" )"),"Oui")</f>
        <v>Oui</v>
      </c>
      <c r="L232" s="1" t="str">
        <f t="shared" si="2"/>
        <v>France</v>
      </c>
      <c r="M232" s="1">
        <v>34.0</v>
      </c>
      <c r="N232" s="1" t="s">
        <v>1252</v>
      </c>
      <c r="O232" s="1">
        <v>7.0</v>
      </c>
      <c r="P232" s="2">
        <v>42907.0</v>
      </c>
      <c r="R232" s="1">
        <v>0.0</v>
      </c>
      <c r="S232" s="1" t="s">
        <v>75</v>
      </c>
      <c r="T232" s="1" t="s">
        <v>76</v>
      </c>
      <c r="U232" s="1" t="s">
        <v>2433</v>
      </c>
      <c r="X232" s="1" t="s">
        <v>2434</v>
      </c>
      <c r="Y232" s="1">
        <v>312.0</v>
      </c>
      <c r="Z232" s="3" t="s">
        <v>2435</v>
      </c>
      <c r="AA232" s="1">
        <v>719616.0</v>
      </c>
      <c r="AB232" s="1" t="s">
        <v>2436</v>
      </c>
      <c r="AC232" s="3" t="s">
        <v>2437</v>
      </c>
      <c r="AD232" s="3" t="s">
        <v>2438</v>
      </c>
      <c r="AE232" s="1">
        <v>1.0</v>
      </c>
      <c r="AF232" s="1" t="s">
        <v>2439</v>
      </c>
      <c r="AG232" s="1">
        <v>21.0</v>
      </c>
      <c r="AH232" s="1">
        <v>41.0</v>
      </c>
      <c r="AI232" s="1">
        <v>25.0</v>
      </c>
      <c r="AJ232" s="1">
        <v>32.0</v>
      </c>
      <c r="AK232" s="1">
        <v>9.0</v>
      </c>
      <c r="AL232" s="1">
        <v>27.0</v>
      </c>
      <c r="AM232" s="1">
        <v>91.0</v>
      </c>
      <c r="AN232" s="1">
        <v>52.0</v>
      </c>
      <c r="AO232" s="1">
        <v>2.0</v>
      </c>
      <c r="AP232" s="1">
        <v>0.0</v>
      </c>
      <c r="AQ232" s="1">
        <v>5.0</v>
      </c>
      <c r="AR232" s="1">
        <v>4.0</v>
      </c>
      <c r="AS232" s="1">
        <v>1.0</v>
      </c>
    </row>
    <row r="233" hidden="1">
      <c r="A233" s="1">
        <v>284.0</v>
      </c>
      <c r="B233" s="1" t="s">
        <v>2440</v>
      </c>
      <c r="C233" s="1" t="s">
        <v>2441</v>
      </c>
      <c r="D233" s="1" t="s">
        <v>705</v>
      </c>
      <c r="E233" s="1" t="s">
        <v>43</v>
      </c>
      <c r="F233" s="2">
        <v>25534.0</v>
      </c>
      <c r="G233" s="1">
        <f t="shared" si="1"/>
        <v>56</v>
      </c>
      <c r="H233" s="1" t="s">
        <v>2442</v>
      </c>
      <c r="I233" s="1" t="str">
        <f>IFERROR(__xludf.DUMMYFUNCTION("SPLIT(left(H233,len(H233)-1),""("")"),"Rodez ")</f>
        <v>Rodez </v>
      </c>
      <c r="J233" s="1" t="str">
        <f>IFERROR(__xludf.DUMMYFUNCTION("""COMPUTED_VALUE"""),"Aveyron")</f>
        <v>Aveyron</v>
      </c>
      <c r="K233" s="1" t="str">
        <f>IFERROR(__xludf.DUMMYFUNCTION("IF( COUNTA( IFERROR( FILTER('départements_edition'!$C$2:$C$102 , 'départements_edition'!$C$2:$C$102=J233 ) ) ) , ""Oui"" , ""Non"" )"),"Oui")</f>
        <v>Oui</v>
      </c>
      <c r="L233" s="1" t="str">
        <f t="shared" si="2"/>
        <v>France</v>
      </c>
      <c r="M233" s="1">
        <v>69.0</v>
      </c>
      <c r="N233" s="1" t="s">
        <v>1363</v>
      </c>
      <c r="O233" s="1">
        <v>11.0</v>
      </c>
      <c r="P233" s="2">
        <v>42907.0</v>
      </c>
      <c r="R233" s="1">
        <v>0.0</v>
      </c>
      <c r="S233" s="1" t="s">
        <v>75</v>
      </c>
      <c r="T233" s="1" t="s">
        <v>76</v>
      </c>
      <c r="U233" s="3" t="s">
        <v>2443</v>
      </c>
      <c r="X233" s="1" t="s">
        <v>1592</v>
      </c>
      <c r="Y233" s="1">
        <v>374.0</v>
      </c>
      <c r="Z233" s="3" t="s">
        <v>2444</v>
      </c>
      <c r="AA233" s="1">
        <v>722366.0</v>
      </c>
      <c r="AB233" s="1" t="s">
        <v>2445</v>
      </c>
      <c r="AC233" s="3" t="s">
        <v>2446</v>
      </c>
      <c r="AD233" s="3" t="s">
        <v>2447</v>
      </c>
      <c r="AE233" s="1">
        <v>1.0</v>
      </c>
      <c r="AF233" s="1" t="s">
        <v>2448</v>
      </c>
      <c r="AG233" s="1">
        <v>21.0</v>
      </c>
      <c r="AH233" s="1">
        <v>34.0</v>
      </c>
      <c r="AI233" s="1">
        <v>13.0</v>
      </c>
      <c r="AJ233" s="1">
        <v>23.0</v>
      </c>
      <c r="AK233" s="1">
        <v>7.0</v>
      </c>
      <c r="AL233" s="1">
        <v>0.0</v>
      </c>
      <c r="AM233" s="1">
        <v>115.0</v>
      </c>
      <c r="AN233" s="1">
        <v>50.0</v>
      </c>
      <c r="AO233" s="1">
        <v>0.0</v>
      </c>
      <c r="AP233" s="1">
        <v>0.0</v>
      </c>
      <c r="AQ233" s="1">
        <v>6.0</v>
      </c>
      <c r="AR233" s="1">
        <v>5.0</v>
      </c>
      <c r="AS233" s="1">
        <v>3.0</v>
      </c>
    </row>
    <row r="234" hidden="1">
      <c r="A234" s="1">
        <v>476.0</v>
      </c>
      <c r="B234" s="1" t="s">
        <v>2449</v>
      </c>
      <c r="C234" s="1" t="s">
        <v>2450</v>
      </c>
      <c r="D234" s="1" t="s">
        <v>2451</v>
      </c>
      <c r="E234" s="1" t="s">
        <v>58</v>
      </c>
      <c r="F234" s="2">
        <v>26121.0</v>
      </c>
      <c r="G234" s="1">
        <f t="shared" si="1"/>
        <v>55</v>
      </c>
      <c r="H234" s="1" t="s">
        <v>2452</v>
      </c>
      <c r="I234" s="1" t="str">
        <f>IFERROR(__xludf.DUMMYFUNCTION("SPLIT(left(H234,len(H234)-1),""("")"),"Paris 13 ")</f>
        <v>Paris 13 </v>
      </c>
      <c r="J234" s="1" t="str">
        <f>IFERROR(__xludf.DUMMYFUNCTION("""COMPUTED_VALUE"""),"Paris")</f>
        <v>Paris</v>
      </c>
      <c r="K234" s="1" t="str">
        <f>IFERROR(__xludf.DUMMYFUNCTION("IF( COUNTA( IFERROR( FILTER('départements_edition'!$C$2:$C$102 , 'départements_edition'!$C$2:$C$102=J234 ) ) ) , ""Oui"" , ""Non"" )"),"Oui")</f>
        <v>Oui</v>
      </c>
      <c r="L234" s="1" t="str">
        <f t="shared" si="2"/>
        <v>France</v>
      </c>
      <c r="M234" s="1">
        <v>94.0</v>
      </c>
      <c r="N234" s="1" t="s">
        <v>642</v>
      </c>
      <c r="O234" s="1">
        <v>11.0</v>
      </c>
      <c r="P234" s="2">
        <v>42907.0</v>
      </c>
      <c r="R234" s="1">
        <v>0.0</v>
      </c>
      <c r="S234" s="1" t="s">
        <v>75</v>
      </c>
      <c r="T234" s="1" t="s">
        <v>76</v>
      </c>
      <c r="U234" s="1" t="s">
        <v>2453</v>
      </c>
      <c r="X234" s="1" t="s">
        <v>2454</v>
      </c>
      <c r="Y234" s="1">
        <v>216.0</v>
      </c>
      <c r="Z234" s="3" t="s">
        <v>2455</v>
      </c>
      <c r="AA234" s="1">
        <v>721246.0</v>
      </c>
      <c r="AB234" s="1" t="s">
        <v>2456</v>
      </c>
      <c r="AC234" s="3" t="s">
        <v>2457</v>
      </c>
      <c r="AD234" s="3" t="s">
        <v>2458</v>
      </c>
      <c r="AE234" s="1">
        <v>1.0</v>
      </c>
      <c r="AF234" s="1" t="s">
        <v>2459</v>
      </c>
      <c r="AG234" s="1">
        <v>21.0</v>
      </c>
      <c r="AH234" s="1">
        <v>51.0</v>
      </c>
      <c r="AI234" s="1">
        <v>13.0</v>
      </c>
      <c r="AJ234" s="1">
        <v>7.0</v>
      </c>
      <c r="AK234" s="1">
        <v>2.0</v>
      </c>
      <c r="AL234" s="1">
        <v>0.0</v>
      </c>
      <c r="AM234" s="1">
        <v>60.0</v>
      </c>
      <c r="AN234" s="1">
        <v>27.0</v>
      </c>
      <c r="AO234" s="1">
        <v>1.0</v>
      </c>
      <c r="AP234" s="1">
        <v>0.0</v>
      </c>
      <c r="AQ234" s="1">
        <v>5.0</v>
      </c>
      <c r="AR234" s="1">
        <v>4.0</v>
      </c>
      <c r="AS234" s="1">
        <v>0.0</v>
      </c>
    </row>
    <row r="235" hidden="1">
      <c r="A235" s="1">
        <v>475.0</v>
      </c>
      <c r="B235" s="1" t="s">
        <v>2460</v>
      </c>
      <c r="C235" s="1" t="s">
        <v>2461</v>
      </c>
      <c r="D235" s="1" t="s">
        <v>2155</v>
      </c>
      <c r="E235" s="1" t="s">
        <v>58</v>
      </c>
      <c r="F235" s="2">
        <v>20705.0</v>
      </c>
      <c r="G235" s="1">
        <f t="shared" si="1"/>
        <v>69</v>
      </c>
      <c r="H235" s="1" t="s">
        <v>2462</v>
      </c>
      <c r="I235" s="1" t="str">
        <f>IFERROR(__xludf.DUMMYFUNCTION("SPLIT(left(H235,len(H235)-1),""("")"),"Audincourt ")</f>
        <v>Audincourt </v>
      </c>
      <c r="J235" s="1" t="str">
        <f>IFERROR(__xludf.DUMMYFUNCTION("""COMPUTED_VALUE"""),"Doubs")</f>
        <v>Doubs</v>
      </c>
      <c r="K235" s="1" t="str">
        <f>IFERROR(__xludf.DUMMYFUNCTION("IF( COUNTA( IFERROR( FILTER('départements_edition'!$C$2:$C$102 , 'départements_edition'!$C$2:$C$102=J235 ) ) ) , ""Oui"" , ""Non"" )"),"Oui")</f>
        <v>Oui</v>
      </c>
      <c r="L235" s="1" t="str">
        <f t="shared" si="2"/>
        <v>France</v>
      </c>
      <c r="M235" s="1">
        <v>25.0</v>
      </c>
      <c r="N235" s="1" t="s">
        <v>149</v>
      </c>
      <c r="O235" s="1">
        <v>5.0</v>
      </c>
      <c r="P235" s="2">
        <v>42907.0</v>
      </c>
      <c r="R235" s="1">
        <v>0.0</v>
      </c>
      <c r="S235" s="1" t="s">
        <v>61</v>
      </c>
      <c r="T235" s="1" t="s">
        <v>62</v>
      </c>
      <c r="U235" s="1" t="s">
        <v>2463</v>
      </c>
      <c r="X235" s="1" t="s">
        <v>1979</v>
      </c>
      <c r="Y235" s="1">
        <v>90.0</v>
      </c>
      <c r="Z235" s="3" t="s">
        <v>2464</v>
      </c>
      <c r="AA235" s="1">
        <v>605991.0</v>
      </c>
      <c r="AB235" s="1" t="s">
        <v>2465</v>
      </c>
      <c r="AC235" s="3" t="s">
        <v>2466</v>
      </c>
      <c r="AD235" s="3" t="s">
        <v>2467</v>
      </c>
      <c r="AE235" s="1">
        <v>2.0</v>
      </c>
      <c r="AF235" s="1" t="s">
        <v>2468</v>
      </c>
      <c r="AG235" s="1">
        <v>21.0</v>
      </c>
      <c r="AH235" s="1">
        <v>30.0</v>
      </c>
      <c r="AI235" s="1">
        <v>25.0</v>
      </c>
      <c r="AJ235" s="1">
        <v>383.0</v>
      </c>
      <c r="AK235" s="1">
        <v>1772.0</v>
      </c>
      <c r="AL235" s="1">
        <v>66.0</v>
      </c>
      <c r="AM235" s="1">
        <v>780.0</v>
      </c>
      <c r="AN235" s="1">
        <v>32.0</v>
      </c>
      <c r="AO235" s="1">
        <v>0.0</v>
      </c>
      <c r="AP235" s="1">
        <v>5.0</v>
      </c>
      <c r="AQ235" s="1">
        <v>77.0</v>
      </c>
      <c r="AR235" s="1">
        <v>12.0</v>
      </c>
      <c r="AS235" s="1">
        <v>1.0</v>
      </c>
    </row>
    <row r="236" hidden="1">
      <c r="A236" s="1">
        <v>47.0</v>
      </c>
      <c r="B236" s="1" t="s">
        <v>2469</v>
      </c>
      <c r="C236" s="1" t="s">
        <v>2470</v>
      </c>
      <c r="D236" s="1" t="s">
        <v>42</v>
      </c>
      <c r="E236" s="1" t="s">
        <v>43</v>
      </c>
      <c r="F236" s="2">
        <v>24403.0</v>
      </c>
      <c r="G236" s="1">
        <f t="shared" si="1"/>
        <v>59</v>
      </c>
      <c r="H236" s="1" t="s">
        <v>2471</v>
      </c>
      <c r="I236" s="1" t="str">
        <f>IFERROR(__xludf.DUMMYFUNCTION("SPLIT(left(H236,len(H236)-1),""("")"),"Carentan ")</f>
        <v>Carentan </v>
      </c>
      <c r="J236" s="1" t="str">
        <f>IFERROR(__xludf.DUMMYFUNCTION("""COMPUTED_VALUE"""),"Manche")</f>
        <v>Manche</v>
      </c>
      <c r="K236" s="1" t="str">
        <f>IFERROR(__xludf.DUMMYFUNCTION("IF( COUNTA( IFERROR( FILTER('départements_edition'!$C$2:$C$102 , 'départements_edition'!$C$2:$C$102=J236 ) ) ) , ""Oui"" , ""Non"" )"),"Oui")</f>
        <v>Oui</v>
      </c>
      <c r="L236" s="1" t="str">
        <f t="shared" si="2"/>
        <v>France</v>
      </c>
      <c r="M236" s="1">
        <v>50.0</v>
      </c>
      <c r="N236" s="1" t="s">
        <v>2472</v>
      </c>
      <c r="O236" s="1">
        <v>1.0</v>
      </c>
      <c r="P236" s="2">
        <v>42907.0</v>
      </c>
      <c r="R236" s="1">
        <v>0.0</v>
      </c>
      <c r="S236" s="1" t="s">
        <v>61</v>
      </c>
      <c r="T236" s="1" t="s">
        <v>62</v>
      </c>
      <c r="U236" s="1" t="s">
        <v>2473</v>
      </c>
      <c r="X236" s="1" t="s">
        <v>2474</v>
      </c>
      <c r="Y236" s="1">
        <v>27.0</v>
      </c>
      <c r="Z236" s="3" t="s">
        <v>2475</v>
      </c>
      <c r="AA236" s="1">
        <v>266797.0</v>
      </c>
      <c r="AB236" s="1" t="s">
        <v>2476</v>
      </c>
      <c r="AC236" s="3" t="s">
        <v>2477</v>
      </c>
      <c r="AD236" s="3" t="s">
        <v>2478</v>
      </c>
      <c r="AE236" s="1">
        <v>2.0</v>
      </c>
      <c r="AF236" s="1" t="s">
        <v>2479</v>
      </c>
      <c r="AG236" s="1">
        <v>21.0</v>
      </c>
      <c r="AH236" s="1">
        <v>40.0</v>
      </c>
      <c r="AI236" s="1">
        <v>109.0</v>
      </c>
      <c r="AJ236" s="1">
        <v>150.0</v>
      </c>
      <c r="AK236" s="1">
        <v>392.0</v>
      </c>
      <c r="AL236" s="1">
        <v>143.0</v>
      </c>
      <c r="AM236" s="1">
        <v>1176.0</v>
      </c>
      <c r="AN236" s="1">
        <v>50.0</v>
      </c>
      <c r="AO236" s="1">
        <v>0.0</v>
      </c>
      <c r="AP236" s="1">
        <v>2.0</v>
      </c>
      <c r="AQ236" s="1">
        <v>60.0</v>
      </c>
      <c r="AR236" s="1">
        <v>15.0</v>
      </c>
      <c r="AS236" s="1">
        <v>1.0</v>
      </c>
    </row>
    <row r="237" hidden="1">
      <c r="A237" s="1">
        <v>388.0</v>
      </c>
      <c r="B237" s="1" t="s">
        <v>2480</v>
      </c>
      <c r="C237" s="1" t="s">
        <v>2481</v>
      </c>
      <c r="D237" s="1" t="s">
        <v>2482</v>
      </c>
      <c r="E237" s="1" t="s">
        <v>58</v>
      </c>
      <c r="F237" s="2">
        <v>28763.0</v>
      </c>
      <c r="G237" s="1">
        <f t="shared" si="1"/>
        <v>47</v>
      </c>
      <c r="H237" s="1" t="s">
        <v>207</v>
      </c>
      <c r="I237" s="1" t="str">
        <f>IFERROR(__xludf.DUMMYFUNCTION("SPLIT(left(H237,len(H237)-1),""("")"),"Paris ")</f>
        <v>Paris </v>
      </c>
      <c r="J237" s="1" t="str">
        <f>IFERROR(__xludf.DUMMYFUNCTION("""COMPUTED_VALUE"""),"Paris")</f>
        <v>Paris</v>
      </c>
      <c r="K237" s="1" t="str">
        <f>IFERROR(__xludf.DUMMYFUNCTION("IF( COUNTA( IFERROR( FILTER('départements_edition'!$C$2:$C$102 , 'départements_edition'!$C$2:$C$102=J237 ) ) ) , ""Oui"" , ""Non"" )"),"Oui")</f>
        <v>Oui</v>
      </c>
      <c r="L237" s="1" t="str">
        <f t="shared" si="2"/>
        <v>France</v>
      </c>
      <c r="M237" s="1">
        <v>75.0</v>
      </c>
      <c r="N237" s="1" t="s">
        <v>232</v>
      </c>
      <c r="O237" s="1">
        <v>12.0</v>
      </c>
      <c r="P237" s="2">
        <v>42907.0</v>
      </c>
      <c r="R237" s="1">
        <v>0.0</v>
      </c>
      <c r="S237" s="1" t="s">
        <v>75</v>
      </c>
      <c r="T237" s="1" t="s">
        <v>76</v>
      </c>
      <c r="U237" s="1" t="s">
        <v>2483</v>
      </c>
      <c r="X237" s="1" t="s">
        <v>2484</v>
      </c>
      <c r="Y237" s="1">
        <v>284.0</v>
      </c>
      <c r="Z237" s="3" t="s">
        <v>2485</v>
      </c>
      <c r="AA237" s="1">
        <v>721764.0</v>
      </c>
      <c r="AB237" s="1" t="s">
        <v>2486</v>
      </c>
      <c r="AC237" s="3" t="s">
        <v>2487</v>
      </c>
      <c r="AD237" s="3" t="s">
        <v>2488</v>
      </c>
      <c r="AE237" s="1">
        <v>1.0</v>
      </c>
      <c r="AF237" s="1" t="s">
        <v>2489</v>
      </c>
      <c r="AG237" s="1">
        <v>21.0</v>
      </c>
      <c r="AH237" s="1">
        <v>47.0</v>
      </c>
      <c r="AI237" s="1">
        <v>14.0</v>
      </c>
      <c r="AJ237" s="1">
        <v>52.0</v>
      </c>
      <c r="AK237" s="1">
        <v>25.0</v>
      </c>
      <c r="AL237" s="1">
        <v>4.0</v>
      </c>
      <c r="AM237" s="1">
        <v>168.0</v>
      </c>
      <c r="AN237" s="1">
        <v>111.0</v>
      </c>
      <c r="AO237" s="1">
        <v>1.0</v>
      </c>
      <c r="AP237" s="1">
        <v>0.0</v>
      </c>
      <c r="AQ237" s="1">
        <v>6.0</v>
      </c>
      <c r="AR237" s="1">
        <v>1.0</v>
      </c>
      <c r="AS237" s="1">
        <v>0.0</v>
      </c>
    </row>
    <row r="238" hidden="1">
      <c r="A238" s="1">
        <v>146.0</v>
      </c>
      <c r="B238" s="1" t="s">
        <v>2490</v>
      </c>
      <c r="C238" s="1" t="s">
        <v>2491</v>
      </c>
      <c r="D238" s="1" t="s">
        <v>2492</v>
      </c>
      <c r="E238" s="1" t="s">
        <v>43</v>
      </c>
      <c r="F238" s="2">
        <v>24181.0</v>
      </c>
      <c r="G238" s="1">
        <f t="shared" si="1"/>
        <v>60</v>
      </c>
      <c r="H238" s="1" t="s">
        <v>2493</v>
      </c>
      <c r="I238" s="1" t="str">
        <f>IFERROR(__xludf.DUMMYFUNCTION("SPLIT(left(H238,len(H238)-1),""("")"),"Mans ")</f>
        <v>Mans </v>
      </c>
      <c r="J238" s="1" t="str">
        <f>IFERROR(__xludf.DUMMYFUNCTION("""COMPUTED_VALUE"""),"Sarthe")</f>
        <v>Sarthe</v>
      </c>
      <c r="K238" s="1" t="str">
        <f>IFERROR(__xludf.DUMMYFUNCTION("IF( COUNTA( IFERROR( FILTER('départements_edition'!$C$2:$C$102 , 'départements_edition'!$C$2:$C$102=J238 ) ) ) , ""Oui"" , ""Non"" )"),"Oui")</f>
        <v>Oui</v>
      </c>
      <c r="L238" s="1" t="str">
        <f t="shared" si="2"/>
        <v>France</v>
      </c>
      <c r="M238" s="1">
        <v>72.0</v>
      </c>
      <c r="N238" s="1" t="s">
        <v>2494</v>
      </c>
      <c r="O238" s="1">
        <v>5.0</v>
      </c>
      <c r="P238" s="2">
        <v>42907.0</v>
      </c>
      <c r="R238" s="1">
        <v>0.0</v>
      </c>
      <c r="S238" s="1" t="s">
        <v>61</v>
      </c>
      <c r="T238" s="1" t="s">
        <v>62</v>
      </c>
      <c r="U238" s="1" t="s">
        <v>2495</v>
      </c>
      <c r="X238" s="1" t="s">
        <v>304</v>
      </c>
      <c r="Y238" s="1">
        <v>71.0</v>
      </c>
      <c r="Z238" s="3" t="s">
        <v>2496</v>
      </c>
      <c r="AA238" s="1">
        <v>267318.0</v>
      </c>
      <c r="AB238" s="1" t="s">
        <v>2497</v>
      </c>
      <c r="AC238" s="3" t="s">
        <v>2498</v>
      </c>
      <c r="AD238" s="3" t="s">
        <v>2499</v>
      </c>
      <c r="AE238" s="1">
        <v>1.0</v>
      </c>
      <c r="AF238" s="1" t="s">
        <v>2500</v>
      </c>
      <c r="AG238" s="1">
        <v>21.0</v>
      </c>
      <c r="AH238" s="1">
        <v>32.0</v>
      </c>
      <c r="AI238" s="1">
        <v>14.0</v>
      </c>
      <c r="AJ238" s="1">
        <v>22.0</v>
      </c>
      <c r="AK238" s="1">
        <v>3.0</v>
      </c>
      <c r="AL238" s="1">
        <v>11.0</v>
      </c>
      <c r="AM238" s="1">
        <v>696.0</v>
      </c>
      <c r="AN238" s="1">
        <v>29.0</v>
      </c>
      <c r="AO238" s="1">
        <v>0.0</v>
      </c>
      <c r="AP238" s="1">
        <v>2.0</v>
      </c>
      <c r="AQ238" s="1">
        <v>61.0</v>
      </c>
      <c r="AR238" s="1">
        <v>19.0</v>
      </c>
      <c r="AS238" s="1">
        <v>0.0</v>
      </c>
    </row>
    <row r="239" hidden="1">
      <c r="A239" s="1">
        <v>229.0</v>
      </c>
      <c r="B239" s="1" t="s">
        <v>2501</v>
      </c>
      <c r="C239" s="1" t="s">
        <v>2502</v>
      </c>
      <c r="D239" s="1" t="s">
        <v>2503</v>
      </c>
      <c r="E239" s="1" t="s">
        <v>58</v>
      </c>
      <c r="F239" s="2">
        <v>28066.0</v>
      </c>
      <c r="G239" s="1">
        <f t="shared" si="1"/>
        <v>49</v>
      </c>
      <c r="H239" s="1" t="s">
        <v>1731</v>
      </c>
      <c r="I239" s="1" t="str">
        <f>IFERROR(__xludf.DUMMYFUNCTION("SPLIT(left(H239,len(H239)-1),""("")"),"Amiens ")</f>
        <v>Amiens </v>
      </c>
      <c r="J239" s="1" t="str">
        <f>IFERROR(__xludf.DUMMYFUNCTION("""COMPUTED_VALUE"""),"Somme")</f>
        <v>Somme</v>
      </c>
      <c r="K239" s="1" t="str">
        <f>IFERROR(__xludf.DUMMYFUNCTION("IF( COUNTA( IFERROR( FILTER('départements_edition'!$C$2:$C$102 , 'départements_edition'!$C$2:$C$102=J239 ) ) ) , ""Oui"" , ""Non"" )"),"Oui")</f>
        <v>Oui</v>
      </c>
      <c r="L239" s="1" t="str">
        <f t="shared" si="2"/>
        <v>France</v>
      </c>
      <c r="M239" s="1">
        <v>91.0</v>
      </c>
      <c r="N239" s="1" t="s">
        <v>610</v>
      </c>
      <c r="O239" s="1">
        <v>9.0</v>
      </c>
      <c r="P239" s="2">
        <v>42907.0</v>
      </c>
      <c r="R239" s="1">
        <v>0.0</v>
      </c>
      <c r="S239" s="1" t="s">
        <v>75</v>
      </c>
      <c r="T239" s="1" t="s">
        <v>76</v>
      </c>
      <c r="U239" s="1" t="s">
        <v>2504</v>
      </c>
      <c r="X239" s="1" t="s">
        <v>2505</v>
      </c>
      <c r="Y239" s="1">
        <v>307.0</v>
      </c>
      <c r="Z239" s="3" t="s">
        <v>2506</v>
      </c>
      <c r="AA239" s="1">
        <v>721880.0</v>
      </c>
      <c r="AB239" s="1" t="s">
        <v>2507</v>
      </c>
      <c r="AC239" s="3" t="s">
        <v>2508</v>
      </c>
      <c r="AD239" s="3" t="s">
        <v>2509</v>
      </c>
      <c r="AE239" s="1">
        <v>1.0</v>
      </c>
      <c r="AF239" s="1" t="s">
        <v>2510</v>
      </c>
      <c r="AG239" s="1">
        <v>21.0</v>
      </c>
      <c r="AH239" s="1">
        <v>33.0</v>
      </c>
      <c r="AI239" s="1">
        <v>17.0</v>
      </c>
      <c r="AJ239" s="1">
        <v>47.0</v>
      </c>
      <c r="AK239" s="1">
        <v>9.0</v>
      </c>
      <c r="AL239" s="1">
        <v>12.0</v>
      </c>
      <c r="AM239" s="1">
        <v>76.0</v>
      </c>
      <c r="AN239" s="1">
        <v>30.0</v>
      </c>
      <c r="AO239" s="1">
        <v>0.0</v>
      </c>
      <c r="AP239" s="1">
        <v>0.0</v>
      </c>
      <c r="AQ239" s="1">
        <v>5.0</v>
      </c>
      <c r="AR239" s="1">
        <v>3.0</v>
      </c>
      <c r="AS239" s="1">
        <v>2.0</v>
      </c>
    </row>
    <row r="240" hidden="1">
      <c r="A240" s="1">
        <v>104.0</v>
      </c>
      <c r="B240" s="1" t="s">
        <v>2511</v>
      </c>
      <c r="C240" s="1" t="s">
        <v>2512</v>
      </c>
      <c r="D240" s="1" t="s">
        <v>112</v>
      </c>
      <c r="E240" s="1" t="s">
        <v>58</v>
      </c>
      <c r="F240" s="2">
        <v>20324.0</v>
      </c>
      <c r="G240" s="1">
        <f t="shared" si="1"/>
        <v>70</v>
      </c>
      <c r="H240" s="1" t="s">
        <v>2513</v>
      </c>
      <c r="I240" s="1" t="str">
        <f>IFERROR(__xludf.DUMMYFUNCTION("SPLIT(left(H240,len(H240)-1),""("")"),"Roubaix ")</f>
        <v>Roubaix </v>
      </c>
      <c r="J240" s="1" t="str">
        <f>IFERROR(__xludf.DUMMYFUNCTION("""COMPUTED_VALUE"""),"Nord")</f>
        <v>Nord</v>
      </c>
      <c r="K240" s="1" t="str">
        <f>IFERROR(__xludf.DUMMYFUNCTION("IF( COUNTA( IFERROR( FILTER('départements_edition'!$C$2:$C$102 , 'départements_edition'!$C$2:$C$102=J240 ) ) ) , ""Oui"" , ""Non"" )"),"Oui")</f>
        <v>Oui</v>
      </c>
      <c r="L240" s="1" t="str">
        <f t="shared" si="2"/>
        <v>France</v>
      </c>
      <c r="M240" s="1">
        <v>92.0</v>
      </c>
      <c r="N240" s="1" t="s">
        <v>781</v>
      </c>
      <c r="O240" s="1">
        <v>3.0</v>
      </c>
      <c r="P240" s="2">
        <v>42907.0</v>
      </c>
      <c r="R240" s="1">
        <v>0.0</v>
      </c>
      <c r="S240" s="1" t="s">
        <v>75</v>
      </c>
      <c r="T240" s="1" t="s">
        <v>76</v>
      </c>
      <c r="U240" s="1" t="s">
        <v>2514</v>
      </c>
      <c r="X240" s="1" t="s">
        <v>234</v>
      </c>
      <c r="Y240" s="1">
        <v>239.0</v>
      </c>
      <c r="Z240" s="3" t="s">
        <v>2515</v>
      </c>
      <c r="AA240" s="1">
        <v>722094.0</v>
      </c>
      <c r="AB240" s="1" t="s">
        <v>2516</v>
      </c>
      <c r="AC240" s="3" t="s">
        <v>2517</v>
      </c>
      <c r="AD240" s="3" t="s">
        <v>2518</v>
      </c>
      <c r="AE240" s="1">
        <v>1.0</v>
      </c>
      <c r="AF240" s="1" t="s">
        <v>2519</v>
      </c>
      <c r="AG240" s="1">
        <v>21.0</v>
      </c>
      <c r="AH240" s="1">
        <v>51.0</v>
      </c>
      <c r="AI240" s="1">
        <v>24.0</v>
      </c>
      <c r="AJ240" s="1">
        <v>13.0</v>
      </c>
      <c r="AK240" s="1">
        <v>5.0</v>
      </c>
      <c r="AL240" s="1">
        <v>6.0</v>
      </c>
      <c r="AM240" s="1">
        <v>61.0</v>
      </c>
      <c r="AN240" s="1">
        <v>28.0</v>
      </c>
      <c r="AO240" s="1">
        <v>2.0</v>
      </c>
      <c r="AP240" s="1">
        <v>0.0</v>
      </c>
      <c r="AQ240" s="1">
        <v>5.0</v>
      </c>
      <c r="AR240" s="1">
        <v>2.0</v>
      </c>
      <c r="AS240" s="1">
        <v>0.0</v>
      </c>
    </row>
    <row r="241" hidden="1">
      <c r="A241" s="1">
        <v>507.0</v>
      </c>
      <c r="B241" s="1" t="s">
        <v>2520</v>
      </c>
      <c r="C241" s="1" t="s">
        <v>2521</v>
      </c>
      <c r="D241" s="1" t="s">
        <v>2522</v>
      </c>
      <c r="E241" s="1" t="s">
        <v>43</v>
      </c>
      <c r="F241" s="2">
        <v>33281.0</v>
      </c>
      <c r="G241" s="1">
        <f t="shared" si="1"/>
        <v>35</v>
      </c>
      <c r="H241" s="1" t="s">
        <v>2513</v>
      </c>
      <c r="I241" s="1" t="str">
        <f>IFERROR(__xludf.DUMMYFUNCTION("SPLIT(left(H241,len(H241)-1),""("")"),"Roubaix ")</f>
        <v>Roubaix </v>
      </c>
      <c r="J241" s="1" t="str">
        <f>IFERROR(__xludf.DUMMYFUNCTION("""COMPUTED_VALUE"""),"Nord")</f>
        <v>Nord</v>
      </c>
      <c r="K241" s="1" t="str">
        <f>IFERROR(__xludf.DUMMYFUNCTION("IF( COUNTA( IFERROR( FILTER('départements_edition'!$C$2:$C$102 , 'départements_edition'!$C$2:$C$102=J241 ) ) ) , ""Oui"" , ""Non"" )"),"Oui")</f>
        <v>Oui</v>
      </c>
      <c r="L241" s="1" t="str">
        <f t="shared" si="2"/>
        <v>France</v>
      </c>
      <c r="M241" s="1">
        <v>59.0</v>
      </c>
      <c r="N241" s="1" t="s">
        <v>172</v>
      </c>
      <c r="O241" s="1">
        <v>17.0</v>
      </c>
      <c r="P241" s="2">
        <v>42907.0</v>
      </c>
      <c r="R241" s="1">
        <v>0.0</v>
      </c>
      <c r="S241" s="1" t="s">
        <v>75</v>
      </c>
      <c r="T241" s="1" t="s">
        <v>76</v>
      </c>
      <c r="U241" s="1" t="s">
        <v>2523</v>
      </c>
      <c r="X241" s="1" t="s">
        <v>1386</v>
      </c>
      <c r="Y241" s="1">
        <v>406.0</v>
      </c>
      <c r="Z241" s="3" t="s">
        <v>2524</v>
      </c>
      <c r="AA241" s="1">
        <v>720454.0</v>
      </c>
      <c r="AB241" s="1" t="s">
        <v>2525</v>
      </c>
      <c r="AC241" s="3" t="s">
        <v>2526</v>
      </c>
      <c r="AD241" s="3" t="s">
        <v>2527</v>
      </c>
      <c r="AE241" s="1">
        <v>1.0</v>
      </c>
      <c r="AF241" s="1" t="s">
        <v>2528</v>
      </c>
      <c r="AG241" s="1">
        <v>21.0</v>
      </c>
      <c r="AH241" s="1">
        <v>33.0</v>
      </c>
      <c r="AI241" s="1">
        <v>4.0</v>
      </c>
      <c r="AJ241" s="1">
        <v>8.0</v>
      </c>
      <c r="AK241" s="1">
        <v>2.0</v>
      </c>
      <c r="AL241" s="1">
        <v>0.0</v>
      </c>
      <c r="AM241" s="1">
        <v>63.0</v>
      </c>
      <c r="AN241" s="1">
        <v>25.0</v>
      </c>
      <c r="AO241" s="1">
        <v>0.0</v>
      </c>
      <c r="AP241" s="1">
        <v>0.0</v>
      </c>
      <c r="AQ241" s="1">
        <v>7.0</v>
      </c>
      <c r="AR241" s="1">
        <v>14.0</v>
      </c>
      <c r="AS241" s="1">
        <v>0.0</v>
      </c>
    </row>
    <row r="242" hidden="1">
      <c r="A242" s="1">
        <v>243.0</v>
      </c>
      <c r="B242" s="1" t="s">
        <v>2529</v>
      </c>
      <c r="C242" s="1" t="s">
        <v>2530</v>
      </c>
      <c r="D242" s="1" t="s">
        <v>380</v>
      </c>
      <c r="E242" s="1" t="s">
        <v>58</v>
      </c>
      <c r="F242" s="2">
        <v>30019.0</v>
      </c>
      <c r="G242" s="1">
        <f t="shared" si="1"/>
        <v>44</v>
      </c>
      <c r="H242" s="1" t="s">
        <v>1291</v>
      </c>
      <c r="I242" s="1" t="str">
        <f>IFERROR(__xludf.DUMMYFUNCTION("SPLIT(left(H242,len(H242)-1),""("")"),"Nantes ")</f>
        <v>Nantes </v>
      </c>
      <c r="J242" s="1" t="str">
        <f>IFERROR(__xludf.DUMMYFUNCTION("""COMPUTED_VALUE"""),"Loire-Atlantique")</f>
        <v>Loire-Atlantique</v>
      </c>
      <c r="K242" s="1" t="str">
        <f>IFERROR(__xludf.DUMMYFUNCTION("IF( COUNTA( IFERROR( FILTER('départements_edition'!$C$2:$C$102 , 'départements_edition'!$C$2:$C$102=J242 ) ) ) , ""Oui"" , ""Non"" )"),"Oui")</f>
        <v>Oui</v>
      </c>
      <c r="L242" s="1" t="str">
        <f t="shared" si="2"/>
        <v>France</v>
      </c>
      <c r="M242" s="1">
        <v>45.0</v>
      </c>
      <c r="N242" s="1" t="s">
        <v>2531</v>
      </c>
      <c r="O242" s="1">
        <v>2.0</v>
      </c>
      <c r="P242" s="2">
        <v>42907.0</v>
      </c>
      <c r="R242" s="1">
        <v>0.0</v>
      </c>
      <c r="S242" s="1" t="s">
        <v>75</v>
      </c>
      <c r="T242" s="1" t="s">
        <v>76</v>
      </c>
      <c r="U242" s="1" t="s">
        <v>2532</v>
      </c>
      <c r="X242" s="1" t="s">
        <v>162</v>
      </c>
      <c r="Y242" s="1">
        <v>277.0</v>
      </c>
      <c r="Z242" s="3" t="s">
        <v>2533</v>
      </c>
      <c r="AA242" s="1">
        <v>720074.0</v>
      </c>
      <c r="AB242" s="1" t="s">
        <v>2534</v>
      </c>
      <c r="AC242" s="3" t="s">
        <v>2535</v>
      </c>
      <c r="AD242" s="3" t="s">
        <v>2536</v>
      </c>
      <c r="AE242" s="1">
        <v>1.0</v>
      </c>
      <c r="AF242" s="1" t="s">
        <v>2537</v>
      </c>
      <c r="AG242" s="1">
        <v>21.0</v>
      </c>
      <c r="AH242" s="1">
        <v>39.0</v>
      </c>
      <c r="AI242" s="1">
        <v>10.0</v>
      </c>
      <c r="AJ242" s="1">
        <v>15.0</v>
      </c>
      <c r="AK242" s="1">
        <v>3.0</v>
      </c>
      <c r="AL242" s="1">
        <v>3.0</v>
      </c>
      <c r="AM242" s="1">
        <v>65.0</v>
      </c>
      <c r="AN242" s="1">
        <v>26.0</v>
      </c>
      <c r="AO242" s="1">
        <v>0.0</v>
      </c>
      <c r="AP242" s="1">
        <v>0.0</v>
      </c>
      <c r="AQ242" s="1">
        <v>5.0</v>
      </c>
      <c r="AR242" s="1">
        <v>18.0</v>
      </c>
      <c r="AS242" s="1">
        <v>0.0</v>
      </c>
    </row>
    <row r="243" hidden="1">
      <c r="A243" s="1">
        <v>333.0</v>
      </c>
      <c r="B243" s="1" t="s">
        <v>2559</v>
      </c>
      <c r="C243" s="1" t="s">
        <v>2560</v>
      </c>
      <c r="D243" s="1" t="s">
        <v>2561</v>
      </c>
      <c r="E243" s="1" t="s">
        <v>58</v>
      </c>
      <c r="F243" s="2">
        <v>31912.0</v>
      </c>
      <c r="G243" s="1">
        <f t="shared" si="1"/>
        <v>39</v>
      </c>
      <c r="H243" s="1" t="s">
        <v>2176</v>
      </c>
      <c r="I243" s="1" t="str">
        <f>IFERROR(__xludf.DUMMYFUNCTION("SPLIT(left(H243,len(H243)-1),""("")"),"Creil ")</f>
        <v>Creil </v>
      </c>
      <c r="J243" s="1" t="str">
        <f>IFERROR(__xludf.DUMMYFUNCTION("""COMPUTED_VALUE"""),"Oise")</f>
        <v>Oise</v>
      </c>
      <c r="K243" s="1" t="str">
        <f>IFERROR(__xludf.DUMMYFUNCTION("IF( COUNTA( IFERROR( FILTER('départements_edition'!$C$2:$C$102 , 'départements_edition'!$C$2:$C$102=J243 ) ) ) , ""Oui"" , ""Non"" )"),"Oui")</f>
        <v>Oui</v>
      </c>
      <c r="L243" s="1" t="str">
        <f t="shared" si="2"/>
        <v>France</v>
      </c>
      <c r="M243" s="1">
        <v>51.0</v>
      </c>
      <c r="N243" s="1" t="s">
        <v>208</v>
      </c>
      <c r="O243" s="1">
        <v>2.0</v>
      </c>
      <c r="P243" s="2">
        <v>42907.0</v>
      </c>
      <c r="R243" s="1">
        <v>0.0</v>
      </c>
      <c r="S243" s="1" t="s">
        <v>75</v>
      </c>
      <c r="T243" s="1" t="s">
        <v>76</v>
      </c>
      <c r="U243" s="1" t="s">
        <v>2562</v>
      </c>
      <c r="X243" s="1" t="s">
        <v>2563</v>
      </c>
      <c r="Y243" s="1">
        <v>643.0</v>
      </c>
      <c r="Z243" s="3" t="s">
        <v>2564</v>
      </c>
      <c r="AA243" s="1">
        <v>720214.0</v>
      </c>
      <c r="AB243" s="1" t="s">
        <v>2565</v>
      </c>
      <c r="AC243" s="3" t="s">
        <v>2566</v>
      </c>
      <c r="AD243" s="3" t="s">
        <v>2567</v>
      </c>
      <c r="AE243" s="1">
        <v>1.0</v>
      </c>
      <c r="AF243" s="1" t="s">
        <v>2568</v>
      </c>
      <c r="AG243" s="1">
        <v>21.0</v>
      </c>
      <c r="AH243" s="1">
        <v>38.0</v>
      </c>
      <c r="AI243" s="1">
        <v>3.0</v>
      </c>
      <c r="AJ243" s="1">
        <v>8.0</v>
      </c>
      <c r="AK243" s="1">
        <v>3.0</v>
      </c>
      <c r="AL243" s="1">
        <v>0.0</v>
      </c>
      <c r="AM243" s="1">
        <v>155.0</v>
      </c>
      <c r="AN243" s="1">
        <v>103.0</v>
      </c>
      <c r="AO243" s="1">
        <v>1.0</v>
      </c>
      <c r="AP243" s="1">
        <v>0.0</v>
      </c>
      <c r="AQ243" s="1">
        <v>5.0</v>
      </c>
      <c r="AR243" s="1">
        <v>10.0</v>
      </c>
      <c r="AS243" s="1">
        <v>0.0</v>
      </c>
    </row>
    <row r="244" hidden="1">
      <c r="A244" s="1">
        <v>163.0</v>
      </c>
      <c r="B244" s="1" t="s">
        <v>2569</v>
      </c>
      <c r="C244" s="1" t="s">
        <v>2570</v>
      </c>
      <c r="D244" s="1" t="s">
        <v>2503</v>
      </c>
      <c r="E244" s="1" t="s">
        <v>58</v>
      </c>
      <c r="F244" s="2">
        <v>33224.0</v>
      </c>
      <c r="G244" s="1">
        <f t="shared" si="1"/>
        <v>35</v>
      </c>
      <c r="H244" s="1" t="s">
        <v>2571</v>
      </c>
      <c r="I244" s="1" t="str">
        <f>IFERROR(__xludf.DUMMYFUNCTION("SPLIT(left(H244,len(H244)-1),""("")"),"Vernon ")</f>
        <v>Vernon </v>
      </c>
      <c r="J244" s="1" t="str">
        <f>IFERROR(__xludf.DUMMYFUNCTION("""COMPUTED_VALUE"""),"Eure")</f>
        <v>Eure</v>
      </c>
      <c r="K244" s="1" t="str">
        <f>IFERROR(__xludf.DUMMYFUNCTION("IF( COUNTA( IFERROR( FILTER('départements_edition'!$C$2:$C$102 , 'départements_edition'!$C$2:$C$102=J244 ) ) ) , ""Oui"" , ""Non"" )"),"Oui")</f>
        <v>Oui</v>
      </c>
      <c r="L244" s="1" t="str">
        <f t="shared" si="2"/>
        <v>France</v>
      </c>
      <c r="M244" s="1">
        <v>78.0</v>
      </c>
      <c r="N244" s="1" t="s">
        <v>74</v>
      </c>
      <c r="O244" s="1">
        <v>4.0</v>
      </c>
      <c r="P244" s="2">
        <v>42907.0</v>
      </c>
      <c r="R244" s="1">
        <v>0.0</v>
      </c>
      <c r="S244" s="1" t="s">
        <v>75</v>
      </c>
      <c r="T244" s="1" t="s">
        <v>76</v>
      </c>
      <c r="U244" s="1" t="s">
        <v>2572</v>
      </c>
      <c r="X244" s="1" t="s">
        <v>2573</v>
      </c>
      <c r="Y244" s="1">
        <v>338.0</v>
      </c>
      <c r="Z244" s="3" t="s">
        <v>2574</v>
      </c>
      <c r="AA244" s="1">
        <v>721852.0</v>
      </c>
      <c r="AB244" s="1" t="s">
        <v>2575</v>
      </c>
      <c r="AC244" s="3" t="s">
        <v>2576</v>
      </c>
      <c r="AD244" s="3" t="s">
        <v>2577</v>
      </c>
      <c r="AE244" s="1">
        <v>1.0</v>
      </c>
      <c r="AF244" s="1" t="s">
        <v>2578</v>
      </c>
      <c r="AG244" s="1">
        <v>21.0</v>
      </c>
      <c r="AH244" s="1">
        <v>44.0</v>
      </c>
      <c r="AI244" s="1">
        <v>12.0</v>
      </c>
      <c r="AJ244" s="1">
        <v>4.0</v>
      </c>
      <c r="AK244" s="1">
        <v>2.0</v>
      </c>
      <c r="AL244" s="1">
        <v>0.0</v>
      </c>
      <c r="AM244" s="1">
        <v>51.0</v>
      </c>
      <c r="AN244" s="1">
        <v>26.0</v>
      </c>
      <c r="AO244" s="1">
        <v>1.0</v>
      </c>
      <c r="AP244" s="1">
        <v>0.0</v>
      </c>
      <c r="AQ244" s="1">
        <v>5.0</v>
      </c>
      <c r="AR244" s="1">
        <v>0.0</v>
      </c>
      <c r="AS244" s="1">
        <v>1.0</v>
      </c>
    </row>
    <row r="245" hidden="1">
      <c r="A245" s="1">
        <v>283.0</v>
      </c>
      <c r="B245" s="1" t="s">
        <v>2579</v>
      </c>
      <c r="C245" s="1" t="s">
        <v>2580</v>
      </c>
      <c r="D245" s="1" t="s">
        <v>1453</v>
      </c>
      <c r="E245" s="1" t="s">
        <v>58</v>
      </c>
      <c r="F245" s="2">
        <v>24702.0</v>
      </c>
      <c r="G245" s="1">
        <f t="shared" si="1"/>
        <v>58</v>
      </c>
      <c r="H245" s="1" t="s">
        <v>2581</v>
      </c>
      <c r="I245" s="1" t="str">
        <f>IFERROR(__xludf.DUMMYFUNCTION("SPLIT(left(H245,len(H245)-1),""("")"),"Melun ")</f>
        <v>Melun </v>
      </c>
      <c r="J245" s="1" t="str">
        <f>IFERROR(__xludf.DUMMYFUNCTION("""COMPUTED_VALUE"""),"Seine-et-Marne")</f>
        <v>Seine-et-Marne</v>
      </c>
      <c r="K245" s="1" t="str">
        <f>IFERROR(__xludf.DUMMYFUNCTION("IF( COUNTA( IFERROR( FILTER('départements_edition'!$C$2:$C$102 , 'départements_edition'!$C$2:$C$102=J245 ) ) ) , ""Oui"" , ""Non"" )"),"Oui")</f>
        <v>Oui</v>
      </c>
      <c r="L245" s="1" t="str">
        <f t="shared" si="2"/>
        <v>France</v>
      </c>
      <c r="M245" s="1">
        <v>77.0</v>
      </c>
      <c r="N245" s="1" t="s">
        <v>503</v>
      </c>
      <c r="O245" s="1">
        <v>1.0</v>
      </c>
      <c r="P245" s="2">
        <v>42907.0</v>
      </c>
      <c r="R245" s="1">
        <v>0.0</v>
      </c>
      <c r="S245" s="1" t="s">
        <v>280</v>
      </c>
      <c r="T245" s="1" t="s">
        <v>281</v>
      </c>
      <c r="U245" s="1" t="s">
        <v>2582</v>
      </c>
      <c r="X245" s="1" t="s">
        <v>440</v>
      </c>
      <c r="Y245" s="1">
        <v>254.0</v>
      </c>
      <c r="Z245" s="3" t="s">
        <v>2583</v>
      </c>
      <c r="AA245" s="1">
        <v>721530.0</v>
      </c>
      <c r="AB245" s="1" t="s">
        <v>2584</v>
      </c>
      <c r="AC245" s="3" t="s">
        <v>2585</v>
      </c>
      <c r="AD245" s="3" t="s">
        <v>2586</v>
      </c>
      <c r="AE245" s="1">
        <v>1.0</v>
      </c>
      <c r="AF245" s="1" t="s">
        <v>2587</v>
      </c>
      <c r="AG245" s="1">
        <v>21.0</v>
      </c>
      <c r="AH245" s="1">
        <v>31.0</v>
      </c>
      <c r="AI245" s="1">
        <v>12.0</v>
      </c>
      <c r="AJ245" s="1">
        <v>6.0</v>
      </c>
      <c r="AK245" s="1">
        <v>1.0</v>
      </c>
      <c r="AL245" s="1">
        <v>1.0</v>
      </c>
      <c r="AM245" s="1">
        <v>207.0</v>
      </c>
      <c r="AN245" s="1">
        <v>22.0</v>
      </c>
      <c r="AO245" s="1">
        <v>1.0</v>
      </c>
      <c r="AP245" s="1">
        <v>0.0</v>
      </c>
      <c r="AQ245" s="1">
        <v>4.0</v>
      </c>
      <c r="AR245" s="1">
        <v>3.0</v>
      </c>
      <c r="AS245" s="1">
        <v>3.0</v>
      </c>
    </row>
    <row r="246" hidden="1">
      <c r="A246" s="1">
        <v>489.0</v>
      </c>
      <c r="B246" s="1" t="s">
        <v>2588</v>
      </c>
      <c r="C246" s="1" t="s">
        <v>2589</v>
      </c>
      <c r="D246" s="1" t="s">
        <v>694</v>
      </c>
      <c r="E246" s="1" t="s">
        <v>58</v>
      </c>
      <c r="F246" s="2">
        <v>24567.0</v>
      </c>
      <c r="G246" s="1">
        <f t="shared" si="1"/>
        <v>59</v>
      </c>
      <c r="H246" s="1" t="s">
        <v>207</v>
      </c>
      <c r="I246" s="1" t="str">
        <f>IFERROR(__xludf.DUMMYFUNCTION("SPLIT(left(H246,len(H246)-1),""("")"),"Paris ")</f>
        <v>Paris </v>
      </c>
      <c r="J246" s="1" t="str">
        <f>IFERROR(__xludf.DUMMYFUNCTION("""COMPUTED_VALUE"""),"Paris")</f>
        <v>Paris</v>
      </c>
      <c r="K246" s="1" t="str">
        <f>IFERROR(__xludf.DUMMYFUNCTION("IF( COUNTA( IFERROR( FILTER('départements_edition'!$C$2:$C$102 , 'départements_edition'!$C$2:$C$102=J246 ) ) ) , ""Oui"" , ""Non"" )"),"Oui")</f>
        <v>Oui</v>
      </c>
      <c r="L246" s="1" t="str">
        <f t="shared" si="2"/>
        <v>France</v>
      </c>
      <c r="M246" s="1">
        <v>35.0</v>
      </c>
      <c r="N246" s="1" t="s">
        <v>415</v>
      </c>
      <c r="O246" s="1">
        <v>2.0</v>
      </c>
      <c r="P246" s="2">
        <v>42907.0</v>
      </c>
      <c r="R246" s="1">
        <v>0.0</v>
      </c>
      <c r="S246" s="1" t="s">
        <v>75</v>
      </c>
      <c r="T246" s="1" t="s">
        <v>76</v>
      </c>
      <c r="U246" s="1" t="s">
        <v>2590</v>
      </c>
      <c r="X246" s="1" t="s">
        <v>2591</v>
      </c>
      <c r="Y246" s="1">
        <v>569.0</v>
      </c>
      <c r="Z246" s="3" t="s">
        <v>2592</v>
      </c>
      <c r="AA246" s="1">
        <v>719718.0</v>
      </c>
      <c r="AB246" s="1" t="s">
        <v>2593</v>
      </c>
      <c r="AC246" s="3" t="s">
        <v>2594</v>
      </c>
      <c r="AD246" s="3" t="s">
        <v>2595</v>
      </c>
      <c r="AE246" s="1">
        <v>1.0</v>
      </c>
      <c r="AF246" s="1" t="s">
        <v>2596</v>
      </c>
      <c r="AG246" s="1">
        <v>21.0</v>
      </c>
      <c r="AH246" s="1">
        <v>33.0</v>
      </c>
      <c r="AI246" s="1">
        <v>5.0</v>
      </c>
      <c r="AJ246" s="1">
        <v>1.0</v>
      </c>
      <c r="AK246" s="1">
        <v>1.0</v>
      </c>
      <c r="AL246" s="1">
        <v>0.0</v>
      </c>
      <c r="AM246" s="1">
        <v>102.0</v>
      </c>
      <c r="AN246" s="1">
        <v>48.0</v>
      </c>
      <c r="AO246" s="1">
        <v>0.0</v>
      </c>
      <c r="AP246" s="1">
        <v>0.0</v>
      </c>
      <c r="AQ246" s="1">
        <v>5.0</v>
      </c>
      <c r="AR246" s="1">
        <v>6.0</v>
      </c>
      <c r="AS246" s="1">
        <v>1.0</v>
      </c>
    </row>
    <row r="247" hidden="1">
      <c r="A247" s="1">
        <v>157.0</v>
      </c>
      <c r="B247" s="1" t="s">
        <v>2597</v>
      </c>
      <c r="C247" s="1" t="s">
        <v>2598</v>
      </c>
      <c r="D247" s="1" t="s">
        <v>1801</v>
      </c>
      <c r="E247" s="1" t="s">
        <v>43</v>
      </c>
      <c r="F247" s="2">
        <v>21392.0</v>
      </c>
      <c r="G247" s="1">
        <f t="shared" si="1"/>
        <v>68</v>
      </c>
      <c r="H247" s="1" t="s">
        <v>2599</v>
      </c>
      <c r="I247" s="1" t="str">
        <f>IFERROR(__xludf.DUMMYFUNCTION("SPLIT(left(H247,len(H247)-1),""("")"),"LE PUY EN VELAY ")</f>
        <v>LE PUY EN VELAY </v>
      </c>
      <c r="J247" s="1" t="str">
        <f>IFERROR(__xludf.DUMMYFUNCTION("""COMPUTED_VALUE"""),"Haute-Loire")</f>
        <v>Haute-Loire</v>
      </c>
      <c r="K247" s="1" t="str">
        <f>IFERROR(__xludf.DUMMYFUNCTION("IF( COUNTA( IFERROR( FILTER('départements_edition'!$C$2:$C$102 , 'départements_edition'!$C$2:$C$102=J247 ) ) ) , ""Oui"" , ""Non"" )"),"Oui")</f>
        <v>Oui</v>
      </c>
      <c r="L247" s="1" t="str">
        <f t="shared" si="2"/>
        <v>France</v>
      </c>
      <c r="M247" s="1">
        <v>92.0</v>
      </c>
      <c r="N247" s="1" t="s">
        <v>781</v>
      </c>
      <c r="O247" s="1">
        <v>7.0</v>
      </c>
      <c r="P247" s="2">
        <v>42907.0</v>
      </c>
      <c r="R247" s="1">
        <v>0.0</v>
      </c>
      <c r="S247" s="1" t="s">
        <v>75</v>
      </c>
      <c r="T247" s="1" t="s">
        <v>76</v>
      </c>
      <c r="U247" s="1" t="s">
        <v>2600</v>
      </c>
      <c r="X247" s="1" t="s">
        <v>234</v>
      </c>
      <c r="Y247" s="1">
        <v>483.0</v>
      </c>
      <c r="Z247" s="3" t="s">
        <v>2601</v>
      </c>
      <c r="AA247" s="1">
        <v>721946.0</v>
      </c>
      <c r="AB247" s="1" t="s">
        <v>2602</v>
      </c>
      <c r="AC247" s="3" t="s">
        <v>2603</v>
      </c>
      <c r="AD247" s="3" t="s">
        <v>2604</v>
      </c>
      <c r="AE247" s="1">
        <v>1.0</v>
      </c>
      <c r="AF247" s="1" t="s">
        <v>2605</v>
      </c>
      <c r="AG247" s="1">
        <v>21.0</v>
      </c>
      <c r="AH247" s="1">
        <v>44.0</v>
      </c>
      <c r="AI247" s="1">
        <v>29.0</v>
      </c>
      <c r="AJ247" s="1">
        <v>14.0</v>
      </c>
      <c r="AK247" s="1">
        <v>32.0</v>
      </c>
      <c r="AL247" s="1">
        <v>0.0</v>
      </c>
      <c r="AM247" s="1">
        <v>15.0</v>
      </c>
      <c r="AN247" s="1">
        <v>3.0</v>
      </c>
      <c r="AO247" s="1">
        <v>1.0</v>
      </c>
      <c r="AP247" s="1">
        <v>0.0</v>
      </c>
      <c r="AQ247" s="1">
        <v>5.0</v>
      </c>
      <c r="AR247" s="1">
        <v>29.0</v>
      </c>
      <c r="AS247" s="1">
        <v>0.0</v>
      </c>
    </row>
    <row r="248" hidden="1">
      <c r="A248" s="1">
        <v>131.0</v>
      </c>
      <c r="B248" s="1" t="s">
        <v>2606</v>
      </c>
      <c r="C248" s="1" t="s">
        <v>2607</v>
      </c>
      <c r="D248" s="1" t="s">
        <v>2608</v>
      </c>
      <c r="E248" s="1" t="s">
        <v>58</v>
      </c>
      <c r="F248" s="2">
        <v>22012.0</v>
      </c>
      <c r="G248" s="1">
        <f t="shared" si="1"/>
        <v>66</v>
      </c>
      <c r="H248" s="1" t="s">
        <v>2609</v>
      </c>
      <c r="I248" s="1" t="str">
        <f>IFERROR(__xludf.DUMMYFUNCTION("SPLIT(left(H248,len(H248)-1),""("")"),"Brest ")</f>
        <v>Brest </v>
      </c>
      <c r="J248" s="1" t="str">
        <f>IFERROR(__xludf.DUMMYFUNCTION("""COMPUTED_VALUE"""),"Finistère")</f>
        <v>Finistère</v>
      </c>
      <c r="K248" s="1" t="str">
        <f>IFERROR(__xludf.DUMMYFUNCTION("IF( COUNTA( IFERROR( FILTER('départements_edition'!$C$2:$C$102 , 'départements_edition'!$C$2:$C$102=J248 ) ) ) , ""Oui"" , ""Non"" )"),"Oui")</f>
        <v>Oui</v>
      </c>
      <c r="L248" s="1" t="str">
        <f t="shared" si="2"/>
        <v>France</v>
      </c>
      <c r="M248" s="1">
        <v>29.0</v>
      </c>
      <c r="N248" s="1" t="s">
        <v>393</v>
      </c>
      <c r="O248" s="1">
        <v>5.0</v>
      </c>
      <c r="P248" s="2">
        <v>42907.0</v>
      </c>
      <c r="R248" s="1">
        <v>0.0</v>
      </c>
      <c r="S248" s="1" t="s">
        <v>75</v>
      </c>
      <c r="T248" s="1" t="s">
        <v>76</v>
      </c>
      <c r="U248" s="1" t="s">
        <v>2610</v>
      </c>
      <c r="X248" s="1" t="s">
        <v>2611</v>
      </c>
      <c r="Y248" s="1">
        <v>231.0</v>
      </c>
      <c r="Z248" s="3" t="s">
        <v>2612</v>
      </c>
      <c r="AA248" s="1">
        <v>719338.0</v>
      </c>
      <c r="AB248" s="1" t="s">
        <v>2613</v>
      </c>
      <c r="AC248" s="3" t="s">
        <v>2614</v>
      </c>
      <c r="AD248" s="3" t="s">
        <v>2615</v>
      </c>
      <c r="AE248" s="1">
        <v>1.0</v>
      </c>
      <c r="AF248" s="1" t="s">
        <v>2616</v>
      </c>
      <c r="AG248" s="1">
        <v>21.0</v>
      </c>
      <c r="AH248" s="1">
        <v>38.0</v>
      </c>
      <c r="AI248" s="1">
        <v>6.0</v>
      </c>
      <c r="AJ248" s="1">
        <v>1.0</v>
      </c>
      <c r="AK248" s="1">
        <v>0.0</v>
      </c>
      <c r="AL248" s="1">
        <v>0.0</v>
      </c>
      <c r="AM248" s="1">
        <v>62.0</v>
      </c>
      <c r="AN248" s="1">
        <v>27.0</v>
      </c>
      <c r="AO248" s="1">
        <v>0.0</v>
      </c>
      <c r="AP248" s="1">
        <v>0.0</v>
      </c>
      <c r="AQ248" s="1">
        <v>5.0</v>
      </c>
      <c r="AR248" s="1">
        <v>13.0</v>
      </c>
      <c r="AS248" s="1">
        <v>0.0</v>
      </c>
    </row>
    <row r="249" hidden="1">
      <c r="A249" s="1">
        <v>425.0</v>
      </c>
      <c r="B249" s="1" t="s">
        <v>2617</v>
      </c>
      <c r="C249" s="1" t="s">
        <v>2618</v>
      </c>
      <c r="D249" s="1" t="s">
        <v>2619</v>
      </c>
      <c r="E249" s="1" t="s">
        <v>43</v>
      </c>
      <c r="F249" s="2">
        <v>31978.0</v>
      </c>
      <c r="G249" s="1">
        <f t="shared" si="1"/>
        <v>39</v>
      </c>
      <c r="H249" s="1" t="s">
        <v>2620</v>
      </c>
      <c r="I249" s="1" t="str">
        <f>IFERROR(__xludf.DUMMYFUNCTION("SPLIT(left(H249,len(H249)-1),""("")"),"Clermont-de-l'Oise ")</f>
        <v>Clermont-de-l'Oise </v>
      </c>
      <c r="J249" s="1" t="str">
        <f>IFERROR(__xludf.DUMMYFUNCTION("""COMPUTED_VALUE"""),"Oise")</f>
        <v>Oise</v>
      </c>
      <c r="K249" s="1" t="str">
        <f>IFERROR(__xludf.DUMMYFUNCTION("IF( COUNTA( IFERROR( FILTER('départements_edition'!$C$2:$C$102 , 'départements_edition'!$C$2:$C$102=J249 ) ) ) , ""Oui"" , ""Non"" )"),"Oui")</f>
        <v>Oui</v>
      </c>
      <c r="L249" s="1" t="str">
        <f t="shared" si="2"/>
        <v>France</v>
      </c>
      <c r="M249" s="1">
        <v>60.0</v>
      </c>
      <c r="N249" s="1" t="s">
        <v>769</v>
      </c>
      <c r="O249" s="1">
        <v>7.0</v>
      </c>
      <c r="P249" s="2">
        <v>42907.0</v>
      </c>
      <c r="R249" s="1">
        <v>0.0</v>
      </c>
      <c r="S249" s="1" t="s">
        <v>61</v>
      </c>
      <c r="T249" s="1" t="s">
        <v>62</v>
      </c>
      <c r="U249" s="1" t="s">
        <v>2621</v>
      </c>
      <c r="X249" s="1" t="s">
        <v>967</v>
      </c>
      <c r="Y249" s="1">
        <v>17.0</v>
      </c>
      <c r="Z249" s="3" t="s">
        <v>2622</v>
      </c>
      <c r="AA249" s="1">
        <v>720630.0</v>
      </c>
      <c r="AB249" s="1" t="s">
        <v>2623</v>
      </c>
      <c r="AC249" s="3" t="s">
        <v>2624</v>
      </c>
      <c r="AD249" s="3" t="s">
        <v>2625</v>
      </c>
      <c r="AE249" s="1">
        <v>1.0</v>
      </c>
      <c r="AF249" s="1" t="s">
        <v>2626</v>
      </c>
      <c r="AG249" s="1">
        <v>21.0</v>
      </c>
      <c r="AH249" s="1">
        <v>31.0</v>
      </c>
      <c r="AI249" s="1">
        <v>23.0</v>
      </c>
      <c r="AJ249" s="1">
        <v>27.0</v>
      </c>
      <c r="AK249" s="1">
        <v>38.0</v>
      </c>
      <c r="AL249" s="1">
        <v>23.0</v>
      </c>
      <c r="AM249" s="1">
        <v>534.0</v>
      </c>
      <c r="AN249" s="1">
        <v>21.0</v>
      </c>
      <c r="AO249" s="1">
        <v>1.0</v>
      </c>
      <c r="AP249" s="1">
        <v>0.0</v>
      </c>
      <c r="AQ249" s="1">
        <v>38.0</v>
      </c>
      <c r="AR249" s="1">
        <v>10.0</v>
      </c>
      <c r="AS249" s="1">
        <v>2.0</v>
      </c>
    </row>
    <row r="250" hidden="1">
      <c r="A250" s="1">
        <v>423.0</v>
      </c>
      <c r="B250" s="1" t="s">
        <v>2627</v>
      </c>
      <c r="C250" s="1" t="s">
        <v>2628</v>
      </c>
      <c r="D250" s="1" t="s">
        <v>866</v>
      </c>
      <c r="E250" s="1" t="s">
        <v>43</v>
      </c>
      <c r="F250" s="2">
        <v>21540.0</v>
      </c>
      <c r="G250" s="1">
        <f t="shared" si="1"/>
        <v>67</v>
      </c>
      <c r="H250" s="1" t="s">
        <v>1273</v>
      </c>
      <c r="I250" s="1" t="str">
        <f>IFERROR(__xludf.DUMMYFUNCTION("SPLIT(left(H250,len(H250)-1),""("")"),"Strasbourg ")</f>
        <v>Strasbourg </v>
      </c>
      <c r="J250" s="1" t="str">
        <f>IFERROR(__xludf.DUMMYFUNCTION("""COMPUTED_VALUE"""),"Bas-Rhin")</f>
        <v>Bas-Rhin</v>
      </c>
      <c r="K250" s="1" t="str">
        <f>IFERROR(__xludf.DUMMYFUNCTION("IF( COUNTA( IFERROR( FILTER('départements_edition'!$C$2:$C$102 , 'départements_edition'!$C$2:$C$102=J250 ) ) ) , ""Oui"" , ""Non"" )"),"Oui")</f>
        <v>Oui</v>
      </c>
      <c r="L250" s="1" t="str">
        <f t="shared" si="2"/>
        <v>France</v>
      </c>
      <c r="M250" s="1">
        <v>48.0</v>
      </c>
      <c r="N250" s="1" t="s">
        <v>2629</v>
      </c>
      <c r="O250" s="1">
        <v>1.0</v>
      </c>
      <c r="P250" s="2">
        <v>42907.0</v>
      </c>
      <c r="R250" s="1">
        <v>0.0</v>
      </c>
      <c r="S250" s="1" t="s">
        <v>46</v>
      </c>
      <c r="T250" s="1" t="s">
        <v>62</v>
      </c>
      <c r="U250" s="1" t="s">
        <v>2630</v>
      </c>
      <c r="X250" s="1" t="s">
        <v>304</v>
      </c>
      <c r="Y250" s="1">
        <v>105.0</v>
      </c>
      <c r="Z250" s="3" t="s">
        <v>2631</v>
      </c>
      <c r="AA250" s="1">
        <v>266788.0</v>
      </c>
      <c r="AB250" s="1" t="s">
        <v>2632</v>
      </c>
      <c r="AC250" s="3" t="s">
        <v>2633</v>
      </c>
      <c r="AD250" s="3" t="s">
        <v>2634</v>
      </c>
      <c r="AE250" s="1">
        <v>2.0</v>
      </c>
      <c r="AF250" s="1" t="s">
        <v>2635</v>
      </c>
      <c r="AG250" s="1">
        <v>21.0</v>
      </c>
      <c r="AH250" s="1">
        <v>37.0</v>
      </c>
      <c r="AI250" s="1">
        <v>17.0</v>
      </c>
      <c r="AJ250" s="1">
        <v>18.0</v>
      </c>
      <c r="AK250" s="1">
        <v>6.0</v>
      </c>
      <c r="AL250" s="1">
        <v>9.0</v>
      </c>
      <c r="AM250" s="1">
        <v>631.0</v>
      </c>
      <c r="AN250" s="1">
        <v>29.0</v>
      </c>
      <c r="AO250" s="1">
        <v>0.0</v>
      </c>
      <c r="AP250" s="1">
        <v>22.0</v>
      </c>
      <c r="AQ250" s="1">
        <v>43.0</v>
      </c>
      <c r="AR250" s="1">
        <v>10.0</v>
      </c>
      <c r="AS250" s="1">
        <v>2.0</v>
      </c>
    </row>
    <row r="251" hidden="1">
      <c r="A251" s="1">
        <v>227.0</v>
      </c>
      <c r="B251" s="1" t="s">
        <v>2636</v>
      </c>
      <c r="C251" s="1" t="s">
        <v>2637</v>
      </c>
      <c r="D251" s="1" t="s">
        <v>2638</v>
      </c>
      <c r="E251" s="1" t="s">
        <v>43</v>
      </c>
      <c r="F251" s="2">
        <v>34291.0</v>
      </c>
      <c r="G251" s="1">
        <f t="shared" si="1"/>
        <v>32</v>
      </c>
      <c r="H251" s="1" t="s">
        <v>2639</v>
      </c>
      <c r="I251" s="1" t="str">
        <f>IFERROR(__xludf.DUMMYFUNCTION("SPLIT(left(H251,len(H251)-1),""("")"),"Beuvry ")</f>
        <v>Beuvry </v>
      </c>
      <c r="J251" s="1" t="str">
        <f>IFERROR(__xludf.DUMMYFUNCTION("""COMPUTED_VALUE"""),"Pas-de-Calais")</f>
        <v>Pas-de-Calais</v>
      </c>
      <c r="K251" s="1" t="str">
        <f>IFERROR(__xludf.DUMMYFUNCTION("IF( COUNTA( IFERROR( FILTER('départements_edition'!$C$2:$C$102 , 'départements_edition'!$C$2:$C$102=J251 ) ) ) , ""Oui"" , ""Non"" )"),"Oui")</f>
        <v>Oui</v>
      </c>
      <c r="L251" s="1" t="str">
        <f t="shared" si="2"/>
        <v>France</v>
      </c>
      <c r="M251" s="1">
        <v>62.0</v>
      </c>
      <c r="N251" s="1" t="s">
        <v>427</v>
      </c>
      <c r="O251" s="1">
        <v>10.0</v>
      </c>
      <c r="P251" s="2">
        <v>42907.0</v>
      </c>
      <c r="R251" s="1">
        <v>0.0</v>
      </c>
      <c r="S251" s="1" t="s">
        <v>814</v>
      </c>
      <c r="T251" s="1" t="s">
        <v>837</v>
      </c>
      <c r="U251" s="1" t="s">
        <v>2640</v>
      </c>
      <c r="X251" s="1">
        <v>0.0</v>
      </c>
      <c r="Y251" s="1">
        <v>56.0</v>
      </c>
      <c r="Z251" s="3" t="s">
        <v>2641</v>
      </c>
      <c r="AA251" s="1">
        <v>720606.0</v>
      </c>
      <c r="AB251" s="1" t="s">
        <v>2642</v>
      </c>
      <c r="AC251" s="3" t="s">
        <v>2643</v>
      </c>
      <c r="AD251" s="3" t="s">
        <v>2644</v>
      </c>
      <c r="AE251" s="1">
        <v>1.0</v>
      </c>
      <c r="AF251" s="1" t="s">
        <v>2645</v>
      </c>
      <c r="AG251" s="1">
        <v>21.0</v>
      </c>
      <c r="AH251" s="1">
        <v>23.0</v>
      </c>
      <c r="AI251" s="1">
        <v>8.0</v>
      </c>
      <c r="AJ251" s="1">
        <v>56.0</v>
      </c>
      <c r="AK251" s="1">
        <v>43.0</v>
      </c>
      <c r="AL251" s="1">
        <v>45.0</v>
      </c>
      <c r="AM251" s="1">
        <v>258.0</v>
      </c>
      <c r="AN251" s="1">
        <v>0.0</v>
      </c>
      <c r="AO251" s="1">
        <v>0.0</v>
      </c>
      <c r="AP251" s="1">
        <v>1.0</v>
      </c>
      <c r="AQ251" s="1">
        <v>7.0</v>
      </c>
      <c r="AR251" s="1">
        <v>23.0</v>
      </c>
      <c r="AS251" s="1">
        <v>1.0</v>
      </c>
    </row>
    <row r="252" hidden="1">
      <c r="A252" s="1">
        <v>529.0</v>
      </c>
      <c r="B252" s="1" t="s">
        <v>2646</v>
      </c>
      <c r="C252" s="1" t="s">
        <v>2647</v>
      </c>
      <c r="D252" s="1" t="s">
        <v>2648</v>
      </c>
      <c r="E252" s="1" t="s">
        <v>58</v>
      </c>
      <c r="F252" s="2">
        <v>31069.0</v>
      </c>
      <c r="G252" s="1">
        <f t="shared" si="1"/>
        <v>41</v>
      </c>
      <c r="H252" s="1" t="s">
        <v>2649</v>
      </c>
      <c r="I252" s="1" t="str">
        <f>IFERROR(__xludf.DUMMYFUNCTION("SPLIT(left(H252,len(H252)-1),""("")"),"Aubervilliers ")</f>
        <v>Aubervilliers </v>
      </c>
      <c r="J252" s="1" t="str">
        <f>IFERROR(__xludf.DUMMYFUNCTION("""COMPUTED_VALUE"""),"Seine-Saint-Denis")</f>
        <v>Seine-Saint-Denis</v>
      </c>
      <c r="K252" s="1" t="str">
        <f>IFERROR(__xludf.DUMMYFUNCTION("IF( COUNTA( IFERROR( FILTER('départements_edition'!$C$2:$C$102 , 'départements_edition'!$C$2:$C$102=J252 ) ) ) , ""Oui"" , ""Non"" )"),"Oui")</f>
        <v>Oui</v>
      </c>
      <c r="L252" s="1" t="str">
        <f t="shared" si="2"/>
        <v>France</v>
      </c>
      <c r="M252" s="1">
        <v>95.0</v>
      </c>
      <c r="N252" s="1" t="s">
        <v>302</v>
      </c>
      <c r="O252" s="1">
        <v>9.0</v>
      </c>
      <c r="P252" s="2">
        <v>42907.0</v>
      </c>
      <c r="R252" s="1">
        <v>0.0</v>
      </c>
      <c r="S252" s="1" t="s">
        <v>75</v>
      </c>
      <c r="T252" s="1" t="s">
        <v>76</v>
      </c>
      <c r="U252" s="1" t="s">
        <v>2650</v>
      </c>
      <c r="X252" s="1" t="s">
        <v>162</v>
      </c>
      <c r="Y252" s="1">
        <v>204.0</v>
      </c>
      <c r="Z252" s="3" t="s">
        <v>2651</v>
      </c>
      <c r="AA252" s="1">
        <v>720944.0</v>
      </c>
      <c r="AB252" s="1" t="s">
        <v>2652</v>
      </c>
      <c r="AC252" s="3" t="s">
        <v>2653</v>
      </c>
      <c r="AD252" s="3" t="s">
        <v>2654</v>
      </c>
      <c r="AE252" s="1">
        <v>1.0</v>
      </c>
      <c r="AF252" s="1" t="s">
        <v>2655</v>
      </c>
      <c r="AG252" s="1">
        <v>21.0</v>
      </c>
      <c r="AH252" s="1">
        <v>29.0</v>
      </c>
      <c r="AI252" s="1">
        <v>5.0</v>
      </c>
      <c r="AJ252" s="1">
        <v>4.0</v>
      </c>
      <c r="AK252" s="1">
        <v>0.0</v>
      </c>
      <c r="AL252" s="1">
        <v>0.0</v>
      </c>
      <c r="AM252" s="1">
        <v>92.0</v>
      </c>
      <c r="AN252" s="1">
        <v>45.0</v>
      </c>
      <c r="AO252" s="1">
        <v>1.0</v>
      </c>
      <c r="AP252" s="1">
        <v>0.0</v>
      </c>
      <c r="AQ252" s="1">
        <v>5.0</v>
      </c>
      <c r="AR252" s="1">
        <v>0.0</v>
      </c>
      <c r="AS252" s="1">
        <v>1.0</v>
      </c>
    </row>
    <row r="253" hidden="1">
      <c r="A253" s="1">
        <v>170.0</v>
      </c>
      <c r="B253" s="1" t="s">
        <v>2656</v>
      </c>
      <c r="C253" s="1" t="s">
        <v>2657</v>
      </c>
      <c r="D253" s="1" t="s">
        <v>866</v>
      </c>
      <c r="E253" s="1" t="s">
        <v>43</v>
      </c>
      <c r="F253" s="2">
        <v>32530.0</v>
      </c>
      <c r="G253" s="1">
        <f t="shared" si="1"/>
        <v>37</v>
      </c>
      <c r="H253" s="1" t="s">
        <v>73</v>
      </c>
      <c r="I253" s="1" t="str">
        <f>IFERROR(__xludf.DUMMYFUNCTION("SPLIT(left(H253,len(H253)-1),""("")"),"Nancy ")</f>
        <v>Nancy </v>
      </c>
      <c r="J253" s="1" t="str">
        <f>IFERROR(__xludf.DUMMYFUNCTION("""COMPUTED_VALUE"""),"Meurthe-et-Moselle")</f>
        <v>Meurthe-et-Moselle</v>
      </c>
      <c r="K253" s="1" t="str">
        <f>IFERROR(__xludf.DUMMYFUNCTION("IF( COUNTA( IFERROR( FILTER('départements_edition'!$C$2:$C$102 , 'départements_edition'!$C$2:$C$102=J253 ) ) ) , ""Oui"" , ""Non"" )"),"Oui")</f>
        <v>Oui</v>
      </c>
      <c r="L253" s="1" t="str">
        <f t="shared" si="2"/>
        <v>France</v>
      </c>
      <c r="M253" s="1">
        <v>75.0</v>
      </c>
      <c r="N253" s="1" t="s">
        <v>232</v>
      </c>
      <c r="O253" s="1">
        <v>6.0</v>
      </c>
      <c r="P253" s="2">
        <v>42907.0</v>
      </c>
      <c r="R253" s="1">
        <v>0.0</v>
      </c>
      <c r="S253" s="1" t="s">
        <v>75</v>
      </c>
      <c r="T253" s="1" t="s">
        <v>76</v>
      </c>
      <c r="U253" s="1" t="s">
        <v>2658</v>
      </c>
      <c r="X253" s="1" t="s">
        <v>162</v>
      </c>
      <c r="Y253" s="1">
        <v>558.0</v>
      </c>
      <c r="Z253" s="3" t="s">
        <v>2659</v>
      </c>
      <c r="AA253" s="1">
        <v>721568.0</v>
      </c>
      <c r="AB253" s="1" t="s">
        <v>2660</v>
      </c>
      <c r="AC253" s="3" t="s">
        <v>2661</v>
      </c>
      <c r="AD253" s="3" t="s">
        <v>2662</v>
      </c>
      <c r="AE253" s="1">
        <v>1.0</v>
      </c>
      <c r="AF253" s="1" t="s">
        <v>2663</v>
      </c>
      <c r="AG253" s="1">
        <v>21.0</v>
      </c>
      <c r="AH253" s="1">
        <v>37.0</v>
      </c>
      <c r="AI253" s="1">
        <v>3.0</v>
      </c>
      <c r="AJ253" s="1">
        <v>17.0</v>
      </c>
      <c r="AK253" s="1">
        <v>6.0</v>
      </c>
      <c r="AL253" s="1">
        <v>0.0</v>
      </c>
      <c r="AM253" s="1">
        <v>152.0</v>
      </c>
      <c r="AN253" s="1">
        <v>104.0</v>
      </c>
      <c r="AO253" s="1">
        <v>1.0</v>
      </c>
      <c r="AP253" s="1">
        <v>0.0</v>
      </c>
      <c r="AQ253" s="1">
        <v>5.0</v>
      </c>
      <c r="AR253" s="1">
        <v>0.0</v>
      </c>
      <c r="AS253" s="1">
        <v>0.0</v>
      </c>
    </row>
    <row r="254" hidden="1">
      <c r="A254" s="1">
        <v>325.0</v>
      </c>
      <c r="B254" s="1" t="s">
        <v>2664</v>
      </c>
      <c r="C254" s="1" t="s">
        <v>2665</v>
      </c>
      <c r="D254" s="1" t="s">
        <v>1540</v>
      </c>
      <c r="E254" s="1" t="s">
        <v>43</v>
      </c>
      <c r="F254" s="2">
        <v>22851.0</v>
      </c>
      <c r="G254" s="1">
        <f t="shared" si="1"/>
        <v>64</v>
      </c>
      <c r="H254" s="1" t="s">
        <v>2666</v>
      </c>
      <c r="I254" s="1" t="str">
        <f>IFERROR(__xludf.DUMMYFUNCTION("SPLIT(left(H254,len(H254)-1),""("")"),"Pau ")</f>
        <v>Pau </v>
      </c>
      <c r="J254" s="1" t="str">
        <f>IFERROR(__xludf.DUMMYFUNCTION("""COMPUTED_VALUE"""),"Pyrénées-Atlantiques")</f>
        <v>Pyrénées-Atlantiques</v>
      </c>
      <c r="K254" s="1" t="str">
        <f>IFERROR(__xludf.DUMMYFUNCTION("IF( COUNTA( IFERROR( FILTER('départements_edition'!$C$2:$C$102 , 'départements_edition'!$C$2:$C$102=J254 ) ) ) , ""Oui"" , ""Non"" )"),"Oui")</f>
        <v>Oui</v>
      </c>
      <c r="L254" s="1" t="str">
        <f t="shared" si="2"/>
        <v>France</v>
      </c>
      <c r="M254" s="1">
        <v>93.0</v>
      </c>
      <c r="N254" s="1" t="s">
        <v>196</v>
      </c>
      <c r="O254" s="1">
        <v>2.0</v>
      </c>
      <c r="P254" s="2">
        <v>42907.0</v>
      </c>
      <c r="R254" s="1">
        <v>0.0</v>
      </c>
      <c r="S254" s="1" t="s">
        <v>101</v>
      </c>
      <c r="T254" s="1" t="s">
        <v>102</v>
      </c>
      <c r="U254" s="1" t="s">
        <v>2667</v>
      </c>
      <c r="X254" s="1" t="s">
        <v>2668</v>
      </c>
      <c r="Y254" s="1">
        <v>589.0</v>
      </c>
      <c r="Z254" s="3" t="s">
        <v>2669</v>
      </c>
      <c r="AA254" s="1">
        <v>721270.0</v>
      </c>
      <c r="AB254" s="1" t="s">
        <v>2670</v>
      </c>
      <c r="AC254" s="3" t="s">
        <v>2671</v>
      </c>
      <c r="AD254" s="3" t="s">
        <v>2672</v>
      </c>
      <c r="AE254" s="1">
        <v>2.0</v>
      </c>
      <c r="AF254" s="1" t="s">
        <v>2673</v>
      </c>
      <c r="AG254" s="1">
        <v>21.0</v>
      </c>
      <c r="AH254" s="1">
        <v>29.0</v>
      </c>
      <c r="AI254" s="1">
        <v>25.0</v>
      </c>
      <c r="AJ254" s="1">
        <v>180.0</v>
      </c>
      <c r="AK254" s="1">
        <v>118.0</v>
      </c>
      <c r="AL254" s="1">
        <v>63.0</v>
      </c>
      <c r="AM254" s="1">
        <v>672.0</v>
      </c>
      <c r="AN254" s="1">
        <v>22.0</v>
      </c>
      <c r="AO254" s="1">
        <v>0.0</v>
      </c>
      <c r="AP254" s="1">
        <v>2.0</v>
      </c>
      <c r="AQ254" s="1">
        <v>19.0</v>
      </c>
      <c r="AR254" s="1">
        <v>14.0</v>
      </c>
      <c r="AS254" s="1">
        <v>5.0</v>
      </c>
    </row>
    <row r="255" hidden="1">
      <c r="A255" s="1">
        <v>327.0</v>
      </c>
      <c r="B255" s="1" t="s">
        <v>2674</v>
      </c>
      <c r="C255" s="1" t="s">
        <v>2675</v>
      </c>
      <c r="D255" s="1" t="s">
        <v>2676</v>
      </c>
      <c r="E255" s="1" t="s">
        <v>58</v>
      </c>
      <c r="F255" s="2">
        <v>27558.0</v>
      </c>
      <c r="G255" s="1">
        <f t="shared" si="1"/>
        <v>51</v>
      </c>
      <c r="H255" s="1" t="s">
        <v>2677</v>
      </c>
      <c r="I255" s="1" t="str">
        <f>IFERROR(__xludf.DUMMYFUNCTION("SPLIT(left(H255,len(H255)-1),""("")"),"Bois-Bernard ")</f>
        <v>Bois-Bernard </v>
      </c>
      <c r="J255" s="1" t="str">
        <f>IFERROR(__xludf.DUMMYFUNCTION("""COMPUTED_VALUE"""),"Pas-de-Calais")</f>
        <v>Pas-de-Calais</v>
      </c>
      <c r="K255" s="1" t="str">
        <f>IFERROR(__xludf.DUMMYFUNCTION("IF( COUNTA( IFERROR( FILTER('départements_edition'!$C$2:$C$102 , 'départements_edition'!$C$2:$C$102=J255 ) ) ) , ""Oui"" , ""Non"" )"),"Oui")</f>
        <v>Oui</v>
      </c>
      <c r="L255" s="1" t="str">
        <f t="shared" si="2"/>
        <v>France</v>
      </c>
      <c r="M255" s="1">
        <v>80.0</v>
      </c>
      <c r="N255" s="1" t="s">
        <v>1148</v>
      </c>
      <c r="O255" s="1">
        <v>2.0</v>
      </c>
      <c r="P255" s="2">
        <v>42907.0</v>
      </c>
      <c r="R255" s="1">
        <v>0.0</v>
      </c>
      <c r="S255" s="1" t="s">
        <v>75</v>
      </c>
      <c r="T255" s="1" t="s">
        <v>76</v>
      </c>
      <c r="U255" s="1" t="s">
        <v>2678</v>
      </c>
      <c r="X255" s="1" t="s">
        <v>2679</v>
      </c>
      <c r="Y255" s="1">
        <v>348.0</v>
      </c>
      <c r="Z255" s="3" t="s">
        <v>2680</v>
      </c>
      <c r="AA255" s="1">
        <v>609520.0</v>
      </c>
      <c r="AB255" s="1" t="s">
        <v>2681</v>
      </c>
      <c r="AC255" s="3" t="s">
        <v>2682</v>
      </c>
      <c r="AD255" s="3" t="s">
        <v>2683</v>
      </c>
      <c r="AE255" s="1">
        <v>1.0</v>
      </c>
      <c r="AF255" s="1" t="s">
        <v>2684</v>
      </c>
      <c r="AG255" s="1">
        <v>21.0</v>
      </c>
      <c r="AH255" s="1">
        <v>39.0</v>
      </c>
      <c r="AI255" s="1">
        <v>140.0</v>
      </c>
      <c r="AJ255" s="1">
        <v>33.0</v>
      </c>
      <c r="AK255" s="1">
        <v>26.0</v>
      </c>
      <c r="AL255" s="1">
        <v>1.0</v>
      </c>
      <c r="AM255" s="1">
        <v>95.0</v>
      </c>
      <c r="AN255" s="1">
        <v>47.0</v>
      </c>
      <c r="AO255" s="1">
        <v>1.0</v>
      </c>
      <c r="AP255" s="1">
        <v>1.0</v>
      </c>
      <c r="AQ255" s="1">
        <v>5.0</v>
      </c>
      <c r="AR255" s="1">
        <v>18.0</v>
      </c>
      <c r="AS255" s="1">
        <v>1.0</v>
      </c>
    </row>
    <row r="256" hidden="1">
      <c r="A256" s="1">
        <v>379.0</v>
      </c>
      <c r="B256" s="1" t="s">
        <v>2685</v>
      </c>
      <c r="C256" s="1" t="s">
        <v>2686</v>
      </c>
      <c r="D256" s="1" t="s">
        <v>346</v>
      </c>
      <c r="E256" s="1" t="s">
        <v>43</v>
      </c>
      <c r="F256" s="2">
        <v>24676.0</v>
      </c>
      <c r="G256" s="1">
        <f t="shared" si="1"/>
        <v>59</v>
      </c>
      <c r="H256" s="1" t="s">
        <v>2687</v>
      </c>
      <c r="I256" s="1" t="str">
        <f>IFERROR(__xludf.DUMMYFUNCTION("SPLIT(left(H256,len(H256)-1),""("")"),"Calais ")</f>
        <v>Calais </v>
      </c>
      <c r="J256" s="1" t="str">
        <f>IFERROR(__xludf.DUMMYFUNCTION("""COMPUTED_VALUE"""),"Pas-de-Calais")</f>
        <v>Pas-de-Calais</v>
      </c>
      <c r="K256" s="1" t="str">
        <f>IFERROR(__xludf.DUMMYFUNCTION("IF( COUNTA( IFERROR( FILTER('départements_edition'!$C$2:$C$102 , 'départements_edition'!$C$2:$C$102=J256 ) ) ) , ""Oui"" , ""Non"" )"),"Oui")</f>
        <v>Oui</v>
      </c>
      <c r="L256" s="1" t="str">
        <f t="shared" si="2"/>
        <v>France</v>
      </c>
      <c r="M256" s="1">
        <v>62.0</v>
      </c>
      <c r="N256" s="1" t="s">
        <v>427</v>
      </c>
      <c r="O256" s="1">
        <v>8.0</v>
      </c>
      <c r="P256" s="2">
        <v>42907.0</v>
      </c>
      <c r="R256" s="1">
        <v>0.0</v>
      </c>
      <c r="S256" s="1" t="s">
        <v>75</v>
      </c>
      <c r="T256" s="1" t="s">
        <v>76</v>
      </c>
      <c r="U256" s="1" t="s">
        <v>2688</v>
      </c>
      <c r="X256" s="1" t="s">
        <v>2689</v>
      </c>
      <c r="Y256" s="1">
        <v>198.0</v>
      </c>
      <c r="Z256" s="3" t="s">
        <v>2690</v>
      </c>
      <c r="AA256" s="1">
        <v>720590.0</v>
      </c>
      <c r="AB256" s="1" t="s">
        <v>2691</v>
      </c>
      <c r="AC256" s="3" t="s">
        <v>2692</v>
      </c>
      <c r="AD256" s="3" t="s">
        <v>2693</v>
      </c>
      <c r="AE256" s="1">
        <v>1.0</v>
      </c>
      <c r="AF256" s="1" t="s">
        <v>2694</v>
      </c>
      <c r="AG256" s="1">
        <v>21.0</v>
      </c>
      <c r="AH256" s="1">
        <v>46.0</v>
      </c>
      <c r="AI256" s="1">
        <v>4.0</v>
      </c>
      <c r="AJ256" s="1">
        <v>2.0</v>
      </c>
      <c r="AK256" s="1">
        <v>0.0</v>
      </c>
      <c r="AL256" s="1">
        <v>0.0</v>
      </c>
      <c r="AM256" s="1">
        <v>116.0</v>
      </c>
      <c r="AN256" s="1">
        <v>58.0</v>
      </c>
      <c r="AO256" s="1">
        <v>0.0</v>
      </c>
      <c r="AP256" s="1">
        <v>0.0</v>
      </c>
      <c r="AQ256" s="1">
        <v>8.0</v>
      </c>
      <c r="AR256" s="1">
        <v>2.0</v>
      </c>
      <c r="AS256" s="1">
        <v>0.0</v>
      </c>
    </row>
    <row r="257" hidden="1">
      <c r="A257" s="1">
        <v>40.0</v>
      </c>
      <c r="B257" s="1" t="s">
        <v>2695</v>
      </c>
      <c r="C257" s="1" t="s">
        <v>2696</v>
      </c>
      <c r="D257" s="1" t="s">
        <v>589</v>
      </c>
      <c r="E257" s="1" t="s">
        <v>43</v>
      </c>
      <c r="F257" s="2">
        <v>24462.0</v>
      </c>
      <c r="G257" s="1">
        <f t="shared" si="1"/>
        <v>59</v>
      </c>
      <c r="H257" s="1" t="s">
        <v>2697</v>
      </c>
      <c r="I257" s="1" t="str">
        <f>IFERROR(__xludf.DUMMYFUNCTION("SPLIT(left(H257,len(H257)-1),""("")"),"Bourg-Achard ")</f>
        <v>Bourg-Achard </v>
      </c>
      <c r="J257" s="1" t="str">
        <f>IFERROR(__xludf.DUMMYFUNCTION("""COMPUTED_VALUE"""),"Eure")</f>
        <v>Eure</v>
      </c>
      <c r="K257" s="1" t="str">
        <f>IFERROR(__xludf.DUMMYFUNCTION("IF( COUNTA( IFERROR( FILTER('départements_edition'!$C$2:$C$102 , 'départements_edition'!$C$2:$C$102=J257 ) ) ) , ""Oui"" , ""Non"" )"),"Oui")</f>
        <v>Oui</v>
      </c>
      <c r="L257" s="1" t="str">
        <f t="shared" si="2"/>
        <v>France</v>
      </c>
      <c r="M257" s="1">
        <v>27.0</v>
      </c>
      <c r="N257" s="1" t="s">
        <v>2698</v>
      </c>
      <c r="O257" s="1">
        <v>4.0</v>
      </c>
      <c r="P257" s="2">
        <v>42907.0</v>
      </c>
      <c r="R257" s="1">
        <v>0.0</v>
      </c>
      <c r="S257" s="1" t="s">
        <v>75</v>
      </c>
      <c r="T257" s="1" t="s">
        <v>76</v>
      </c>
      <c r="U257" s="1" t="s">
        <v>2699</v>
      </c>
      <c r="X257" s="1" t="s">
        <v>304</v>
      </c>
      <c r="Y257" s="1">
        <v>383.0</v>
      </c>
      <c r="Z257" s="3" t="s">
        <v>2700</v>
      </c>
      <c r="AA257" s="1">
        <v>643127.0</v>
      </c>
      <c r="AB257" s="1" t="s">
        <v>2701</v>
      </c>
      <c r="AC257" s="3" t="s">
        <v>2702</v>
      </c>
      <c r="AD257" s="3" t="s">
        <v>2703</v>
      </c>
      <c r="AE257" s="1">
        <v>1.0</v>
      </c>
      <c r="AF257" s="1" t="s">
        <v>2704</v>
      </c>
      <c r="AG257" s="1">
        <v>21.0</v>
      </c>
      <c r="AH257" s="1">
        <v>38.0</v>
      </c>
      <c r="AI257" s="1">
        <v>21.0</v>
      </c>
      <c r="AJ257" s="1">
        <v>42.0</v>
      </c>
      <c r="AK257" s="1">
        <v>26.0</v>
      </c>
      <c r="AL257" s="1">
        <v>0.0</v>
      </c>
      <c r="AM257" s="1">
        <v>138.0</v>
      </c>
      <c r="AN257" s="1">
        <v>58.0</v>
      </c>
      <c r="AO257" s="1">
        <v>1.0</v>
      </c>
      <c r="AP257" s="1">
        <v>0.0</v>
      </c>
      <c r="AQ257" s="1">
        <v>5.0</v>
      </c>
      <c r="AR257" s="1">
        <v>7.0</v>
      </c>
      <c r="AS257" s="1">
        <v>2.0</v>
      </c>
    </row>
    <row r="258" hidden="1">
      <c r="A258" s="1">
        <v>70.0</v>
      </c>
      <c r="B258" s="1" t="s">
        <v>2705</v>
      </c>
      <c r="C258" s="1" t="s">
        <v>2706</v>
      </c>
      <c r="D258" s="1" t="s">
        <v>2707</v>
      </c>
      <c r="E258" s="1" t="s">
        <v>43</v>
      </c>
      <c r="F258" s="2">
        <v>24920.0</v>
      </c>
      <c r="G258" s="1">
        <f t="shared" si="1"/>
        <v>58</v>
      </c>
      <c r="H258" s="1" t="s">
        <v>2708</v>
      </c>
      <c r="I258" s="1" t="str">
        <f>IFERROR(__xludf.DUMMYFUNCTION("SPLIT(left(H258,len(H258)-1),""("")"),"Blois ")</f>
        <v>Blois </v>
      </c>
      <c r="J258" s="1" t="str">
        <f>IFERROR(__xludf.DUMMYFUNCTION("""COMPUTED_VALUE"""),"Loir-et-Cher")</f>
        <v>Loir-et-Cher</v>
      </c>
      <c r="K258" s="1" t="str">
        <f>IFERROR(__xludf.DUMMYFUNCTION("IF( COUNTA( IFERROR( FILTER('départements_edition'!$C$2:$C$102 , 'départements_edition'!$C$2:$C$102=J258 ) ) ) , ""Oui"" , ""Non"" )"),"Oui")</f>
        <v>Oui</v>
      </c>
      <c r="L258" s="1" t="str">
        <f t="shared" si="2"/>
        <v>France</v>
      </c>
      <c r="M258" s="1">
        <v>45.0</v>
      </c>
      <c r="N258" s="1" t="s">
        <v>2531</v>
      </c>
      <c r="O258" s="1">
        <v>6.0</v>
      </c>
      <c r="P258" s="2">
        <v>42907.0</v>
      </c>
      <c r="R258" s="1">
        <v>0.0</v>
      </c>
      <c r="S258" s="1" t="s">
        <v>280</v>
      </c>
      <c r="T258" s="1" t="s">
        <v>281</v>
      </c>
      <c r="X258" s="1" t="s">
        <v>162</v>
      </c>
      <c r="Y258" s="1">
        <v>264.0</v>
      </c>
      <c r="Z258" s="3" t="s">
        <v>2709</v>
      </c>
      <c r="AA258" s="1">
        <v>720092.0</v>
      </c>
      <c r="AB258" s="1" t="s">
        <v>2710</v>
      </c>
      <c r="AC258" s="3" t="s">
        <v>2711</v>
      </c>
      <c r="AD258" s="3" t="s">
        <v>2712</v>
      </c>
      <c r="AE258" s="1">
        <v>2.0</v>
      </c>
      <c r="AG258" s="1">
        <v>21.0</v>
      </c>
      <c r="AH258" s="1">
        <v>32.0</v>
      </c>
      <c r="AI258" s="1">
        <v>38.0</v>
      </c>
      <c r="AJ258" s="1">
        <v>12.0</v>
      </c>
      <c r="AK258" s="1">
        <v>4.0</v>
      </c>
      <c r="AL258" s="1">
        <v>2.0</v>
      </c>
      <c r="AM258" s="1">
        <v>187.0</v>
      </c>
      <c r="AN258" s="1">
        <v>16.0</v>
      </c>
      <c r="AO258" s="1">
        <v>0.0</v>
      </c>
      <c r="AP258" s="1">
        <v>0.0</v>
      </c>
      <c r="AQ258" s="1">
        <v>5.0</v>
      </c>
      <c r="AR258" s="1">
        <v>3.0</v>
      </c>
      <c r="AS258" s="1">
        <v>2.0</v>
      </c>
    </row>
    <row r="259" hidden="1">
      <c r="A259" s="1">
        <v>161.0</v>
      </c>
      <c r="B259" s="1" t="s">
        <v>2724</v>
      </c>
      <c r="C259" s="1" t="s">
        <v>2725</v>
      </c>
      <c r="D259" s="1" t="s">
        <v>2726</v>
      </c>
      <c r="E259" s="1" t="s">
        <v>43</v>
      </c>
      <c r="F259" s="2">
        <v>33368.0</v>
      </c>
      <c r="G259" s="1">
        <f t="shared" si="1"/>
        <v>35</v>
      </c>
      <c r="H259" s="1" t="s">
        <v>2727</v>
      </c>
      <c r="I259" s="1" t="str">
        <f>IFERROR(__xludf.DUMMYFUNCTION("SPLIT(left(H259,len(H259)-1),""("")"),"Savigny-sur-Orge ")</f>
        <v>Savigny-sur-Orge </v>
      </c>
      <c r="J259" s="1" t="str">
        <f>IFERROR(__xludf.DUMMYFUNCTION("""COMPUTED_VALUE"""),"Essonne")</f>
        <v>Essonne</v>
      </c>
      <c r="K259" s="1" t="str">
        <f>IFERROR(__xludf.DUMMYFUNCTION("IF( COUNTA( IFERROR( FILTER('départements_edition'!$C$2:$C$102 , 'départements_edition'!$C$2:$C$102=J259 ) ) ) , ""Oui"" , ""Non"" )"),"Oui")</f>
        <v>Oui</v>
      </c>
      <c r="L259" s="1" t="str">
        <f t="shared" si="2"/>
        <v>France</v>
      </c>
      <c r="M259" s="1">
        <v>91.0</v>
      </c>
      <c r="N259" s="1" t="s">
        <v>610</v>
      </c>
      <c r="O259" s="1">
        <v>7.0</v>
      </c>
      <c r="P259" s="2">
        <v>42907.0</v>
      </c>
      <c r="R259" s="1">
        <v>0.0</v>
      </c>
      <c r="S259" s="1" t="s">
        <v>61</v>
      </c>
      <c r="T259" s="1" t="s">
        <v>62</v>
      </c>
      <c r="U259" s="1" t="s">
        <v>2728</v>
      </c>
      <c r="X259" s="1" t="s">
        <v>2729</v>
      </c>
      <c r="Y259" s="1">
        <v>47.0</v>
      </c>
      <c r="Z259" s="3" t="s">
        <v>2730</v>
      </c>
      <c r="AA259" s="1">
        <v>721678.0</v>
      </c>
      <c r="AB259" s="1" t="s">
        <v>2731</v>
      </c>
      <c r="AC259" s="3" t="s">
        <v>2732</v>
      </c>
      <c r="AD259" s="3" t="s">
        <v>2733</v>
      </c>
      <c r="AE259" s="1">
        <v>3.0</v>
      </c>
      <c r="AF259" s="1" t="s">
        <v>2734</v>
      </c>
      <c r="AG259" s="1">
        <v>21.0</v>
      </c>
      <c r="AH259" s="1">
        <v>30.0</v>
      </c>
      <c r="AI259" s="1">
        <v>14.0</v>
      </c>
      <c r="AJ259" s="1">
        <v>26.0</v>
      </c>
      <c r="AK259" s="1">
        <v>14.0</v>
      </c>
      <c r="AL259" s="1">
        <v>9.0</v>
      </c>
      <c r="AM259" s="1">
        <v>471.0</v>
      </c>
      <c r="AN259" s="1">
        <v>21.0</v>
      </c>
      <c r="AO259" s="1">
        <v>1.0</v>
      </c>
      <c r="AP259" s="1">
        <v>0.0</v>
      </c>
      <c r="AQ259" s="1">
        <v>25.0</v>
      </c>
      <c r="AR259" s="1">
        <v>3.0</v>
      </c>
      <c r="AS259" s="1">
        <v>2.0</v>
      </c>
    </row>
    <row r="260" hidden="1">
      <c r="A260" s="1">
        <v>469.0</v>
      </c>
      <c r="B260" s="1" t="s">
        <v>2735</v>
      </c>
      <c r="C260" s="1" t="s">
        <v>2736</v>
      </c>
      <c r="D260" s="1" t="s">
        <v>705</v>
      </c>
      <c r="E260" s="1" t="s">
        <v>43</v>
      </c>
      <c r="F260" s="2">
        <v>18991.0</v>
      </c>
      <c r="G260" s="1">
        <f t="shared" si="1"/>
        <v>74</v>
      </c>
      <c r="H260" s="1" t="s">
        <v>2737</v>
      </c>
      <c r="I260" s="1" t="str">
        <f>IFERROR(__xludf.DUMMYFUNCTION("SPLIT(left(H260,len(H260)-1),""("")"),"Altkirch ")</f>
        <v>Altkirch </v>
      </c>
      <c r="J260" s="1" t="str">
        <f>IFERROR(__xludf.DUMMYFUNCTION("""COMPUTED_VALUE"""),"Haut-Rhin")</f>
        <v>Haut-Rhin</v>
      </c>
      <c r="K260" s="1" t="str">
        <f>IFERROR(__xludf.DUMMYFUNCTION("IF( COUNTA( IFERROR( FILTER('départements_edition'!$C$2:$C$102 , 'départements_edition'!$C$2:$C$102=J260 ) ) ) , ""Oui"" , ""Non"" )"),"Oui")</f>
        <v>Oui</v>
      </c>
      <c r="L260" s="1" t="str">
        <f t="shared" si="2"/>
        <v>France</v>
      </c>
      <c r="M260" s="1">
        <v>68.0</v>
      </c>
      <c r="N260" s="1" t="s">
        <v>1501</v>
      </c>
      <c r="O260" s="1">
        <v>3.0</v>
      </c>
      <c r="P260" s="2">
        <v>42907.0</v>
      </c>
      <c r="R260" s="1">
        <v>0.0</v>
      </c>
      <c r="S260" s="1" t="s">
        <v>61</v>
      </c>
      <c r="T260" s="1" t="s">
        <v>62</v>
      </c>
      <c r="U260" s="1" t="s">
        <v>2738</v>
      </c>
      <c r="X260" s="1" t="s">
        <v>2739</v>
      </c>
      <c r="Y260" s="1">
        <v>75.0</v>
      </c>
      <c r="Z260" s="3" t="s">
        <v>2740</v>
      </c>
      <c r="AA260" s="1">
        <v>2529.0</v>
      </c>
      <c r="AB260" s="1" t="s">
        <v>2741</v>
      </c>
      <c r="AC260" s="3" t="s">
        <v>2742</v>
      </c>
      <c r="AD260" s="3" t="s">
        <v>2743</v>
      </c>
      <c r="AE260" s="1">
        <v>2.0</v>
      </c>
      <c r="AF260" s="1" t="s">
        <v>2744</v>
      </c>
      <c r="AG260" s="1">
        <v>21.0</v>
      </c>
      <c r="AH260" s="1">
        <v>19.0</v>
      </c>
      <c r="AI260" s="1">
        <v>6.0</v>
      </c>
      <c r="AJ260" s="1">
        <v>26.0</v>
      </c>
      <c r="AK260" s="1">
        <v>183.0</v>
      </c>
      <c r="AL260" s="1">
        <v>1.0</v>
      </c>
      <c r="AM260" s="1">
        <v>333.0</v>
      </c>
      <c r="AN260" s="1">
        <v>19.0</v>
      </c>
      <c r="AO260" s="1">
        <v>1.0</v>
      </c>
      <c r="AP260" s="1">
        <v>0.0</v>
      </c>
      <c r="AQ260" s="1">
        <v>101.0</v>
      </c>
      <c r="AR260" s="1">
        <v>8.0</v>
      </c>
      <c r="AS260" s="1">
        <v>0.0</v>
      </c>
    </row>
    <row r="261" hidden="1">
      <c r="A261" s="1">
        <v>50.0</v>
      </c>
      <c r="B261" s="1" t="s">
        <v>2745</v>
      </c>
      <c r="C261" s="1" t="s">
        <v>2746</v>
      </c>
      <c r="D261" s="1" t="s">
        <v>651</v>
      </c>
      <c r="E261" s="1" t="s">
        <v>58</v>
      </c>
      <c r="F261" s="2">
        <v>27140.0</v>
      </c>
      <c r="G261" s="1">
        <f t="shared" si="1"/>
        <v>52</v>
      </c>
      <c r="H261" s="1" t="s">
        <v>2747</v>
      </c>
      <c r="I261" s="1" t="str">
        <f>IFERROR(__xludf.DUMMYFUNCTION("SPLIT(left(H261,len(H261)-1),""("")"),"paris 15 ")</f>
        <v>paris 15 </v>
      </c>
      <c r="J261" s="1" t="str">
        <f>IFERROR(__xludf.DUMMYFUNCTION("""COMPUTED_VALUE"""),"Paris")</f>
        <v>Paris</v>
      </c>
      <c r="K261" s="1" t="str">
        <f>IFERROR(__xludf.DUMMYFUNCTION("IF( COUNTA( IFERROR( FILTER('départements_edition'!$C$2:$C$102 , 'départements_edition'!$C$2:$C$102=J261 ) ) ) , ""Oui"" , ""Non"" )"),"Oui")</f>
        <v>Oui</v>
      </c>
      <c r="L261" s="1" t="str">
        <f t="shared" si="2"/>
        <v>France</v>
      </c>
      <c r="M261" s="1">
        <v>95.0</v>
      </c>
      <c r="N261" s="1" t="s">
        <v>302</v>
      </c>
      <c r="O261" s="1">
        <v>3.0</v>
      </c>
      <c r="P261" s="2">
        <v>42907.0</v>
      </c>
      <c r="R261" s="1">
        <v>0.0</v>
      </c>
      <c r="S261" s="1" t="s">
        <v>75</v>
      </c>
      <c r="T261" s="1" t="s">
        <v>76</v>
      </c>
      <c r="U261" s="3" t="s">
        <v>2748</v>
      </c>
      <c r="X261" s="1" t="s">
        <v>373</v>
      </c>
      <c r="Y261" s="1">
        <v>344.0</v>
      </c>
      <c r="Z261" s="3" t="s">
        <v>2749</v>
      </c>
      <c r="AA261" s="1">
        <v>720900.0</v>
      </c>
      <c r="AB261" s="1" t="s">
        <v>2750</v>
      </c>
      <c r="AC261" s="3" t="s">
        <v>2751</v>
      </c>
      <c r="AD261" s="3" t="s">
        <v>2752</v>
      </c>
      <c r="AE261" s="1">
        <v>1.0</v>
      </c>
      <c r="AF261" s="1" t="s">
        <v>2753</v>
      </c>
      <c r="AG261" s="1">
        <v>21.0</v>
      </c>
      <c r="AH261" s="1">
        <v>33.0</v>
      </c>
      <c r="AI261" s="1">
        <v>20.0</v>
      </c>
      <c r="AJ261" s="1">
        <v>26.0</v>
      </c>
      <c r="AK261" s="1">
        <v>1.0</v>
      </c>
      <c r="AL261" s="1">
        <v>1.0</v>
      </c>
      <c r="AM261" s="1">
        <v>80.0</v>
      </c>
      <c r="AN261" s="1">
        <v>20.0</v>
      </c>
      <c r="AO261" s="1">
        <v>0.0</v>
      </c>
      <c r="AP261" s="1">
        <v>0.0</v>
      </c>
      <c r="AQ261" s="1">
        <v>6.0</v>
      </c>
      <c r="AR261" s="1">
        <v>7.0</v>
      </c>
      <c r="AS261" s="1">
        <v>1.0</v>
      </c>
    </row>
    <row r="262" hidden="1">
      <c r="A262" s="1">
        <v>86.0</v>
      </c>
      <c r="B262" s="1" t="s">
        <v>2754</v>
      </c>
      <c r="C262" s="1" t="s">
        <v>2755</v>
      </c>
      <c r="D262" s="1" t="s">
        <v>2756</v>
      </c>
      <c r="E262" s="1" t="s">
        <v>58</v>
      </c>
      <c r="F262" s="2">
        <v>28143.0</v>
      </c>
      <c r="G262" s="1">
        <f t="shared" si="1"/>
        <v>49</v>
      </c>
      <c r="H262" s="1" t="s">
        <v>2757</v>
      </c>
      <c r="I262" s="1" t="str">
        <f>IFERROR(__xludf.DUMMYFUNCTION("SPLIT(left(H262,len(H262)-1),""("")"),"Saint-Cyr-l'Ecole ")</f>
        <v>Saint-Cyr-l'Ecole </v>
      </c>
      <c r="J262" s="1" t="str">
        <f>IFERROR(__xludf.DUMMYFUNCTION("""COMPUTED_VALUE"""),"Yvelines")</f>
        <v>Yvelines</v>
      </c>
      <c r="K262" s="1" t="str">
        <f>IFERROR(__xludf.DUMMYFUNCTION("IF( COUNTA( IFERROR( FILTER('départements_edition'!$C$2:$C$102 , 'départements_edition'!$C$2:$C$102=J262 ) ) ) , ""Oui"" , ""Non"" )"),"Oui")</f>
        <v>Oui</v>
      </c>
      <c r="L262" s="1" t="str">
        <f t="shared" si="2"/>
        <v>France</v>
      </c>
      <c r="M262" s="1">
        <v>91.0</v>
      </c>
      <c r="N262" s="1" t="s">
        <v>610</v>
      </c>
      <c r="O262" s="1">
        <v>4.0</v>
      </c>
      <c r="P262" s="2">
        <v>42907.0</v>
      </c>
      <c r="R262" s="1">
        <v>0.0</v>
      </c>
      <c r="S262" s="1" t="s">
        <v>75</v>
      </c>
      <c r="T262" s="1" t="s">
        <v>76</v>
      </c>
      <c r="U262" s="3" t="s">
        <v>2758</v>
      </c>
      <c r="X262" s="1" t="s">
        <v>2759</v>
      </c>
      <c r="Y262" s="1">
        <v>475.0</v>
      </c>
      <c r="Z262" s="3" t="s">
        <v>2760</v>
      </c>
      <c r="AA262" s="1">
        <v>722252.0</v>
      </c>
      <c r="AB262" s="1" t="s">
        <v>2761</v>
      </c>
      <c r="AC262" s="3" t="s">
        <v>2762</v>
      </c>
      <c r="AD262" s="3" t="s">
        <v>2763</v>
      </c>
      <c r="AE262" s="1">
        <v>1.0</v>
      </c>
      <c r="AF262" s="1" t="s">
        <v>2764</v>
      </c>
      <c r="AG262" s="1">
        <v>21.0</v>
      </c>
      <c r="AH262" s="1">
        <v>43.0</v>
      </c>
      <c r="AI262" s="1">
        <v>57.0</v>
      </c>
      <c r="AJ262" s="1">
        <v>13.0</v>
      </c>
      <c r="AK262" s="1">
        <v>6.0</v>
      </c>
      <c r="AL262" s="1">
        <v>6.0</v>
      </c>
      <c r="AM262" s="1">
        <v>56.0</v>
      </c>
      <c r="AN262" s="1">
        <v>17.0</v>
      </c>
      <c r="AO262" s="1">
        <v>0.0</v>
      </c>
      <c r="AP262" s="1">
        <v>0.0</v>
      </c>
      <c r="AQ262" s="1">
        <v>5.0</v>
      </c>
      <c r="AR262" s="1">
        <v>3.0</v>
      </c>
      <c r="AS262" s="1">
        <v>2.0</v>
      </c>
    </row>
    <row r="263" hidden="1">
      <c r="A263" s="1">
        <v>80.0</v>
      </c>
      <c r="B263" s="1" t="s">
        <v>2765</v>
      </c>
      <c r="C263" s="1" t="s">
        <v>2766</v>
      </c>
      <c r="D263" s="1" t="s">
        <v>2767</v>
      </c>
      <c r="E263" s="1" t="s">
        <v>58</v>
      </c>
      <c r="F263" s="2">
        <v>29601.0</v>
      </c>
      <c r="G263" s="1">
        <f t="shared" si="1"/>
        <v>45</v>
      </c>
      <c r="H263" s="1" t="s">
        <v>2768</v>
      </c>
      <c r="I263" s="1" t="str">
        <f>IFERROR(__xludf.DUMMYFUNCTION("SPLIT(left(H263,len(H263)-1),""("")"),"Paris 13ème ")</f>
        <v>Paris 13ème </v>
      </c>
      <c r="J263" s="1" t="str">
        <f>IFERROR(__xludf.DUMMYFUNCTION("""COMPUTED_VALUE"""),"Paris")</f>
        <v>Paris</v>
      </c>
      <c r="K263" s="1" t="str">
        <f>IFERROR(__xludf.DUMMYFUNCTION("IF( COUNTA( IFERROR( FILTER('départements_edition'!$C$2:$C$102 , 'départements_edition'!$C$2:$C$102=J263 ) ) ) , ""Oui"" , ""Non"" )"),"Oui")</f>
        <v>Oui</v>
      </c>
      <c r="L263" s="1" t="str">
        <f t="shared" si="2"/>
        <v>France</v>
      </c>
      <c r="M263" s="1">
        <v>91.0</v>
      </c>
      <c r="N263" s="1" t="s">
        <v>610</v>
      </c>
      <c r="O263" s="1">
        <v>3.0</v>
      </c>
      <c r="P263" s="2">
        <v>42907.0</v>
      </c>
      <c r="R263" s="1">
        <v>0.0</v>
      </c>
      <c r="S263" s="1" t="s">
        <v>75</v>
      </c>
      <c r="T263" s="1" t="s">
        <v>76</v>
      </c>
      <c r="U263" s="1" t="s">
        <v>2769</v>
      </c>
      <c r="X263" s="1" t="s">
        <v>936</v>
      </c>
      <c r="Y263" s="1">
        <v>642.0</v>
      </c>
      <c r="Z263" s="3" t="s">
        <v>2770</v>
      </c>
      <c r="AA263" s="1">
        <v>722022.0</v>
      </c>
      <c r="AB263" s="1" t="s">
        <v>2771</v>
      </c>
      <c r="AC263" s="3" t="s">
        <v>2772</v>
      </c>
      <c r="AD263" s="3" t="s">
        <v>2773</v>
      </c>
      <c r="AE263" s="1">
        <v>1.0</v>
      </c>
      <c r="AF263" s="1" t="s">
        <v>2774</v>
      </c>
      <c r="AG263" s="1">
        <v>21.0</v>
      </c>
      <c r="AH263" s="1">
        <v>38.0</v>
      </c>
      <c r="AI263" s="1">
        <v>8.0</v>
      </c>
      <c r="AJ263" s="1">
        <v>4.0</v>
      </c>
      <c r="AK263" s="1">
        <v>0.0</v>
      </c>
      <c r="AL263" s="1">
        <v>0.0</v>
      </c>
      <c r="AM263" s="1">
        <v>64.0</v>
      </c>
      <c r="AN263" s="1">
        <v>27.0</v>
      </c>
      <c r="AO263" s="1">
        <v>0.0</v>
      </c>
      <c r="AP263" s="1">
        <v>0.0</v>
      </c>
      <c r="AQ263" s="1">
        <v>5.0</v>
      </c>
      <c r="AR263" s="1">
        <v>2.0</v>
      </c>
      <c r="AS263" s="1">
        <v>1.0</v>
      </c>
    </row>
    <row r="264" hidden="1">
      <c r="A264" s="1">
        <v>1.0</v>
      </c>
      <c r="B264" s="1" t="s">
        <v>2775</v>
      </c>
      <c r="C264" s="1" t="s">
        <v>2073</v>
      </c>
      <c r="D264" s="1" t="s">
        <v>2776</v>
      </c>
      <c r="E264" s="1" t="s">
        <v>43</v>
      </c>
      <c r="F264" s="2">
        <v>26582.0</v>
      </c>
      <c r="G264" s="1">
        <f t="shared" si="1"/>
        <v>53</v>
      </c>
      <c r="H264" s="1" t="s">
        <v>2609</v>
      </c>
      <c r="I264" s="1" t="str">
        <f>IFERROR(__xludf.DUMMYFUNCTION("SPLIT(left(H264,len(H264)-1),""("")"),"Brest ")</f>
        <v>Brest </v>
      </c>
      <c r="J264" s="1" t="str">
        <f>IFERROR(__xludf.DUMMYFUNCTION("""COMPUTED_VALUE"""),"Finistère")</f>
        <v>Finistère</v>
      </c>
      <c r="K264" s="1" t="str">
        <f>IFERROR(__xludf.DUMMYFUNCTION("IF( COUNTA( IFERROR( FILTER('départements_edition'!$C$2:$C$102 , 'départements_edition'!$C$2:$C$102=J264 ) ) ) , ""Oui"" , ""Non"" )"),"Oui")</f>
        <v>Oui</v>
      </c>
      <c r="L264" s="1" t="str">
        <f t="shared" si="2"/>
        <v>France</v>
      </c>
      <c r="M264" s="1">
        <v>6.0</v>
      </c>
      <c r="N264" s="1" t="s">
        <v>438</v>
      </c>
      <c r="O264" s="1">
        <v>3.0</v>
      </c>
      <c r="P264" s="2">
        <v>42907.0</v>
      </c>
      <c r="R264" s="1">
        <v>0.0</v>
      </c>
      <c r="S264" s="1" t="s">
        <v>75</v>
      </c>
      <c r="T264" s="1" t="s">
        <v>76</v>
      </c>
      <c r="U264" s="1" t="s">
        <v>2777</v>
      </c>
      <c r="X264" s="1" t="s">
        <v>2778</v>
      </c>
      <c r="Y264" s="1">
        <v>309.0</v>
      </c>
      <c r="Z264" s="3" t="s">
        <v>2779</v>
      </c>
      <c r="AA264" s="1">
        <v>718902.0</v>
      </c>
      <c r="AB264" s="1" t="s">
        <v>2780</v>
      </c>
      <c r="AC264" s="3" t="s">
        <v>2781</v>
      </c>
      <c r="AD264" s="3" t="s">
        <v>2782</v>
      </c>
      <c r="AE264" s="1">
        <v>1.0</v>
      </c>
      <c r="AF264" s="1" t="s">
        <v>2783</v>
      </c>
      <c r="AG264" s="1">
        <v>21.0</v>
      </c>
      <c r="AH264" s="1">
        <v>42.0</v>
      </c>
      <c r="AI264" s="1">
        <v>18.0</v>
      </c>
      <c r="AJ264" s="1">
        <v>16.0</v>
      </c>
      <c r="AK264" s="1">
        <v>6.0</v>
      </c>
      <c r="AL264" s="1">
        <v>2.0</v>
      </c>
      <c r="AM264" s="1">
        <v>103.0</v>
      </c>
      <c r="AN264" s="1">
        <v>45.0</v>
      </c>
      <c r="AO264" s="1">
        <v>0.0</v>
      </c>
      <c r="AP264" s="1">
        <v>0.0</v>
      </c>
      <c r="AQ264" s="1">
        <v>6.0</v>
      </c>
      <c r="AR264" s="1">
        <v>0.0</v>
      </c>
      <c r="AS264" s="1">
        <v>1.0</v>
      </c>
    </row>
    <row r="265" hidden="1">
      <c r="A265" s="1">
        <v>255.0</v>
      </c>
      <c r="B265" s="1" t="s">
        <v>2784</v>
      </c>
      <c r="C265" s="1" t="s">
        <v>2785</v>
      </c>
      <c r="D265" s="1" t="s">
        <v>1490</v>
      </c>
      <c r="E265" s="1" t="s">
        <v>43</v>
      </c>
      <c r="F265" s="2">
        <v>27685.0</v>
      </c>
      <c r="G265" s="1">
        <f t="shared" si="1"/>
        <v>50</v>
      </c>
      <c r="H265" s="1" t="s">
        <v>2687</v>
      </c>
      <c r="I265" s="1" t="str">
        <f>IFERROR(__xludf.DUMMYFUNCTION("SPLIT(left(H265,len(H265)-1),""("")"),"Calais ")</f>
        <v>Calais </v>
      </c>
      <c r="J265" s="1" t="str">
        <f>IFERROR(__xludf.DUMMYFUNCTION("""COMPUTED_VALUE"""),"Pas-de-Calais")</f>
        <v>Pas-de-Calais</v>
      </c>
      <c r="K265" s="1" t="str">
        <f>IFERROR(__xludf.DUMMYFUNCTION("IF( COUNTA( IFERROR( FILTER('départements_edition'!$C$2:$C$102 , 'départements_edition'!$C$2:$C$102=J265 ) ) ) , ""Oui"" , ""Non"" )"),"Oui")</f>
        <v>Oui</v>
      </c>
      <c r="L265" s="1" t="str">
        <f t="shared" si="2"/>
        <v>France</v>
      </c>
      <c r="M265" s="1">
        <v>80.0</v>
      </c>
      <c r="N265" s="1" t="s">
        <v>1148</v>
      </c>
      <c r="O265" s="1">
        <v>1.0</v>
      </c>
      <c r="P265" s="2">
        <v>42907.0</v>
      </c>
      <c r="R265" s="1">
        <v>0.0</v>
      </c>
      <c r="S265" s="1" t="s">
        <v>173</v>
      </c>
      <c r="T265" s="1" t="s">
        <v>174</v>
      </c>
      <c r="U265" s="1" t="s">
        <v>2786</v>
      </c>
      <c r="X265" s="1" t="s">
        <v>2787</v>
      </c>
      <c r="Y265" s="1">
        <v>627.0</v>
      </c>
      <c r="Z265" s="3" t="s">
        <v>2788</v>
      </c>
      <c r="AA265" s="1">
        <v>722142.0</v>
      </c>
      <c r="AB265" s="1" t="s">
        <v>2789</v>
      </c>
      <c r="AC265" s="3" t="s">
        <v>2790</v>
      </c>
      <c r="AD265" s="3" t="s">
        <v>2791</v>
      </c>
      <c r="AE265" s="1">
        <v>1.0</v>
      </c>
      <c r="AF265" s="1" t="s">
        <v>2792</v>
      </c>
      <c r="AG265" s="1">
        <v>21.0</v>
      </c>
      <c r="AH265" s="1">
        <v>28.0</v>
      </c>
      <c r="AI265" s="1">
        <v>76.0</v>
      </c>
      <c r="AJ265" s="1">
        <v>276.0</v>
      </c>
      <c r="AK265" s="1">
        <v>103.0</v>
      </c>
      <c r="AL265" s="1">
        <v>67.0</v>
      </c>
      <c r="AM265" s="1">
        <v>2066.0</v>
      </c>
      <c r="AN265" s="1">
        <v>32.0</v>
      </c>
      <c r="AO265" s="1">
        <v>1.0</v>
      </c>
      <c r="AP265" s="1">
        <v>3.0</v>
      </c>
      <c r="AQ265" s="1">
        <v>17.0</v>
      </c>
      <c r="AR265" s="1">
        <v>8.0</v>
      </c>
      <c r="AS265" s="1">
        <v>3.0</v>
      </c>
    </row>
    <row r="266" hidden="1">
      <c r="A266" s="1">
        <v>186.0</v>
      </c>
      <c r="B266" s="1" t="s">
        <v>2793</v>
      </c>
      <c r="C266" s="1" t="s">
        <v>2794</v>
      </c>
      <c r="D266" s="1" t="s">
        <v>2795</v>
      </c>
      <c r="E266" s="1" t="s">
        <v>43</v>
      </c>
      <c r="F266" s="2">
        <v>31072.0</v>
      </c>
      <c r="G266" s="1">
        <f t="shared" si="1"/>
        <v>41</v>
      </c>
      <c r="H266" s="1" t="s">
        <v>2796</v>
      </c>
      <c r="I266" s="1" t="str">
        <f>IFERROR(__xludf.DUMMYFUNCTION("SPLIT(left(H266,len(H266)-1),""("")"),"Chambray-lès-Tours ")</f>
        <v>Chambray-lès-Tours </v>
      </c>
      <c r="J266" s="1" t="str">
        <f>IFERROR(__xludf.DUMMYFUNCTION("""COMPUTED_VALUE"""),"Indre-et-Loire")</f>
        <v>Indre-et-Loire</v>
      </c>
      <c r="K266" s="1" t="str">
        <f>IFERROR(__xludf.DUMMYFUNCTION("IF( COUNTA( IFERROR( FILTER('départements_edition'!$C$2:$C$102 , 'départements_edition'!$C$2:$C$102=J266 ) ) ) , ""Oui"" , ""Non"" )"),"Oui")</f>
        <v>Oui</v>
      </c>
      <c r="L266" s="1" t="str">
        <f t="shared" si="2"/>
        <v>France</v>
      </c>
      <c r="M266" s="1">
        <v>75.0</v>
      </c>
      <c r="N266" s="1" t="s">
        <v>232</v>
      </c>
      <c r="O266" s="1">
        <v>7.0</v>
      </c>
      <c r="P266" s="2">
        <v>42907.0</v>
      </c>
      <c r="R266" s="1">
        <v>0.0</v>
      </c>
      <c r="S266" s="1" t="s">
        <v>75</v>
      </c>
      <c r="T266" s="1" t="s">
        <v>76</v>
      </c>
      <c r="U266" s="1" t="s">
        <v>2797</v>
      </c>
      <c r="X266" s="1" t="s">
        <v>2798</v>
      </c>
      <c r="Y266" s="1">
        <v>423.0</v>
      </c>
      <c r="Z266" s="3" t="s">
        <v>2799</v>
      </c>
      <c r="AA266" s="1">
        <v>721616.0</v>
      </c>
      <c r="AB266" s="1" t="s">
        <v>2800</v>
      </c>
      <c r="AC266" s="3" t="s">
        <v>2801</v>
      </c>
      <c r="AD266" s="3" t="s">
        <v>2802</v>
      </c>
      <c r="AE266" s="1">
        <v>1.0</v>
      </c>
      <c r="AF266" s="1" t="s">
        <v>2803</v>
      </c>
      <c r="AG266" s="1">
        <v>21.0</v>
      </c>
      <c r="AH266" s="1">
        <v>35.0</v>
      </c>
      <c r="AI266" s="1">
        <v>11.0</v>
      </c>
      <c r="AJ266" s="1">
        <v>28.0</v>
      </c>
      <c r="AK266" s="1">
        <v>28.0</v>
      </c>
      <c r="AL266" s="1">
        <v>3.0</v>
      </c>
      <c r="AM266" s="1">
        <v>60.0</v>
      </c>
      <c r="AN266" s="1">
        <v>26.0</v>
      </c>
      <c r="AO266" s="1">
        <v>0.0</v>
      </c>
      <c r="AP266" s="1">
        <v>0.0</v>
      </c>
      <c r="AQ266" s="1">
        <v>5.0</v>
      </c>
      <c r="AR266" s="1">
        <v>1.0</v>
      </c>
      <c r="AS266" s="1">
        <v>1.0</v>
      </c>
    </row>
    <row r="267" hidden="1">
      <c r="A267" s="1">
        <v>182.0</v>
      </c>
      <c r="B267" s="1" t="s">
        <v>2814</v>
      </c>
      <c r="C267" s="1" t="s">
        <v>2815</v>
      </c>
      <c r="D267" s="1" t="s">
        <v>2816</v>
      </c>
      <c r="E267" s="1" t="s">
        <v>43</v>
      </c>
      <c r="F267" s="2">
        <v>28186.0</v>
      </c>
      <c r="G267" s="1">
        <f t="shared" si="1"/>
        <v>49</v>
      </c>
      <c r="H267" s="1" t="s">
        <v>1761</v>
      </c>
      <c r="I267" s="1" t="str">
        <f>IFERROR(__xludf.DUMMYFUNCTION("SPLIT(left(H267,len(H267)-1),""("")"),"Toulon ")</f>
        <v>Toulon </v>
      </c>
      <c r="J267" s="1" t="str">
        <f>IFERROR(__xludf.DUMMYFUNCTION("""COMPUTED_VALUE"""),"Var")</f>
        <v>Var</v>
      </c>
      <c r="K267" s="1" t="str">
        <f>IFERROR(__xludf.DUMMYFUNCTION("IF( COUNTA( IFERROR( FILTER('départements_edition'!$C$2:$C$102 , 'départements_edition'!$C$2:$C$102=J267 ) ) ) , ""Oui"" , ""Non"" )"),"Oui")</f>
        <v>Oui</v>
      </c>
      <c r="L267" s="1" t="str">
        <f t="shared" si="2"/>
        <v>France</v>
      </c>
      <c r="M267" s="1">
        <v>81.0</v>
      </c>
      <c r="N267" s="1" t="s">
        <v>673</v>
      </c>
      <c r="O267" s="1">
        <v>3.0</v>
      </c>
      <c r="P267" s="2">
        <v>42907.0</v>
      </c>
      <c r="R267" s="1">
        <v>0.0</v>
      </c>
      <c r="S267" s="1" t="s">
        <v>75</v>
      </c>
      <c r="T267" s="1" t="s">
        <v>76</v>
      </c>
      <c r="U267" s="1" t="s">
        <v>2817</v>
      </c>
      <c r="X267" s="1" t="s">
        <v>304</v>
      </c>
      <c r="Y267" s="1">
        <v>457.0</v>
      </c>
      <c r="Z267" s="3" t="s">
        <v>2818</v>
      </c>
      <c r="AA267" s="1">
        <v>721584.0</v>
      </c>
      <c r="AB267" s="1" t="s">
        <v>2819</v>
      </c>
      <c r="AC267" s="3" t="s">
        <v>2820</v>
      </c>
      <c r="AD267" s="3" t="s">
        <v>2821</v>
      </c>
      <c r="AE267" s="1">
        <v>1.0</v>
      </c>
      <c r="AF267" s="1" t="s">
        <v>2822</v>
      </c>
      <c r="AG267" s="1">
        <v>21.0</v>
      </c>
      <c r="AH267" s="1">
        <v>53.0</v>
      </c>
      <c r="AI267" s="1">
        <v>19.0</v>
      </c>
      <c r="AJ267" s="1">
        <v>21.0</v>
      </c>
      <c r="AK267" s="1">
        <v>5.0</v>
      </c>
      <c r="AL267" s="1">
        <v>5.0</v>
      </c>
      <c r="AM267" s="1">
        <v>138.0</v>
      </c>
      <c r="AN267" s="1">
        <v>58.0</v>
      </c>
      <c r="AO267" s="1">
        <v>0.0</v>
      </c>
      <c r="AP267" s="1">
        <v>0.0</v>
      </c>
      <c r="AQ267" s="1">
        <v>6.0</v>
      </c>
      <c r="AR267" s="1">
        <v>2.0</v>
      </c>
      <c r="AS267" s="1">
        <v>1.0</v>
      </c>
    </row>
    <row r="268" hidden="1">
      <c r="A268" s="1">
        <v>180.0</v>
      </c>
      <c r="B268" s="1" t="s">
        <v>2823</v>
      </c>
      <c r="C268" s="1" t="s">
        <v>2824</v>
      </c>
      <c r="D268" s="1" t="s">
        <v>2825</v>
      </c>
      <c r="E268" s="1" t="s">
        <v>58</v>
      </c>
      <c r="F268" s="2">
        <v>23530.0</v>
      </c>
      <c r="G268" s="1">
        <f t="shared" si="1"/>
        <v>62</v>
      </c>
      <c r="H268" s="1" t="s">
        <v>2826</v>
      </c>
      <c r="I268" s="1" t="str">
        <f>IFERROR(__xludf.DUMMYFUNCTION("SPLIT(left(H268,len(H268)-1),""("")"),"Paris 14ème ")</f>
        <v>Paris 14ème </v>
      </c>
      <c r="J268" s="1" t="str">
        <f>IFERROR(__xludf.DUMMYFUNCTION("""COMPUTED_VALUE"""),"Paris")</f>
        <v>Paris</v>
      </c>
      <c r="K268" s="1" t="str">
        <f>IFERROR(__xludf.DUMMYFUNCTION("IF( COUNTA( IFERROR( FILTER('départements_edition'!$C$2:$C$102 , 'départements_edition'!$C$2:$C$102=J268 ) ) ) , ""Oui"" , ""Non"" )"),"Oui")</f>
        <v>Oui</v>
      </c>
      <c r="L268" s="1" t="str">
        <f t="shared" si="2"/>
        <v>France</v>
      </c>
      <c r="M268" s="1">
        <v>60.0</v>
      </c>
      <c r="N268" s="1" t="s">
        <v>769</v>
      </c>
      <c r="O268" s="1">
        <v>2.0</v>
      </c>
      <c r="P268" s="2">
        <v>42907.0</v>
      </c>
      <c r="R268" s="1">
        <v>0.0</v>
      </c>
      <c r="S268" s="1" t="s">
        <v>75</v>
      </c>
      <c r="T268" s="1" t="s">
        <v>76</v>
      </c>
      <c r="U268" s="3" t="s">
        <v>2827</v>
      </c>
      <c r="X268" s="1" t="s">
        <v>2828</v>
      </c>
      <c r="Y268" s="1">
        <v>221.0</v>
      </c>
      <c r="Z268" s="3" t="s">
        <v>2829</v>
      </c>
      <c r="AA268" s="1">
        <v>720568.0</v>
      </c>
      <c r="AB268" s="1" t="s">
        <v>2830</v>
      </c>
      <c r="AC268" s="3" t="s">
        <v>2831</v>
      </c>
      <c r="AD268" s="3" t="s">
        <v>2832</v>
      </c>
      <c r="AE268" s="1">
        <v>1.0</v>
      </c>
      <c r="AF268" s="1" t="s">
        <v>2833</v>
      </c>
      <c r="AG268" s="1">
        <v>21.0</v>
      </c>
      <c r="AH268" s="1">
        <v>41.0</v>
      </c>
      <c r="AI268" s="1">
        <v>13.0</v>
      </c>
      <c r="AJ268" s="1">
        <v>3.0</v>
      </c>
      <c r="AK268" s="1">
        <v>13.0</v>
      </c>
      <c r="AL268" s="1">
        <v>0.0</v>
      </c>
      <c r="AM268" s="1">
        <v>53.0</v>
      </c>
      <c r="AN268" s="1">
        <v>14.0</v>
      </c>
      <c r="AO268" s="1">
        <v>0.0</v>
      </c>
      <c r="AP268" s="1">
        <v>0.0</v>
      </c>
      <c r="AQ268" s="1">
        <v>5.0</v>
      </c>
      <c r="AR268" s="1">
        <v>8.0</v>
      </c>
      <c r="AS268" s="1">
        <v>2.0</v>
      </c>
    </row>
    <row r="269" hidden="1">
      <c r="A269" s="1">
        <v>304.0</v>
      </c>
      <c r="B269" s="1" t="s">
        <v>2843</v>
      </c>
      <c r="C269" s="1" t="s">
        <v>2844</v>
      </c>
      <c r="D269" s="1" t="s">
        <v>694</v>
      </c>
      <c r="E269" s="1" t="s">
        <v>58</v>
      </c>
      <c r="F269" s="2">
        <v>26364.0</v>
      </c>
      <c r="G269" s="1">
        <f t="shared" si="1"/>
        <v>54</v>
      </c>
      <c r="H269" s="1" t="s">
        <v>2845</v>
      </c>
      <c r="I269" s="1" t="str">
        <f>IFERROR(__xludf.DUMMYFUNCTION("SPLIT(left(H269,len(H269)-1),""("")"),"Cagnes-sur-Mer ")</f>
        <v>Cagnes-sur-Mer </v>
      </c>
      <c r="J269" s="1" t="str">
        <f>IFERROR(__xludf.DUMMYFUNCTION("""COMPUTED_VALUE"""),"Alpes-Maritimes")</f>
        <v>Alpes-Maritimes</v>
      </c>
      <c r="K269" s="1" t="str">
        <f>IFERROR(__xludf.DUMMYFUNCTION("IF( COUNTA( IFERROR( FILTER('départements_edition'!$C$2:$C$102 , 'départements_edition'!$C$2:$C$102=J269 ) ) ) , ""Oui"" , ""Non"" )"),"Oui")</f>
        <v>Oui</v>
      </c>
      <c r="L269" s="1" t="str">
        <f t="shared" si="2"/>
        <v>France</v>
      </c>
      <c r="M269" s="1">
        <v>6.0</v>
      </c>
      <c r="N269" s="1" t="s">
        <v>438</v>
      </c>
      <c r="O269" s="1">
        <v>6.0</v>
      </c>
      <c r="P269" s="2">
        <v>42907.0</v>
      </c>
      <c r="R269" s="1">
        <v>0.0</v>
      </c>
      <c r="S269" s="1" t="s">
        <v>61</v>
      </c>
      <c r="T269" s="1" t="s">
        <v>62</v>
      </c>
      <c r="U269" s="1" t="s">
        <v>2846</v>
      </c>
      <c r="X269" s="1" t="s">
        <v>2847</v>
      </c>
      <c r="Y269" s="1">
        <v>151.0</v>
      </c>
      <c r="Z269" s="3" t="s">
        <v>2848</v>
      </c>
      <c r="AA269" s="1">
        <v>718780.0</v>
      </c>
      <c r="AB269" s="1" t="s">
        <v>2849</v>
      </c>
      <c r="AC269" s="3" t="s">
        <v>2850</v>
      </c>
      <c r="AD269" s="3" t="s">
        <v>2851</v>
      </c>
      <c r="AE269" s="1">
        <v>1.0</v>
      </c>
      <c r="AF269" s="1" t="s">
        <v>2852</v>
      </c>
      <c r="AG269" s="1">
        <v>21.0</v>
      </c>
      <c r="AH269" s="1">
        <v>46.0</v>
      </c>
      <c r="AI269" s="1">
        <v>24.0</v>
      </c>
      <c r="AJ269" s="1">
        <v>15.0</v>
      </c>
      <c r="AK269" s="1">
        <v>7.0</v>
      </c>
      <c r="AL269" s="1">
        <v>47.0</v>
      </c>
      <c r="AM269" s="1">
        <v>719.0</v>
      </c>
      <c r="AN269" s="1">
        <v>24.0</v>
      </c>
      <c r="AO269" s="1">
        <v>0.0</v>
      </c>
      <c r="AP269" s="1">
        <v>2.0</v>
      </c>
      <c r="AQ269" s="1">
        <v>67.0</v>
      </c>
      <c r="AR269" s="1">
        <v>9.0</v>
      </c>
      <c r="AS269" s="1">
        <v>3.0</v>
      </c>
    </row>
    <row r="270" hidden="1">
      <c r="A270" s="1">
        <v>7.0</v>
      </c>
      <c r="B270" s="1" t="s">
        <v>2853</v>
      </c>
      <c r="C270" s="1" t="s">
        <v>2854</v>
      </c>
      <c r="D270" s="1" t="s">
        <v>1822</v>
      </c>
      <c r="E270" s="1" t="s">
        <v>43</v>
      </c>
      <c r="F270" s="2">
        <v>24643.0</v>
      </c>
      <c r="G270" s="1">
        <f t="shared" si="1"/>
        <v>59</v>
      </c>
      <c r="H270" s="1" t="s">
        <v>836</v>
      </c>
      <c r="I270" s="1" t="str">
        <f>IFERROR(__xludf.DUMMYFUNCTION("SPLIT(left(H270,len(H270)-1),""("")"),"Beauvais ")</f>
        <v>Beauvais </v>
      </c>
      <c r="J270" s="1" t="str">
        <f>IFERROR(__xludf.DUMMYFUNCTION("""COMPUTED_VALUE"""),"Oise")</f>
        <v>Oise</v>
      </c>
      <c r="K270" s="1" t="str">
        <f>IFERROR(__xludf.DUMMYFUNCTION("IF( COUNTA( IFERROR( FILTER('départements_edition'!$C$2:$C$102 , 'départements_edition'!$C$2:$C$102=J270 ) ) ) , ""Oui"" , ""Non"" )"),"Oui")</f>
        <v>Oui</v>
      </c>
      <c r="L270" s="1" t="str">
        <f t="shared" si="2"/>
        <v>France</v>
      </c>
      <c r="M270" s="1">
        <v>95.0</v>
      </c>
      <c r="N270" s="1" t="s">
        <v>302</v>
      </c>
      <c r="O270" s="1">
        <v>2.0</v>
      </c>
      <c r="P270" s="2">
        <v>42907.0</v>
      </c>
      <c r="R270" s="1">
        <v>0.0</v>
      </c>
      <c r="S270" s="1" t="s">
        <v>75</v>
      </c>
      <c r="T270" s="1" t="s">
        <v>76</v>
      </c>
      <c r="U270" s="1" t="s">
        <v>2855</v>
      </c>
      <c r="X270" s="1" t="s">
        <v>234</v>
      </c>
      <c r="Y270" s="1">
        <v>373.0</v>
      </c>
      <c r="Z270" s="3" t="s">
        <v>2856</v>
      </c>
      <c r="AA270" s="1">
        <v>721262.0</v>
      </c>
      <c r="AB270" s="1" t="s">
        <v>2857</v>
      </c>
      <c r="AC270" s="3" t="s">
        <v>2858</v>
      </c>
      <c r="AD270" s="3" t="s">
        <v>2859</v>
      </c>
      <c r="AE270" s="1">
        <v>1.0</v>
      </c>
      <c r="AF270" s="1" t="s">
        <v>2860</v>
      </c>
      <c r="AG270" s="1">
        <v>21.0</v>
      </c>
      <c r="AH270" s="1">
        <v>37.0</v>
      </c>
      <c r="AI270" s="1">
        <v>17.0</v>
      </c>
      <c r="AJ270" s="1">
        <v>28.0</v>
      </c>
      <c r="AK270" s="1">
        <v>7.0</v>
      </c>
      <c r="AL270" s="1">
        <v>5.0</v>
      </c>
      <c r="AM270" s="1">
        <v>68.0</v>
      </c>
      <c r="AN270" s="1">
        <v>26.0</v>
      </c>
      <c r="AO270" s="1">
        <v>1.0</v>
      </c>
      <c r="AP270" s="1">
        <v>0.0</v>
      </c>
      <c r="AQ270" s="1">
        <v>5.0</v>
      </c>
      <c r="AR270" s="1">
        <v>4.0</v>
      </c>
      <c r="AS270" s="1">
        <v>2.0</v>
      </c>
    </row>
    <row r="271" hidden="1">
      <c r="A271" s="1">
        <v>234.0</v>
      </c>
      <c r="B271" s="1" t="s">
        <v>2861</v>
      </c>
      <c r="C271" s="1" t="s">
        <v>2862</v>
      </c>
      <c r="D271" s="1" t="s">
        <v>1561</v>
      </c>
      <c r="E271" s="1" t="s">
        <v>43</v>
      </c>
      <c r="F271" s="2">
        <v>32687.0</v>
      </c>
      <c r="G271" s="1">
        <f t="shared" si="1"/>
        <v>37</v>
      </c>
      <c r="H271" s="1" t="s">
        <v>1095</v>
      </c>
      <c r="I271" s="1" t="str">
        <f>IFERROR(__xludf.DUMMYFUNCTION("SPLIT(left(H271,len(H271)-1),""("")"),"Orléans ")</f>
        <v>Orléans </v>
      </c>
      <c r="J271" s="1" t="str">
        <f>IFERROR(__xludf.DUMMYFUNCTION("""COMPUTED_VALUE"""),"Loiret")</f>
        <v>Loiret</v>
      </c>
      <c r="K271" s="1" t="str">
        <f>IFERROR(__xludf.DUMMYFUNCTION("IF( COUNTA( IFERROR( FILTER('départements_edition'!$C$2:$C$102 , 'départements_edition'!$C$2:$C$102=J271 ) ) ) , ""Oui"" , ""Non"" )"),"Oui")</f>
        <v>Oui</v>
      </c>
      <c r="L271" s="1" t="str">
        <f t="shared" si="2"/>
        <v>France</v>
      </c>
      <c r="M271" s="1">
        <v>76.0</v>
      </c>
      <c r="N271" s="1" t="s">
        <v>371</v>
      </c>
      <c r="O271" s="1">
        <v>1.0</v>
      </c>
      <c r="P271" s="2">
        <v>42907.0</v>
      </c>
      <c r="R271" s="1">
        <v>0.0</v>
      </c>
      <c r="S271" s="1" t="s">
        <v>75</v>
      </c>
      <c r="T271" s="1" t="s">
        <v>76</v>
      </c>
      <c r="U271" s="1" t="s">
        <v>2863</v>
      </c>
      <c r="X271" s="1" t="s">
        <v>234</v>
      </c>
      <c r="Y271" s="1">
        <v>319.0</v>
      </c>
      <c r="Z271" s="3" t="s">
        <v>2864</v>
      </c>
      <c r="AA271" s="1">
        <v>722038.0</v>
      </c>
      <c r="AB271" s="1" t="s">
        <v>2865</v>
      </c>
      <c r="AC271" s="3" t="s">
        <v>2866</v>
      </c>
      <c r="AD271" s="3" t="s">
        <v>2867</v>
      </c>
      <c r="AE271" s="1">
        <v>1.0</v>
      </c>
      <c r="AF271" s="1" t="s">
        <v>2868</v>
      </c>
      <c r="AG271" s="1">
        <v>20.0</v>
      </c>
      <c r="AH271" s="1">
        <v>46.0</v>
      </c>
      <c r="AI271" s="1">
        <v>34.0</v>
      </c>
      <c r="AJ271" s="1">
        <v>11.0</v>
      </c>
      <c r="AK271" s="1">
        <v>1.0</v>
      </c>
      <c r="AL271" s="1">
        <v>2.0</v>
      </c>
      <c r="AM271" s="1">
        <v>62.0</v>
      </c>
      <c r="AN271" s="1">
        <v>35.0</v>
      </c>
      <c r="AO271" s="1">
        <v>0.0</v>
      </c>
      <c r="AP271" s="1">
        <v>0.0</v>
      </c>
      <c r="AQ271" s="1">
        <v>5.0</v>
      </c>
      <c r="AR271" s="1">
        <v>19.0</v>
      </c>
      <c r="AS271" s="1">
        <v>1.0</v>
      </c>
    </row>
    <row r="272" hidden="1">
      <c r="A272" s="1">
        <v>413.0</v>
      </c>
      <c r="B272" s="1" t="s">
        <v>2869</v>
      </c>
      <c r="C272" s="1" t="s">
        <v>2870</v>
      </c>
      <c r="D272" s="1" t="s">
        <v>1932</v>
      </c>
      <c r="E272" s="1" t="s">
        <v>43</v>
      </c>
      <c r="F272" s="2">
        <v>25450.0</v>
      </c>
      <c r="G272" s="1">
        <f t="shared" si="1"/>
        <v>56</v>
      </c>
      <c r="H272" s="1" t="s">
        <v>404</v>
      </c>
      <c r="I272" s="1" t="str">
        <f>IFERROR(__xludf.DUMMYFUNCTION("SPLIT(left(H272,len(H272)-1),""("")"),"Toulouse ")</f>
        <v>Toulouse </v>
      </c>
      <c r="J272" s="1" t="str">
        <f>IFERROR(__xludf.DUMMYFUNCTION("""COMPUTED_VALUE"""),"Haute-Garonne")</f>
        <v>Haute-Garonne</v>
      </c>
      <c r="K272" s="1" t="str">
        <f>IFERROR(__xludf.DUMMYFUNCTION("IF( COUNTA( IFERROR( FILTER('départements_edition'!$C$2:$C$102 , 'départements_edition'!$C$2:$C$102=J272 ) ) ) , ""Oui"" , ""Non"" )"),"Oui")</f>
        <v>Oui</v>
      </c>
      <c r="L272" s="1" t="str">
        <f t="shared" si="2"/>
        <v>France</v>
      </c>
      <c r="M272" s="1">
        <v>66.0</v>
      </c>
      <c r="N272" s="1" t="s">
        <v>1773</v>
      </c>
      <c r="O272" s="1">
        <v>2.0</v>
      </c>
      <c r="P272" s="2">
        <v>42907.0</v>
      </c>
      <c r="R272" s="1">
        <v>0.0</v>
      </c>
      <c r="S272" s="1" t="s">
        <v>814</v>
      </c>
      <c r="T272" s="1" t="s">
        <v>837</v>
      </c>
      <c r="U272" s="1" t="s">
        <v>2871</v>
      </c>
      <c r="X272" s="1" t="s">
        <v>440</v>
      </c>
      <c r="Y272" s="1">
        <v>59.0</v>
      </c>
      <c r="Z272" s="3" t="s">
        <v>2872</v>
      </c>
      <c r="AA272" s="1">
        <v>720798.0</v>
      </c>
      <c r="AB272" s="1" t="s">
        <v>2873</v>
      </c>
      <c r="AC272" s="3" t="s">
        <v>2874</v>
      </c>
      <c r="AD272" s="3" t="s">
        <v>2875</v>
      </c>
      <c r="AE272" s="1">
        <v>2.0</v>
      </c>
      <c r="AF272" s="1" t="s">
        <v>2876</v>
      </c>
      <c r="AG272" s="1">
        <v>20.0</v>
      </c>
      <c r="AH272" s="1">
        <v>26.0</v>
      </c>
      <c r="AI272" s="1">
        <v>19.0</v>
      </c>
      <c r="AJ272" s="1">
        <v>19.0</v>
      </c>
      <c r="AK272" s="1">
        <v>15.0</v>
      </c>
      <c r="AL272" s="1">
        <v>19.0</v>
      </c>
      <c r="AM272" s="1">
        <v>265.0</v>
      </c>
      <c r="AN272" s="1">
        <v>0.0</v>
      </c>
      <c r="AO272" s="1">
        <v>0.0</v>
      </c>
      <c r="AP272" s="1">
        <v>0.0</v>
      </c>
      <c r="AQ272" s="1">
        <v>14.0</v>
      </c>
      <c r="AR272" s="1">
        <v>12.0</v>
      </c>
      <c r="AS272" s="1">
        <v>0.0</v>
      </c>
    </row>
    <row r="273" hidden="1">
      <c r="A273" s="1">
        <v>220.0</v>
      </c>
      <c r="B273" s="1" t="s">
        <v>2877</v>
      </c>
      <c r="C273" s="1" t="s">
        <v>2878</v>
      </c>
      <c r="D273" s="1" t="s">
        <v>522</v>
      </c>
      <c r="E273" s="1" t="s">
        <v>43</v>
      </c>
      <c r="F273" s="2">
        <v>27618.0</v>
      </c>
      <c r="G273" s="1">
        <f t="shared" si="1"/>
        <v>51</v>
      </c>
      <c r="H273" s="1" t="s">
        <v>2879</v>
      </c>
      <c r="I273" s="1" t="str">
        <f>IFERROR(__xludf.DUMMYFUNCTION("SPLIT(left(H273,len(H273)-1),""("")"),"Forbach ")</f>
        <v>Forbach </v>
      </c>
      <c r="J273" s="1" t="str">
        <f>IFERROR(__xludf.DUMMYFUNCTION("""COMPUTED_VALUE"""),"Moselle")</f>
        <v>Moselle</v>
      </c>
      <c r="K273" s="1" t="str">
        <f>IFERROR(__xludf.DUMMYFUNCTION("IF( COUNTA( IFERROR( FILTER('départements_edition'!$C$2:$C$102 , 'départements_edition'!$C$2:$C$102=J273 ) ) ) , ""Oui"" , ""Non"" )"),"Oui")</f>
        <v>Oui</v>
      </c>
      <c r="L273" s="1" t="str">
        <f t="shared" si="2"/>
        <v>France</v>
      </c>
      <c r="M273" s="1">
        <v>57.0</v>
      </c>
      <c r="N273" s="1" t="s">
        <v>471</v>
      </c>
      <c r="O273" s="1">
        <v>6.0</v>
      </c>
      <c r="P273" s="2">
        <v>42907.0</v>
      </c>
      <c r="R273" s="1">
        <v>0.0</v>
      </c>
      <c r="S273" s="1" t="s">
        <v>75</v>
      </c>
      <c r="T273" s="1" t="s">
        <v>76</v>
      </c>
      <c r="U273" s="1" t="s">
        <v>2880</v>
      </c>
      <c r="X273" s="1" t="s">
        <v>2881</v>
      </c>
      <c r="Y273" s="1">
        <v>439.0</v>
      </c>
      <c r="Z273" s="3" t="s">
        <v>2882</v>
      </c>
      <c r="AA273" s="1">
        <v>720310.0</v>
      </c>
      <c r="AB273" s="1" t="s">
        <v>2883</v>
      </c>
      <c r="AC273" s="3" t="s">
        <v>2884</v>
      </c>
      <c r="AD273" s="3" t="s">
        <v>2885</v>
      </c>
      <c r="AE273" s="1">
        <v>1.0</v>
      </c>
      <c r="AF273" s="1" t="s">
        <v>2886</v>
      </c>
      <c r="AG273" s="1">
        <v>20.0</v>
      </c>
      <c r="AH273" s="1">
        <v>30.0</v>
      </c>
      <c r="AI273" s="1">
        <v>7.0</v>
      </c>
      <c r="AJ273" s="1">
        <v>12.0</v>
      </c>
      <c r="AK273" s="1">
        <v>1.0</v>
      </c>
      <c r="AL273" s="1">
        <v>0.0</v>
      </c>
      <c r="AM273" s="1">
        <v>91.0</v>
      </c>
      <c r="AN273" s="1">
        <v>44.0</v>
      </c>
      <c r="AO273" s="1">
        <v>0.0</v>
      </c>
      <c r="AP273" s="1">
        <v>0.0</v>
      </c>
      <c r="AQ273" s="1">
        <v>6.0</v>
      </c>
      <c r="AR273" s="1">
        <v>5.0</v>
      </c>
      <c r="AS273" s="1">
        <v>2.0</v>
      </c>
    </row>
    <row r="274" hidden="1">
      <c r="A274" s="1">
        <v>310.0</v>
      </c>
      <c r="B274" s="1" t="s">
        <v>2887</v>
      </c>
      <c r="C274" s="1" t="s">
        <v>2888</v>
      </c>
      <c r="D274" s="1" t="s">
        <v>2889</v>
      </c>
      <c r="E274" s="1" t="s">
        <v>43</v>
      </c>
      <c r="F274" s="2">
        <v>32583.0</v>
      </c>
      <c r="G274" s="1">
        <f t="shared" si="1"/>
        <v>37</v>
      </c>
      <c r="H274" s="1" t="s">
        <v>1872</v>
      </c>
      <c r="I274" s="1" t="str">
        <f>IFERROR(__xludf.DUMMYFUNCTION("SPLIT(left(H274,len(H274)-1),""("")"),"Clamart ")</f>
        <v>Clamart </v>
      </c>
      <c r="J274" s="1" t="str">
        <f>IFERROR(__xludf.DUMMYFUNCTION("""COMPUTED_VALUE"""),"Hauts-de-Seine")</f>
        <v>Hauts-de-Seine</v>
      </c>
      <c r="K274" s="1" t="str">
        <f>IFERROR(__xludf.DUMMYFUNCTION("IF( COUNTA( IFERROR( FILTER('départements_edition'!$C$2:$C$102 , 'départements_edition'!$C$2:$C$102=J274 ) ) ) , ""Oui"" , ""Non"" )"),"Oui")</f>
        <v>Oui</v>
      </c>
      <c r="L274" s="1" t="str">
        <f t="shared" si="2"/>
        <v>France</v>
      </c>
      <c r="M274" s="1">
        <v>92.0</v>
      </c>
      <c r="N274" s="1" t="s">
        <v>781</v>
      </c>
      <c r="O274" s="1">
        <v>10.0</v>
      </c>
      <c r="P274" s="2">
        <v>42907.0</v>
      </c>
      <c r="R274" s="1">
        <v>0.0</v>
      </c>
      <c r="S274" s="1" t="s">
        <v>75</v>
      </c>
      <c r="T274" s="1" t="s">
        <v>76</v>
      </c>
      <c r="U274" s="1" t="s">
        <v>2890</v>
      </c>
      <c r="X274" s="1" t="s">
        <v>2208</v>
      </c>
      <c r="Y274" s="1">
        <v>453.0</v>
      </c>
      <c r="Z274" s="3" t="s">
        <v>2891</v>
      </c>
      <c r="AA274" s="1">
        <v>722190.0</v>
      </c>
      <c r="AB274" s="1" t="s">
        <v>2892</v>
      </c>
      <c r="AC274" s="3" t="s">
        <v>2893</v>
      </c>
      <c r="AD274" s="3" t="s">
        <v>2894</v>
      </c>
      <c r="AE274" s="1">
        <v>1.0</v>
      </c>
      <c r="AF274" s="1" t="s">
        <v>2895</v>
      </c>
      <c r="AG274" s="1">
        <v>20.0</v>
      </c>
      <c r="AH274" s="1">
        <v>43.0</v>
      </c>
      <c r="AI274" s="1">
        <v>132.0</v>
      </c>
      <c r="AJ274" s="1">
        <v>179.0</v>
      </c>
      <c r="AK274" s="1">
        <v>52.0</v>
      </c>
      <c r="AL274" s="1">
        <v>41.0</v>
      </c>
      <c r="AM274" s="1">
        <v>76.0</v>
      </c>
      <c r="AN274" s="1">
        <v>49.0</v>
      </c>
      <c r="AO274" s="1">
        <v>1.0</v>
      </c>
      <c r="AP274" s="1">
        <v>0.0</v>
      </c>
      <c r="AQ274" s="1">
        <v>5.0</v>
      </c>
      <c r="AR274" s="1">
        <v>1.0</v>
      </c>
      <c r="AS274" s="1">
        <v>1.0</v>
      </c>
    </row>
    <row r="275" hidden="1">
      <c r="A275" s="1">
        <v>41.0</v>
      </c>
      <c r="B275" s="1" t="s">
        <v>2896</v>
      </c>
      <c r="C275" s="1" t="s">
        <v>2897</v>
      </c>
      <c r="D275" s="1" t="s">
        <v>2898</v>
      </c>
      <c r="E275" s="1" t="s">
        <v>58</v>
      </c>
      <c r="F275" s="2">
        <v>29181.0</v>
      </c>
      <c r="G275" s="1">
        <f t="shared" si="1"/>
        <v>46</v>
      </c>
      <c r="H275" s="1" t="s">
        <v>2899</v>
      </c>
      <c r="I275" s="1" t="str">
        <f>IFERROR(__xludf.DUMMYFUNCTION("SPLIT(left(H275,len(H275)-1),""("")"),"Laval ")</f>
        <v>Laval </v>
      </c>
      <c r="J275" s="1" t="str">
        <f>IFERROR(__xludf.DUMMYFUNCTION("""COMPUTED_VALUE"""),"Mayenne")</f>
        <v>Mayenne</v>
      </c>
      <c r="K275" s="1" t="str">
        <f>IFERROR(__xludf.DUMMYFUNCTION("IF( COUNTA( IFERROR( FILTER('départements_edition'!$C$2:$C$102 , 'départements_edition'!$C$2:$C$102=J275 ) ) ) , ""Oui"" , ""Non"" )"),"Oui")</f>
        <v>Oui</v>
      </c>
      <c r="L275" s="1" t="str">
        <f t="shared" si="2"/>
        <v>France</v>
      </c>
      <c r="M275" s="1">
        <v>53.0</v>
      </c>
      <c r="N275" s="1" t="s">
        <v>2900</v>
      </c>
      <c r="O275" s="1">
        <v>2.0</v>
      </c>
      <c r="P275" s="2">
        <v>42907.0</v>
      </c>
      <c r="R275" s="1">
        <v>0.0</v>
      </c>
      <c r="S275" s="1" t="s">
        <v>280</v>
      </c>
      <c r="T275" s="1" t="s">
        <v>281</v>
      </c>
      <c r="U275" s="1" t="s">
        <v>2901</v>
      </c>
      <c r="X275" s="1" t="s">
        <v>269</v>
      </c>
      <c r="Y275" s="1">
        <v>163.0</v>
      </c>
      <c r="Z275" s="3" t="s">
        <v>2902</v>
      </c>
      <c r="AA275" s="1">
        <v>720256.0</v>
      </c>
      <c r="AB275" s="1" t="s">
        <v>2903</v>
      </c>
      <c r="AC275" s="3" t="s">
        <v>2904</v>
      </c>
      <c r="AD275" s="3" t="s">
        <v>2905</v>
      </c>
      <c r="AE275" s="1">
        <v>1.0</v>
      </c>
      <c r="AF275" s="1" t="s">
        <v>2906</v>
      </c>
      <c r="AG275" s="1">
        <v>20.0</v>
      </c>
      <c r="AH275" s="1">
        <v>37.0</v>
      </c>
      <c r="AI275" s="1">
        <v>20.0</v>
      </c>
      <c r="AJ275" s="1">
        <v>18.0</v>
      </c>
      <c r="AK275" s="1">
        <v>2.0</v>
      </c>
      <c r="AL275" s="1">
        <v>3.0</v>
      </c>
      <c r="AM275" s="1">
        <v>192.0</v>
      </c>
      <c r="AN275" s="1">
        <v>16.0</v>
      </c>
      <c r="AO275" s="1">
        <v>0.0</v>
      </c>
      <c r="AP275" s="1">
        <v>0.0</v>
      </c>
      <c r="AQ275" s="1">
        <v>4.0</v>
      </c>
      <c r="AR275" s="1">
        <v>8.0</v>
      </c>
      <c r="AS275" s="1">
        <v>4.0</v>
      </c>
    </row>
    <row r="276" hidden="1">
      <c r="A276" s="1">
        <v>23.0</v>
      </c>
      <c r="B276" s="1" t="s">
        <v>2907</v>
      </c>
      <c r="C276" s="1" t="s">
        <v>2908</v>
      </c>
      <c r="D276" s="1" t="s">
        <v>2909</v>
      </c>
      <c r="E276" s="1" t="s">
        <v>58</v>
      </c>
      <c r="F276" s="2">
        <v>31729.0</v>
      </c>
      <c r="G276" s="1">
        <f t="shared" si="1"/>
        <v>39</v>
      </c>
      <c r="H276" s="1" t="s">
        <v>207</v>
      </c>
      <c r="I276" s="1" t="str">
        <f>IFERROR(__xludf.DUMMYFUNCTION("SPLIT(left(H276,len(H276)-1),""("")"),"Paris ")</f>
        <v>Paris </v>
      </c>
      <c r="J276" s="1" t="str">
        <f>IFERROR(__xludf.DUMMYFUNCTION("""COMPUTED_VALUE"""),"Paris")</f>
        <v>Paris</v>
      </c>
      <c r="K276" s="1" t="str">
        <f>IFERROR(__xludf.DUMMYFUNCTION("IF( COUNTA( IFERROR( FILTER('départements_edition'!$C$2:$C$102 , 'départements_edition'!$C$2:$C$102=J276 ) ) ) , ""Oui"" , ""Non"" )"),"Oui")</f>
        <v>Oui</v>
      </c>
      <c r="L276" s="1" t="str">
        <f t="shared" si="2"/>
        <v>France</v>
      </c>
      <c r="M276" s="1">
        <v>78.0</v>
      </c>
      <c r="N276" s="1" t="s">
        <v>74</v>
      </c>
      <c r="O276" s="1">
        <v>10.0</v>
      </c>
      <c r="P276" s="2">
        <v>42907.0</v>
      </c>
      <c r="R276" s="1">
        <v>0.0</v>
      </c>
      <c r="S276" s="1" t="s">
        <v>75</v>
      </c>
      <c r="T276" s="1" t="s">
        <v>76</v>
      </c>
      <c r="U276" s="1" t="s">
        <v>2910</v>
      </c>
      <c r="X276" s="1" t="s">
        <v>234</v>
      </c>
      <c r="Y276" s="1">
        <v>462.0</v>
      </c>
      <c r="Z276" s="3" t="s">
        <v>2911</v>
      </c>
      <c r="AA276" s="1">
        <v>722046.0</v>
      </c>
      <c r="AB276" s="1" t="s">
        <v>2912</v>
      </c>
      <c r="AC276" s="3" t="s">
        <v>2913</v>
      </c>
      <c r="AD276" s="3" t="s">
        <v>2914</v>
      </c>
      <c r="AE276" s="1">
        <v>2.0</v>
      </c>
      <c r="AF276" s="1" t="s">
        <v>2915</v>
      </c>
      <c r="AG276" s="1">
        <v>20.0</v>
      </c>
      <c r="AH276" s="1">
        <v>35.0</v>
      </c>
      <c r="AI276" s="1">
        <v>18.0</v>
      </c>
      <c r="AJ276" s="1">
        <v>43.0</v>
      </c>
      <c r="AK276" s="1">
        <v>11.0</v>
      </c>
      <c r="AL276" s="1">
        <v>5.0</v>
      </c>
      <c r="AM276" s="1">
        <v>69.0</v>
      </c>
      <c r="AN276" s="1">
        <v>17.0</v>
      </c>
      <c r="AO276" s="1">
        <v>0.0</v>
      </c>
      <c r="AP276" s="1">
        <v>0.0</v>
      </c>
      <c r="AQ276" s="1">
        <v>5.0</v>
      </c>
      <c r="AR276" s="1">
        <v>4.0</v>
      </c>
      <c r="AS276" s="1">
        <v>1.0</v>
      </c>
    </row>
    <row r="277" hidden="1">
      <c r="A277" s="1">
        <v>268.0</v>
      </c>
      <c r="B277" s="1" t="s">
        <v>2916</v>
      </c>
      <c r="C277" s="1" t="s">
        <v>2917</v>
      </c>
      <c r="D277" s="1" t="s">
        <v>42</v>
      </c>
      <c r="E277" s="1" t="s">
        <v>43</v>
      </c>
      <c r="F277" s="2">
        <v>22017.0</v>
      </c>
      <c r="G277" s="1">
        <f t="shared" si="1"/>
        <v>66</v>
      </c>
      <c r="H277" s="1" t="s">
        <v>2918</v>
      </c>
      <c r="I277" s="1" t="str">
        <f>IFERROR(__xludf.DUMMYFUNCTION("SPLIT(left(H277,len(H277)-1),""("")"),"Besançon ")</f>
        <v>Besançon </v>
      </c>
      <c r="J277" s="1" t="str">
        <f>IFERROR(__xludf.DUMMYFUNCTION("""COMPUTED_VALUE"""),"Doubs")</f>
        <v>Doubs</v>
      </c>
      <c r="K277" s="1" t="str">
        <f>IFERROR(__xludf.DUMMYFUNCTION("IF( COUNTA( IFERROR( FILTER('départements_edition'!$C$2:$C$102 , 'départements_edition'!$C$2:$C$102=J277 ) ) ) , ""Oui"" , ""Non"" )"),"Oui")</f>
        <v>Oui</v>
      </c>
      <c r="L277" s="1" t="str">
        <f t="shared" si="2"/>
        <v>France</v>
      </c>
      <c r="M277" s="1">
        <v>30.0</v>
      </c>
      <c r="N277" s="1" t="s">
        <v>1751</v>
      </c>
      <c r="O277" s="1">
        <v>6.0</v>
      </c>
      <c r="P277" s="2">
        <v>42907.0</v>
      </c>
      <c r="R277" s="1">
        <v>0.0</v>
      </c>
      <c r="S277" s="1" t="s">
        <v>280</v>
      </c>
      <c r="T277" s="1" t="s">
        <v>281</v>
      </c>
      <c r="U277" s="1" t="s">
        <v>2919</v>
      </c>
      <c r="X277" s="1" t="s">
        <v>1592</v>
      </c>
      <c r="Y277" s="1">
        <v>164.0</v>
      </c>
      <c r="Z277" s="3" t="s">
        <v>2920</v>
      </c>
      <c r="AA277" s="1">
        <v>719488.0</v>
      </c>
      <c r="AB277" s="1" t="s">
        <v>2921</v>
      </c>
      <c r="AC277" s="3" t="s">
        <v>2922</v>
      </c>
      <c r="AD277" s="3" t="s">
        <v>2923</v>
      </c>
      <c r="AE277" s="1">
        <v>1.0</v>
      </c>
      <c r="AF277" s="1" t="s">
        <v>2924</v>
      </c>
      <c r="AG277" s="1">
        <v>20.0</v>
      </c>
      <c r="AH277" s="1">
        <v>41.0</v>
      </c>
      <c r="AI277" s="1">
        <v>40.0</v>
      </c>
      <c r="AJ277" s="1">
        <v>31.0</v>
      </c>
      <c r="AK277" s="1">
        <v>15.0</v>
      </c>
      <c r="AL277" s="1">
        <v>23.0</v>
      </c>
      <c r="AM277" s="1">
        <v>217.0</v>
      </c>
      <c r="AN277" s="1">
        <v>20.0</v>
      </c>
      <c r="AO277" s="1">
        <v>1.0</v>
      </c>
      <c r="AP277" s="1">
        <v>1.0</v>
      </c>
      <c r="AQ277" s="1">
        <v>6.0</v>
      </c>
      <c r="AR277" s="1">
        <v>14.0</v>
      </c>
      <c r="AS277" s="1">
        <v>3.0</v>
      </c>
    </row>
    <row r="278" hidden="1">
      <c r="A278" s="1">
        <v>99.0</v>
      </c>
      <c r="B278" s="1" t="s">
        <v>2925</v>
      </c>
      <c r="C278" s="1" t="s">
        <v>2926</v>
      </c>
      <c r="D278" s="1" t="s">
        <v>2927</v>
      </c>
      <c r="E278" s="1" t="s">
        <v>43</v>
      </c>
      <c r="F278" s="2">
        <v>30139.0</v>
      </c>
      <c r="G278" s="1">
        <f t="shared" si="1"/>
        <v>44</v>
      </c>
      <c r="H278" s="1" t="s">
        <v>2928</v>
      </c>
      <c r="I278" s="1" t="str">
        <f>IFERROR(__xludf.DUMMYFUNCTION("SPLIT(left(H278,len(H278)-1),""("")"),"Brou-sur-Chantereine ")</f>
        <v>Brou-sur-Chantereine </v>
      </c>
      <c r="J278" s="1" t="str">
        <f>IFERROR(__xludf.DUMMYFUNCTION("""COMPUTED_VALUE"""),"Seine-et-Marne")</f>
        <v>Seine-et-Marne</v>
      </c>
      <c r="K278" s="1" t="str">
        <f>IFERROR(__xludf.DUMMYFUNCTION("IF( COUNTA( IFERROR( FILTER('départements_edition'!$C$2:$C$102 , 'départements_edition'!$C$2:$C$102=J278 ) ) ) , ""Oui"" , ""Non"" )"),"Oui")</f>
        <v>Oui</v>
      </c>
      <c r="L278" s="1" t="str">
        <f t="shared" si="2"/>
        <v>France</v>
      </c>
      <c r="M278" s="1">
        <v>10.0</v>
      </c>
      <c r="N278" s="1" t="s">
        <v>1970</v>
      </c>
      <c r="O278" s="1">
        <v>1.0</v>
      </c>
      <c r="P278" s="2">
        <v>42907.0</v>
      </c>
      <c r="R278" s="1">
        <v>0.0</v>
      </c>
      <c r="S278" s="1" t="s">
        <v>75</v>
      </c>
      <c r="T278" s="1" t="s">
        <v>76</v>
      </c>
      <c r="U278" s="1" t="s">
        <v>2929</v>
      </c>
      <c r="X278" s="1" t="s">
        <v>2930</v>
      </c>
      <c r="Y278" s="1">
        <v>482.0</v>
      </c>
      <c r="Z278" s="3" t="s">
        <v>2931</v>
      </c>
      <c r="AA278" s="1">
        <v>718876.0</v>
      </c>
      <c r="AB278" s="1" t="s">
        <v>2932</v>
      </c>
      <c r="AC278" s="3" t="s">
        <v>2933</v>
      </c>
      <c r="AD278" s="3" t="s">
        <v>2934</v>
      </c>
      <c r="AE278" s="1">
        <v>1.0</v>
      </c>
      <c r="AF278" s="1" t="s">
        <v>2935</v>
      </c>
      <c r="AG278" s="1">
        <v>20.0</v>
      </c>
      <c r="AH278" s="1">
        <v>33.0</v>
      </c>
      <c r="AI278" s="1">
        <v>8.0</v>
      </c>
      <c r="AJ278" s="1">
        <v>3.0</v>
      </c>
      <c r="AK278" s="1">
        <v>7.0</v>
      </c>
      <c r="AL278" s="1">
        <v>3.0</v>
      </c>
      <c r="AM278" s="1">
        <v>148.0</v>
      </c>
      <c r="AN278" s="1">
        <v>59.0</v>
      </c>
      <c r="AO278" s="1">
        <v>0.0</v>
      </c>
      <c r="AP278" s="1">
        <v>0.0</v>
      </c>
      <c r="AQ278" s="1">
        <v>6.0</v>
      </c>
      <c r="AR278" s="1">
        <v>36.0</v>
      </c>
      <c r="AS278" s="1">
        <v>1.0</v>
      </c>
    </row>
    <row r="279" hidden="1">
      <c r="A279" s="1">
        <v>16.0</v>
      </c>
      <c r="B279" s="1" t="s">
        <v>2936</v>
      </c>
      <c r="C279" s="1" t="s">
        <v>2937</v>
      </c>
      <c r="D279" s="1" t="s">
        <v>2676</v>
      </c>
      <c r="E279" s="1" t="s">
        <v>58</v>
      </c>
      <c r="F279" s="2">
        <v>26402.0</v>
      </c>
      <c r="G279" s="1">
        <f t="shared" si="1"/>
        <v>54</v>
      </c>
      <c r="H279" s="1" t="s">
        <v>2918</v>
      </c>
      <c r="I279" s="1" t="str">
        <f>IFERROR(__xludf.DUMMYFUNCTION("SPLIT(left(H279,len(H279)-1),""("")"),"Besançon ")</f>
        <v>Besançon </v>
      </c>
      <c r="J279" s="1" t="str">
        <f>IFERROR(__xludf.DUMMYFUNCTION("""COMPUTED_VALUE"""),"Doubs")</f>
        <v>Doubs</v>
      </c>
      <c r="K279" s="1" t="str">
        <f>IFERROR(__xludf.DUMMYFUNCTION("IF( COUNTA( IFERROR( FILTER('départements_edition'!$C$2:$C$102 , 'départements_edition'!$C$2:$C$102=J279 ) ) ) , ""Oui"" , ""Non"" )"),"Oui")</f>
        <v>Oui</v>
      </c>
      <c r="L279" s="1" t="str">
        <f t="shared" si="2"/>
        <v>France</v>
      </c>
      <c r="M279" s="1">
        <v>70.0</v>
      </c>
      <c r="N279" s="1" t="s">
        <v>2938</v>
      </c>
      <c r="O279" s="1">
        <v>1.0</v>
      </c>
      <c r="P279" s="2">
        <v>42907.0</v>
      </c>
      <c r="R279" s="1">
        <v>0.0</v>
      </c>
      <c r="S279" s="1" t="s">
        <v>75</v>
      </c>
      <c r="T279" s="1" t="s">
        <v>76</v>
      </c>
      <c r="U279" s="1" t="s">
        <v>2939</v>
      </c>
      <c r="X279" s="1" t="s">
        <v>2940</v>
      </c>
      <c r="Y279" s="1">
        <v>268.0</v>
      </c>
      <c r="Z279" s="3" t="s">
        <v>2941</v>
      </c>
      <c r="AA279" s="1">
        <v>722312.0</v>
      </c>
      <c r="AB279" s="1" t="s">
        <v>2942</v>
      </c>
      <c r="AC279" s="3" t="s">
        <v>2943</v>
      </c>
      <c r="AD279" s="3" t="s">
        <v>2944</v>
      </c>
      <c r="AE279" s="1">
        <v>1.0</v>
      </c>
      <c r="AF279" s="1" t="s">
        <v>2945</v>
      </c>
      <c r="AG279" s="1">
        <v>20.0</v>
      </c>
      <c r="AH279" s="1">
        <v>33.0</v>
      </c>
      <c r="AI279" s="1">
        <v>26.0</v>
      </c>
      <c r="AJ279" s="1">
        <v>11.0</v>
      </c>
      <c r="AK279" s="1">
        <v>3.0</v>
      </c>
      <c r="AL279" s="1">
        <v>2.0</v>
      </c>
      <c r="AM279" s="1">
        <v>62.0</v>
      </c>
      <c r="AN279" s="1">
        <v>25.0</v>
      </c>
      <c r="AO279" s="1">
        <v>0.0</v>
      </c>
      <c r="AP279" s="1">
        <v>0.0</v>
      </c>
      <c r="AQ279" s="1">
        <v>10.0</v>
      </c>
      <c r="AR279" s="1">
        <v>16.0</v>
      </c>
      <c r="AS279" s="1">
        <v>2.0</v>
      </c>
    </row>
    <row r="280" hidden="1">
      <c r="A280" s="1">
        <v>314.0</v>
      </c>
      <c r="B280" s="1" t="s">
        <v>2946</v>
      </c>
      <c r="C280" s="1" t="s">
        <v>2947</v>
      </c>
      <c r="D280" s="1" t="s">
        <v>589</v>
      </c>
      <c r="E280" s="1" t="s">
        <v>43</v>
      </c>
      <c r="F280" s="2">
        <v>28025.0</v>
      </c>
      <c r="G280" s="1">
        <f t="shared" si="1"/>
        <v>49</v>
      </c>
      <c r="H280" s="1" t="s">
        <v>2948</v>
      </c>
      <c r="I280" s="1" t="str">
        <f>IFERROR(__xludf.DUMMYFUNCTION("SPLIT(left(H280,len(H280)-1),""("")"),"Laxou ")</f>
        <v>Laxou </v>
      </c>
      <c r="J280" s="1" t="str">
        <f>IFERROR(__xludf.DUMMYFUNCTION("""COMPUTED_VALUE"""),"Meurthe-et-Moselle")</f>
        <v>Meurthe-et-Moselle</v>
      </c>
      <c r="K280" s="1" t="str">
        <f>IFERROR(__xludf.DUMMYFUNCTION("IF( COUNTA( IFERROR( FILTER('départements_edition'!$C$2:$C$102 , 'départements_edition'!$C$2:$C$102=J280 ) ) ) , ""Oui"" , ""Non"" )"),"Oui")</f>
        <v>Oui</v>
      </c>
      <c r="L280" s="1" t="str">
        <f t="shared" si="2"/>
        <v>France</v>
      </c>
      <c r="M280" s="1">
        <v>62.0</v>
      </c>
      <c r="N280" s="1" t="s">
        <v>427</v>
      </c>
      <c r="O280" s="1">
        <v>12.0</v>
      </c>
      <c r="P280" s="2">
        <v>42907.0</v>
      </c>
      <c r="R280" s="1">
        <v>0.0</v>
      </c>
      <c r="S280" s="1" t="s">
        <v>814</v>
      </c>
      <c r="T280" s="1" t="s">
        <v>837</v>
      </c>
      <c r="U280" s="1" t="s">
        <v>2949</v>
      </c>
      <c r="X280" s="1" t="s">
        <v>936</v>
      </c>
      <c r="Y280" s="1">
        <v>66.0</v>
      </c>
      <c r="Z280" s="3" t="s">
        <v>2950</v>
      </c>
      <c r="AA280" s="1">
        <v>720822.0</v>
      </c>
      <c r="AB280" s="1" t="s">
        <v>2951</v>
      </c>
      <c r="AC280" s="3" t="s">
        <v>2952</v>
      </c>
      <c r="AD280" s="3" t="s">
        <v>2953</v>
      </c>
      <c r="AE280" s="1">
        <v>2.0</v>
      </c>
      <c r="AF280" s="1" t="s">
        <v>2954</v>
      </c>
      <c r="AG280" s="1">
        <v>20.0</v>
      </c>
      <c r="AH280" s="1">
        <v>30.0</v>
      </c>
      <c r="AI280" s="1">
        <v>3.0</v>
      </c>
      <c r="AJ280" s="1">
        <v>47.0</v>
      </c>
      <c r="AK280" s="1">
        <v>49.0</v>
      </c>
      <c r="AL280" s="1">
        <v>57.0</v>
      </c>
      <c r="AM280" s="1">
        <v>254.0</v>
      </c>
      <c r="AN280" s="1">
        <v>0.0</v>
      </c>
      <c r="AO280" s="1">
        <v>0.0</v>
      </c>
      <c r="AP280" s="1">
        <v>2.0</v>
      </c>
      <c r="AQ280" s="1">
        <v>11.0</v>
      </c>
      <c r="AR280" s="1">
        <v>12.0</v>
      </c>
      <c r="AS280" s="1">
        <v>0.0</v>
      </c>
    </row>
    <row r="281" hidden="1">
      <c r="A281" s="1">
        <v>177.0</v>
      </c>
      <c r="B281" s="1" t="s">
        <v>2963</v>
      </c>
      <c r="C281" s="1" t="s">
        <v>2964</v>
      </c>
      <c r="D281" s="1" t="s">
        <v>1453</v>
      </c>
      <c r="E281" s="1" t="s">
        <v>58</v>
      </c>
      <c r="F281" s="2">
        <v>22861.0</v>
      </c>
      <c r="G281" s="1">
        <f t="shared" si="1"/>
        <v>64</v>
      </c>
      <c r="H281" s="1" t="s">
        <v>945</v>
      </c>
      <c r="I281" s="1" t="str">
        <f>IFERROR(__xludf.DUMMYFUNCTION("SPLIT(left(H281,len(H281)-1),""("")"),"Soissons ")</f>
        <v>Soissons </v>
      </c>
      <c r="J281" s="1" t="str">
        <f>IFERROR(__xludf.DUMMYFUNCTION("""COMPUTED_VALUE"""),"Aisne")</f>
        <v>Aisne</v>
      </c>
      <c r="K281" s="1" t="str">
        <f>IFERROR(__xludf.DUMMYFUNCTION("IF( COUNTA( IFERROR( FILTER('départements_edition'!$C$2:$C$102 , 'départements_edition'!$C$2:$C$102=J281 ) ) ) , ""Oui"" , ""Non"" )"),"Oui")</f>
        <v>Oui</v>
      </c>
      <c r="L281" s="1" t="str">
        <f t="shared" si="2"/>
        <v>France</v>
      </c>
      <c r="M281" s="1">
        <v>2.0</v>
      </c>
      <c r="N281" s="1" t="s">
        <v>185</v>
      </c>
      <c r="O281" s="1">
        <v>1.0</v>
      </c>
      <c r="P281" s="2">
        <v>42907.0</v>
      </c>
      <c r="R281" s="1">
        <v>0.0</v>
      </c>
      <c r="S281" s="1" t="s">
        <v>75</v>
      </c>
      <c r="T281" s="1" t="s">
        <v>76</v>
      </c>
      <c r="U281" s="1" t="s">
        <v>2965</v>
      </c>
      <c r="X281" s="1" t="s">
        <v>373</v>
      </c>
      <c r="Y281" s="1">
        <v>287.0</v>
      </c>
      <c r="Z281" s="3" t="s">
        <v>2966</v>
      </c>
      <c r="AA281" s="1">
        <v>718756.0</v>
      </c>
      <c r="AB281" s="1" t="s">
        <v>2967</v>
      </c>
      <c r="AC281" s="3" t="s">
        <v>2968</v>
      </c>
      <c r="AD281" s="3" t="s">
        <v>2969</v>
      </c>
      <c r="AE281" s="1">
        <v>2.0</v>
      </c>
      <c r="AF281" s="1" t="s">
        <v>2970</v>
      </c>
      <c r="AG281" s="1">
        <v>20.0</v>
      </c>
      <c r="AH281" s="1">
        <v>54.0</v>
      </c>
      <c r="AI281" s="1">
        <v>14.0</v>
      </c>
      <c r="AJ281" s="1">
        <v>8.0</v>
      </c>
      <c r="AK281" s="1">
        <v>2.0</v>
      </c>
      <c r="AL281" s="1">
        <v>0.0</v>
      </c>
      <c r="AM281" s="1">
        <v>8.0</v>
      </c>
      <c r="AN281" s="1">
        <v>2.0</v>
      </c>
      <c r="AO281" s="1">
        <v>1.0</v>
      </c>
      <c r="AP281" s="1">
        <v>0.0</v>
      </c>
      <c r="AQ281" s="1">
        <v>5.0</v>
      </c>
      <c r="AR281" s="1">
        <v>11.0</v>
      </c>
      <c r="AS281" s="1">
        <v>1.0</v>
      </c>
    </row>
    <row r="282" hidden="1">
      <c r="A282" s="1">
        <v>274.0</v>
      </c>
      <c r="B282" s="1" t="s">
        <v>2971</v>
      </c>
      <c r="C282" s="1" t="s">
        <v>2972</v>
      </c>
      <c r="D282" s="1" t="s">
        <v>148</v>
      </c>
      <c r="E282" s="1" t="s">
        <v>43</v>
      </c>
      <c r="F282" s="2">
        <v>24400.0</v>
      </c>
      <c r="G282" s="1">
        <f t="shared" si="1"/>
        <v>59</v>
      </c>
      <c r="H282" s="1" t="s">
        <v>2973</v>
      </c>
      <c r="I282" s="1" t="str">
        <f>IFERROR(__xludf.DUMMYFUNCTION("SPLIT(left(H282,len(H282)-1),""("")"),"Paimpol ")</f>
        <v>Paimpol </v>
      </c>
      <c r="J282" s="1" t="str">
        <f>IFERROR(__xludf.DUMMYFUNCTION("""COMPUTED_VALUE"""),"Côtes-d'Armor")</f>
        <v>Côtes-d'Armor</v>
      </c>
      <c r="K282" s="1" t="str">
        <f>IFERROR(__xludf.DUMMYFUNCTION("IF( COUNTA( IFERROR( FILTER('départements_edition'!$C$2:$C$102 , 'départements_edition'!$C$2:$C$102=J282 ) ) ) , ""Oui"" , ""Non"" )"),"Oui")</f>
        <v>Oui</v>
      </c>
      <c r="L282" s="1" t="str">
        <f t="shared" si="2"/>
        <v>France</v>
      </c>
      <c r="M282" s="1">
        <v>22.0</v>
      </c>
      <c r="N282" s="1" t="s">
        <v>1883</v>
      </c>
      <c r="O282" s="1">
        <v>5.0</v>
      </c>
      <c r="P282" s="2">
        <v>42907.0</v>
      </c>
      <c r="R282" s="1">
        <v>0.0</v>
      </c>
      <c r="S282" s="1" t="s">
        <v>75</v>
      </c>
      <c r="T282" s="1" t="s">
        <v>76</v>
      </c>
      <c r="U282" s="1" t="s">
        <v>2974</v>
      </c>
      <c r="X282" s="1" t="s">
        <v>234</v>
      </c>
      <c r="Y282" s="1">
        <v>554.0</v>
      </c>
      <c r="Z282" s="3" t="s">
        <v>2975</v>
      </c>
      <c r="AA282" s="1">
        <v>642695.0</v>
      </c>
      <c r="AB282" s="1" t="s">
        <v>2976</v>
      </c>
      <c r="AC282" s="3" t="s">
        <v>2977</v>
      </c>
      <c r="AD282" s="3" t="s">
        <v>2978</v>
      </c>
      <c r="AE282" s="1">
        <v>1.0</v>
      </c>
      <c r="AF282" s="1" t="s">
        <v>2979</v>
      </c>
      <c r="AG282" s="1">
        <v>20.0</v>
      </c>
      <c r="AH282" s="1">
        <v>61.0</v>
      </c>
      <c r="AI282" s="1">
        <v>59.0</v>
      </c>
      <c r="AJ282" s="1">
        <v>10.0</v>
      </c>
      <c r="AK282" s="1">
        <v>9.0</v>
      </c>
      <c r="AL282" s="1">
        <v>36.0</v>
      </c>
      <c r="AM282" s="1">
        <v>171.0</v>
      </c>
      <c r="AN282" s="1">
        <v>64.0</v>
      </c>
      <c r="AO282" s="1">
        <v>2.0</v>
      </c>
      <c r="AP282" s="1">
        <v>1.0</v>
      </c>
      <c r="AQ282" s="1">
        <v>7.0</v>
      </c>
      <c r="AR282" s="1">
        <v>4.0</v>
      </c>
      <c r="AS282" s="1">
        <v>1.0</v>
      </c>
    </row>
    <row r="283" hidden="1">
      <c r="A283" s="1">
        <v>181.0</v>
      </c>
      <c r="B283" s="1" t="s">
        <v>2980</v>
      </c>
      <c r="C283" s="1" t="s">
        <v>2981</v>
      </c>
      <c r="D283" s="1" t="s">
        <v>2982</v>
      </c>
      <c r="E283" s="1" t="s">
        <v>43</v>
      </c>
      <c r="F283" s="2">
        <v>25714.0</v>
      </c>
      <c r="G283" s="1">
        <f t="shared" si="1"/>
        <v>56</v>
      </c>
      <c r="H283" s="1" t="s">
        <v>2983</v>
      </c>
      <c r="I283" s="1" t="str">
        <f>IFERROR(__xludf.DUMMYFUNCTION("SPLIT(left(H283,len(H283)-1),""("")"),"Juvisy-sur-Orge ")</f>
        <v>Juvisy-sur-Orge </v>
      </c>
      <c r="J283" s="1" t="str">
        <f>IFERROR(__xludf.DUMMYFUNCTION("""COMPUTED_VALUE"""),"Essonne")</f>
        <v>Essonne</v>
      </c>
      <c r="K283" s="1" t="str">
        <f>IFERROR(__xludf.DUMMYFUNCTION("IF( COUNTA( IFERROR( FILTER('départements_edition'!$C$2:$C$102 , 'départements_edition'!$C$2:$C$102=J283 ) ) ) , ""Oui"" , ""Non"" )"),"Oui")</f>
        <v>Oui</v>
      </c>
      <c r="L283" s="1" t="str">
        <f t="shared" si="2"/>
        <v>France</v>
      </c>
      <c r="M283" s="1">
        <v>14.0</v>
      </c>
      <c r="N283" s="1" t="s">
        <v>1137</v>
      </c>
      <c r="O283" s="1">
        <v>5.0</v>
      </c>
      <c r="P283" s="2">
        <v>42907.0</v>
      </c>
      <c r="R283" s="1">
        <v>0.0</v>
      </c>
      <c r="S283" s="1" t="s">
        <v>75</v>
      </c>
      <c r="T283" s="1" t="s">
        <v>76</v>
      </c>
      <c r="U283" s="1" t="s">
        <v>2984</v>
      </c>
      <c r="X283" s="1" t="s">
        <v>1784</v>
      </c>
      <c r="Y283" s="1">
        <v>210.0</v>
      </c>
      <c r="Z283" s="3" t="s">
        <v>2985</v>
      </c>
      <c r="AA283" s="1">
        <v>719032.0</v>
      </c>
      <c r="AB283" s="1" t="s">
        <v>2986</v>
      </c>
      <c r="AC283" s="3" t="s">
        <v>2987</v>
      </c>
      <c r="AD283" s="3" t="s">
        <v>2988</v>
      </c>
      <c r="AE283" s="1">
        <v>1.0</v>
      </c>
      <c r="AF283" s="1" t="s">
        <v>2989</v>
      </c>
      <c r="AG283" s="1">
        <v>20.0</v>
      </c>
      <c r="AH283" s="1">
        <v>52.0</v>
      </c>
      <c r="AI283" s="1">
        <v>19.0</v>
      </c>
      <c r="AJ283" s="1">
        <v>15.0</v>
      </c>
      <c r="AK283" s="1">
        <v>2.0</v>
      </c>
      <c r="AL283" s="1">
        <v>2.0</v>
      </c>
      <c r="AM283" s="1">
        <v>38.0</v>
      </c>
      <c r="AN283" s="1">
        <v>8.0</v>
      </c>
      <c r="AO283" s="1">
        <v>0.0</v>
      </c>
      <c r="AP283" s="1">
        <v>0.0</v>
      </c>
      <c r="AQ283" s="1">
        <v>5.0</v>
      </c>
      <c r="AR283" s="1">
        <v>3.0</v>
      </c>
      <c r="AS283" s="1">
        <v>1.0</v>
      </c>
    </row>
    <row r="284" hidden="1">
      <c r="A284" s="1">
        <v>198.0</v>
      </c>
      <c r="B284" s="1" t="s">
        <v>2990</v>
      </c>
      <c r="C284" s="1" t="s">
        <v>182</v>
      </c>
      <c r="D284" s="1" t="s">
        <v>2991</v>
      </c>
      <c r="E284" s="1" t="s">
        <v>43</v>
      </c>
      <c r="F284" s="2">
        <v>16120.0</v>
      </c>
      <c r="G284" s="1">
        <f t="shared" si="1"/>
        <v>82</v>
      </c>
      <c r="H284" s="1" t="s">
        <v>2992</v>
      </c>
      <c r="I284" s="1" t="str">
        <f>IFERROR(__xludf.DUMMYFUNCTION("SPLIT(left(H284,len(H284)-1),""("")"),"Caudry ")</f>
        <v>Caudry </v>
      </c>
      <c r="J284" s="1" t="str">
        <f>IFERROR(__xludf.DUMMYFUNCTION("""COMPUTED_VALUE"""),"Nord")</f>
        <v>Nord</v>
      </c>
      <c r="K284" s="1" t="str">
        <f>IFERROR(__xludf.DUMMYFUNCTION("IF( COUNTA( IFERROR( FILTER('départements_edition'!$C$2:$C$102 , 'départements_edition'!$C$2:$C$102=J284 ) ) ) , ""Oui"" , ""Non"" )"),"Oui")</f>
        <v>Oui</v>
      </c>
      <c r="L284" s="1" t="str">
        <f t="shared" si="2"/>
        <v>France</v>
      </c>
      <c r="M284" s="1">
        <v>59.0</v>
      </c>
      <c r="N284" s="1" t="s">
        <v>172</v>
      </c>
      <c r="O284" s="1">
        <v>18.0</v>
      </c>
      <c r="P284" s="2">
        <v>42907.0</v>
      </c>
      <c r="R284" s="1">
        <v>0.0</v>
      </c>
      <c r="S284" s="1" t="s">
        <v>46</v>
      </c>
      <c r="T284" s="1" t="s">
        <v>47</v>
      </c>
      <c r="U284" s="1" t="s">
        <v>2993</v>
      </c>
      <c r="X284" s="1" t="s">
        <v>1233</v>
      </c>
      <c r="Y284" s="1">
        <v>140.0</v>
      </c>
      <c r="Z284" s="3" t="s">
        <v>2994</v>
      </c>
      <c r="AA284" s="1">
        <v>267766.0</v>
      </c>
      <c r="AB284" s="1" t="s">
        <v>2995</v>
      </c>
      <c r="AC284" s="3" t="s">
        <v>2996</v>
      </c>
      <c r="AD284" s="3" t="s">
        <v>2997</v>
      </c>
      <c r="AE284" s="1">
        <v>1.0</v>
      </c>
      <c r="AG284" s="1">
        <v>20.0</v>
      </c>
      <c r="AH284" s="1">
        <v>38.0</v>
      </c>
      <c r="AI284" s="1">
        <v>27.0</v>
      </c>
      <c r="AJ284" s="1">
        <v>33.0</v>
      </c>
      <c r="AK284" s="1">
        <v>10.0</v>
      </c>
      <c r="AL284" s="1">
        <v>72.0</v>
      </c>
      <c r="AM284" s="1">
        <v>526.0</v>
      </c>
      <c r="AN284" s="1">
        <v>23.0</v>
      </c>
      <c r="AO284" s="1">
        <v>0.0</v>
      </c>
      <c r="AP284" s="1">
        <v>0.0</v>
      </c>
      <c r="AQ284" s="1">
        <v>29.0</v>
      </c>
      <c r="AR284" s="1">
        <v>9.0</v>
      </c>
      <c r="AS284" s="1">
        <v>3.0</v>
      </c>
    </row>
    <row r="285" hidden="1">
      <c r="A285" s="1">
        <v>188.0</v>
      </c>
      <c r="B285" s="1" t="s">
        <v>2998</v>
      </c>
      <c r="C285" s="1" t="s">
        <v>2999</v>
      </c>
      <c r="D285" s="1" t="s">
        <v>835</v>
      </c>
      <c r="E285" s="1" t="s">
        <v>43</v>
      </c>
      <c r="F285" s="2">
        <v>28122.0</v>
      </c>
      <c r="G285" s="1">
        <f t="shared" si="1"/>
        <v>49</v>
      </c>
      <c r="H285" s="1" t="s">
        <v>1772</v>
      </c>
      <c r="I285" s="1" t="str">
        <f>IFERROR(__xludf.DUMMYFUNCTION("SPLIT(left(H285,len(H285)-1),""("")"),"Perpignan ")</f>
        <v>Perpignan </v>
      </c>
      <c r="J285" s="1" t="str">
        <f>IFERROR(__xludf.DUMMYFUNCTION("""COMPUTED_VALUE"""),"Pyrénées-Orientales")</f>
        <v>Pyrénées-Orientales</v>
      </c>
      <c r="K285" s="1" t="str">
        <f>IFERROR(__xludf.DUMMYFUNCTION("IF( COUNTA( IFERROR( FILTER('départements_edition'!$C$2:$C$102 , 'départements_edition'!$C$2:$C$102=J285 ) ) ) , ""Oui"" , ""Non"" )"),"Oui")</f>
        <v>Oui</v>
      </c>
      <c r="L285" s="1" t="str">
        <f t="shared" si="2"/>
        <v>France</v>
      </c>
      <c r="M285" s="1">
        <v>66.0</v>
      </c>
      <c r="N285" s="1" t="s">
        <v>1773</v>
      </c>
      <c r="O285" s="1">
        <v>4.0</v>
      </c>
      <c r="P285" s="2">
        <v>42907.0</v>
      </c>
      <c r="R285" s="1">
        <v>0.0</v>
      </c>
      <c r="S285" s="1" t="s">
        <v>75</v>
      </c>
      <c r="T285" s="1" t="s">
        <v>76</v>
      </c>
      <c r="U285" s="1" t="s">
        <v>3000</v>
      </c>
      <c r="X285" s="1" t="s">
        <v>538</v>
      </c>
      <c r="Y285" s="1">
        <v>543.0</v>
      </c>
      <c r="Z285" s="3" t="s">
        <v>3001</v>
      </c>
      <c r="AA285" s="1">
        <v>720814.0</v>
      </c>
      <c r="AB285" s="1" t="s">
        <v>3002</v>
      </c>
      <c r="AC285" s="3" t="s">
        <v>3003</v>
      </c>
      <c r="AD285" s="3" t="s">
        <v>3004</v>
      </c>
      <c r="AE285" s="1">
        <v>1.0</v>
      </c>
      <c r="AF285" s="1" t="s">
        <v>3005</v>
      </c>
      <c r="AG285" s="1">
        <v>20.0</v>
      </c>
      <c r="AH285" s="1">
        <v>31.0</v>
      </c>
      <c r="AI285" s="1">
        <v>8.0</v>
      </c>
      <c r="AJ285" s="1">
        <v>1.0</v>
      </c>
      <c r="AK285" s="1">
        <v>0.0</v>
      </c>
      <c r="AL285" s="1">
        <v>0.0</v>
      </c>
      <c r="AM285" s="1">
        <v>61.0</v>
      </c>
      <c r="AN285" s="1">
        <v>32.0</v>
      </c>
      <c r="AO285" s="1">
        <v>0.0</v>
      </c>
      <c r="AP285" s="1">
        <v>0.0</v>
      </c>
      <c r="AQ285" s="1">
        <v>5.0</v>
      </c>
      <c r="AR285" s="1">
        <v>15.0</v>
      </c>
      <c r="AS285" s="1">
        <v>0.0</v>
      </c>
    </row>
    <row r="286" hidden="1">
      <c r="A286" s="1">
        <v>428.0</v>
      </c>
      <c r="B286" s="1" t="s">
        <v>3006</v>
      </c>
      <c r="C286" s="1" t="s">
        <v>3007</v>
      </c>
      <c r="D286" s="1" t="s">
        <v>57</v>
      </c>
      <c r="E286" s="1" t="s">
        <v>58</v>
      </c>
      <c r="F286" s="2">
        <v>28416.0</v>
      </c>
      <c r="G286" s="1">
        <f t="shared" si="1"/>
        <v>48</v>
      </c>
      <c r="H286" s="1" t="s">
        <v>3008</v>
      </c>
      <c r="I286" s="1" t="str">
        <f>IFERROR(__xludf.DUMMYFUNCTION("SPLIT(left(H286,len(H286)-1),""("")"),"Échirolles ")</f>
        <v>Échirolles </v>
      </c>
      <c r="J286" s="1" t="str">
        <f>IFERROR(__xludf.DUMMYFUNCTION("""COMPUTED_VALUE"""),"Isère")</f>
        <v>Isère</v>
      </c>
      <c r="K286" s="1" t="str">
        <f>IFERROR(__xludf.DUMMYFUNCTION("IF( COUNTA( IFERROR( FILTER('départements_edition'!$C$2:$C$102 , 'départements_edition'!$C$2:$C$102=J286 ) ) ) , ""Oui"" , ""Non"" )"),"Oui")</f>
        <v>Oui</v>
      </c>
      <c r="L286" s="1" t="str">
        <f t="shared" si="2"/>
        <v>France</v>
      </c>
      <c r="M286" s="1">
        <v>38.0</v>
      </c>
      <c r="N286" s="1" t="s">
        <v>267</v>
      </c>
      <c r="O286" s="1">
        <v>3.0</v>
      </c>
      <c r="P286" s="2">
        <v>42907.0</v>
      </c>
      <c r="R286" s="1">
        <v>0.0</v>
      </c>
      <c r="S286" s="1" t="s">
        <v>75</v>
      </c>
      <c r="T286" s="1" t="s">
        <v>76</v>
      </c>
      <c r="U286" s="1" t="s">
        <v>3009</v>
      </c>
      <c r="X286" s="1" t="s">
        <v>118</v>
      </c>
      <c r="Y286" s="1">
        <v>485.0</v>
      </c>
      <c r="Z286" s="3" t="s">
        <v>3010</v>
      </c>
      <c r="AA286" s="1">
        <v>719748.0</v>
      </c>
      <c r="AB286" s="1" t="s">
        <v>3011</v>
      </c>
      <c r="AC286" s="3" t="s">
        <v>3012</v>
      </c>
      <c r="AD286" s="3" t="s">
        <v>3013</v>
      </c>
      <c r="AE286" s="1">
        <v>1.0</v>
      </c>
      <c r="AF286" s="1" t="s">
        <v>3014</v>
      </c>
      <c r="AG286" s="1">
        <v>20.0</v>
      </c>
      <c r="AH286" s="1">
        <v>31.0</v>
      </c>
      <c r="AI286" s="1">
        <v>38.0</v>
      </c>
      <c r="AJ286" s="1">
        <v>126.0</v>
      </c>
      <c r="AK286" s="1">
        <v>42.0</v>
      </c>
      <c r="AL286" s="1">
        <v>8.0</v>
      </c>
      <c r="AM286" s="1">
        <v>70.0</v>
      </c>
      <c r="AN286" s="1">
        <v>30.0</v>
      </c>
      <c r="AO286" s="1">
        <v>2.0</v>
      </c>
      <c r="AP286" s="1">
        <v>0.0</v>
      </c>
      <c r="AQ286" s="1">
        <v>5.0</v>
      </c>
      <c r="AR286" s="1">
        <v>0.0</v>
      </c>
      <c r="AS286" s="1">
        <v>1.0</v>
      </c>
    </row>
    <row r="287" hidden="1">
      <c r="A287" s="1">
        <v>112.0</v>
      </c>
      <c r="B287" s="1" t="s">
        <v>3025</v>
      </c>
      <c r="C287" s="1" t="s">
        <v>3026</v>
      </c>
      <c r="D287" s="1" t="s">
        <v>1490</v>
      </c>
      <c r="E287" s="1" t="s">
        <v>43</v>
      </c>
      <c r="F287" s="2">
        <v>21327.0</v>
      </c>
      <c r="G287" s="1">
        <f t="shared" si="1"/>
        <v>68</v>
      </c>
      <c r="H287" s="1" t="s">
        <v>3027</v>
      </c>
      <c r="I287" s="1" t="str">
        <f>IFERROR(__xludf.DUMMYFUNCTION("SPLIT(left(H287,len(H287)-1),""("")"),"Saint-Mandé ")</f>
        <v>Saint-Mandé </v>
      </c>
      <c r="J287" s="1" t="str">
        <f>IFERROR(__xludf.DUMMYFUNCTION("""COMPUTED_VALUE"""),"Val-de-Marne")</f>
        <v>Val-de-Marne</v>
      </c>
      <c r="K287" s="1" t="str">
        <f>IFERROR(__xludf.DUMMYFUNCTION("IF( COUNTA( IFERROR( FILTER('départements_edition'!$C$2:$C$102 , 'départements_edition'!$C$2:$C$102=J287 ) ) ) , ""Oui"" , ""Non"" )"),"Oui")</f>
        <v>Oui</v>
      </c>
      <c r="L287" s="1" t="str">
        <f t="shared" si="2"/>
        <v>France</v>
      </c>
      <c r="M287" s="1">
        <v>52.0</v>
      </c>
      <c r="N287" s="1" t="s">
        <v>3028</v>
      </c>
      <c r="O287" s="1">
        <v>2.0</v>
      </c>
      <c r="P287" s="2">
        <v>42907.0</v>
      </c>
      <c r="R287" s="1">
        <v>0.0</v>
      </c>
      <c r="S287" s="1" t="s">
        <v>61</v>
      </c>
      <c r="T287" s="1" t="s">
        <v>62</v>
      </c>
      <c r="U287" s="1" t="s">
        <v>3029</v>
      </c>
      <c r="X287" s="1" t="s">
        <v>1107</v>
      </c>
      <c r="Y287" s="1">
        <v>99.0</v>
      </c>
      <c r="Z287" s="3" t="s">
        <v>3030</v>
      </c>
      <c r="AA287" s="1">
        <v>923.0</v>
      </c>
      <c r="AB287" s="1" t="s">
        <v>3031</v>
      </c>
      <c r="AC287" s="3" t="s">
        <v>3032</v>
      </c>
      <c r="AD287" s="3" t="s">
        <v>3033</v>
      </c>
      <c r="AE287" s="1">
        <v>2.0</v>
      </c>
      <c r="AF287" s="1" t="s">
        <v>3034</v>
      </c>
      <c r="AG287" s="1">
        <v>20.0</v>
      </c>
      <c r="AH287" s="1">
        <v>34.0</v>
      </c>
      <c r="AI287" s="1">
        <v>13.0</v>
      </c>
      <c r="AJ287" s="1">
        <v>2.0</v>
      </c>
      <c r="AK287" s="1">
        <v>5.0</v>
      </c>
      <c r="AL287" s="1">
        <v>0.0</v>
      </c>
      <c r="AM287" s="1">
        <v>284.0</v>
      </c>
      <c r="AN287" s="1">
        <v>19.0</v>
      </c>
      <c r="AO287" s="1">
        <v>1.0</v>
      </c>
      <c r="AP287" s="1">
        <v>0.0</v>
      </c>
      <c r="AQ287" s="1">
        <v>2.0</v>
      </c>
      <c r="AR287" s="1">
        <v>26.0</v>
      </c>
      <c r="AS287" s="1">
        <v>0.0</v>
      </c>
    </row>
    <row r="288" hidden="1">
      <c r="A288" s="1">
        <v>98.0</v>
      </c>
      <c r="B288" s="1" t="s">
        <v>3035</v>
      </c>
      <c r="C288" s="1" t="s">
        <v>205</v>
      </c>
      <c r="D288" s="1" t="s">
        <v>3036</v>
      </c>
      <c r="E288" s="1" t="s">
        <v>58</v>
      </c>
      <c r="F288" s="2">
        <v>19919.0</v>
      </c>
      <c r="G288" s="1">
        <f t="shared" si="1"/>
        <v>72</v>
      </c>
      <c r="H288" s="1" t="s">
        <v>3037</v>
      </c>
      <c r="I288" s="1" t="str">
        <f>IFERROR(__xludf.DUMMYFUNCTION("SPLIT(left(H288,len(H288)-1),""("")"),"Neuilly sur Seine ")</f>
        <v>Neuilly sur Seine </v>
      </c>
      <c r="J288" s="1" t="str">
        <f>IFERROR(__xludf.DUMMYFUNCTION("""COMPUTED_VALUE"""),"Hauts-de-Seine")</f>
        <v>Hauts-de-Seine</v>
      </c>
      <c r="K288" s="1" t="str">
        <f>IFERROR(__xludf.DUMMYFUNCTION("IF( COUNTA( IFERROR( FILTER('départements_edition'!$C$2:$C$102 , 'départements_edition'!$C$2:$C$102=J288 ) ) ) , ""Oui"" , ""Non"" )"),"Oui")</f>
        <v>Oui</v>
      </c>
      <c r="L288" s="1" t="str">
        <f t="shared" si="2"/>
        <v>France</v>
      </c>
      <c r="M288" s="1">
        <v>21.0</v>
      </c>
      <c r="N288" s="1" t="s">
        <v>1220</v>
      </c>
      <c r="O288" s="1">
        <v>4.0</v>
      </c>
      <c r="P288" s="2">
        <v>42907.0</v>
      </c>
      <c r="R288" s="1">
        <v>0.0</v>
      </c>
      <c r="S288" s="1" t="s">
        <v>75</v>
      </c>
      <c r="T288" s="1" t="s">
        <v>76</v>
      </c>
      <c r="U288" s="3" t="s">
        <v>3038</v>
      </c>
      <c r="X288" s="1" t="s">
        <v>3039</v>
      </c>
      <c r="Y288" s="1">
        <v>238.0</v>
      </c>
      <c r="Z288" s="3" t="s">
        <v>3040</v>
      </c>
      <c r="AA288" s="1">
        <v>719194.0</v>
      </c>
      <c r="AB288" s="1" t="s">
        <v>3041</v>
      </c>
      <c r="AC288" s="3" t="s">
        <v>3042</v>
      </c>
      <c r="AD288" s="3" t="s">
        <v>3043</v>
      </c>
      <c r="AE288" s="1">
        <v>2.0</v>
      </c>
      <c r="AF288" s="1" t="s">
        <v>3044</v>
      </c>
      <c r="AG288" s="1">
        <v>20.0</v>
      </c>
      <c r="AH288" s="1">
        <v>43.0</v>
      </c>
      <c r="AI288" s="1">
        <v>9.0</v>
      </c>
      <c r="AJ288" s="1">
        <v>1.0</v>
      </c>
      <c r="AK288" s="1">
        <v>2.0</v>
      </c>
      <c r="AL288" s="1">
        <v>0.0</v>
      </c>
      <c r="AM288" s="1">
        <v>95.0</v>
      </c>
      <c r="AN288" s="1">
        <v>45.0</v>
      </c>
      <c r="AO288" s="1">
        <v>0.0</v>
      </c>
      <c r="AP288" s="1">
        <v>0.0</v>
      </c>
      <c r="AQ288" s="1">
        <v>5.0</v>
      </c>
      <c r="AR288" s="1">
        <v>8.0</v>
      </c>
      <c r="AS288" s="1">
        <v>1.0</v>
      </c>
    </row>
    <row r="289" hidden="1">
      <c r="A289" s="1">
        <v>558.0</v>
      </c>
      <c r="B289" s="1" t="s">
        <v>3045</v>
      </c>
      <c r="C289" s="1" t="s">
        <v>3046</v>
      </c>
      <c r="D289" s="1" t="s">
        <v>3047</v>
      </c>
      <c r="E289" s="1" t="s">
        <v>43</v>
      </c>
      <c r="F289" s="2">
        <v>24578.0</v>
      </c>
      <c r="G289" s="1">
        <f t="shared" si="1"/>
        <v>59</v>
      </c>
      <c r="H289" s="1" t="s">
        <v>1893</v>
      </c>
      <c r="I289" s="1" t="str">
        <f>IFERROR(__xludf.DUMMYFUNCTION("SPLIT(left(H289,len(H289)-1),""("")"),"Neuilly-sur-Seine ")</f>
        <v>Neuilly-sur-Seine </v>
      </c>
      <c r="J289" s="1" t="str">
        <f>IFERROR(__xludf.DUMMYFUNCTION("""COMPUTED_VALUE"""),"Hauts-de-Seine")</f>
        <v>Hauts-de-Seine</v>
      </c>
      <c r="K289" s="1" t="str">
        <f>IFERROR(__xludf.DUMMYFUNCTION("IF( COUNTA( IFERROR( FILTER('départements_edition'!$C$2:$C$102 , 'départements_edition'!$C$2:$C$102=J289 ) ) ) , ""Oui"" , ""Non"" )"),"Oui")</f>
        <v>Oui</v>
      </c>
      <c r="L289" s="1" t="str">
        <f t="shared" si="2"/>
        <v>France</v>
      </c>
      <c r="M289" s="1">
        <v>94.0</v>
      </c>
      <c r="N289" s="1" t="s">
        <v>642</v>
      </c>
      <c r="O289" s="1">
        <v>1.0</v>
      </c>
      <c r="P289" s="2">
        <v>42907.0</v>
      </c>
      <c r="R289" s="1">
        <v>0.0</v>
      </c>
      <c r="S289" s="1" t="s">
        <v>75</v>
      </c>
      <c r="T289" s="1" t="s">
        <v>76</v>
      </c>
      <c r="U289" s="1" t="s">
        <v>3048</v>
      </c>
      <c r="X289" s="1" t="s">
        <v>162</v>
      </c>
      <c r="Y289" s="1">
        <v>467.0</v>
      </c>
      <c r="Z289" s="3" t="s">
        <v>3049</v>
      </c>
      <c r="AA289" s="1">
        <v>720862.0</v>
      </c>
      <c r="AB289" s="1" t="s">
        <v>3050</v>
      </c>
      <c r="AC289" s="3" t="s">
        <v>3051</v>
      </c>
      <c r="AD289" s="3" t="s">
        <v>3052</v>
      </c>
      <c r="AE289" s="1">
        <v>1.0</v>
      </c>
      <c r="AF289" s="1" t="s">
        <v>3053</v>
      </c>
      <c r="AG289" s="1">
        <v>20.0</v>
      </c>
      <c r="AH289" s="1">
        <v>21.0</v>
      </c>
      <c r="AI289" s="1">
        <v>3.0</v>
      </c>
      <c r="AJ289" s="1">
        <v>53.0</v>
      </c>
      <c r="AK289" s="1">
        <v>5.0</v>
      </c>
      <c r="AL289" s="1">
        <v>0.0</v>
      </c>
      <c r="AM289" s="1">
        <v>67.0</v>
      </c>
      <c r="AN289" s="1">
        <v>26.0</v>
      </c>
      <c r="AO289" s="1">
        <v>0.0</v>
      </c>
      <c r="AP289" s="1">
        <v>0.0</v>
      </c>
      <c r="AQ289" s="1">
        <v>5.0</v>
      </c>
      <c r="AR289" s="1">
        <v>0.0</v>
      </c>
      <c r="AS289" s="1">
        <v>0.0</v>
      </c>
    </row>
    <row r="290" hidden="1">
      <c r="A290" s="1">
        <v>449.0</v>
      </c>
      <c r="B290" s="1" t="s">
        <v>3054</v>
      </c>
      <c r="C290" s="1" t="s">
        <v>3055</v>
      </c>
      <c r="D290" s="1" t="s">
        <v>3056</v>
      </c>
      <c r="E290" s="1" t="s">
        <v>43</v>
      </c>
      <c r="F290" s="2">
        <v>20680.0</v>
      </c>
      <c r="G290" s="1">
        <f t="shared" si="1"/>
        <v>70</v>
      </c>
      <c r="H290" s="1" t="s">
        <v>437</v>
      </c>
      <c r="I290" s="1" t="str">
        <f>IFERROR(__xludf.DUMMYFUNCTION("SPLIT(left(H290,len(H290)-1),""("")"),"Nice ")</f>
        <v>Nice </v>
      </c>
      <c r="J290" s="1" t="str">
        <f>IFERROR(__xludf.DUMMYFUNCTION("""COMPUTED_VALUE"""),"Alpes-Maritimes")</f>
        <v>Alpes-Maritimes</v>
      </c>
      <c r="K290" s="1" t="str">
        <f>IFERROR(__xludf.DUMMYFUNCTION("IF( COUNTA( IFERROR( FILTER('départements_edition'!$C$2:$C$102 , 'départements_edition'!$C$2:$C$102=J290 ) ) ) , ""Oui"" , ""Non"" )"),"Oui")</f>
        <v>Oui</v>
      </c>
      <c r="L290" s="1" t="str">
        <f t="shared" si="2"/>
        <v>France</v>
      </c>
      <c r="M290" s="1">
        <v>34.0</v>
      </c>
      <c r="N290" s="1" t="s">
        <v>1252</v>
      </c>
      <c r="O290" s="1">
        <v>4.0</v>
      </c>
      <c r="P290" s="2">
        <v>42907.0</v>
      </c>
      <c r="R290" s="1">
        <v>0.0</v>
      </c>
      <c r="S290" s="1" t="s">
        <v>75</v>
      </c>
      <c r="T290" s="1" t="s">
        <v>76</v>
      </c>
      <c r="U290" s="1" t="s">
        <v>3057</v>
      </c>
      <c r="X290" s="1" t="s">
        <v>151</v>
      </c>
      <c r="Y290" s="1">
        <v>551.0</v>
      </c>
      <c r="Z290" s="3" t="s">
        <v>3058</v>
      </c>
      <c r="AA290" s="1">
        <v>719692.0</v>
      </c>
      <c r="AB290" s="1" t="s">
        <v>3059</v>
      </c>
      <c r="AC290" s="3" t="s">
        <v>3060</v>
      </c>
      <c r="AD290" s="3" t="s">
        <v>3061</v>
      </c>
      <c r="AE290" s="1">
        <v>1.0</v>
      </c>
      <c r="AF290" s="1" t="s">
        <v>3062</v>
      </c>
      <c r="AG290" s="1">
        <v>20.0</v>
      </c>
      <c r="AH290" s="1">
        <v>42.0</v>
      </c>
      <c r="AI290" s="1">
        <v>11.0</v>
      </c>
      <c r="AJ290" s="1">
        <v>10.0</v>
      </c>
      <c r="AK290" s="1">
        <v>1.0</v>
      </c>
      <c r="AL290" s="1">
        <v>1.0</v>
      </c>
      <c r="AM290" s="1">
        <v>33.0</v>
      </c>
      <c r="AN290" s="1">
        <v>7.0</v>
      </c>
      <c r="AO290" s="1">
        <v>0.0</v>
      </c>
      <c r="AP290" s="1">
        <v>0.0</v>
      </c>
      <c r="AQ290" s="1">
        <v>5.0</v>
      </c>
      <c r="AR290" s="1">
        <v>3.0</v>
      </c>
      <c r="AS290" s="1">
        <v>1.0</v>
      </c>
    </row>
    <row r="291" hidden="1">
      <c r="A291" s="1">
        <v>477.0</v>
      </c>
      <c r="B291" s="1" t="s">
        <v>3073</v>
      </c>
      <c r="C291" s="1" t="s">
        <v>3074</v>
      </c>
      <c r="D291" s="1" t="s">
        <v>905</v>
      </c>
      <c r="E291" s="1" t="s">
        <v>43</v>
      </c>
      <c r="F291" s="2">
        <v>26385.0</v>
      </c>
      <c r="G291" s="1">
        <f t="shared" si="1"/>
        <v>54</v>
      </c>
      <c r="H291" s="1" t="s">
        <v>3075</v>
      </c>
      <c r="I291" s="1" t="str">
        <f>IFERROR(__xludf.DUMMYFUNCTION("SPLIT(left(H291,len(H291)-1),""("")"),"Rochefort-sur-Mer ")</f>
        <v>Rochefort-sur-Mer </v>
      </c>
      <c r="J291" s="1" t="str">
        <f>IFERROR(__xludf.DUMMYFUNCTION("""COMPUTED_VALUE"""),"Charente-Maritime")</f>
        <v>Charente-Maritime</v>
      </c>
      <c r="K291" s="1" t="str">
        <f>IFERROR(__xludf.DUMMYFUNCTION("IF( COUNTA( IFERROR( FILTER('départements_edition'!$C$2:$C$102 , 'départements_edition'!$C$2:$C$102=J291 ) ) ) , ""Oui"" , ""Non"" )"),"Oui")</f>
        <v>Oui</v>
      </c>
      <c r="L291" s="1" t="str">
        <f t="shared" si="2"/>
        <v>France</v>
      </c>
      <c r="M291" s="1">
        <v>17.0</v>
      </c>
      <c r="N291" s="1" t="s">
        <v>2055</v>
      </c>
      <c r="O291" s="1">
        <v>1.0</v>
      </c>
      <c r="P291" s="2">
        <v>42907.0</v>
      </c>
      <c r="R291" s="1">
        <v>0.0</v>
      </c>
      <c r="S291" s="1" t="s">
        <v>814</v>
      </c>
      <c r="T291" s="1" t="s">
        <v>2397</v>
      </c>
      <c r="U291" s="1" t="s">
        <v>3076</v>
      </c>
      <c r="X291" s="1" t="s">
        <v>1979</v>
      </c>
      <c r="Y291" s="1">
        <v>190.0</v>
      </c>
      <c r="Z291" s="3" t="s">
        <v>3077</v>
      </c>
      <c r="AA291" s="1">
        <v>605694.0</v>
      </c>
      <c r="AB291" s="1" t="s">
        <v>3078</v>
      </c>
      <c r="AC291" s="3" t="s">
        <v>3079</v>
      </c>
      <c r="AD291" s="3" t="s">
        <v>3080</v>
      </c>
      <c r="AE291" s="1">
        <v>1.0</v>
      </c>
      <c r="AF291" s="1" t="s">
        <v>3081</v>
      </c>
      <c r="AG291" s="1">
        <v>20.0</v>
      </c>
      <c r="AH291" s="1">
        <v>25.0</v>
      </c>
      <c r="AI291" s="1">
        <v>0.0</v>
      </c>
      <c r="AJ291" s="1">
        <v>5.0</v>
      </c>
      <c r="AK291" s="1">
        <v>2.0</v>
      </c>
      <c r="AL291" s="1">
        <v>30.0</v>
      </c>
      <c r="AM291" s="1">
        <v>103.0</v>
      </c>
      <c r="AN291" s="1">
        <v>4.0</v>
      </c>
      <c r="AO291" s="1">
        <v>0.0</v>
      </c>
      <c r="AP291" s="1">
        <v>2.0</v>
      </c>
      <c r="AQ291" s="1">
        <v>3.0</v>
      </c>
      <c r="AR291" s="1">
        <v>32.0</v>
      </c>
      <c r="AS291" s="1">
        <v>1.0</v>
      </c>
    </row>
    <row r="292">
      <c r="A292" s="1">
        <v>577.0</v>
      </c>
      <c r="B292" s="1" t="s">
        <v>3082</v>
      </c>
      <c r="C292" s="1" t="s">
        <v>3083</v>
      </c>
      <c r="D292" s="1" t="s">
        <v>3084</v>
      </c>
      <c r="E292" s="1" t="s">
        <v>58</v>
      </c>
      <c r="F292" s="2">
        <v>31632.0</v>
      </c>
      <c r="G292" s="1">
        <f t="shared" si="1"/>
        <v>40</v>
      </c>
      <c r="H292" s="1" t="s">
        <v>207</v>
      </c>
      <c r="I292" s="1" t="str">
        <f>IFERROR(__xludf.DUMMYFUNCTION("SPLIT(left(H292,len(H292)-1),""("")"),"Paris ")</f>
        <v>Paris </v>
      </c>
      <c r="J292" s="1" t="str">
        <f>IFERROR(__xludf.DUMMYFUNCTION("""COMPUTED_VALUE"""),"Paris")</f>
        <v>Paris</v>
      </c>
      <c r="K292" s="1" t="str">
        <f>IFERROR(__xludf.DUMMYFUNCTION("IF( COUNTA( IFERROR( FILTER('départements_edition'!$C$2:$C$102 , 'départements_edition'!$C$2:$C$102=J292 ) ) ) , ""Oui"" , ""Non"" )"),"Oui")</f>
        <v>Oui</v>
      </c>
      <c r="L292" s="1" t="str">
        <f t="shared" si="2"/>
        <v>France</v>
      </c>
      <c r="M292" s="1">
        <v>999.0</v>
      </c>
      <c r="N292" s="1" t="s">
        <v>256</v>
      </c>
      <c r="O292" s="1">
        <v>2.0</v>
      </c>
      <c r="P292" s="2">
        <v>42907.0</v>
      </c>
      <c r="R292" s="1">
        <v>0.0</v>
      </c>
      <c r="S292" s="1" t="s">
        <v>75</v>
      </c>
      <c r="T292" s="1" t="s">
        <v>76</v>
      </c>
      <c r="U292" s="1" t="s">
        <v>3085</v>
      </c>
      <c r="X292" s="1" t="s">
        <v>234</v>
      </c>
      <c r="Y292" s="1">
        <v>450.0</v>
      </c>
      <c r="Z292" s="3" t="s">
        <v>3086</v>
      </c>
      <c r="AA292" s="1">
        <v>721142.0</v>
      </c>
      <c r="AB292" s="1" t="s">
        <v>3087</v>
      </c>
      <c r="AC292" s="3" t="s">
        <v>3088</v>
      </c>
      <c r="AD292" s="3" t="s">
        <v>3089</v>
      </c>
      <c r="AE292" s="1">
        <v>1.0</v>
      </c>
      <c r="AF292" s="1" t="s">
        <v>3090</v>
      </c>
      <c r="AG292" s="1">
        <v>20.0</v>
      </c>
      <c r="AH292" s="1">
        <v>32.0</v>
      </c>
      <c r="AI292" s="1">
        <v>41.0</v>
      </c>
      <c r="AJ292" s="1">
        <v>78.0</v>
      </c>
      <c r="AK292" s="1">
        <v>20.0</v>
      </c>
      <c r="AL292" s="1">
        <v>209.0</v>
      </c>
      <c r="AM292" s="1">
        <v>274.0</v>
      </c>
      <c r="AN292" s="1">
        <v>204.0</v>
      </c>
      <c r="AO292" s="1">
        <v>1.0</v>
      </c>
      <c r="AP292" s="1">
        <v>0.0</v>
      </c>
      <c r="AQ292" s="1">
        <v>5.0</v>
      </c>
      <c r="AR292" s="1">
        <v>1.0</v>
      </c>
      <c r="AS292" s="1">
        <v>2.0</v>
      </c>
    </row>
    <row r="293" hidden="1">
      <c r="A293" s="1">
        <v>528.0</v>
      </c>
      <c r="B293" s="1" t="s">
        <v>3091</v>
      </c>
      <c r="C293" s="1" t="s">
        <v>3092</v>
      </c>
      <c r="D293" s="1" t="s">
        <v>589</v>
      </c>
      <c r="E293" s="1" t="s">
        <v>43</v>
      </c>
      <c r="F293" s="2">
        <v>21647.0</v>
      </c>
      <c r="G293" s="1">
        <f t="shared" si="1"/>
        <v>67</v>
      </c>
      <c r="H293" s="1" t="s">
        <v>1500</v>
      </c>
      <c r="I293" s="1" t="str">
        <f>IFERROR(__xludf.DUMMYFUNCTION("SPLIT(left(H293,len(H293)-1),""("")"),"Colmar ")</f>
        <v>Colmar </v>
      </c>
      <c r="J293" s="1" t="str">
        <f>IFERROR(__xludf.DUMMYFUNCTION("""COMPUTED_VALUE"""),"Haut-Rhin")</f>
        <v>Haut-Rhin</v>
      </c>
      <c r="K293" s="1" t="str">
        <f>IFERROR(__xludf.DUMMYFUNCTION("IF( COUNTA( IFERROR( FILTER('départements_edition'!$C$2:$C$102 , 'départements_edition'!$C$2:$C$102=J293 ) ) ) , ""Oui"" , ""Non"" )"),"Oui")</f>
        <v>Oui</v>
      </c>
      <c r="L293" s="1" t="str">
        <f t="shared" si="2"/>
        <v>France</v>
      </c>
      <c r="M293" s="1">
        <v>68.0</v>
      </c>
      <c r="N293" s="1" t="s">
        <v>1501</v>
      </c>
      <c r="O293" s="1">
        <v>6.0</v>
      </c>
      <c r="P293" s="2">
        <v>42907.0</v>
      </c>
      <c r="R293" s="1">
        <v>0.0</v>
      </c>
      <c r="S293" s="1" t="s">
        <v>280</v>
      </c>
      <c r="T293" s="1" t="s">
        <v>281</v>
      </c>
      <c r="U293" s="1" t="s">
        <v>3093</v>
      </c>
      <c r="X293" s="1" t="s">
        <v>198</v>
      </c>
      <c r="Y293" s="1">
        <v>181.0</v>
      </c>
      <c r="Z293" s="3" t="s">
        <v>3094</v>
      </c>
      <c r="AA293" s="1">
        <v>722284.0</v>
      </c>
      <c r="AB293" s="1" t="s">
        <v>3095</v>
      </c>
      <c r="AC293" s="3" t="s">
        <v>3096</v>
      </c>
      <c r="AD293" s="3" t="s">
        <v>3097</v>
      </c>
      <c r="AE293" s="1">
        <v>1.0</v>
      </c>
      <c r="AF293" s="1" t="s">
        <v>3098</v>
      </c>
      <c r="AG293" s="1">
        <v>20.0</v>
      </c>
      <c r="AH293" s="1">
        <v>42.0</v>
      </c>
      <c r="AI293" s="1">
        <v>31.0</v>
      </c>
      <c r="AJ293" s="1">
        <v>41.0</v>
      </c>
      <c r="AK293" s="1">
        <v>8.0</v>
      </c>
      <c r="AL293" s="1">
        <v>17.0</v>
      </c>
      <c r="AM293" s="1">
        <v>256.0</v>
      </c>
      <c r="AN293" s="1">
        <v>25.0</v>
      </c>
      <c r="AO293" s="1">
        <v>1.0</v>
      </c>
      <c r="AP293" s="1">
        <v>0.0</v>
      </c>
      <c r="AQ293" s="1">
        <v>7.0</v>
      </c>
      <c r="AR293" s="1">
        <v>5.0</v>
      </c>
      <c r="AS293" s="1">
        <v>3.0</v>
      </c>
    </row>
    <row r="294" hidden="1">
      <c r="A294" s="1">
        <v>467.0</v>
      </c>
      <c r="B294" s="1" t="s">
        <v>3099</v>
      </c>
      <c r="C294" s="1" t="s">
        <v>3100</v>
      </c>
      <c r="D294" s="1" t="s">
        <v>3101</v>
      </c>
      <c r="E294" s="1" t="s">
        <v>58</v>
      </c>
      <c r="F294" s="2">
        <v>19976.0</v>
      </c>
      <c r="G294" s="1">
        <f t="shared" si="1"/>
        <v>71</v>
      </c>
      <c r="H294" s="1" t="s">
        <v>207</v>
      </c>
      <c r="I294" s="1" t="str">
        <f>IFERROR(__xludf.DUMMYFUNCTION("SPLIT(left(H294,len(H294)-1),""("")"),"Paris ")</f>
        <v>Paris </v>
      </c>
      <c r="J294" s="1" t="str">
        <f>IFERROR(__xludf.DUMMYFUNCTION("""COMPUTED_VALUE"""),"Paris")</f>
        <v>Paris</v>
      </c>
      <c r="K294" s="1" t="str">
        <f>IFERROR(__xludf.DUMMYFUNCTION("IF( COUNTA( IFERROR( FILTER('départements_edition'!$C$2:$C$102 , 'départements_edition'!$C$2:$C$102=J294 ) ) ) , ""Oui"" , ""Non"" )"),"Oui")</f>
        <v>Oui</v>
      </c>
      <c r="L294" s="1" t="str">
        <f t="shared" si="2"/>
        <v>France</v>
      </c>
      <c r="M294" s="1">
        <v>85.0</v>
      </c>
      <c r="N294" s="1" t="s">
        <v>1853</v>
      </c>
      <c r="O294" s="1">
        <v>2.0</v>
      </c>
      <c r="P294" s="2">
        <v>42907.0</v>
      </c>
      <c r="R294" s="1">
        <v>0.0</v>
      </c>
      <c r="S294" s="1" t="s">
        <v>280</v>
      </c>
      <c r="T294" s="1" t="s">
        <v>281</v>
      </c>
      <c r="U294" s="1" t="s">
        <v>3102</v>
      </c>
      <c r="X294" s="1" t="s">
        <v>2407</v>
      </c>
      <c r="Y294" s="1">
        <v>176.0</v>
      </c>
      <c r="Z294" s="3" t="s">
        <v>3103</v>
      </c>
      <c r="AA294" s="1">
        <v>721992.0</v>
      </c>
      <c r="AB294" s="1" t="s">
        <v>3104</v>
      </c>
      <c r="AC294" s="3" t="s">
        <v>3105</v>
      </c>
      <c r="AD294" s="3" t="s">
        <v>3106</v>
      </c>
      <c r="AE294" s="1">
        <v>1.0</v>
      </c>
      <c r="AF294" s="1" t="s">
        <v>3107</v>
      </c>
      <c r="AG294" s="1">
        <v>20.0</v>
      </c>
      <c r="AH294" s="1">
        <v>33.0</v>
      </c>
      <c r="AI294" s="1">
        <v>2.0</v>
      </c>
      <c r="AJ294" s="1">
        <v>18.0</v>
      </c>
      <c r="AK294" s="1">
        <v>7.0</v>
      </c>
      <c r="AL294" s="1">
        <v>0.0</v>
      </c>
      <c r="AM294" s="1">
        <v>258.0</v>
      </c>
      <c r="AN294" s="1">
        <v>25.0</v>
      </c>
      <c r="AO294" s="1">
        <v>0.0</v>
      </c>
      <c r="AP294" s="1">
        <v>0.0</v>
      </c>
      <c r="AQ294" s="1">
        <v>7.0</v>
      </c>
      <c r="AR294" s="1">
        <v>0.0</v>
      </c>
      <c r="AS294" s="1">
        <v>1.0</v>
      </c>
    </row>
    <row r="295" hidden="1">
      <c r="A295" s="1">
        <v>185.0</v>
      </c>
      <c r="B295" s="1" t="s">
        <v>3108</v>
      </c>
      <c r="C295" s="1" t="s">
        <v>3109</v>
      </c>
      <c r="D295" s="1" t="s">
        <v>2099</v>
      </c>
      <c r="E295" s="1" t="s">
        <v>43</v>
      </c>
      <c r="F295" s="2">
        <v>26764.0</v>
      </c>
      <c r="G295" s="1">
        <f t="shared" si="1"/>
        <v>53</v>
      </c>
      <c r="H295" s="1" t="s">
        <v>2826</v>
      </c>
      <c r="I295" s="1" t="str">
        <f>IFERROR(__xludf.DUMMYFUNCTION("SPLIT(left(H295,len(H295)-1),""("")"),"Paris 14ème ")</f>
        <v>Paris 14ème </v>
      </c>
      <c r="J295" s="1" t="str">
        <f>IFERROR(__xludf.DUMMYFUNCTION("""COMPUTED_VALUE"""),"Paris")</f>
        <v>Paris</v>
      </c>
      <c r="K295" s="1" t="str">
        <f>IFERROR(__xludf.DUMMYFUNCTION("IF( COUNTA( IFERROR( FILTER('départements_edition'!$C$2:$C$102 , 'départements_edition'!$C$2:$C$102=J295 ) ) ) , ""Oui"" , ""Non"" )"),"Oui")</f>
        <v>Oui</v>
      </c>
      <c r="L295" s="1" t="str">
        <f t="shared" si="2"/>
        <v>France</v>
      </c>
      <c r="M295" s="1">
        <v>71.0</v>
      </c>
      <c r="N295" s="1" t="s">
        <v>336</v>
      </c>
      <c r="O295" s="1">
        <v>5.0</v>
      </c>
      <c r="P295" s="2">
        <v>42907.0</v>
      </c>
      <c r="R295" s="1">
        <v>0.0</v>
      </c>
      <c r="S295" s="1" t="s">
        <v>75</v>
      </c>
      <c r="T295" s="1" t="s">
        <v>76</v>
      </c>
      <c r="U295" s="1" t="s">
        <v>3110</v>
      </c>
      <c r="X295" s="1" t="s">
        <v>304</v>
      </c>
      <c r="Y295" s="1">
        <v>241.0</v>
      </c>
      <c r="Z295" s="3" t="s">
        <v>3111</v>
      </c>
      <c r="AA295" s="1">
        <v>721364.0</v>
      </c>
      <c r="AB295" s="1" t="s">
        <v>3112</v>
      </c>
      <c r="AC295" s="3" t="s">
        <v>3113</v>
      </c>
      <c r="AD295" s="3" t="s">
        <v>3114</v>
      </c>
      <c r="AE295" s="1">
        <v>1.0</v>
      </c>
      <c r="AF295" s="1" t="s">
        <v>3115</v>
      </c>
      <c r="AG295" s="1">
        <v>20.0</v>
      </c>
      <c r="AH295" s="1">
        <v>33.0</v>
      </c>
      <c r="AI295" s="1">
        <v>136.0</v>
      </c>
      <c r="AJ295" s="1">
        <v>197.0</v>
      </c>
      <c r="AK295" s="1">
        <v>103.0</v>
      </c>
      <c r="AL295" s="1">
        <v>63.0</v>
      </c>
      <c r="AM295" s="1">
        <v>108.0</v>
      </c>
      <c r="AN295" s="1">
        <v>80.0</v>
      </c>
      <c r="AO295" s="1">
        <v>2.0</v>
      </c>
      <c r="AP295" s="1">
        <v>0.0</v>
      </c>
      <c r="AQ295" s="1">
        <v>6.0</v>
      </c>
      <c r="AR295" s="1">
        <v>6.0</v>
      </c>
      <c r="AS295" s="1">
        <v>0.0</v>
      </c>
    </row>
    <row r="296" hidden="1">
      <c r="A296" s="1">
        <v>313.0</v>
      </c>
      <c r="B296" s="1" t="s">
        <v>3116</v>
      </c>
      <c r="C296" s="1" t="s">
        <v>1968</v>
      </c>
      <c r="D296" s="1" t="s">
        <v>2099</v>
      </c>
      <c r="E296" s="1" t="s">
        <v>43</v>
      </c>
      <c r="F296" s="2">
        <v>25128.0</v>
      </c>
      <c r="G296" s="1">
        <f t="shared" si="1"/>
        <v>57</v>
      </c>
      <c r="H296" s="1" t="s">
        <v>3117</v>
      </c>
      <c r="I296" s="1" t="str">
        <f>IFERROR(__xludf.DUMMYFUNCTION("SPLIT(left(H296,len(H296)-1),""("")"),"Cirey-sur-Vezouze ")</f>
        <v>Cirey-sur-Vezouze </v>
      </c>
      <c r="J296" s="1" t="str">
        <f>IFERROR(__xludf.DUMMYFUNCTION("""COMPUTED_VALUE"""),"Meurthe-et-Moselle")</f>
        <v>Meurthe-et-Moselle</v>
      </c>
      <c r="K296" s="1" t="str">
        <f>IFERROR(__xludf.DUMMYFUNCTION("IF( COUNTA( IFERROR( FILTER('départements_edition'!$C$2:$C$102 , 'départements_edition'!$C$2:$C$102=J296 ) ) ) , ""Oui"" , ""Non"" )"),"Oui")</f>
        <v>Oui</v>
      </c>
      <c r="L296" s="1" t="str">
        <f t="shared" si="2"/>
        <v>France</v>
      </c>
      <c r="M296" s="1">
        <v>17.0</v>
      </c>
      <c r="N296" s="1" t="s">
        <v>2055</v>
      </c>
      <c r="O296" s="1">
        <v>4.0</v>
      </c>
      <c r="P296" s="2">
        <v>42907.0</v>
      </c>
      <c r="R296" s="1">
        <v>0.0</v>
      </c>
      <c r="S296" s="1" t="s">
        <v>75</v>
      </c>
      <c r="T296" s="1" t="s">
        <v>76</v>
      </c>
      <c r="U296" s="1" t="s">
        <v>3118</v>
      </c>
      <c r="X296" s="1" t="s">
        <v>234</v>
      </c>
      <c r="Y296" s="1">
        <v>392.0</v>
      </c>
      <c r="Z296" s="3" t="s">
        <v>3119</v>
      </c>
      <c r="AA296" s="1">
        <v>719108.0</v>
      </c>
      <c r="AB296" s="1" t="s">
        <v>3120</v>
      </c>
      <c r="AC296" s="3" t="s">
        <v>3121</v>
      </c>
      <c r="AD296" s="3" t="s">
        <v>3122</v>
      </c>
      <c r="AE296" s="1">
        <v>1.0</v>
      </c>
      <c r="AF296" s="1" t="s">
        <v>3123</v>
      </c>
      <c r="AG296" s="1">
        <v>20.0</v>
      </c>
      <c r="AH296" s="1">
        <v>42.0</v>
      </c>
      <c r="AI296" s="1">
        <v>9.0</v>
      </c>
      <c r="AJ296" s="1">
        <v>13.0</v>
      </c>
      <c r="AK296" s="1">
        <v>11.0</v>
      </c>
      <c r="AL296" s="1">
        <v>4.0</v>
      </c>
      <c r="AM296" s="1">
        <v>56.0</v>
      </c>
      <c r="AN296" s="1">
        <v>16.0</v>
      </c>
      <c r="AO296" s="1">
        <v>0.0</v>
      </c>
      <c r="AP296" s="1">
        <v>0.0</v>
      </c>
      <c r="AQ296" s="1">
        <v>5.0</v>
      </c>
      <c r="AR296" s="1">
        <v>8.0</v>
      </c>
      <c r="AS296" s="1">
        <v>2.0</v>
      </c>
    </row>
    <row r="297" hidden="1">
      <c r="A297" s="1">
        <v>506.0</v>
      </c>
      <c r="B297" s="1" t="s">
        <v>3124</v>
      </c>
      <c r="C297" s="1" t="s">
        <v>3125</v>
      </c>
      <c r="D297" s="1" t="s">
        <v>3126</v>
      </c>
      <c r="E297" s="1" t="s">
        <v>58</v>
      </c>
      <c r="F297" s="2">
        <v>29876.0</v>
      </c>
      <c r="G297" s="1">
        <f t="shared" si="1"/>
        <v>44</v>
      </c>
      <c r="H297" s="1" t="s">
        <v>3127</v>
      </c>
      <c r="I297" s="1" t="str">
        <f>IFERROR(__xludf.DUMMYFUNCTION("SPLIT(left(H297,len(H297)-1),""("")"),"Saint-Germain-en-Laye ")</f>
        <v>Saint-Germain-en-Laye </v>
      </c>
      <c r="J297" s="1" t="str">
        <f>IFERROR(__xludf.DUMMYFUNCTION("""COMPUTED_VALUE"""),"Yvelines")</f>
        <v>Yvelines</v>
      </c>
      <c r="K297" s="1" t="str">
        <f>IFERROR(__xludf.DUMMYFUNCTION("IF( COUNTA( IFERROR( FILTER('départements_edition'!$C$2:$C$102 , 'départements_edition'!$C$2:$C$102=J297 ) ) ) , ""Oui"" , ""Non"" )"),"Oui")</f>
        <v>Oui</v>
      </c>
      <c r="L297" s="1" t="str">
        <f t="shared" si="2"/>
        <v>France</v>
      </c>
      <c r="M297" s="1">
        <v>1.0</v>
      </c>
      <c r="N297" s="1" t="s">
        <v>88</v>
      </c>
      <c r="O297" s="1">
        <v>3.0</v>
      </c>
      <c r="P297" s="2">
        <v>42907.0</v>
      </c>
      <c r="R297" s="1">
        <v>0.0</v>
      </c>
      <c r="S297" s="1" t="s">
        <v>75</v>
      </c>
      <c r="T297" s="1" t="s">
        <v>76</v>
      </c>
      <c r="U297" s="1" t="s">
        <v>3128</v>
      </c>
      <c r="X297" s="1" t="s">
        <v>3129</v>
      </c>
      <c r="Y297" s="1">
        <v>572.0</v>
      </c>
      <c r="Z297" s="3" t="s">
        <v>3130</v>
      </c>
      <c r="AA297" s="1">
        <v>718674.0</v>
      </c>
      <c r="AB297" s="1" t="s">
        <v>3131</v>
      </c>
      <c r="AC297" s="3" t="s">
        <v>3132</v>
      </c>
      <c r="AD297" s="3" t="s">
        <v>3133</v>
      </c>
      <c r="AE297" s="1">
        <v>1.0</v>
      </c>
      <c r="AF297" s="1" t="s">
        <v>3134</v>
      </c>
      <c r="AG297" s="1">
        <v>20.0</v>
      </c>
      <c r="AH297" s="1">
        <v>34.0</v>
      </c>
      <c r="AI297" s="1">
        <v>12.0</v>
      </c>
      <c r="AJ297" s="1">
        <v>6.0</v>
      </c>
      <c r="AK297" s="1">
        <v>2.0</v>
      </c>
      <c r="AL297" s="1">
        <v>2.0</v>
      </c>
      <c r="AM297" s="1">
        <v>13.0</v>
      </c>
      <c r="AN297" s="1">
        <v>7.0</v>
      </c>
      <c r="AO297" s="1">
        <v>1.0</v>
      </c>
      <c r="AP297" s="1">
        <v>0.0</v>
      </c>
      <c r="AQ297" s="1">
        <v>5.0</v>
      </c>
      <c r="AR297" s="1">
        <v>3.0</v>
      </c>
      <c r="AS297" s="1">
        <v>1.0</v>
      </c>
    </row>
    <row r="298" hidden="1">
      <c r="A298" s="1">
        <v>264.0</v>
      </c>
      <c r="B298" s="1" t="s">
        <v>3135</v>
      </c>
      <c r="C298" s="1" t="s">
        <v>3136</v>
      </c>
      <c r="D298" s="1" t="s">
        <v>915</v>
      </c>
      <c r="E298" s="1" t="s">
        <v>43</v>
      </c>
      <c r="F298" s="2">
        <v>22356.0</v>
      </c>
      <c r="G298" s="1">
        <f t="shared" si="1"/>
        <v>65</v>
      </c>
      <c r="H298" s="1" t="s">
        <v>207</v>
      </c>
      <c r="I298" s="1" t="str">
        <f>IFERROR(__xludf.DUMMYFUNCTION("SPLIT(left(H298,len(H298)-1),""("")"),"Paris ")</f>
        <v>Paris </v>
      </c>
      <c r="J298" s="1" t="str">
        <f>IFERROR(__xludf.DUMMYFUNCTION("""COMPUTED_VALUE"""),"Paris")</f>
        <v>Paris</v>
      </c>
      <c r="K298" s="1" t="str">
        <f>IFERROR(__xludf.DUMMYFUNCTION("IF( COUNTA( IFERROR( FILTER('départements_edition'!$C$2:$C$102 , 'départements_edition'!$C$2:$C$102=J298 ) ) ) , ""Oui"" , ""Non"" )"),"Oui")</f>
        <v>Oui</v>
      </c>
      <c r="L298" s="1" t="str">
        <f t="shared" si="2"/>
        <v>France</v>
      </c>
      <c r="M298" s="1">
        <v>64.0</v>
      </c>
      <c r="N298" s="1" t="s">
        <v>579</v>
      </c>
      <c r="O298" s="1">
        <v>3.0</v>
      </c>
      <c r="P298" s="2">
        <v>42907.0</v>
      </c>
      <c r="R298" s="1">
        <v>0.0</v>
      </c>
      <c r="S298" s="1" t="s">
        <v>115</v>
      </c>
      <c r="T298" s="1" t="s">
        <v>116</v>
      </c>
      <c r="U298" s="1" t="s">
        <v>3137</v>
      </c>
      <c r="X298" s="1" t="s">
        <v>3138</v>
      </c>
      <c r="Y298" s="1">
        <v>506.0</v>
      </c>
      <c r="Z298" s="3" t="s">
        <v>3139</v>
      </c>
      <c r="AA298" s="1">
        <v>1592.0</v>
      </c>
      <c r="AB298" s="1" t="s">
        <v>3140</v>
      </c>
      <c r="AC298" s="3" t="s">
        <v>3141</v>
      </c>
      <c r="AD298" s="3" t="s">
        <v>3142</v>
      </c>
      <c r="AE298" s="1">
        <v>1.0</v>
      </c>
      <c r="AF298" s="1" t="s">
        <v>3143</v>
      </c>
      <c r="AG298" s="1">
        <v>20.0</v>
      </c>
      <c r="AH298" s="1">
        <v>33.0</v>
      </c>
      <c r="AI298" s="1">
        <v>7.0</v>
      </c>
      <c r="AJ298" s="1">
        <v>38.0</v>
      </c>
      <c r="AK298" s="1">
        <v>95.0</v>
      </c>
      <c r="AL298" s="1">
        <v>6.0</v>
      </c>
      <c r="AM298" s="1">
        <v>1056.0</v>
      </c>
      <c r="AN298" s="1">
        <v>62.0</v>
      </c>
      <c r="AO298" s="1">
        <v>0.0</v>
      </c>
      <c r="AP298" s="1">
        <v>0.0</v>
      </c>
      <c r="AQ298" s="1">
        <v>5.0</v>
      </c>
      <c r="AR298" s="1">
        <v>3.0</v>
      </c>
      <c r="AS298" s="1">
        <v>1.0</v>
      </c>
    </row>
    <row r="299" hidden="1">
      <c r="A299" s="1">
        <v>221.0</v>
      </c>
      <c r="B299" s="1" t="s">
        <v>3144</v>
      </c>
      <c r="C299" s="1" t="s">
        <v>3145</v>
      </c>
      <c r="D299" s="1" t="s">
        <v>1186</v>
      </c>
      <c r="E299" s="1" t="s">
        <v>58</v>
      </c>
      <c r="F299" s="2">
        <v>25146.0</v>
      </c>
      <c r="G299" s="1">
        <f t="shared" si="1"/>
        <v>57</v>
      </c>
      <c r="H299" s="1" t="s">
        <v>3146</v>
      </c>
      <c r="I299" s="1" t="str">
        <f>IFERROR(__xludf.DUMMYFUNCTION("SPLIT(left(H299,len(H299)-1),""("")"),"Dax ")</f>
        <v>Dax </v>
      </c>
      <c r="J299" s="1" t="str">
        <f>IFERROR(__xludf.DUMMYFUNCTION("""COMPUTED_VALUE"""),"Landes")</f>
        <v>Landes</v>
      </c>
      <c r="K299" s="1" t="str">
        <f>IFERROR(__xludf.DUMMYFUNCTION("IF( COUNTA( IFERROR( FILTER('départements_edition'!$C$2:$C$102 , 'départements_edition'!$C$2:$C$102=J299 ) ) ) , ""Oui"" , ""Non"" )"),"Oui")</f>
        <v>Oui</v>
      </c>
      <c r="L299" s="1" t="str">
        <f t="shared" si="2"/>
        <v>France</v>
      </c>
      <c r="M299" s="1">
        <v>33.0</v>
      </c>
      <c r="N299" s="1" t="s">
        <v>348</v>
      </c>
      <c r="O299" s="1">
        <v>11.0</v>
      </c>
      <c r="P299" s="2">
        <v>42907.0</v>
      </c>
      <c r="R299" s="1">
        <v>0.0</v>
      </c>
      <c r="S299" s="1" t="s">
        <v>75</v>
      </c>
      <c r="T299" s="1" t="s">
        <v>76</v>
      </c>
      <c r="U299" s="1" t="s">
        <v>3147</v>
      </c>
      <c r="X299" s="1" t="s">
        <v>118</v>
      </c>
      <c r="Y299" s="1">
        <v>326.0</v>
      </c>
      <c r="Z299" s="3" t="s">
        <v>3148</v>
      </c>
      <c r="AA299" s="1">
        <v>719652.0</v>
      </c>
      <c r="AB299" s="1" t="s">
        <v>3149</v>
      </c>
      <c r="AC299" s="3" t="s">
        <v>3150</v>
      </c>
      <c r="AD299" s="3" t="s">
        <v>3151</v>
      </c>
      <c r="AE299" s="1">
        <v>1.0</v>
      </c>
      <c r="AF299" s="1" t="s">
        <v>3152</v>
      </c>
      <c r="AG299" s="1">
        <v>20.0</v>
      </c>
      <c r="AH299" s="1">
        <v>40.0</v>
      </c>
      <c r="AI299" s="1">
        <v>7.0</v>
      </c>
      <c r="AJ299" s="1">
        <v>6.0</v>
      </c>
      <c r="AK299" s="1">
        <v>1.0</v>
      </c>
      <c r="AL299" s="1">
        <v>0.0</v>
      </c>
      <c r="AM299" s="1">
        <v>113.0</v>
      </c>
      <c r="AN299" s="1">
        <v>58.0</v>
      </c>
      <c r="AO299" s="1">
        <v>0.0</v>
      </c>
      <c r="AP299" s="1">
        <v>0.0</v>
      </c>
      <c r="AQ299" s="1">
        <v>7.0</v>
      </c>
      <c r="AR299" s="1">
        <v>1.0</v>
      </c>
      <c r="AS299" s="1">
        <v>1.0</v>
      </c>
    </row>
    <row r="300" hidden="1">
      <c r="A300" s="1">
        <v>223.0</v>
      </c>
      <c r="B300" s="1" t="s">
        <v>3153</v>
      </c>
      <c r="C300" s="1" t="s">
        <v>3154</v>
      </c>
      <c r="D300" s="1" t="s">
        <v>312</v>
      </c>
      <c r="E300" s="1" t="s">
        <v>58</v>
      </c>
      <c r="F300" s="2">
        <v>17181.0</v>
      </c>
      <c r="G300" s="1">
        <f t="shared" si="1"/>
        <v>79</v>
      </c>
      <c r="H300" s="1" t="s">
        <v>3155</v>
      </c>
      <c r="I300" s="1" t="str">
        <f>IFERROR(__xludf.DUMMYFUNCTION("SPLIT(left(H300,len(H300)-1),""("")"),"Carcassonne ")</f>
        <v>Carcassonne </v>
      </c>
      <c r="J300" s="1" t="str">
        <f>IFERROR(__xludf.DUMMYFUNCTION("""COMPUTED_VALUE"""),"Aude")</f>
        <v>Aude</v>
      </c>
      <c r="K300" s="1" t="str">
        <f>IFERROR(__xludf.DUMMYFUNCTION("IF( COUNTA( IFERROR( FILTER('départements_edition'!$C$2:$C$102 , 'départements_edition'!$C$2:$C$102=J300 ) ) ) , ""Oui"" , ""Non"" )"),"Oui")</f>
        <v>Oui</v>
      </c>
      <c r="L300" s="1" t="str">
        <f t="shared" si="2"/>
        <v>France</v>
      </c>
      <c r="M300" s="1">
        <v>11.0</v>
      </c>
      <c r="N300" s="1" t="s">
        <v>1453</v>
      </c>
      <c r="O300" s="1">
        <v>1.0</v>
      </c>
      <c r="P300" s="2">
        <v>42907.0</v>
      </c>
      <c r="R300" s="1">
        <v>0.0</v>
      </c>
      <c r="S300" s="1" t="s">
        <v>75</v>
      </c>
      <c r="T300" s="1" t="s">
        <v>76</v>
      </c>
      <c r="U300" s="1" t="s">
        <v>3156</v>
      </c>
      <c r="X300" s="1" t="s">
        <v>3157</v>
      </c>
      <c r="Y300" s="1">
        <v>203.0</v>
      </c>
      <c r="Z300" s="3" t="s">
        <v>3158</v>
      </c>
      <c r="AA300" s="1">
        <v>718794.0</v>
      </c>
      <c r="AB300" s="1" t="s">
        <v>3159</v>
      </c>
      <c r="AC300" s="3" t="s">
        <v>3160</v>
      </c>
      <c r="AD300" s="3" t="s">
        <v>3161</v>
      </c>
      <c r="AE300" s="1">
        <v>2.0</v>
      </c>
      <c r="AF300" s="1" t="s">
        <v>3162</v>
      </c>
      <c r="AG300" s="1">
        <v>20.0</v>
      </c>
      <c r="AH300" s="1">
        <v>40.0</v>
      </c>
      <c r="AI300" s="1">
        <v>20.0</v>
      </c>
      <c r="AJ300" s="1">
        <v>8.0</v>
      </c>
      <c r="AK300" s="1">
        <v>4.0</v>
      </c>
      <c r="AL300" s="1">
        <v>0.0</v>
      </c>
      <c r="AM300" s="1">
        <v>45.0</v>
      </c>
      <c r="AN300" s="1">
        <v>17.0</v>
      </c>
      <c r="AO300" s="1">
        <v>1.0</v>
      </c>
      <c r="AP300" s="1">
        <v>0.0</v>
      </c>
      <c r="AQ300" s="1">
        <v>5.0</v>
      </c>
      <c r="AR300" s="1">
        <v>0.0</v>
      </c>
      <c r="AS300" s="1">
        <v>3.0</v>
      </c>
    </row>
    <row r="301" hidden="1">
      <c r="A301" s="1">
        <v>27.0</v>
      </c>
      <c r="B301" s="1" t="s">
        <v>3163</v>
      </c>
      <c r="C301" s="1" t="s">
        <v>3164</v>
      </c>
      <c r="D301" s="1" t="s">
        <v>1065</v>
      </c>
      <c r="E301" s="1" t="s">
        <v>43</v>
      </c>
      <c r="F301" s="2">
        <v>22299.0</v>
      </c>
      <c r="G301" s="1">
        <f t="shared" si="1"/>
        <v>65</v>
      </c>
      <c r="H301" s="1" t="s">
        <v>1251</v>
      </c>
      <c r="I301" s="1" t="str">
        <f>IFERROR(__xludf.DUMMYFUNCTION("SPLIT(left(H301,len(H301)-1),""("")"),"Lille ")</f>
        <v>Lille </v>
      </c>
      <c r="J301" s="1" t="str">
        <f>IFERROR(__xludf.DUMMYFUNCTION("""COMPUTED_VALUE"""),"Nord")</f>
        <v>Nord</v>
      </c>
      <c r="K301" s="1" t="str">
        <f>IFERROR(__xludf.DUMMYFUNCTION("IF( COUNTA( IFERROR( FILTER('départements_edition'!$C$2:$C$102 , 'départements_edition'!$C$2:$C$102=J301 ) ) ) , ""Oui"" , ""Non"" )"),"Oui")</f>
        <v>Oui</v>
      </c>
      <c r="L301" s="1" t="str">
        <f t="shared" si="2"/>
        <v>France</v>
      </c>
      <c r="M301" s="1">
        <v>59.0</v>
      </c>
      <c r="N301" s="1" t="s">
        <v>172</v>
      </c>
      <c r="O301" s="1">
        <v>13.0</v>
      </c>
      <c r="P301" s="2">
        <v>42907.0</v>
      </c>
      <c r="R301" s="1">
        <v>0.0</v>
      </c>
      <c r="S301" s="1" t="s">
        <v>115</v>
      </c>
      <c r="T301" s="1" t="s">
        <v>116</v>
      </c>
      <c r="U301" s="3" t="s">
        <v>3165</v>
      </c>
      <c r="X301" s="1" t="s">
        <v>3166</v>
      </c>
      <c r="Y301" s="1">
        <v>497.0</v>
      </c>
      <c r="Z301" s="3" t="s">
        <v>3167</v>
      </c>
      <c r="AA301" s="1">
        <v>333818.0</v>
      </c>
      <c r="AB301" s="1" t="s">
        <v>3168</v>
      </c>
      <c r="AC301" s="3" t="s">
        <v>3169</v>
      </c>
      <c r="AD301" s="3" t="s">
        <v>3170</v>
      </c>
      <c r="AE301" s="1">
        <v>2.0</v>
      </c>
      <c r="AF301" s="1" t="s">
        <v>3171</v>
      </c>
      <c r="AG301" s="1">
        <v>20.0</v>
      </c>
      <c r="AH301" s="1">
        <v>34.0</v>
      </c>
      <c r="AI301" s="1">
        <v>24.0</v>
      </c>
      <c r="AJ301" s="1">
        <v>55.0</v>
      </c>
      <c r="AK301" s="1">
        <v>172.0</v>
      </c>
      <c r="AL301" s="1">
        <v>0.0</v>
      </c>
      <c r="AM301" s="1">
        <v>1113.0</v>
      </c>
      <c r="AN301" s="1">
        <v>75.0</v>
      </c>
      <c r="AO301" s="1">
        <v>1.0</v>
      </c>
      <c r="AP301" s="1">
        <v>1.0</v>
      </c>
      <c r="AQ301" s="1">
        <v>10.0</v>
      </c>
      <c r="AR301" s="1">
        <v>9.0</v>
      </c>
      <c r="AS301" s="1">
        <v>1.0</v>
      </c>
    </row>
    <row r="302" hidden="1">
      <c r="A302" s="1">
        <v>526.0</v>
      </c>
      <c r="B302" s="1" t="s">
        <v>3172</v>
      </c>
      <c r="C302" s="1" t="s">
        <v>3173</v>
      </c>
      <c r="D302" s="1" t="s">
        <v>835</v>
      </c>
      <c r="E302" s="1" t="s">
        <v>43</v>
      </c>
      <c r="F302" s="2">
        <v>25501.0</v>
      </c>
      <c r="G302" s="1">
        <f t="shared" si="1"/>
        <v>56</v>
      </c>
      <c r="H302" s="1" t="s">
        <v>955</v>
      </c>
      <c r="I302" s="1" t="str">
        <f>IFERROR(__xludf.DUMMYFUNCTION("SPLIT(left(H302,len(H302)-1),""("")"),"Béthune ")</f>
        <v>Béthune </v>
      </c>
      <c r="J302" s="1" t="str">
        <f>IFERROR(__xludf.DUMMYFUNCTION("""COMPUTED_VALUE"""),"Pas-de-Calais")</f>
        <v>Pas-de-Calais</v>
      </c>
      <c r="K302" s="1" t="str">
        <f>IFERROR(__xludf.DUMMYFUNCTION("IF( COUNTA( IFERROR( FILTER('départements_edition'!$C$2:$C$102 , 'départements_edition'!$C$2:$C$102=J302 ) ) ) , ""Oui"" , ""Non"" )"),"Oui")</f>
        <v>Oui</v>
      </c>
      <c r="L302" s="1" t="str">
        <f t="shared" si="2"/>
        <v>France</v>
      </c>
      <c r="M302" s="1">
        <v>59.0</v>
      </c>
      <c r="N302" s="1" t="s">
        <v>172</v>
      </c>
      <c r="O302" s="1">
        <v>5.0</v>
      </c>
      <c r="P302" s="2">
        <v>42907.0</v>
      </c>
      <c r="R302" s="1">
        <v>0.0</v>
      </c>
      <c r="S302" s="1" t="s">
        <v>61</v>
      </c>
      <c r="T302" s="1" t="s">
        <v>62</v>
      </c>
      <c r="U302" s="1" t="s">
        <v>3174</v>
      </c>
      <c r="X302" s="1" t="s">
        <v>581</v>
      </c>
      <c r="Y302" s="1">
        <v>43.0</v>
      </c>
      <c r="Z302" s="3" t="s">
        <v>3175</v>
      </c>
      <c r="AA302" s="1">
        <v>267200.0</v>
      </c>
      <c r="AB302" s="1" t="s">
        <v>3176</v>
      </c>
      <c r="AC302" s="3" t="s">
        <v>3177</v>
      </c>
      <c r="AD302" s="3" t="s">
        <v>3178</v>
      </c>
      <c r="AE302" s="1">
        <v>1.0</v>
      </c>
      <c r="AF302" s="1" t="s">
        <v>3179</v>
      </c>
      <c r="AG302" s="1">
        <v>20.0</v>
      </c>
      <c r="AH302" s="1">
        <v>25.0</v>
      </c>
      <c r="AI302" s="1">
        <v>20.0</v>
      </c>
      <c r="AJ302" s="1">
        <v>25.0</v>
      </c>
      <c r="AK302" s="1">
        <v>5.0</v>
      </c>
      <c r="AL302" s="1">
        <v>24.0</v>
      </c>
      <c r="AM302" s="1">
        <v>428.0</v>
      </c>
      <c r="AN302" s="1">
        <v>23.0</v>
      </c>
      <c r="AO302" s="1">
        <v>0.0</v>
      </c>
      <c r="AP302" s="1">
        <v>2.0</v>
      </c>
      <c r="AQ302" s="1">
        <v>14.0</v>
      </c>
      <c r="AR302" s="1">
        <v>19.0</v>
      </c>
      <c r="AS302" s="1">
        <v>0.0</v>
      </c>
    </row>
    <row r="303" hidden="1">
      <c r="A303" s="1">
        <v>517.0</v>
      </c>
      <c r="B303" s="1" t="s">
        <v>3200</v>
      </c>
      <c r="C303" s="1" t="s">
        <v>3201</v>
      </c>
      <c r="D303" s="1" t="s">
        <v>1782</v>
      </c>
      <c r="E303" s="1" t="s">
        <v>43</v>
      </c>
      <c r="F303" s="2">
        <v>25700.0</v>
      </c>
      <c r="G303" s="1">
        <f t="shared" si="1"/>
        <v>56</v>
      </c>
      <c r="H303" s="1" t="s">
        <v>3202</v>
      </c>
      <c r="I303" s="1" t="str">
        <f>IFERROR(__xludf.DUMMYFUNCTION("SPLIT(left(H303,len(H303)-1),""("")"),"Saint-Brieuc ")</f>
        <v>Saint-Brieuc </v>
      </c>
      <c r="J303" s="1" t="str">
        <f>IFERROR(__xludf.DUMMYFUNCTION("""COMPUTED_VALUE"""),"Côtes-d'Armor")</f>
        <v>Côtes-d'Armor</v>
      </c>
      <c r="K303" s="1" t="str">
        <f>IFERROR(__xludf.DUMMYFUNCTION("IF( COUNTA( IFERROR( FILTER('départements_edition'!$C$2:$C$102 , 'départements_edition'!$C$2:$C$102=J303 ) ) ) , ""Oui"" , ""Non"" )"),"Oui")</f>
        <v>Oui</v>
      </c>
      <c r="L303" s="1" t="str">
        <f t="shared" si="2"/>
        <v>France</v>
      </c>
      <c r="M303" s="1">
        <v>22.0</v>
      </c>
      <c r="N303" s="1" t="s">
        <v>1883</v>
      </c>
      <c r="O303" s="1">
        <v>4.0</v>
      </c>
      <c r="P303" s="2">
        <v>42907.0</v>
      </c>
      <c r="R303" s="1">
        <v>0.0</v>
      </c>
      <c r="S303" s="1" t="s">
        <v>75</v>
      </c>
      <c r="T303" s="1" t="s">
        <v>76</v>
      </c>
      <c r="U303" s="1" t="s">
        <v>3203</v>
      </c>
      <c r="X303" s="1" t="s">
        <v>3204</v>
      </c>
      <c r="Y303" s="1">
        <v>368.0</v>
      </c>
      <c r="Z303" s="3" t="s">
        <v>3205</v>
      </c>
      <c r="AA303" s="1">
        <v>719230.0</v>
      </c>
      <c r="AB303" s="1" t="s">
        <v>3206</v>
      </c>
      <c r="AC303" s="3" t="s">
        <v>3207</v>
      </c>
      <c r="AD303" s="3" t="s">
        <v>3208</v>
      </c>
      <c r="AE303" s="1">
        <v>2.0</v>
      </c>
      <c r="AF303" s="1" t="s">
        <v>3209</v>
      </c>
      <c r="AG303" s="1">
        <v>20.0</v>
      </c>
      <c r="AH303" s="1">
        <v>42.0</v>
      </c>
      <c r="AI303" s="1">
        <v>11.0</v>
      </c>
      <c r="AJ303" s="1">
        <v>3.0</v>
      </c>
      <c r="AK303" s="1">
        <v>1.0</v>
      </c>
      <c r="AL303" s="1">
        <v>0.0</v>
      </c>
      <c r="AM303" s="1">
        <v>45.0</v>
      </c>
      <c r="AN303" s="1">
        <v>12.0</v>
      </c>
      <c r="AO303" s="1">
        <v>0.0</v>
      </c>
      <c r="AP303" s="1">
        <v>0.0</v>
      </c>
      <c r="AQ303" s="1">
        <v>5.0</v>
      </c>
      <c r="AR303" s="1">
        <v>2.0</v>
      </c>
      <c r="AS303" s="1">
        <v>2.0</v>
      </c>
    </row>
    <row r="304" hidden="1">
      <c r="A304" s="1">
        <v>139.0</v>
      </c>
      <c r="B304" s="1" t="s">
        <v>3210</v>
      </c>
      <c r="C304" s="1" t="s">
        <v>3211</v>
      </c>
      <c r="D304" s="1" t="s">
        <v>425</v>
      </c>
      <c r="E304" s="1" t="s">
        <v>58</v>
      </c>
      <c r="F304" s="2">
        <v>21652.0</v>
      </c>
      <c r="G304" s="1">
        <f t="shared" si="1"/>
        <v>67</v>
      </c>
      <c r="H304" s="1" t="s">
        <v>1581</v>
      </c>
      <c r="I304" s="1" t="str">
        <f>IFERROR(__xludf.DUMMYFUNCTION("SPLIT(left(H304,len(H304)-1),""("")"),"Saint-Cloud ")</f>
        <v>Saint-Cloud </v>
      </c>
      <c r="J304" s="1" t="str">
        <f>IFERROR(__xludf.DUMMYFUNCTION("""COMPUTED_VALUE"""),"Hauts-de-Seine")</f>
        <v>Hauts-de-Seine</v>
      </c>
      <c r="K304" s="1" t="str">
        <f>IFERROR(__xludf.DUMMYFUNCTION("IF( COUNTA( IFERROR( FILTER('départements_edition'!$C$2:$C$102 , 'départements_edition'!$C$2:$C$102=J304 ) ) ) , ""Oui"" , ""Non"" )"),"Oui")</f>
        <v>Oui</v>
      </c>
      <c r="L304" s="1" t="str">
        <f t="shared" si="2"/>
        <v>France</v>
      </c>
      <c r="M304" s="1">
        <v>75.0</v>
      </c>
      <c r="N304" s="1" t="s">
        <v>232</v>
      </c>
      <c r="O304" s="1">
        <v>4.0</v>
      </c>
      <c r="P304" s="2">
        <v>42907.0</v>
      </c>
      <c r="R304" s="1">
        <v>0.0</v>
      </c>
      <c r="S304" s="1" t="s">
        <v>61</v>
      </c>
      <c r="T304" s="1" t="s">
        <v>62</v>
      </c>
      <c r="U304" s="1" t="s">
        <v>3212</v>
      </c>
      <c r="X304" s="1">
        <v>0.0</v>
      </c>
      <c r="Y304" s="1">
        <v>138.0</v>
      </c>
      <c r="Z304" s="3" t="s">
        <v>3213</v>
      </c>
      <c r="AA304" s="1">
        <v>721506.0</v>
      </c>
      <c r="AB304" s="1" t="s">
        <v>3214</v>
      </c>
      <c r="AC304" s="3" t="s">
        <v>3215</v>
      </c>
      <c r="AD304" s="3" t="s">
        <v>3216</v>
      </c>
      <c r="AE304" s="1">
        <v>2.0</v>
      </c>
      <c r="AF304" s="1" t="s">
        <v>3217</v>
      </c>
      <c r="AG304" s="1">
        <v>20.0</v>
      </c>
      <c r="AH304" s="1">
        <v>26.0</v>
      </c>
      <c r="AI304" s="1">
        <v>35.0</v>
      </c>
      <c r="AJ304" s="1">
        <v>51.0</v>
      </c>
      <c r="AK304" s="1">
        <v>22.0</v>
      </c>
      <c r="AL304" s="1">
        <v>31.0</v>
      </c>
      <c r="AM304" s="1">
        <v>467.0</v>
      </c>
      <c r="AN304" s="1">
        <v>17.0</v>
      </c>
      <c r="AO304" s="1">
        <v>1.0</v>
      </c>
      <c r="AP304" s="1">
        <v>4.0</v>
      </c>
      <c r="AQ304" s="1">
        <v>43.0</v>
      </c>
      <c r="AR304" s="1">
        <v>19.0</v>
      </c>
      <c r="AS304" s="1">
        <v>2.0</v>
      </c>
    </row>
    <row r="305" hidden="1">
      <c r="A305" s="1">
        <v>486.0</v>
      </c>
      <c r="B305" s="1" t="s">
        <v>3218</v>
      </c>
      <c r="C305" s="1" t="s">
        <v>3219</v>
      </c>
      <c r="D305" s="1" t="s">
        <v>206</v>
      </c>
      <c r="E305" s="1" t="s">
        <v>43</v>
      </c>
      <c r="F305" s="2">
        <v>19875.0</v>
      </c>
      <c r="G305" s="1">
        <f t="shared" si="1"/>
        <v>72</v>
      </c>
      <c r="H305" s="1" t="s">
        <v>3220</v>
      </c>
      <c r="I305" s="1" t="str">
        <f>IFERROR(__xludf.DUMMYFUNCTION("SPLIT(left(H305,len(H305)-1),""("")"),"Bourg-en-Bresse ")</f>
        <v>Bourg-en-Bresse </v>
      </c>
      <c r="J305" s="1" t="str">
        <f>IFERROR(__xludf.DUMMYFUNCTION("""COMPUTED_VALUE"""),"Ain")</f>
        <v>Ain</v>
      </c>
      <c r="K305" s="1" t="str">
        <f>IFERROR(__xludf.DUMMYFUNCTION("IF( COUNTA( IFERROR( FILTER('départements_edition'!$C$2:$C$102 , 'départements_edition'!$C$2:$C$102=J305 ) ) ) , ""Oui"" , ""Non"" )"),"Oui")</f>
        <v>Oui</v>
      </c>
      <c r="L305" s="1" t="str">
        <f t="shared" si="2"/>
        <v>France</v>
      </c>
      <c r="M305" s="1">
        <v>1.0</v>
      </c>
      <c r="N305" s="1" t="s">
        <v>88</v>
      </c>
      <c r="O305" s="1">
        <v>2.0</v>
      </c>
      <c r="P305" s="2">
        <v>42907.0</v>
      </c>
      <c r="R305" s="1">
        <v>0.0</v>
      </c>
      <c r="S305" s="1" t="s">
        <v>61</v>
      </c>
      <c r="T305" s="1" t="s">
        <v>62</v>
      </c>
      <c r="U305" s="1" t="s">
        <v>3221</v>
      </c>
      <c r="X305" s="1" t="s">
        <v>3222</v>
      </c>
      <c r="Y305" s="1">
        <v>26.0</v>
      </c>
      <c r="Z305" s="3" t="s">
        <v>3223</v>
      </c>
      <c r="AA305" s="1">
        <v>1012.0</v>
      </c>
      <c r="AB305" s="1" t="s">
        <v>3224</v>
      </c>
      <c r="AC305" s="3" t="s">
        <v>3225</v>
      </c>
      <c r="AD305" s="3" t="s">
        <v>3226</v>
      </c>
      <c r="AE305" s="1">
        <v>1.0</v>
      </c>
      <c r="AF305" s="1" t="s">
        <v>3227</v>
      </c>
      <c r="AG305" s="1">
        <v>20.0</v>
      </c>
      <c r="AH305" s="1">
        <v>29.0</v>
      </c>
      <c r="AI305" s="1">
        <v>21.0</v>
      </c>
      <c r="AJ305" s="1">
        <v>22.0</v>
      </c>
      <c r="AK305" s="1">
        <v>43.0</v>
      </c>
      <c r="AL305" s="1">
        <v>2.0</v>
      </c>
      <c r="AM305" s="1">
        <v>867.0</v>
      </c>
      <c r="AN305" s="1">
        <v>30.0</v>
      </c>
      <c r="AO305" s="1">
        <v>0.0</v>
      </c>
      <c r="AP305" s="1">
        <v>4.0</v>
      </c>
      <c r="AQ305" s="1">
        <v>42.0</v>
      </c>
      <c r="AR305" s="1">
        <v>20.0</v>
      </c>
      <c r="AS305" s="1">
        <v>2.0</v>
      </c>
    </row>
    <row r="306" hidden="1">
      <c r="A306" s="1">
        <v>335.0</v>
      </c>
      <c r="B306" s="1" t="s">
        <v>3228</v>
      </c>
      <c r="C306" s="1" t="s">
        <v>3229</v>
      </c>
      <c r="D306" s="1" t="s">
        <v>629</v>
      </c>
      <c r="E306" s="1" t="s">
        <v>58</v>
      </c>
      <c r="F306" s="2">
        <v>24044.0</v>
      </c>
      <c r="G306" s="1">
        <f t="shared" si="1"/>
        <v>60</v>
      </c>
      <c r="H306" s="1" t="s">
        <v>3230</v>
      </c>
      <c r="I306" s="1" t="str">
        <f>IFERROR(__xludf.DUMMYFUNCTION("SPLIT(left(H306,len(H306)-1),""("")"),"Chalon-sur-Saône ")</f>
        <v>Chalon-sur-Saône </v>
      </c>
      <c r="J306" s="1" t="str">
        <f>IFERROR(__xludf.DUMMYFUNCTION("""COMPUTED_VALUE"""),"Saône-et-Loire")</f>
        <v>Saône-et-Loire</v>
      </c>
      <c r="K306" s="1" t="str">
        <f>IFERROR(__xludf.DUMMYFUNCTION("IF( COUNTA( IFERROR( FILTER('départements_edition'!$C$2:$C$102 , 'départements_edition'!$C$2:$C$102=J306 ) ) ) , ""Oui"" , ""Non"" )"),"Oui")</f>
        <v>Oui</v>
      </c>
      <c r="L306" s="1" t="str">
        <f t="shared" si="2"/>
        <v>France</v>
      </c>
      <c r="M306" s="1">
        <v>77.0</v>
      </c>
      <c r="N306" s="1" t="s">
        <v>503</v>
      </c>
      <c r="O306" s="1">
        <v>2.0</v>
      </c>
      <c r="P306" s="2">
        <v>42907.0</v>
      </c>
      <c r="R306" s="1">
        <v>0.0</v>
      </c>
      <c r="S306" s="1" t="s">
        <v>61</v>
      </c>
      <c r="T306" s="1" t="s">
        <v>62</v>
      </c>
      <c r="U306" s="1" t="s">
        <v>3231</v>
      </c>
      <c r="X306" s="1" t="s">
        <v>526</v>
      </c>
      <c r="Y306" s="1">
        <v>15.0</v>
      </c>
      <c r="Z306" s="3" t="s">
        <v>3232</v>
      </c>
      <c r="AA306" s="1">
        <v>609245.0</v>
      </c>
      <c r="AB306" s="1" t="s">
        <v>3233</v>
      </c>
      <c r="AC306" s="3" t="s">
        <v>3234</v>
      </c>
      <c r="AD306" s="3" t="s">
        <v>3235</v>
      </c>
      <c r="AE306" s="1">
        <v>2.0</v>
      </c>
      <c r="AF306" s="1" t="s">
        <v>3236</v>
      </c>
      <c r="AG306" s="1">
        <v>20.0</v>
      </c>
      <c r="AH306" s="1">
        <v>30.0</v>
      </c>
      <c r="AI306" s="1">
        <v>19.0</v>
      </c>
      <c r="AJ306" s="1">
        <v>67.0</v>
      </c>
      <c r="AK306" s="1">
        <v>49.0</v>
      </c>
      <c r="AL306" s="1">
        <v>74.0</v>
      </c>
      <c r="AM306" s="1">
        <v>939.0</v>
      </c>
      <c r="AN306" s="1">
        <v>48.0</v>
      </c>
      <c r="AO306" s="1">
        <v>0.0</v>
      </c>
      <c r="AP306" s="1">
        <v>0.0</v>
      </c>
      <c r="AQ306" s="1">
        <v>63.0</v>
      </c>
      <c r="AR306" s="1">
        <v>22.0</v>
      </c>
      <c r="AS306" s="1">
        <v>3.0</v>
      </c>
    </row>
    <row r="307" hidden="1">
      <c r="A307" s="1">
        <v>501.0</v>
      </c>
      <c r="B307" s="1" t="s">
        <v>3237</v>
      </c>
      <c r="C307" s="1" t="s">
        <v>3238</v>
      </c>
      <c r="D307" s="1" t="s">
        <v>705</v>
      </c>
      <c r="E307" s="1" t="s">
        <v>43</v>
      </c>
      <c r="F307" s="2">
        <v>21437.0</v>
      </c>
      <c r="G307" s="1">
        <f t="shared" si="1"/>
        <v>67</v>
      </c>
      <c r="H307" s="1" t="s">
        <v>3239</v>
      </c>
      <c r="I307" s="1" t="str">
        <f>IFERROR(__xludf.DUMMYFUNCTION("SPLIT(left(H307,len(H307)-1),""("")"),"Tarbes ")</f>
        <v>Tarbes </v>
      </c>
      <c r="J307" s="1" t="str">
        <f>IFERROR(__xludf.DUMMYFUNCTION("""COMPUTED_VALUE"""),"Hautes-Pyrénées")</f>
        <v>Hautes-Pyrénées</v>
      </c>
      <c r="K307" s="1" t="str">
        <f>IFERROR(__xludf.DUMMYFUNCTION("IF( COUNTA( IFERROR( FILTER('départements_edition'!$C$2:$C$102 , 'départements_edition'!$C$2:$C$102=J307 ) ) ) , ""Oui"" , ""Non"" )"),"Oui")</f>
        <v>Oui</v>
      </c>
      <c r="L307" s="1" t="str">
        <f t="shared" si="2"/>
        <v>France</v>
      </c>
      <c r="M307" s="1">
        <v>31.0</v>
      </c>
      <c r="N307" s="1" t="s">
        <v>360</v>
      </c>
      <c r="O307" s="1">
        <v>2.0</v>
      </c>
      <c r="P307" s="2">
        <v>42907.0</v>
      </c>
      <c r="R307" s="1">
        <v>0.0</v>
      </c>
      <c r="S307" s="1" t="s">
        <v>280</v>
      </c>
      <c r="T307" s="1" t="s">
        <v>281</v>
      </c>
      <c r="U307" s="1" t="s">
        <v>3240</v>
      </c>
      <c r="X307" s="1" t="s">
        <v>3241</v>
      </c>
      <c r="Y307" s="1">
        <v>186.0</v>
      </c>
      <c r="Z307" s="3" t="s">
        <v>3242</v>
      </c>
      <c r="AA307" s="1">
        <v>719504.0</v>
      </c>
      <c r="AB307" s="1" t="s">
        <v>3243</v>
      </c>
      <c r="AC307" s="3" t="s">
        <v>3244</v>
      </c>
      <c r="AD307" s="3" t="s">
        <v>3245</v>
      </c>
      <c r="AE307" s="1">
        <v>2.0</v>
      </c>
      <c r="AF307" s="1" t="s">
        <v>3246</v>
      </c>
      <c r="AG307" s="1">
        <v>20.0</v>
      </c>
      <c r="AH307" s="1">
        <v>26.0</v>
      </c>
      <c r="AI307" s="1">
        <v>14.0</v>
      </c>
      <c r="AJ307" s="1">
        <v>4.0</v>
      </c>
      <c r="AK307" s="1">
        <v>4.0</v>
      </c>
      <c r="AL307" s="1">
        <v>28.0</v>
      </c>
      <c r="AM307" s="1">
        <v>194.0</v>
      </c>
      <c r="AN307" s="1">
        <v>18.0</v>
      </c>
      <c r="AO307" s="1">
        <v>0.0</v>
      </c>
      <c r="AP307" s="1">
        <v>0.0</v>
      </c>
      <c r="AQ307" s="1">
        <v>5.0</v>
      </c>
      <c r="AR307" s="1">
        <v>39.0</v>
      </c>
      <c r="AS307" s="1">
        <v>2.0</v>
      </c>
    </row>
    <row r="308" hidden="1">
      <c r="A308" s="1">
        <v>383.0</v>
      </c>
      <c r="B308" s="1" t="s">
        <v>3247</v>
      </c>
      <c r="C308" s="1" t="s">
        <v>3248</v>
      </c>
      <c r="D308" s="1" t="s">
        <v>3249</v>
      </c>
      <c r="E308" s="1" t="s">
        <v>58</v>
      </c>
      <c r="F308" s="2">
        <v>24351.0</v>
      </c>
      <c r="G308" s="1">
        <f t="shared" si="1"/>
        <v>59</v>
      </c>
      <c r="H308" s="1" t="s">
        <v>3250</v>
      </c>
      <c r="I308" s="1" t="str">
        <f>IFERROR(__xludf.DUMMYFUNCTION("SPLIT(left(H308,len(H308)-1),""("")"),"Annecy ")</f>
        <v>Annecy </v>
      </c>
      <c r="J308" s="1" t="str">
        <f>IFERROR(__xludf.DUMMYFUNCTION("""COMPUTED_VALUE"""),"Haute-Savoie")</f>
        <v>Haute-Savoie</v>
      </c>
      <c r="K308" s="1" t="str">
        <f>IFERROR(__xludf.DUMMYFUNCTION("IF( COUNTA( IFERROR( FILTER('départements_edition'!$C$2:$C$102 , 'départements_edition'!$C$2:$C$102=J308 ) ) ) , ""Oui"" , ""Non"" )"),"Oui")</f>
        <v>Oui</v>
      </c>
      <c r="L308" s="1" t="str">
        <f t="shared" si="2"/>
        <v>France</v>
      </c>
      <c r="M308" s="1">
        <v>74.0</v>
      </c>
      <c r="N308" s="1" t="s">
        <v>1441</v>
      </c>
      <c r="O308" s="1">
        <v>2.0</v>
      </c>
      <c r="P308" s="2">
        <v>42907.0</v>
      </c>
      <c r="R308" s="1">
        <v>0.0</v>
      </c>
      <c r="S308" s="1" t="s">
        <v>75</v>
      </c>
      <c r="T308" s="1" t="s">
        <v>76</v>
      </c>
      <c r="U308" s="1" t="s">
        <v>3251</v>
      </c>
      <c r="X308" s="1" t="s">
        <v>1107</v>
      </c>
      <c r="Y308" s="1">
        <v>480.0</v>
      </c>
      <c r="Z308" s="3" t="s">
        <v>3252</v>
      </c>
      <c r="AA308" s="1">
        <v>721434.0</v>
      </c>
      <c r="AB308" s="1" t="s">
        <v>3253</v>
      </c>
      <c r="AC308" s="3" t="s">
        <v>3254</v>
      </c>
      <c r="AD308" s="3" t="s">
        <v>3255</v>
      </c>
      <c r="AE308" s="1">
        <v>1.0</v>
      </c>
      <c r="AF308" s="1" t="s">
        <v>3256</v>
      </c>
      <c r="AG308" s="1">
        <v>20.0</v>
      </c>
      <c r="AH308" s="1">
        <v>39.0</v>
      </c>
      <c r="AI308" s="1">
        <v>16.0</v>
      </c>
      <c r="AJ308" s="1">
        <v>4.0</v>
      </c>
      <c r="AK308" s="1">
        <v>0.0</v>
      </c>
      <c r="AL308" s="1">
        <v>16.0</v>
      </c>
      <c r="AM308" s="1">
        <v>48.0</v>
      </c>
      <c r="AN308" s="1">
        <v>3.0</v>
      </c>
      <c r="AO308" s="1">
        <v>1.0</v>
      </c>
      <c r="AP308" s="1">
        <v>0.0</v>
      </c>
      <c r="AQ308" s="1">
        <v>5.0</v>
      </c>
      <c r="AR308" s="1">
        <v>7.0</v>
      </c>
      <c r="AS308" s="1">
        <v>0.0</v>
      </c>
    </row>
    <row r="309" hidden="1">
      <c r="A309" s="1">
        <v>201.0</v>
      </c>
      <c r="B309" s="1" t="s">
        <v>3257</v>
      </c>
      <c r="C309" s="1" t="s">
        <v>3258</v>
      </c>
      <c r="D309" s="1" t="s">
        <v>810</v>
      </c>
      <c r="E309" s="1" t="s">
        <v>43</v>
      </c>
      <c r="F309" s="2">
        <v>24341.0</v>
      </c>
      <c r="G309" s="1">
        <f t="shared" si="1"/>
        <v>59</v>
      </c>
      <c r="H309" s="1" t="s">
        <v>2826</v>
      </c>
      <c r="I309" s="1" t="str">
        <f>IFERROR(__xludf.DUMMYFUNCTION("SPLIT(left(H309,len(H309)-1),""("")"),"Paris 14ème ")</f>
        <v>Paris 14ème </v>
      </c>
      <c r="J309" s="1" t="str">
        <f>IFERROR(__xludf.DUMMYFUNCTION("""COMPUTED_VALUE"""),"Paris")</f>
        <v>Paris</v>
      </c>
      <c r="K309" s="1" t="str">
        <f>IFERROR(__xludf.DUMMYFUNCTION("IF( COUNTA( IFERROR( FILTER('départements_edition'!$C$2:$C$102 , 'départements_edition'!$C$2:$C$102=J309 ) ) ) , ""Oui"" , ""Non"" )"),"Oui")</f>
        <v>Oui</v>
      </c>
      <c r="L309" s="1" t="str">
        <f t="shared" si="2"/>
        <v>France</v>
      </c>
      <c r="M309" s="1">
        <v>9.0</v>
      </c>
      <c r="N309" s="1" t="s">
        <v>3259</v>
      </c>
      <c r="O309" s="1">
        <v>2.0</v>
      </c>
      <c r="P309" s="2">
        <v>42907.0</v>
      </c>
      <c r="R309" s="1">
        <v>0.0</v>
      </c>
      <c r="S309" s="1" t="s">
        <v>173</v>
      </c>
      <c r="T309" s="1" t="s">
        <v>174</v>
      </c>
      <c r="U309" s="1" t="s">
        <v>3260</v>
      </c>
      <c r="X309" s="1" t="s">
        <v>373</v>
      </c>
      <c r="Y309" s="1">
        <v>630.0</v>
      </c>
      <c r="Z309" s="3" t="s">
        <v>3261</v>
      </c>
      <c r="AA309" s="1">
        <v>718868.0</v>
      </c>
      <c r="AB309" s="1" t="s">
        <v>3262</v>
      </c>
      <c r="AC309" s="3" t="s">
        <v>3263</v>
      </c>
      <c r="AD309" s="3" t="s">
        <v>3264</v>
      </c>
      <c r="AE309" s="1">
        <v>1.0</v>
      </c>
      <c r="AF309" s="1" t="s">
        <v>3265</v>
      </c>
      <c r="AG309" s="1">
        <v>20.0</v>
      </c>
      <c r="AH309" s="1">
        <v>37.0</v>
      </c>
      <c r="AI309" s="1">
        <v>73.0</v>
      </c>
      <c r="AJ309" s="1">
        <v>69.0</v>
      </c>
      <c r="AK309" s="1">
        <v>14.0</v>
      </c>
      <c r="AL309" s="1">
        <v>98.0</v>
      </c>
      <c r="AM309" s="1">
        <v>2061.0</v>
      </c>
      <c r="AN309" s="1">
        <v>32.0</v>
      </c>
      <c r="AO309" s="1">
        <v>0.0</v>
      </c>
      <c r="AP309" s="1">
        <v>0.0</v>
      </c>
      <c r="AQ309" s="1">
        <v>12.0</v>
      </c>
      <c r="AR309" s="1">
        <v>14.0</v>
      </c>
      <c r="AS309" s="1">
        <v>3.0</v>
      </c>
    </row>
    <row r="310" hidden="1">
      <c r="A310" s="1">
        <v>424.0</v>
      </c>
      <c r="B310" s="1" t="s">
        <v>3266</v>
      </c>
      <c r="C310" s="1" t="s">
        <v>3267</v>
      </c>
      <c r="D310" s="1" t="s">
        <v>1540</v>
      </c>
      <c r="E310" s="1" t="s">
        <v>43</v>
      </c>
      <c r="F310" s="2">
        <v>21949.0</v>
      </c>
      <c r="G310" s="1">
        <f t="shared" si="1"/>
        <v>66</v>
      </c>
      <c r="H310" s="1" t="s">
        <v>2493</v>
      </c>
      <c r="I310" s="1" t="str">
        <f>IFERROR(__xludf.DUMMYFUNCTION("SPLIT(left(H310,len(H310)-1),""("")"),"Mans ")</f>
        <v>Mans </v>
      </c>
      <c r="J310" s="1" t="str">
        <f>IFERROR(__xludf.DUMMYFUNCTION("""COMPUTED_VALUE"""),"Sarthe")</f>
        <v>Sarthe</v>
      </c>
      <c r="K310" s="1" t="str">
        <f>IFERROR(__xludf.DUMMYFUNCTION("IF( COUNTA( IFERROR( FILTER('départements_edition'!$C$2:$C$102 , 'départements_edition'!$C$2:$C$102=J310 ) ) ) , ""Oui"" , ""Non"" )"),"Oui")</f>
        <v>Oui</v>
      </c>
      <c r="L310" s="1" t="str">
        <f t="shared" si="2"/>
        <v>France</v>
      </c>
      <c r="M310" s="1">
        <v>72.0</v>
      </c>
      <c r="N310" s="1" t="s">
        <v>2494</v>
      </c>
      <c r="O310" s="1">
        <v>4.0</v>
      </c>
      <c r="P310" s="2">
        <v>42907.0</v>
      </c>
      <c r="R310" s="1">
        <v>0.0</v>
      </c>
      <c r="S310" s="1" t="s">
        <v>115</v>
      </c>
      <c r="T310" s="1" t="s">
        <v>116</v>
      </c>
      <c r="U310" s="1" t="s">
        <v>3268</v>
      </c>
      <c r="X310" s="1" t="s">
        <v>1925</v>
      </c>
      <c r="Y310" s="1">
        <v>580.0</v>
      </c>
      <c r="Z310" s="3" t="s">
        <v>3269</v>
      </c>
      <c r="AA310" s="1">
        <v>588886.0</v>
      </c>
      <c r="AB310" s="1" t="s">
        <v>3270</v>
      </c>
      <c r="AC310" s="3" t="s">
        <v>3271</v>
      </c>
      <c r="AD310" s="3" t="s">
        <v>3272</v>
      </c>
      <c r="AE310" s="1">
        <v>2.0</v>
      </c>
      <c r="AF310" s="1" t="s">
        <v>3273</v>
      </c>
      <c r="AG310" s="1">
        <v>20.0</v>
      </c>
      <c r="AH310" s="1">
        <v>21.0</v>
      </c>
      <c r="AI310" s="1">
        <v>12.0</v>
      </c>
      <c r="AJ310" s="1">
        <v>23.0</v>
      </c>
      <c r="AK310" s="1">
        <v>46.0</v>
      </c>
      <c r="AL310" s="1">
        <v>1.0</v>
      </c>
      <c r="AM310" s="1">
        <v>1089.0</v>
      </c>
      <c r="AN310" s="1">
        <v>83.0</v>
      </c>
      <c r="AO310" s="1">
        <v>0.0</v>
      </c>
      <c r="AP310" s="1">
        <v>0.0</v>
      </c>
      <c r="AQ310" s="1">
        <v>5.0</v>
      </c>
      <c r="AR310" s="1">
        <v>3.0</v>
      </c>
      <c r="AS310" s="1">
        <v>2.0</v>
      </c>
    </row>
    <row r="311" hidden="1">
      <c r="A311" s="1">
        <v>83.0</v>
      </c>
      <c r="B311" s="1" t="s">
        <v>3274</v>
      </c>
      <c r="C311" s="1" t="s">
        <v>3275</v>
      </c>
      <c r="D311" s="1" t="s">
        <v>2186</v>
      </c>
      <c r="E311" s="1" t="s">
        <v>58</v>
      </c>
      <c r="F311" s="2">
        <v>21069.0</v>
      </c>
      <c r="G311" s="1">
        <f t="shared" si="1"/>
        <v>68</v>
      </c>
      <c r="H311" s="1" t="s">
        <v>3276</v>
      </c>
      <c r="I311" s="1" t="str">
        <f>IFERROR(__xludf.DUMMYFUNCTION("SPLIT(left(H311,len(H311)-1),""("")"),"La Guerche ")</f>
        <v>La Guerche </v>
      </c>
      <c r="J311" s="1" t="str">
        <f>IFERROR(__xludf.DUMMYFUNCTION("""COMPUTED_VALUE"""),"Cher")</f>
        <v>Cher</v>
      </c>
      <c r="K311" s="1" t="str">
        <f>IFERROR(__xludf.DUMMYFUNCTION("IF( COUNTA( IFERROR( FILTER('départements_edition'!$C$2:$C$102 , 'départements_edition'!$C$2:$C$102=J311 ) ) ) , ""Oui"" , ""Non"" )"),"Oui")</f>
        <v>Oui</v>
      </c>
      <c r="L311" s="1" t="str">
        <f t="shared" si="2"/>
        <v>France</v>
      </c>
      <c r="M311" s="1">
        <v>85.0</v>
      </c>
      <c r="N311" s="1" t="s">
        <v>1853</v>
      </c>
      <c r="O311" s="1">
        <v>4.0</v>
      </c>
      <c r="P311" s="2">
        <v>42907.0</v>
      </c>
      <c r="R311" s="1">
        <v>0.0</v>
      </c>
      <c r="S311" s="1" t="s">
        <v>75</v>
      </c>
      <c r="T311" s="1" t="s">
        <v>76</v>
      </c>
      <c r="U311" s="1" t="s">
        <v>3277</v>
      </c>
      <c r="X311" s="1" t="s">
        <v>304</v>
      </c>
      <c r="Y311" s="1">
        <v>360.0</v>
      </c>
      <c r="Z311" s="3" t="s">
        <v>3278</v>
      </c>
      <c r="AA311" s="1">
        <v>722008.0</v>
      </c>
      <c r="AB311" s="1" t="s">
        <v>3279</v>
      </c>
      <c r="AC311" s="3" t="s">
        <v>3280</v>
      </c>
      <c r="AD311" s="3" t="s">
        <v>3281</v>
      </c>
      <c r="AE311" s="1">
        <v>1.0</v>
      </c>
      <c r="AF311" s="1" t="s">
        <v>3282</v>
      </c>
      <c r="AG311" s="1">
        <v>20.0</v>
      </c>
      <c r="AH311" s="1">
        <v>30.0</v>
      </c>
      <c r="AI311" s="1">
        <v>6.0</v>
      </c>
      <c r="AJ311" s="1">
        <v>4.0</v>
      </c>
      <c r="AK311" s="1">
        <v>1.0</v>
      </c>
      <c r="AL311" s="1">
        <v>0.0</v>
      </c>
      <c r="AM311" s="1">
        <v>24.0</v>
      </c>
      <c r="AN311" s="1">
        <v>8.0</v>
      </c>
      <c r="AO311" s="1">
        <v>0.0</v>
      </c>
      <c r="AP311" s="1">
        <v>0.0</v>
      </c>
      <c r="AQ311" s="1">
        <v>5.0</v>
      </c>
      <c r="AR311" s="1">
        <v>1.0</v>
      </c>
      <c r="AS311" s="1">
        <v>1.0</v>
      </c>
    </row>
    <row r="312" hidden="1">
      <c r="A312" s="1">
        <v>502.0</v>
      </c>
      <c r="B312" s="1" t="s">
        <v>3283</v>
      </c>
      <c r="C312" s="1" t="s">
        <v>3284</v>
      </c>
      <c r="D312" s="1" t="s">
        <v>2707</v>
      </c>
      <c r="E312" s="1" t="s">
        <v>43</v>
      </c>
      <c r="F312" s="2">
        <v>21081.0</v>
      </c>
      <c r="G312" s="1">
        <f t="shared" si="1"/>
        <v>68</v>
      </c>
      <c r="H312" s="1" t="s">
        <v>3285</v>
      </c>
      <c r="I312" s="1" t="str">
        <f>IFERROR(__xludf.DUMMYFUNCTION("SPLIT(left(H312,len(H312)-1),""("")"),"Paris 10 ")</f>
        <v>Paris 10 </v>
      </c>
      <c r="J312" s="1" t="str">
        <f>IFERROR(__xludf.DUMMYFUNCTION("""COMPUTED_VALUE"""),"Paris")</f>
        <v>Paris</v>
      </c>
      <c r="K312" s="1" t="str">
        <f>IFERROR(__xludf.DUMMYFUNCTION("IF( COUNTA( IFERROR( FILTER('départements_edition'!$C$2:$C$102 , 'départements_edition'!$C$2:$C$102=J312 ) ) ) , ""Oui"" , ""Non"" )"),"Oui")</f>
        <v>Oui</v>
      </c>
      <c r="L312" s="1" t="str">
        <f t="shared" si="2"/>
        <v>France</v>
      </c>
      <c r="M312" s="1">
        <v>57.0</v>
      </c>
      <c r="N312" s="1" t="s">
        <v>471</v>
      </c>
      <c r="O312" s="1">
        <v>3.0</v>
      </c>
      <c r="P312" s="2">
        <v>42907.0</v>
      </c>
      <c r="R312" s="1">
        <v>0.0</v>
      </c>
      <c r="S312" s="1" t="s">
        <v>75</v>
      </c>
      <c r="T312" s="1" t="s">
        <v>76</v>
      </c>
      <c r="U312" s="1" t="s">
        <v>3286</v>
      </c>
      <c r="X312" s="1" t="s">
        <v>246</v>
      </c>
      <c r="Y312" s="1">
        <v>325.0</v>
      </c>
      <c r="Z312" s="3" t="s">
        <v>3287</v>
      </c>
      <c r="AA312" s="1">
        <v>720378.0</v>
      </c>
      <c r="AB312" s="1" t="s">
        <v>3288</v>
      </c>
      <c r="AC312" s="3" t="s">
        <v>3289</v>
      </c>
      <c r="AD312" s="3" t="s">
        <v>3290</v>
      </c>
      <c r="AE312" s="1">
        <v>1.0</v>
      </c>
      <c r="AF312" s="1" t="s">
        <v>3291</v>
      </c>
      <c r="AG312" s="1">
        <v>20.0</v>
      </c>
      <c r="AH312" s="1">
        <v>35.0</v>
      </c>
      <c r="AI312" s="1">
        <v>11.0</v>
      </c>
      <c r="AJ312" s="1">
        <v>4.0</v>
      </c>
      <c r="AK312" s="1">
        <v>3.0</v>
      </c>
      <c r="AL312" s="1">
        <v>0.0</v>
      </c>
      <c r="AM312" s="1">
        <v>61.0</v>
      </c>
      <c r="AN312" s="1">
        <v>25.0</v>
      </c>
      <c r="AO312" s="1">
        <v>1.0</v>
      </c>
      <c r="AP312" s="1">
        <v>0.0</v>
      </c>
      <c r="AQ312" s="1">
        <v>5.0</v>
      </c>
      <c r="AR312" s="1">
        <v>0.0</v>
      </c>
      <c r="AS312" s="1">
        <v>2.0</v>
      </c>
    </row>
    <row r="313" hidden="1">
      <c r="A313" s="1">
        <v>376.0</v>
      </c>
      <c r="B313" s="1" t="s">
        <v>3292</v>
      </c>
      <c r="C313" s="1" t="s">
        <v>3293</v>
      </c>
      <c r="D313" s="1" t="s">
        <v>1801</v>
      </c>
      <c r="E313" s="1" t="s">
        <v>43</v>
      </c>
      <c r="F313" s="2">
        <v>22740.0</v>
      </c>
      <c r="G313" s="1">
        <f t="shared" si="1"/>
        <v>64</v>
      </c>
      <c r="H313" s="1" t="s">
        <v>3294</v>
      </c>
      <c r="I313" s="1" t="str">
        <f>IFERROR(__xludf.DUMMYFUNCTION("SPLIT(left(H313,len(H313)-1),""("")"),"Enghien Les Bains ")</f>
        <v>Enghien Les Bains </v>
      </c>
      <c r="J313" s="1" t="str">
        <f>IFERROR(__xludf.DUMMYFUNCTION("""COMPUTED_VALUE"""),"Val-d'Oise")</f>
        <v>Val-d'Oise</v>
      </c>
      <c r="K313" s="1" t="str">
        <f>IFERROR(__xludf.DUMMYFUNCTION("IF( COUNTA( IFERROR( FILTER('départements_edition'!$C$2:$C$102 , 'départements_edition'!$C$2:$C$102=J313 ) ) ) , ""Oui"" , ""Non"" )"),"Oui")</f>
        <v>Oui</v>
      </c>
      <c r="L313" s="1" t="str">
        <f t="shared" si="2"/>
        <v>France</v>
      </c>
      <c r="M313" s="1">
        <v>92.0</v>
      </c>
      <c r="N313" s="1" t="s">
        <v>781</v>
      </c>
      <c r="O313" s="1">
        <v>8.0</v>
      </c>
      <c r="P313" s="2">
        <v>42907.0</v>
      </c>
      <c r="R313" s="1">
        <v>0.0</v>
      </c>
      <c r="S313" s="1" t="s">
        <v>75</v>
      </c>
      <c r="T313" s="1" t="s">
        <v>76</v>
      </c>
      <c r="U313" s="1" t="s">
        <v>3295</v>
      </c>
      <c r="X313" s="1" t="s">
        <v>118</v>
      </c>
      <c r="Y313" s="1">
        <v>297.0</v>
      </c>
      <c r="Z313" s="3" t="s">
        <v>3296</v>
      </c>
      <c r="AA313" s="1">
        <v>722178.0</v>
      </c>
      <c r="AB313" s="1" t="s">
        <v>3297</v>
      </c>
      <c r="AC313" s="3" t="s">
        <v>3298</v>
      </c>
      <c r="AD313" s="3" t="s">
        <v>3299</v>
      </c>
      <c r="AE313" s="1">
        <v>1.0</v>
      </c>
      <c r="AF313" s="1" t="s">
        <v>3300</v>
      </c>
      <c r="AG313" s="1">
        <v>20.0</v>
      </c>
      <c r="AH313" s="1">
        <v>35.0</v>
      </c>
      <c r="AI313" s="1">
        <v>27.0</v>
      </c>
      <c r="AJ313" s="1">
        <v>22.0</v>
      </c>
      <c r="AK313" s="1">
        <v>2.0</v>
      </c>
      <c r="AL313" s="1">
        <v>0.0</v>
      </c>
      <c r="AM313" s="1">
        <v>19.0</v>
      </c>
      <c r="AN313" s="1">
        <v>8.0</v>
      </c>
      <c r="AO313" s="1">
        <v>0.0</v>
      </c>
      <c r="AP313" s="1">
        <v>0.0</v>
      </c>
      <c r="AQ313" s="1">
        <v>6.0</v>
      </c>
      <c r="AR313" s="1">
        <v>4.0</v>
      </c>
      <c r="AS313" s="1">
        <v>1.0</v>
      </c>
    </row>
    <row r="314" hidden="1">
      <c r="A314" s="1">
        <v>324.0</v>
      </c>
      <c r="B314" s="1" t="s">
        <v>3301</v>
      </c>
      <c r="C314" s="1" t="s">
        <v>3302</v>
      </c>
      <c r="D314" s="1" t="s">
        <v>3303</v>
      </c>
      <c r="E314" s="1" t="s">
        <v>43</v>
      </c>
      <c r="F314" s="2">
        <v>24991.0</v>
      </c>
      <c r="G314" s="1">
        <f t="shared" si="1"/>
        <v>58</v>
      </c>
      <c r="H314" s="1" t="s">
        <v>3304</v>
      </c>
      <c r="I314" s="1" t="str">
        <f>IFERROR(__xludf.DUMMYFUNCTION("SPLIT(left(H314,len(H314)-1),""("")"),"Dieppe ")</f>
        <v>Dieppe </v>
      </c>
      <c r="J314" s="1" t="str">
        <f>IFERROR(__xludf.DUMMYFUNCTION("""COMPUTED_VALUE"""),"Seine-Maritime")</f>
        <v>Seine-Maritime</v>
      </c>
      <c r="K314" s="1" t="str">
        <f>IFERROR(__xludf.DUMMYFUNCTION("IF( COUNTA( IFERROR( FILTER('départements_edition'!$C$2:$C$102 , 'départements_edition'!$C$2:$C$102=J314 ) ) ) , ""Oui"" , ""Non"" )"),"Oui")</f>
        <v>Oui</v>
      </c>
      <c r="L314" s="1" t="str">
        <f t="shared" si="2"/>
        <v>France</v>
      </c>
      <c r="M314" s="1">
        <v>80.0</v>
      </c>
      <c r="N314" s="1" t="s">
        <v>1148</v>
      </c>
      <c r="O314" s="1">
        <v>3.0</v>
      </c>
      <c r="P314" s="2">
        <v>42907.0</v>
      </c>
      <c r="R314" s="1">
        <v>0.0</v>
      </c>
      <c r="S314" s="1" t="s">
        <v>61</v>
      </c>
      <c r="T314" s="1" t="s">
        <v>62</v>
      </c>
      <c r="U314" s="1" t="s">
        <v>3305</v>
      </c>
      <c r="X314" s="1" t="s">
        <v>3306</v>
      </c>
      <c r="Y314" s="1">
        <v>49.0</v>
      </c>
      <c r="Z314" s="3" t="s">
        <v>3307</v>
      </c>
      <c r="AA314" s="1">
        <v>346054.0</v>
      </c>
      <c r="AB314" s="1" t="s">
        <v>3308</v>
      </c>
      <c r="AC314" s="3" t="s">
        <v>3309</v>
      </c>
      <c r="AD314" s="3" t="s">
        <v>3310</v>
      </c>
      <c r="AE314" s="1">
        <v>1.0</v>
      </c>
      <c r="AF314" s="1" t="s">
        <v>3311</v>
      </c>
      <c r="AG314" s="1">
        <v>20.0</v>
      </c>
      <c r="AH314" s="1">
        <v>38.0</v>
      </c>
      <c r="AI314" s="1">
        <v>23.0</v>
      </c>
      <c r="AJ314" s="1">
        <v>14.0</v>
      </c>
      <c r="AK314" s="1">
        <v>5.0</v>
      </c>
      <c r="AL314" s="1">
        <v>55.0</v>
      </c>
      <c r="AM314" s="1">
        <v>564.0</v>
      </c>
      <c r="AN314" s="1">
        <v>25.0</v>
      </c>
      <c r="AO314" s="1">
        <v>0.0</v>
      </c>
      <c r="AP314" s="1">
        <v>0.0</v>
      </c>
      <c r="AQ314" s="1">
        <v>15.0</v>
      </c>
      <c r="AR314" s="1">
        <v>12.0</v>
      </c>
      <c r="AS314" s="1">
        <v>2.0</v>
      </c>
    </row>
    <row r="315" hidden="1">
      <c r="A315" s="1">
        <v>68.0</v>
      </c>
      <c r="B315" s="1" t="s">
        <v>3312</v>
      </c>
      <c r="C315" s="1" t="s">
        <v>3313</v>
      </c>
      <c r="D315" s="1" t="s">
        <v>2109</v>
      </c>
      <c r="E315" s="1" t="s">
        <v>43</v>
      </c>
      <c r="F315" s="2">
        <v>29687.0</v>
      </c>
      <c r="G315" s="1">
        <f t="shared" si="1"/>
        <v>45</v>
      </c>
      <c r="H315" s="1" t="s">
        <v>437</v>
      </c>
      <c r="I315" s="1" t="str">
        <f>IFERROR(__xludf.DUMMYFUNCTION("SPLIT(left(H315,len(H315)-1),""("")"),"Nice ")</f>
        <v>Nice </v>
      </c>
      <c r="J315" s="1" t="str">
        <f>IFERROR(__xludf.DUMMYFUNCTION("""COMPUTED_VALUE"""),"Alpes-Maritimes")</f>
        <v>Alpes-Maritimes</v>
      </c>
      <c r="K315" s="1" t="str">
        <f>IFERROR(__xludf.DUMMYFUNCTION("IF( COUNTA( IFERROR( FILTER('départements_edition'!$C$2:$C$102 , 'départements_edition'!$C$2:$C$102=J315 ) ) ) , ""Oui"" , ""Non"" )"),"Oui")</f>
        <v>Oui</v>
      </c>
      <c r="L315" s="1" t="str">
        <f t="shared" si="2"/>
        <v>France</v>
      </c>
      <c r="M315" s="1">
        <v>49.0</v>
      </c>
      <c r="N315" s="1" t="s">
        <v>220</v>
      </c>
      <c r="O315" s="1">
        <v>5.0</v>
      </c>
      <c r="P315" s="2">
        <v>42907.0</v>
      </c>
      <c r="R315" s="1">
        <v>0.0</v>
      </c>
      <c r="S315" s="1" t="s">
        <v>75</v>
      </c>
      <c r="T315" s="1" t="s">
        <v>76</v>
      </c>
      <c r="U315" s="1" t="s">
        <v>3314</v>
      </c>
      <c r="X315" s="1" t="s">
        <v>3315</v>
      </c>
      <c r="Y315" s="1">
        <v>377.0</v>
      </c>
      <c r="Z315" s="3" t="s">
        <v>3316</v>
      </c>
      <c r="AA315" s="1">
        <v>720146.0</v>
      </c>
      <c r="AB315" s="1" t="s">
        <v>3317</v>
      </c>
      <c r="AC315" s="3" t="s">
        <v>3318</v>
      </c>
      <c r="AD315" s="3" t="s">
        <v>3319</v>
      </c>
      <c r="AE315" s="1">
        <v>1.0</v>
      </c>
      <c r="AF315" s="1" t="s">
        <v>3320</v>
      </c>
      <c r="AG315" s="1">
        <v>20.0</v>
      </c>
      <c r="AH315" s="1">
        <v>37.0</v>
      </c>
      <c r="AI315" s="1">
        <v>10.0</v>
      </c>
      <c r="AJ315" s="1">
        <v>11.0</v>
      </c>
      <c r="AK315" s="1">
        <v>2.0</v>
      </c>
      <c r="AL315" s="1">
        <v>2.0</v>
      </c>
      <c r="AM315" s="1">
        <v>41.0</v>
      </c>
      <c r="AN315" s="1">
        <v>15.0</v>
      </c>
      <c r="AO315" s="1">
        <v>0.0</v>
      </c>
      <c r="AP315" s="1">
        <v>0.0</v>
      </c>
      <c r="AQ315" s="1">
        <v>5.0</v>
      </c>
      <c r="AR315" s="1">
        <v>2.0</v>
      </c>
      <c r="AS315" s="1">
        <v>3.0</v>
      </c>
    </row>
    <row r="316" hidden="1">
      <c r="A316" s="1">
        <v>189.0</v>
      </c>
      <c r="B316" s="1" t="s">
        <v>3321</v>
      </c>
      <c r="C316" s="1" t="s">
        <v>3322</v>
      </c>
      <c r="D316" s="1" t="s">
        <v>2638</v>
      </c>
      <c r="E316" s="1" t="s">
        <v>43</v>
      </c>
      <c r="F316" s="2">
        <v>31878.0</v>
      </c>
      <c r="G316" s="1">
        <f t="shared" si="1"/>
        <v>39</v>
      </c>
      <c r="H316" s="1" t="s">
        <v>1802</v>
      </c>
      <c r="I316" s="1" t="str">
        <f>IFERROR(__xludf.DUMMYFUNCTION("SPLIT(left(H316,len(H316)-1),""("")"),"Metz ")</f>
        <v>Metz </v>
      </c>
      <c r="J316" s="1" t="str">
        <f>IFERROR(__xludf.DUMMYFUNCTION("""COMPUTED_VALUE"""),"Moselle")</f>
        <v>Moselle</v>
      </c>
      <c r="K316" s="1" t="str">
        <f>IFERROR(__xludf.DUMMYFUNCTION("IF( COUNTA( IFERROR( FILTER('départements_edition'!$C$2:$C$102 , 'départements_edition'!$C$2:$C$102=J316 ) ) ) , ""Oui"" , ""Non"" )"),"Oui")</f>
        <v>Oui</v>
      </c>
      <c r="L316" s="1" t="str">
        <f t="shared" si="2"/>
        <v>France</v>
      </c>
      <c r="M316" s="1">
        <v>57.0</v>
      </c>
      <c r="N316" s="1" t="s">
        <v>471</v>
      </c>
      <c r="O316" s="1">
        <v>2.0</v>
      </c>
      <c r="P316" s="2">
        <v>42907.0</v>
      </c>
      <c r="R316" s="1">
        <v>0.0</v>
      </c>
      <c r="S316" s="1" t="s">
        <v>75</v>
      </c>
      <c r="T316" s="1" t="s">
        <v>76</v>
      </c>
      <c r="U316" s="1" t="s">
        <v>3323</v>
      </c>
      <c r="X316" s="1" t="s">
        <v>234</v>
      </c>
      <c r="Y316" s="1">
        <v>232.0</v>
      </c>
      <c r="Z316" s="3" t="s">
        <v>3324</v>
      </c>
      <c r="AA316" s="1">
        <v>720370.0</v>
      </c>
      <c r="AB316" s="1" t="s">
        <v>3325</v>
      </c>
      <c r="AC316" s="3" t="s">
        <v>3326</v>
      </c>
      <c r="AD316" s="3" t="s">
        <v>3327</v>
      </c>
      <c r="AE316" s="1">
        <v>1.0</v>
      </c>
      <c r="AF316" s="1" t="s">
        <v>3328</v>
      </c>
      <c r="AG316" s="1">
        <v>20.0</v>
      </c>
      <c r="AH316" s="1">
        <v>39.0</v>
      </c>
      <c r="AI316" s="1">
        <v>35.0</v>
      </c>
      <c r="AJ316" s="1">
        <v>21.0</v>
      </c>
      <c r="AK316" s="1">
        <v>13.0</v>
      </c>
      <c r="AL316" s="1">
        <v>0.0</v>
      </c>
      <c r="AM316" s="1">
        <v>15.0</v>
      </c>
      <c r="AN316" s="1">
        <v>7.0</v>
      </c>
      <c r="AO316" s="1">
        <v>0.0</v>
      </c>
      <c r="AP316" s="1">
        <v>0.0</v>
      </c>
      <c r="AQ316" s="1">
        <v>6.0</v>
      </c>
      <c r="AR316" s="1">
        <v>0.0</v>
      </c>
      <c r="AS316" s="1">
        <v>1.0</v>
      </c>
    </row>
    <row r="317" hidden="1">
      <c r="A317" s="1">
        <v>124.0</v>
      </c>
      <c r="B317" s="1" t="s">
        <v>3329</v>
      </c>
      <c r="C317" s="1" t="s">
        <v>3330</v>
      </c>
      <c r="D317" s="1" t="s">
        <v>42</v>
      </c>
      <c r="E317" s="1" t="s">
        <v>43</v>
      </c>
      <c r="F317" s="2">
        <v>25268.0</v>
      </c>
      <c r="G317" s="1">
        <f t="shared" si="1"/>
        <v>57</v>
      </c>
      <c r="H317" s="1" t="s">
        <v>3331</v>
      </c>
      <c r="I317" s="1" t="str">
        <f>IFERROR(__xludf.DUMMYFUNCTION("SPLIT(left(H317,len(H317)-1),""("")"),"Draguignan ")</f>
        <v>Draguignan </v>
      </c>
      <c r="J317" s="1" t="str">
        <f>IFERROR(__xludf.DUMMYFUNCTION("""COMPUTED_VALUE"""),"Var")</f>
        <v>Var</v>
      </c>
      <c r="K317" s="1" t="str">
        <f>IFERROR(__xludf.DUMMYFUNCTION("IF( COUNTA( IFERROR( FILTER('départements_edition'!$C$2:$C$102 , 'départements_edition'!$C$2:$C$102=J317 ) ) ) , ""Oui"" , ""Non"" )"),"Oui")</f>
        <v>Oui</v>
      </c>
      <c r="L317" s="1" t="str">
        <f t="shared" si="2"/>
        <v>France</v>
      </c>
      <c r="M317" s="1">
        <v>83.0</v>
      </c>
      <c r="N317" s="1" t="s">
        <v>1231</v>
      </c>
      <c r="O317" s="1">
        <v>5.0</v>
      </c>
      <c r="P317" s="2">
        <v>42907.0</v>
      </c>
      <c r="R317" s="1">
        <v>0.0</v>
      </c>
      <c r="S317" s="1" t="s">
        <v>280</v>
      </c>
      <c r="T317" s="1" t="s">
        <v>281</v>
      </c>
      <c r="U317" s="1" t="s">
        <v>3332</v>
      </c>
      <c r="X317" s="1" t="s">
        <v>1386</v>
      </c>
      <c r="Y317" s="1">
        <v>259.0</v>
      </c>
      <c r="Z317" s="3" t="s">
        <v>3333</v>
      </c>
      <c r="AA317" s="1">
        <v>721734.0</v>
      </c>
      <c r="AB317" s="1" t="s">
        <v>3334</v>
      </c>
      <c r="AC317" s="3" t="s">
        <v>3335</v>
      </c>
      <c r="AD317" s="3" t="s">
        <v>3336</v>
      </c>
      <c r="AE317" s="1">
        <v>1.0</v>
      </c>
      <c r="AF317" s="1" t="s">
        <v>3337</v>
      </c>
      <c r="AG317" s="1">
        <v>20.0</v>
      </c>
      <c r="AH317" s="1">
        <v>34.0</v>
      </c>
      <c r="AI317" s="1">
        <v>12.0</v>
      </c>
      <c r="AJ317" s="1">
        <v>13.0</v>
      </c>
      <c r="AK317" s="1">
        <v>8.0</v>
      </c>
      <c r="AL317" s="1">
        <v>0.0</v>
      </c>
      <c r="AM317" s="1">
        <v>181.0</v>
      </c>
      <c r="AN317" s="1">
        <v>16.0</v>
      </c>
      <c r="AO317" s="1">
        <v>1.0</v>
      </c>
      <c r="AP317" s="1">
        <v>1.0</v>
      </c>
      <c r="AQ317" s="1">
        <v>7.0</v>
      </c>
      <c r="AR317" s="1">
        <v>2.0</v>
      </c>
      <c r="AS317" s="1">
        <v>0.0</v>
      </c>
    </row>
    <row r="318" hidden="1">
      <c r="A318" s="1">
        <v>568.0</v>
      </c>
      <c r="B318" s="1" t="s">
        <v>3338</v>
      </c>
      <c r="C318" s="1" t="s">
        <v>3339</v>
      </c>
      <c r="D318" s="1" t="s">
        <v>3340</v>
      </c>
      <c r="E318" s="1" t="s">
        <v>58</v>
      </c>
      <c r="F318" s="2">
        <v>22598.0</v>
      </c>
      <c r="G318" s="1">
        <f t="shared" si="1"/>
        <v>64</v>
      </c>
      <c r="H318" s="1" t="s">
        <v>3341</v>
      </c>
      <c r="I318" s="1" t="str">
        <f>IFERROR(__xludf.DUMMYFUNCTION("SPLIT(left(H318,len(H318)-1),""("")"),"Issy-les-Moulineaux ")</f>
        <v>Issy-les-Moulineaux </v>
      </c>
      <c r="J318" s="1" t="str">
        <f>IFERROR(__xludf.DUMMYFUNCTION("""COMPUTED_VALUE"""),"Hauts-de-Seine")</f>
        <v>Hauts-de-Seine</v>
      </c>
      <c r="K318" s="1" t="str">
        <f>IFERROR(__xludf.DUMMYFUNCTION("IF( COUNTA( IFERROR( FILTER('départements_edition'!$C$2:$C$102 , 'départements_edition'!$C$2:$C$102=J318 ) ) ) , ""Oui"" , ""Non"" )"),"Oui")</f>
        <v>Oui</v>
      </c>
      <c r="L318" s="1" t="str">
        <f t="shared" si="2"/>
        <v>France</v>
      </c>
      <c r="M318" s="1">
        <v>31.0</v>
      </c>
      <c r="N318" s="1" t="s">
        <v>360</v>
      </c>
      <c r="O318" s="1">
        <v>9.0</v>
      </c>
      <c r="P318" s="2">
        <v>42907.0</v>
      </c>
      <c r="R318" s="1">
        <v>0.0</v>
      </c>
      <c r="S318" s="1" t="s">
        <v>75</v>
      </c>
      <c r="T318" s="1" t="s">
        <v>76</v>
      </c>
      <c r="U318" s="1" t="s">
        <v>3342</v>
      </c>
      <c r="X318" s="1" t="s">
        <v>1254</v>
      </c>
      <c r="Y318" s="1">
        <v>278.0</v>
      </c>
      <c r="Z318" s="3" t="s">
        <v>3343</v>
      </c>
      <c r="AA318" s="1">
        <v>719456.0</v>
      </c>
      <c r="AB318" s="1" t="s">
        <v>3344</v>
      </c>
      <c r="AC318" s="3" t="s">
        <v>3345</v>
      </c>
      <c r="AD318" s="3" t="s">
        <v>3346</v>
      </c>
      <c r="AE318" s="1">
        <v>1.0</v>
      </c>
      <c r="AF318" s="1" t="s">
        <v>3347</v>
      </c>
      <c r="AG318" s="1">
        <v>20.0</v>
      </c>
      <c r="AH318" s="1">
        <v>50.0</v>
      </c>
      <c r="AI318" s="1">
        <v>29.0</v>
      </c>
      <c r="AJ318" s="1">
        <v>11.0</v>
      </c>
      <c r="AK318" s="1">
        <v>1.0</v>
      </c>
      <c r="AL318" s="1">
        <v>6.0</v>
      </c>
      <c r="AM318" s="1">
        <v>122.0</v>
      </c>
      <c r="AN318" s="1">
        <v>48.0</v>
      </c>
      <c r="AO318" s="1">
        <v>0.0</v>
      </c>
      <c r="AP318" s="1">
        <v>0.0</v>
      </c>
      <c r="AQ318" s="1">
        <v>5.0</v>
      </c>
      <c r="AR318" s="1">
        <v>1.0</v>
      </c>
      <c r="AS318" s="1">
        <v>1.0</v>
      </c>
    </row>
    <row r="319" hidden="1">
      <c r="A319" s="1">
        <v>385.0</v>
      </c>
      <c r="B319" s="1" t="s">
        <v>3348</v>
      </c>
      <c r="C319" s="1" t="s">
        <v>3349</v>
      </c>
      <c r="D319" s="1" t="s">
        <v>835</v>
      </c>
      <c r="E319" s="1" t="s">
        <v>43</v>
      </c>
      <c r="F319" s="2">
        <v>26488.0</v>
      </c>
      <c r="G319" s="1">
        <f t="shared" si="1"/>
        <v>54</v>
      </c>
      <c r="H319" s="1" t="s">
        <v>3350</v>
      </c>
      <c r="I319" s="1" t="str">
        <f>IFERROR(__xludf.DUMMYFUNCTION("SPLIT(left(H319,len(H319)-1),""("")"),"Fleurance ")</f>
        <v>Fleurance </v>
      </c>
      <c r="J319" s="1" t="str">
        <f>IFERROR(__xludf.DUMMYFUNCTION("""COMPUTED_VALUE"""),"Gers")</f>
        <v>Gers</v>
      </c>
      <c r="K319" s="1" t="str">
        <f>IFERROR(__xludf.DUMMYFUNCTION("IF( COUNTA( IFERROR( FILTER('départements_edition'!$C$2:$C$102 , 'départements_edition'!$C$2:$C$102=J319 ) ) ) , ""Oui"" , ""Non"" )"),"Oui")</f>
        <v>Oui</v>
      </c>
      <c r="L319" s="1" t="str">
        <f t="shared" si="2"/>
        <v>France</v>
      </c>
      <c r="M319" s="1">
        <v>31.0</v>
      </c>
      <c r="N319" s="1" t="s">
        <v>360</v>
      </c>
      <c r="O319" s="1">
        <v>10.0</v>
      </c>
      <c r="P319" s="2">
        <v>42907.0</v>
      </c>
      <c r="R319" s="1">
        <v>0.0</v>
      </c>
      <c r="S319" s="1" t="s">
        <v>75</v>
      </c>
      <c r="T319" s="1" t="s">
        <v>76</v>
      </c>
      <c r="U319" s="1" t="s">
        <v>3351</v>
      </c>
      <c r="X319" s="1" t="s">
        <v>269</v>
      </c>
      <c r="Y319" s="1">
        <v>343.0</v>
      </c>
      <c r="Z319" s="3" t="s">
        <v>3352</v>
      </c>
      <c r="AA319" s="1">
        <v>719464.0</v>
      </c>
      <c r="AB319" s="1" t="s">
        <v>3353</v>
      </c>
      <c r="AC319" s="3" t="s">
        <v>3354</v>
      </c>
      <c r="AD319" s="3" t="s">
        <v>3355</v>
      </c>
      <c r="AE319" s="1">
        <v>1.0</v>
      </c>
      <c r="AF319" s="1" t="s">
        <v>3356</v>
      </c>
      <c r="AG319" s="1">
        <v>20.0</v>
      </c>
      <c r="AH319" s="1">
        <v>31.0</v>
      </c>
      <c r="AI319" s="1">
        <v>3.0</v>
      </c>
      <c r="AJ319" s="1">
        <v>3.0</v>
      </c>
      <c r="AK319" s="1">
        <v>0.0</v>
      </c>
      <c r="AL319" s="1">
        <v>0.0</v>
      </c>
      <c r="AM319" s="1">
        <v>26.0</v>
      </c>
      <c r="AN319" s="1">
        <v>8.0</v>
      </c>
      <c r="AO319" s="1">
        <v>0.0</v>
      </c>
      <c r="AP319" s="1">
        <v>0.0</v>
      </c>
      <c r="AQ319" s="1">
        <v>8.0</v>
      </c>
      <c r="AR319" s="1">
        <v>11.0</v>
      </c>
      <c r="AS319" s="1">
        <v>2.0</v>
      </c>
    </row>
    <row r="320" hidden="1">
      <c r="A320" s="1">
        <v>384.0</v>
      </c>
      <c r="B320" s="1" t="s">
        <v>3357</v>
      </c>
      <c r="C320" s="1" t="s">
        <v>3358</v>
      </c>
      <c r="D320" s="1" t="s">
        <v>3056</v>
      </c>
      <c r="E320" s="1" t="s">
        <v>43</v>
      </c>
      <c r="F320" s="2">
        <v>21940.0</v>
      </c>
      <c r="G320" s="1">
        <f t="shared" si="1"/>
        <v>66</v>
      </c>
      <c r="H320" s="1" t="s">
        <v>3359</v>
      </c>
      <c r="I320" s="1" t="str">
        <f>IFERROR(__xludf.DUMMYFUNCTION("SPLIT(left(H320,len(H320)-1),""("")"),"Châtenay-Malabris ")</f>
        <v>Châtenay-Malabris </v>
      </c>
      <c r="J320" s="1" t="str">
        <f>IFERROR(__xludf.DUMMYFUNCTION("""COMPUTED_VALUE"""),"Hauts-de-Seine")</f>
        <v>Hauts-de-Seine</v>
      </c>
      <c r="K320" s="1" t="str">
        <f>IFERROR(__xludf.DUMMYFUNCTION("IF( COUNTA( IFERROR( FILTER('départements_edition'!$C$2:$C$102 , 'départements_edition'!$C$2:$C$102=J320 ) ) ) , ""Oui"" , ""Non"" )"),"Oui")</f>
        <v>Oui</v>
      </c>
      <c r="L320" s="1" t="str">
        <f t="shared" si="2"/>
        <v>France</v>
      </c>
      <c r="M320" s="1">
        <v>77.0</v>
      </c>
      <c r="N320" s="1" t="s">
        <v>503</v>
      </c>
      <c r="O320" s="1">
        <v>6.0</v>
      </c>
      <c r="P320" s="2">
        <v>42907.0</v>
      </c>
      <c r="R320" s="1">
        <v>0.0</v>
      </c>
      <c r="S320" s="1" t="s">
        <v>61</v>
      </c>
      <c r="T320" s="1" t="s">
        <v>62</v>
      </c>
      <c r="X320" s="1" t="s">
        <v>440</v>
      </c>
      <c r="Y320" s="1">
        <v>32.0</v>
      </c>
      <c r="Z320" s="3" t="s">
        <v>3360</v>
      </c>
      <c r="AA320" s="1">
        <v>721636.0</v>
      </c>
      <c r="AB320" s="1" t="s">
        <v>3361</v>
      </c>
      <c r="AC320" s="3" t="s">
        <v>3362</v>
      </c>
      <c r="AD320" s="3" t="s">
        <v>3363</v>
      </c>
      <c r="AE320" s="1">
        <v>2.0</v>
      </c>
      <c r="AG320" s="1">
        <v>20.0</v>
      </c>
      <c r="AH320" s="1">
        <v>26.0</v>
      </c>
      <c r="AI320" s="1">
        <v>1.0</v>
      </c>
      <c r="AJ320" s="1">
        <v>4.0</v>
      </c>
      <c r="AK320" s="1">
        <v>7.0</v>
      </c>
      <c r="AL320" s="1">
        <v>25.0</v>
      </c>
      <c r="AM320" s="1">
        <v>568.0</v>
      </c>
      <c r="AN320" s="1">
        <v>25.0</v>
      </c>
      <c r="AO320" s="1">
        <v>0.0</v>
      </c>
      <c r="AP320" s="1">
        <v>0.0</v>
      </c>
      <c r="AQ320" s="1">
        <v>33.0</v>
      </c>
      <c r="AR320" s="1">
        <v>12.0</v>
      </c>
      <c r="AS320" s="1">
        <v>1.0</v>
      </c>
    </row>
    <row r="321" hidden="1">
      <c r="A321" s="1">
        <v>575.0</v>
      </c>
      <c r="B321" s="1" t="s">
        <v>3364</v>
      </c>
      <c r="C321" s="1" t="s">
        <v>3365</v>
      </c>
      <c r="D321" s="1" t="s">
        <v>148</v>
      </c>
      <c r="E321" s="1" t="s">
        <v>43</v>
      </c>
      <c r="F321" s="2">
        <v>25798.0</v>
      </c>
      <c r="G321" s="1">
        <f t="shared" si="1"/>
        <v>55</v>
      </c>
      <c r="H321" s="1" t="s">
        <v>3366</v>
      </c>
      <c r="I321" s="1" t="str">
        <f>IFERROR(__xludf.DUMMYFUNCTION("SPLIT(left(H321,len(H321)-1),""("")"),"Antibes ")</f>
        <v>Antibes </v>
      </c>
      <c r="J321" s="1" t="str">
        <f>IFERROR(__xludf.DUMMYFUNCTION("""COMPUTED_VALUE"""),"Alpes-Maritimes")</f>
        <v>Alpes-Maritimes</v>
      </c>
      <c r="K321" s="1" t="str">
        <f>IFERROR(__xludf.DUMMYFUNCTION("IF( COUNTA( IFERROR( FILTER('départements_edition'!$C$2:$C$102 , 'départements_edition'!$C$2:$C$102=J321 ) ) ) , ""Oui"" , ""Non"" )"),"Oui")</f>
        <v>Oui</v>
      </c>
      <c r="L321" s="1" t="str">
        <f t="shared" si="2"/>
        <v>France</v>
      </c>
      <c r="M321" s="1">
        <v>6.0</v>
      </c>
      <c r="N321" s="1" t="s">
        <v>438</v>
      </c>
      <c r="O321" s="1">
        <v>7.0</v>
      </c>
      <c r="P321" s="2">
        <v>42907.0</v>
      </c>
      <c r="R321" s="1">
        <v>0.0</v>
      </c>
      <c r="S321" s="1" t="s">
        <v>61</v>
      </c>
      <c r="T321" s="1" t="s">
        <v>62</v>
      </c>
      <c r="U321" s="1" t="s">
        <v>3367</v>
      </c>
      <c r="X321" s="1" t="s">
        <v>162</v>
      </c>
      <c r="Y321" s="1">
        <v>149.0</v>
      </c>
      <c r="Z321" s="3" t="s">
        <v>3368</v>
      </c>
      <c r="AA321" s="1">
        <v>718784.0</v>
      </c>
      <c r="AB321" s="1" t="s">
        <v>3369</v>
      </c>
      <c r="AC321" s="3" t="s">
        <v>3370</v>
      </c>
      <c r="AD321" s="3" t="s">
        <v>3371</v>
      </c>
      <c r="AE321" s="1">
        <v>1.0</v>
      </c>
      <c r="AF321" s="1" t="s">
        <v>3372</v>
      </c>
      <c r="AG321" s="1">
        <v>20.0</v>
      </c>
      <c r="AH321" s="1">
        <v>43.0</v>
      </c>
      <c r="AI321" s="1">
        <v>43.0</v>
      </c>
      <c r="AJ321" s="1">
        <v>12.0</v>
      </c>
      <c r="AK321" s="1">
        <v>16.0</v>
      </c>
      <c r="AL321" s="1">
        <v>75.0</v>
      </c>
      <c r="AM321" s="1">
        <v>390.0</v>
      </c>
      <c r="AN321" s="1">
        <v>26.0</v>
      </c>
      <c r="AO321" s="1">
        <v>1.0</v>
      </c>
      <c r="AP321" s="1">
        <v>3.0</v>
      </c>
      <c r="AQ321" s="1">
        <v>41.0</v>
      </c>
      <c r="AR321" s="1">
        <v>16.0</v>
      </c>
      <c r="AS321" s="1">
        <v>1.0</v>
      </c>
    </row>
    <row r="322" hidden="1">
      <c r="A322" s="1">
        <v>153.0</v>
      </c>
      <c r="B322" s="1" t="s">
        <v>3373</v>
      </c>
      <c r="C322" s="1" t="s">
        <v>3374</v>
      </c>
      <c r="D322" s="1" t="s">
        <v>916</v>
      </c>
      <c r="E322" s="1" t="s">
        <v>43</v>
      </c>
      <c r="F322" s="2">
        <v>26089.0</v>
      </c>
      <c r="G322" s="1">
        <f t="shared" si="1"/>
        <v>55</v>
      </c>
      <c r="H322" s="1" t="s">
        <v>459</v>
      </c>
      <c r="I322" s="1" t="str">
        <f>IFERROR(__xludf.DUMMYFUNCTION("SPLIT(left(H322,len(H322)-1),""("")"),"Béziers ")</f>
        <v>Béziers </v>
      </c>
      <c r="J322" s="1" t="str">
        <f>IFERROR(__xludf.DUMMYFUNCTION("""COMPUTED_VALUE"""),"Hérault")</f>
        <v>Hérault</v>
      </c>
      <c r="K322" s="1" t="str">
        <f>IFERROR(__xludf.DUMMYFUNCTION("IF( COUNTA( IFERROR( FILTER('départements_edition'!$C$2:$C$102 , 'départements_edition'!$C$2:$C$102=J322 ) ) ) , ""Oui"" , ""Non"" )"),"Oui")</f>
        <v>Oui</v>
      </c>
      <c r="L322" s="1" t="str">
        <f t="shared" si="2"/>
        <v>France</v>
      </c>
      <c r="M322" s="1">
        <v>11.0</v>
      </c>
      <c r="N322" s="1" t="s">
        <v>1453</v>
      </c>
      <c r="O322" s="1">
        <v>2.0</v>
      </c>
      <c r="P322" s="2">
        <v>42907.0</v>
      </c>
      <c r="R322" s="1">
        <v>0.0</v>
      </c>
      <c r="S322" s="1" t="s">
        <v>75</v>
      </c>
      <c r="T322" s="1" t="s">
        <v>76</v>
      </c>
      <c r="U322" s="1" t="s">
        <v>3375</v>
      </c>
      <c r="X322" s="1" t="s">
        <v>118</v>
      </c>
      <c r="Y322" s="1">
        <v>429.0</v>
      </c>
      <c r="Z322" s="3" t="s">
        <v>3376</v>
      </c>
      <c r="AA322" s="1">
        <v>718802.0</v>
      </c>
      <c r="AB322" s="1" t="s">
        <v>3377</v>
      </c>
      <c r="AC322" s="3" t="s">
        <v>3378</v>
      </c>
      <c r="AD322" s="3" t="s">
        <v>3379</v>
      </c>
      <c r="AE322" s="1">
        <v>2.0</v>
      </c>
      <c r="AF322" s="1" t="s">
        <v>3380</v>
      </c>
      <c r="AG322" s="1">
        <v>20.0</v>
      </c>
      <c r="AH322" s="1">
        <v>38.0</v>
      </c>
      <c r="AI322" s="1">
        <v>26.0</v>
      </c>
      <c r="AJ322" s="1">
        <v>7.0</v>
      </c>
      <c r="AK322" s="1">
        <v>6.0</v>
      </c>
      <c r="AL322" s="1">
        <v>6.0</v>
      </c>
      <c r="AM322" s="1">
        <v>100.0</v>
      </c>
      <c r="AN322" s="1">
        <v>46.0</v>
      </c>
      <c r="AO322" s="1">
        <v>0.0</v>
      </c>
      <c r="AP322" s="1">
        <v>0.0</v>
      </c>
      <c r="AQ322" s="1">
        <v>6.0</v>
      </c>
      <c r="AR322" s="1">
        <v>2.0</v>
      </c>
      <c r="AS322" s="1">
        <v>0.0</v>
      </c>
    </row>
    <row r="323" hidden="1">
      <c r="A323" s="1">
        <v>117.0</v>
      </c>
      <c r="B323" s="1" t="s">
        <v>3381</v>
      </c>
      <c r="C323" s="1" t="s">
        <v>1372</v>
      </c>
      <c r="D323" s="1" t="s">
        <v>3382</v>
      </c>
      <c r="E323" s="1" t="s">
        <v>58</v>
      </c>
      <c r="F323" s="2">
        <v>26252.0</v>
      </c>
      <c r="G323" s="1">
        <f t="shared" si="1"/>
        <v>54</v>
      </c>
      <c r="H323" s="1" t="s">
        <v>207</v>
      </c>
      <c r="I323" s="1" t="str">
        <f>IFERROR(__xludf.DUMMYFUNCTION("SPLIT(left(H323,len(H323)-1),""("")"),"Paris ")</f>
        <v>Paris </v>
      </c>
      <c r="J323" s="1" t="str">
        <f>IFERROR(__xludf.DUMMYFUNCTION("""COMPUTED_VALUE"""),"Paris")</f>
        <v>Paris</v>
      </c>
      <c r="K323" s="1" t="str">
        <f>IFERROR(__xludf.DUMMYFUNCTION("IF( COUNTA( IFERROR( FILTER('départements_edition'!$C$2:$C$102 , 'départements_edition'!$C$2:$C$102=J323 ) ) ) , ""Oui"" , ""Non"" )"),"Oui")</f>
        <v>Oui</v>
      </c>
      <c r="L323" s="1" t="str">
        <f t="shared" si="2"/>
        <v>France</v>
      </c>
      <c r="M323" s="1">
        <v>94.0</v>
      </c>
      <c r="N323" s="1" t="s">
        <v>642</v>
      </c>
      <c r="O323" s="1">
        <v>4.0</v>
      </c>
      <c r="P323" s="2">
        <v>42907.0</v>
      </c>
      <c r="R323" s="1">
        <v>0.0</v>
      </c>
      <c r="S323" s="1" t="s">
        <v>280</v>
      </c>
      <c r="T323" s="1" t="s">
        <v>281</v>
      </c>
      <c r="U323" s="1" t="s">
        <v>3383</v>
      </c>
      <c r="X323" s="1" t="s">
        <v>450</v>
      </c>
      <c r="Y323" s="1">
        <v>262.0</v>
      </c>
      <c r="Z323" s="3" t="s">
        <v>3384</v>
      </c>
      <c r="AA323" s="1">
        <v>721234.0</v>
      </c>
      <c r="AB323" s="1" t="s">
        <v>3385</v>
      </c>
      <c r="AC323" s="3" t="s">
        <v>3386</v>
      </c>
      <c r="AD323" s="3" t="s">
        <v>3387</v>
      </c>
      <c r="AE323" s="1">
        <v>1.0</v>
      </c>
      <c r="AF323" s="1" t="s">
        <v>3388</v>
      </c>
      <c r="AG323" s="1">
        <v>20.0</v>
      </c>
      <c r="AH323" s="1">
        <v>44.0</v>
      </c>
      <c r="AI323" s="1">
        <v>30.0</v>
      </c>
      <c r="AJ323" s="1">
        <v>13.0</v>
      </c>
      <c r="AK323" s="1">
        <v>4.0</v>
      </c>
      <c r="AL323" s="1">
        <v>4.0</v>
      </c>
      <c r="AM323" s="1">
        <v>216.0</v>
      </c>
      <c r="AN323" s="1">
        <v>18.0</v>
      </c>
      <c r="AO323" s="1">
        <v>0.0</v>
      </c>
      <c r="AP323" s="1">
        <v>0.0</v>
      </c>
      <c r="AQ323" s="1">
        <v>6.0</v>
      </c>
      <c r="AR323" s="1">
        <v>7.0</v>
      </c>
      <c r="AS323" s="1">
        <v>3.0</v>
      </c>
    </row>
    <row r="324" hidden="1">
      <c r="A324" s="1">
        <v>71.0</v>
      </c>
      <c r="B324" s="1" t="s">
        <v>3389</v>
      </c>
      <c r="C324" s="1" t="s">
        <v>3390</v>
      </c>
      <c r="D324" s="1" t="s">
        <v>3391</v>
      </c>
      <c r="E324" s="1" t="s">
        <v>58</v>
      </c>
      <c r="F324" s="2">
        <v>28396.0</v>
      </c>
      <c r="G324" s="1">
        <f t="shared" si="1"/>
        <v>48</v>
      </c>
      <c r="H324" s="1" t="s">
        <v>3392</v>
      </c>
      <c r="I324" s="1" t="str">
        <f>IFERROR(__xludf.DUMMYFUNCTION("SPLIT(left(H324,len(H324)-1),""("")"),"L'Union ")</f>
        <v>L'Union </v>
      </c>
      <c r="J324" s="1" t="str">
        <f>IFERROR(__xludf.DUMMYFUNCTION("""COMPUTED_VALUE"""),"Haute-Garonne")</f>
        <v>Haute-Garonne</v>
      </c>
      <c r="K324" s="1" t="str">
        <f>IFERROR(__xludf.DUMMYFUNCTION("IF( COUNTA( IFERROR( FILTER('départements_edition'!$C$2:$C$102 , 'départements_edition'!$C$2:$C$102=J324 ) ) ) , ""Oui"" , ""Non"" )"),"Oui")</f>
        <v>Oui</v>
      </c>
      <c r="L324" s="1" t="str">
        <f t="shared" si="2"/>
        <v>France</v>
      </c>
      <c r="M324" s="1">
        <v>82.0</v>
      </c>
      <c r="N324" s="1" t="s">
        <v>631</v>
      </c>
      <c r="O324" s="1">
        <v>2.0</v>
      </c>
      <c r="P324" s="2">
        <v>42907.0</v>
      </c>
      <c r="R324" s="1">
        <v>0.0</v>
      </c>
      <c r="S324" s="1" t="s">
        <v>814</v>
      </c>
      <c r="T324" s="1" t="s">
        <v>2397</v>
      </c>
      <c r="U324" s="1" t="s">
        <v>3393</v>
      </c>
      <c r="X324" s="1">
        <v>0.0</v>
      </c>
      <c r="Y324" s="1">
        <v>192.0</v>
      </c>
      <c r="Z324" s="3" t="s">
        <v>3394</v>
      </c>
      <c r="AA324" s="1">
        <v>336175.0</v>
      </c>
      <c r="AB324" s="1" t="s">
        <v>3395</v>
      </c>
      <c r="AC324" s="3" t="s">
        <v>3396</v>
      </c>
      <c r="AD324" s="3" t="s">
        <v>3397</v>
      </c>
      <c r="AE324" s="1">
        <v>1.0</v>
      </c>
      <c r="AF324" s="1" t="s">
        <v>3398</v>
      </c>
      <c r="AG324" s="1">
        <v>20.0</v>
      </c>
      <c r="AH324" s="1">
        <v>29.0</v>
      </c>
      <c r="AI324" s="1">
        <v>14.0</v>
      </c>
      <c r="AJ324" s="1">
        <v>5.0</v>
      </c>
      <c r="AK324" s="1">
        <v>10.0</v>
      </c>
      <c r="AL324" s="1">
        <v>30.0</v>
      </c>
      <c r="AM324" s="1">
        <v>103.0</v>
      </c>
      <c r="AN324" s="1">
        <v>4.0</v>
      </c>
      <c r="AO324" s="1">
        <v>0.0</v>
      </c>
      <c r="AP324" s="1">
        <v>0.0</v>
      </c>
      <c r="AQ324" s="1">
        <v>2.0</v>
      </c>
      <c r="AR324" s="1">
        <v>1.0</v>
      </c>
      <c r="AS324" s="1">
        <v>0.0</v>
      </c>
    </row>
    <row r="325" hidden="1">
      <c r="A325" s="1">
        <v>394.0</v>
      </c>
      <c r="B325" s="1" t="s">
        <v>3399</v>
      </c>
      <c r="C325" s="1" t="s">
        <v>3400</v>
      </c>
      <c r="D325" s="1" t="s">
        <v>148</v>
      </c>
      <c r="E325" s="1" t="s">
        <v>43</v>
      </c>
      <c r="F325" s="2">
        <v>27219.0</v>
      </c>
      <c r="G325" s="1">
        <f t="shared" si="1"/>
        <v>52</v>
      </c>
      <c r="H325" s="1" t="s">
        <v>347</v>
      </c>
      <c r="I325" s="1" t="str">
        <f>IFERROR(__xludf.DUMMYFUNCTION("SPLIT(left(H325,len(H325)-1),""("")"),"Bordeaux ")</f>
        <v>Bordeaux </v>
      </c>
      <c r="J325" s="1" t="str">
        <f>IFERROR(__xludf.DUMMYFUNCTION("""COMPUTED_VALUE"""),"Gironde")</f>
        <v>Gironde</v>
      </c>
      <c r="K325" s="1" t="str">
        <f>IFERROR(__xludf.DUMMYFUNCTION("IF( COUNTA( IFERROR( FILTER('départements_edition'!$C$2:$C$102 , 'départements_edition'!$C$2:$C$102=J325 ) ) ) , ""Oui"" , ""Non"" )"),"Oui")</f>
        <v>Oui</v>
      </c>
      <c r="L325" s="1" t="str">
        <f t="shared" si="2"/>
        <v>France</v>
      </c>
      <c r="M325" s="1">
        <v>33.0</v>
      </c>
      <c r="N325" s="1" t="s">
        <v>348</v>
      </c>
      <c r="O325" s="1">
        <v>6.0</v>
      </c>
      <c r="P325" s="2">
        <v>42907.0</v>
      </c>
      <c r="R325" s="1">
        <v>0.0</v>
      </c>
      <c r="S325" s="1" t="s">
        <v>75</v>
      </c>
      <c r="T325" s="1" t="s">
        <v>76</v>
      </c>
      <c r="U325" s="3" t="s">
        <v>3401</v>
      </c>
      <c r="X325" s="1" t="s">
        <v>429</v>
      </c>
      <c r="Y325" s="1">
        <v>215.0</v>
      </c>
      <c r="Z325" s="3" t="s">
        <v>3402</v>
      </c>
      <c r="AA325" s="1">
        <v>719600.0</v>
      </c>
      <c r="AB325" s="1" t="s">
        <v>3403</v>
      </c>
      <c r="AC325" s="3" t="s">
        <v>3404</v>
      </c>
      <c r="AD325" s="3" t="s">
        <v>3405</v>
      </c>
      <c r="AE325" s="1">
        <v>1.0</v>
      </c>
      <c r="AF325" s="1" t="s">
        <v>3406</v>
      </c>
      <c r="AG325" s="1">
        <v>20.0</v>
      </c>
      <c r="AH325" s="1">
        <v>38.0</v>
      </c>
      <c r="AI325" s="1">
        <v>15.0</v>
      </c>
      <c r="AJ325" s="1">
        <v>3.0</v>
      </c>
      <c r="AK325" s="1">
        <v>1.0</v>
      </c>
      <c r="AL325" s="1">
        <v>4.0</v>
      </c>
      <c r="AM325" s="1">
        <v>60.0</v>
      </c>
      <c r="AN325" s="1">
        <v>26.0</v>
      </c>
      <c r="AO325" s="1">
        <v>1.0</v>
      </c>
      <c r="AP325" s="1">
        <v>0.0</v>
      </c>
      <c r="AQ325" s="1">
        <v>5.0</v>
      </c>
      <c r="AR325" s="1">
        <v>2.0</v>
      </c>
      <c r="AS325" s="1">
        <v>0.0</v>
      </c>
    </row>
    <row r="326" hidden="1">
      <c r="A326" s="1">
        <v>370.0</v>
      </c>
      <c r="B326" s="1" t="s">
        <v>3407</v>
      </c>
      <c r="C326" s="1" t="s">
        <v>3408</v>
      </c>
      <c r="D326" s="1" t="s">
        <v>3409</v>
      </c>
      <c r="E326" s="1" t="s">
        <v>43</v>
      </c>
      <c r="F326" s="2">
        <v>28532.0</v>
      </c>
      <c r="G326" s="1">
        <f t="shared" si="1"/>
        <v>48</v>
      </c>
      <c r="H326" s="1" t="s">
        <v>3410</v>
      </c>
      <c r="I326" s="1" t="str">
        <f>IFERROR(__xludf.DUMMYFUNCTION("SPLIT(left(H326,len(H326)-1),""("")"),"Paris 15 ")</f>
        <v>Paris 15 </v>
      </c>
      <c r="J326" s="1" t="str">
        <f>IFERROR(__xludf.DUMMYFUNCTION("""COMPUTED_VALUE"""),"Paris")</f>
        <v>Paris</v>
      </c>
      <c r="K326" s="1" t="str">
        <f>IFERROR(__xludf.DUMMYFUNCTION("IF( COUNTA( IFERROR( FILTER('départements_edition'!$C$2:$C$102 , 'départements_edition'!$C$2:$C$102=J326 ) ) ) , ""Oui"" , ""Non"" )"),"Oui")</f>
        <v>Oui</v>
      </c>
      <c r="L326" s="1" t="str">
        <f t="shared" si="2"/>
        <v>France</v>
      </c>
      <c r="M326" s="1">
        <v>75.0</v>
      </c>
      <c r="N326" s="1" t="s">
        <v>232</v>
      </c>
      <c r="O326" s="1">
        <v>13.0</v>
      </c>
      <c r="P326" s="2">
        <v>42907.0</v>
      </c>
      <c r="R326" s="1">
        <v>0.0</v>
      </c>
      <c r="S326" s="1" t="s">
        <v>75</v>
      </c>
      <c r="T326" s="1" t="s">
        <v>76</v>
      </c>
      <c r="U326" s="3" t="s">
        <v>3411</v>
      </c>
      <c r="X326" s="1" t="s">
        <v>1037</v>
      </c>
      <c r="Y326" s="1">
        <v>196.0</v>
      </c>
      <c r="Z326" s="3" t="s">
        <v>3412</v>
      </c>
      <c r="AA326" s="1">
        <v>721824.0</v>
      </c>
      <c r="AB326" s="1" t="s">
        <v>3413</v>
      </c>
      <c r="AC326" s="3" t="s">
        <v>3414</v>
      </c>
      <c r="AD326" s="3" t="s">
        <v>3415</v>
      </c>
      <c r="AE326" s="1">
        <v>1.0</v>
      </c>
      <c r="AF326" s="1" t="s">
        <v>3416</v>
      </c>
      <c r="AG326" s="1">
        <v>20.0</v>
      </c>
      <c r="AH326" s="1">
        <v>21.0</v>
      </c>
      <c r="AI326" s="1">
        <v>3.0</v>
      </c>
      <c r="AJ326" s="1">
        <v>683.0</v>
      </c>
      <c r="AK326" s="1">
        <v>4758.0</v>
      </c>
      <c r="AL326" s="1">
        <v>0.0</v>
      </c>
      <c r="AM326" s="1">
        <v>26.0</v>
      </c>
      <c r="AN326" s="1">
        <v>9.0</v>
      </c>
      <c r="AO326" s="1">
        <v>0.0</v>
      </c>
      <c r="AP326" s="1">
        <v>0.0</v>
      </c>
      <c r="AQ326" s="1">
        <v>5.0</v>
      </c>
      <c r="AR326" s="1">
        <v>4.0</v>
      </c>
      <c r="AS326" s="1">
        <v>1.0</v>
      </c>
    </row>
    <row r="327" hidden="1">
      <c r="A327" s="1">
        <v>409.0</v>
      </c>
      <c r="B327" s="1" t="s">
        <v>3417</v>
      </c>
      <c r="C327" s="1" t="s">
        <v>3418</v>
      </c>
      <c r="D327" s="1" t="s">
        <v>1511</v>
      </c>
      <c r="E327" s="1" t="s">
        <v>43</v>
      </c>
      <c r="F327" s="2">
        <v>25600.0</v>
      </c>
      <c r="G327" s="1">
        <f t="shared" si="1"/>
        <v>56</v>
      </c>
      <c r="H327" s="1" t="s">
        <v>3419</v>
      </c>
      <c r="I327" s="1" t="str">
        <f>IFERROR(__xludf.DUMMYFUNCTION("SPLIT(left(H327,len(H327)-1),""("")"),"Moutiers ")</f>
        <v>Moutiers </v>
      </c>
      <c r="J327" s="1" t="str">
        <f>IFERROR(__xludf.DUMMYFUNCTION("""COMPUTED_VALUE"""),"Savoie")</f>
        <v>Savoie</v>
      </c>
      <c r="K327" s="1" t="str">
        <f>IFERROR(__xludf.DUMMYFUNCTION("IF( COUNTA( IFERROR( FILTER('départements_edition'!$C$2:$C$102 , 'départements_edition'!$C$2:$C$102=J327 ) ) ) , ""Oui"" , ""Non"" )"),"Oui")</f>
        <v>Oui</v>
      </c>
      <c r="L327" s="1" t="str">
        <f t="shared" si="2"/>
        <v>France</v>
      </c>
      <c r="M327" s="1">
        <v>73.0</v>
      </c>
      <c r="N327" s="1" t="s">
        <v>60</v>
      </c>
      <c r="O327" s="1">
        <v>2.0</v>
      </c>
      <c r="P327" s="2">
        <v>42907.0</v>
      </c>
      <c r="R327" s="1">
        <v>0.0</v>
      </c>
      <c r="S327" s="1" t="s">
        <v>61</v>
      </c>
      <c r="T327" s="1" t="s">
        <v>62</v>
      </c>
      <c r="U327" s="3" t="s">
        <v>3420</v>
      </c>
      <c r="X327" s="1" t="s">
        <v>482</v>
      </c>
      <c r="Y327" s="1">
        <v>128.0</v>
      </c>
      <c r="Z327" s="3" t="s">
        <v>3421</v>
      </c>
      <c r="AA327" s="1">
        <v>266808.0</v>
      </c>
      <c r="AB327" s="1" t="s">
        <v>3422</v>
      </c>
      <c r="AC327" s="3" t="s">
        <v>3423</v>
      </c>
      <c r="AD327" s="3" t="s">
        <v>3424</v>
      </c>
      <c r="AE327" s="1">
        <v>1.0</v>
      </c>
      <c r="AF327" s="1" t="s">
        <v>3425</v>
      </c>
      <c r="AG327" s="1">
        <v>20.0</v>
      </c>
      <c r="AH327" s="1">
        <v>28.0</v>
      </c>
      <c r="AI327" s="1">
        <v>18.0</v>
      </c>
      <c r="AJ327" s="1">
        <v>25.0</v>
      </c>
      <c r="AK327" s="1">
        <v>19.0</v>
      </c>
      <c r="AL327" s="1">
        <v>42.0</v>
      </c>
      <c r="AM327" s="1">
        <v>411.0</v>
      </c>
      <c r="AN327" s="1">
        <v>20.0</v>
      </c>
      <c r="AO327" s="1">
        <v>1.0</v>
      </c>
      <c r="AP327" s="1">
        <v>1.0</v>
      </c>
      <c r="AQ327" s="1">
        <v>45.0</v>
      </c>
      <c r="AR327" s="1">
        <v>14.0</v>
      </c>
      <c r="AS327" s="1">
        <v>2.0</v>
      </c>
    </row>
    <row r="328" hidden="1">
      <c r="A328" s="1">
        <v>443.0</v>
      </c>
      <c r="B328" s="1" t="s">
        <v>3426</v>
      </c>
      <c r="C328" s="1" t="s">
        <v>3427</v>
      </c>
      <c r="D328" s="1" t="s">
        <v>3428</v>
      </c>
      <c r="E328" s="1" t="s">
        <v>43</v>
      </c>
      <c r="F328" s="2">
        <v>25491.0</v>
      </c>
      <c r="G328" s="1">
        <f t="shared" si="1"/>
        <v>56</v>
      </c>
      <c r="H328" s="1" t="s">
        <v>1440</v>
      </c>
      <c r="I328" s="1" t="str">
        <f>IFERROR(__xludf.DUMMYFUNCTION("SPLIT(left(H328,len(H328)-1),""("")"),"Bonneville ")</f>
        <v>Bonneville </v>
      </c>
      <c r="J328" s="1" t="str">
        <f>IFERROR(__xludf.DUMMYFUNCTION("""COMPUTED_VALUE"""),"Haute-Savoie")</f>
        <v>Haute-Savoie</v>
      </c>
      <c r="K328" s="1" t="str">
        <f>IFERROR(__xludf.DUMMYFUNCTION("IF( COUNTA( IFERROR( FILTER('départements_edition'!$C$2:$C$102 , 'départements_edition'!$C$2:$C$102=J328 ) ) ) , ""Oui"" , ""Non"" )"),"Oui")</f>
        <v>Oui</v>
      </c>
      <c r="L328" s="1" t="str">
        <f t="shared" si="2"/>
        <v>France</v>
      </c>
      <c r="M328" s="1">
        <v>74.0</v>
      </c>
      <c r="N328" s="1" t="s">
        <v>1441</v>
      </c>
      <c r="O328" s="1">
        <v>3.0</v>
      </c>
      <c r="P328" s="2">
        <v>42907.0</v>
      </c>
      <c r="R328" s="1">
        <v>0.0</v>
      </c>
      <c r="S328" s="1" t="s">
        <v>61</v>
      </c>
      <c r="T328" s="1" t="s">
        <v>62</v>
      </c>
      <c r="U328" s="1" t="s">
        <v>3429</v>
      </c>
      <c r="X328" s="1" t="s">
        <v>3430</v>
      </c>
      <c r="Y328" s="1">
        <v>21.0</v>
      </c>
      <c r="Z328" s="3" t="s">
        <v>3431</v>
      </c>
      <c r="AA328" s="1">
        <v>267527.0</v>
      </c>
      <c r="AB328" s="1" t="s">
        <v>3432</v>
      </c>
      <c r="AC328" s="3" t="s">
        <v>3433</v>
      </c>
      <c r="AD328" s="3" t="s">
        <v>3434</v>
      </c>
      <c r="AE328" s="1">
        <v>1.0</v>
      </c>
      <c r="AF328" s="1" t="s">
        <v>3435</v>
      </c>
      <c r="AG328" s="1">
        <v>20.0</v>
      </c>
      <c r="AH328" s="1">
        <v>24.0</v>
      </c>
      <c r="AI328" s="1">
        <v>25.0</v>
      </c>
      <c r="AJ328" s="1">
        <v>68.0</v>
      </c>
      <c r="AK328" s="1">
        <v>30.0</v>
      </c>
      <c r="AL328" s="1">
        <v>133.0</v>
      </c>
      <c r="AM328" s="1">
        <v>608.0</v>
      </c>
      <c r="AN328" s="1">
        <v>26.0</v>
      </c>
      <c r="AO328" s="1">
        <v>0.0</v>
      </c>
      <c r="AP328" s="1">
        <v>4.0</v>
      </c>
      <c r="AQ328" s="1">
        <v>76.0</v>
      </c>
      <c r="AR328" s="1">
        <v>53.0</v>
      </c>
      <c r="AS328" s="1">
        <v>2.0</v>
      </c>
    </row>
    <row r="329" hidden="1">
      <c r="A329" s="1">
        <v>128.0</v>
      </c>
      <c r="B329" s="1" t="s">
        <v>3436</v>
      </c>
      <c r="C329" s="1" t="s">
        <v>3437</v>
      </c>
      <c r="D329" s="1" t="s">
        <v>1341</v>
      </c>
      <c r="E329" s="1" t="s">
        <v>43</v>
      </c>
      <c r="F329" s="2">
        <v>25878.0</v>
      </c>
      <c r="G329" s="1">
        <f t="shared" si="1"/>
        <v>55</v>
      </c>
      <c r="H329" s="1" t="s">
        <v>3438</v>
      </c>
      <c r="I329" s="1" t="str">
        <f>IFERROR(__xludf.DUMMYFUNCTION("SPLIT(left(H329,len(H329)-1),""("")"),"Privas ")</f>
        <v>Privas </v>
      </c>
      <c r="J329" s="1" t="str">
        <f>IFERROR(__xludf.DUMMYFUNCTION("""COMPUTED_VALUE"""),"Ardèche")</f>
        <v>Ardèche</v>
      </c>
      <c r="K329" s="1" t="str">
        <f>IFERROR(__xludf.DUMMYFUNCTION("IF( COUNTA( IFERROR( FILTER('départements_edition'!$C$2:$C$102 , 'départements_edition'!$C$2:$C$102=J329 ) ) ) , ""Oui"" , ""Non"" )"),"Oui")</f>
        <v>Oui</v>
      </c>
      <c r="L329" s="1" t="str">
        <f t="shared" si="2"/>
        <v>France</v>
      </c>
      <c r="M329" s="1">
        <v>7.0</v>
      </c>
      <c r="N329" s="1" t="s">
        <v>2269</v>
      </c>
      <c r="O329" s="1">
        <v>1.0</v>
      </c>
      <c r="P329" s="2">
        <v>42907.0</v>
      </c>
      <c r="R329" s="1">
        <v>0.0</v>
      </c>
      <c r="S329" s="1" t="s">
        <v>115</v>
      </c>
      <c r="T329" s="1" t="s">
        <v>116</v>
      </c>
      <c r="U329" s="1" t="s">
        <v>3439</v>
      </c>
      <c r="X329" s="1" t="s">
        <v>2940</v>
      </c>
      <c r="Y329" s="1">
        <v>576.0</v>
      </c>
      <c r="Z329" s="3" t="s">
        <v>3440</v>
      </c>
      <c r="AA329" s="1">
        <v>340343.0</v>
      </c>
      <c r="AB329" s="1" t="s">
        <v>3441</v>
      </c>
      <c r="AC329" s="3" t="s">
        <v>3442</v>
      </c>
      <c r="AD329" s="3" t="s">
        <v>3443</v>
      </c>
      <c r="AE329" s="1">
        <v>1.0</v>
      </c>
      <c r="AF329" s="1" t="s">
        <v>3444</v>
      </c>
      <c r="AG329" s="1">
        <v>20.0</v>
      </c>
      <c r="AH329" s="1">
        <v>33.0</v>
      </c>
      <c r="AI329" s="1">
        <v>17.0</v>
      </c>
      <c r="AJ329" s="1">
        <v>54.0</v>
      </c>
      <c r="AK329" s="1">
        <v>19.0</v>
      </c>
      <c r="AL329" s="1">
        <v>18.0</v>
      </c>
      <c r="AM329" s="1">
        <v>1185.0</v>
      </c>
      <c r="AN329" s="1">
        <v>89.0</v>
      </c>
      <c r="AO329" s="1">
        <v>0.0</v>
      </c>
      <c r="AP329" s="1">
        <v>0.0</v>
      </c>
      <c r="AQ329" s="1">
        <v>5.0</v>
      </c>
      <c r="AR329" s="1">
        <v>12.0</v>
      </c>
      <c r="AS329" s="1">
        <v>4.0</v>
      </c>
    </row>
    <row r="330" hidden="1">
      <c r="A330" s="1">
        <v>487.0</v>
      </c>
      <c r="B330" s="1" t="s">
        <v>3445</v>
      </c>
      <c r="C330" s="1" t="s">
        <v>3446</v>
      </c>
      <c r="D330" s="1" t="s">
        <v>589</v>
      </c>
      <c r="E330" s="1" t="s">
        <v>43</v>
      </c>
      <c r="F330" s="2">
        <v>28659.0</v>
      </c>
      <c r="G330" s="1">
        <f t="shared" si="1"/>
        <v>48</v>
      </c>
      <c r="H330" s="1" t="s">
        <v>1500</v>
      </c>
      <c r="I330" s="1" t="str">
        <f>IFERROR(__xludf.DUMMYFUNCTION("SPLIT(left(H330,len(H330)-1),""("")"),"Colmar ")</f>
        <v>Colmar </v>
      </c>
      <c r="J330" s="1" t="str">
        <f>IFERROR(__xludf.DUMMYFUNCTION("""COMPUTED_VALUE"""),"Haut-Rhin")</f>
        <v>Haut-Rhin</v>
      </c>
      <c r="K330" s="1" t="str">
        <f>IFERROR(__xludf.DUMMYFUNCTION("IF( COUNTA( IFERROR( FILTER('départements_edition'!$C$2:$C$102 , 'départements_edition'!$C$2:$C$102=J330 ) ) ) , ""Oui"" , ""Non"" )"),"Oui")</f>
        <v>Oui</v>
      </c>
      <c r="L330" s="1" t="str">
        <f t="shared" si="2"/>
        <v>France</v>
      </c>
      <c r="M330" s="1">
        <v>67.0</v>
      </c>
      <c r="N330" s="1" t="s">
        <v>244</v>
      </c>
      <c r="O330" s="1">
        <v>3.0</v>
      </c>
      <c r="P330" s="2">
        <v>42907.0</v>
      </c>
      <c r="R330" s="1">
        <v>0.0</v>
      </c>
      <c r="S330" s="1" t="s">
        <v>75</v>
      </c>
      <c r="T330" s="1" t="s">
        <v>76</v>
      </c>
      <c r="U330" s="1" t="s">
        <v>3447</v>
      </c>
      <c r="X330" s="1" t="s">
        <v>269</v>
      </c>
      <c r="Y330" s="1">
        <v>478.0</v>
      </c>
      <c r="Z330" s="3" t="s">
        <v>3448</v>
      </c>
      <c r="AA330" s="1">
        <v>720754.0</v>
      </c>
      <c r="AB330" s="1" t="s">
        <v>3449</v>
      </c>
      <c r="AC330" s="3" t="s">
        <v>3450</v>
      </c>
      <c r="AD330" s="3" t="s">
        <v>3451</v>
      </c>
      <c r="AE330" s="1">
        <v>1.0</v>
      </c>
      <c r="AF330" s="1" t="s">
        <v>3452</v>
      </c>
      <c r="AG330" s="1">
        <v>20.0</v>
      </c>
      <c r="AH330" s="1">
        <v>45.0</v>
      </c>
      <c r="AI330" s="1">
        <v>143.0</v>
      </c>
      <c r="AJ330" s="1">
        <v>28.0</v>
      </c>
      <c r="AK330" s="1">
        <v>77.0</v>
      </c>
      <c r="AL330" s="1">
        <v>0.0</v>
      </c>
      <c r="AM330" s="1">
        <v>18.0</v>
      </c>
      <c r="AN330" s="1">
        <v>1.0</v>
      </c>
      <c r="AO330" s="1">
        <v>1.0</v>
      </c>
      <c r="AP330" s="1">
        <v>0.0</v>
      </c>
      <c r="AQ330" s="1">
        <v>5.0</v>
      </c>
      <c r="AR330" s="1">
        <v>0.0</v>
      </c>
      <c r="AS330" s="1">
        <v>1.0</v>
      </c>
    </row>
    <row r="331" hidden="1">
      <c r="A331" s="1">
        <v>503.0</v>
      </c>
      <c r="B331" s="1" t="s">
        <v>3453</v>
      </c>
      <c r="C331" s="1" t="s">
        <v>3454</v>
      </c>
      <c r="D331" s="1" t="s">
        <v>1383</v>
      </c>
      <c r="E331" s="1" t="s">
        <v>58</v>
      </c>
      <c r="F331" s="2">
        <v>27929.0</v>
      </c>
      <c r="G331" s="1">
        <f t="shared" si="1"/>
        <v>50</v>
      </c>
      <c r="H331" s="1" t="s">
        <v>3455</v>
      </c>
      <c r="I331" s="1" t="str">
        <f>IFERROR(__xludf.DUMMYFUNCTION("SPLIT(left(H331,len(H331)-1),""("")"),"Lavelanet ")</f>
        <v>Lavelanet </v>
      </c>
      <c r="J331" s="1" t="str">
        <f>IFERROR(__xludf.DUMMYFUNCTION("""COMPUTED_VALUE"""),"Ariège")</f>
        <v>Ariège</v>
      </c>
      <c r="K331" s="1" t="str">
        <f>IFERROR(__xludf.DUMMYFUNCTION("IF( COUNTA( IFERROR( FILTER('départements_edition'!$C$2:$C$102 , 'départements_edition'!$C$2:$C$102=J331 ) ) ) , ""Oui"" , ""Non"" )"),"Oui")</f>
        <v>Oui</v>
      </c>
      <c r="L331" s="1" t="str">
        <f t="shared" si="2"/>
        <v>France</v>
      </c>
      <c r="M331" s="1">
        <v>9.0</v>
      </c>
      <c r="N331" s="1" t="s">
        <v>3259</v>
      </c>
      <c r="O331" s="1">
        <v>1.0</v>
      </c>
      <c r="P331" s="2">
        <v>42907.0</v>
      </c>
      <c r="R331" s="1">
        <v>0.0</v>
      </c>
      <c r="S331" s="1" t="s">
        <v>173</v>
      </c>
      <c r="T331" s="1" t="s">
        <v>174</v>
      </c>
      <c r="U331" s="1" t="s">
        <v>3456</v>
      </c>
      <c r="X331" s="1" t="s">
        <v>269</v>
      </c>
      <c r="Y331" s="1">
        <v>609.0</v>
      </c>
      <c r="Z331" s="3" t="s">
        <v>3457</v>
      </c>
      <c r="AA331" s="1">
        <v>718860.0</v>
      </c>
      <c r="AB331" s="1" t="s">
        <v>3458</v>
      </c>
      <c r="AC331" s="3" t="s">
        <v>3459</v>
      </c>
      <c r="AD331" s="3" t="s">
        <v>3460</v>
      </c>
      <c r="AE331" s="1">
        <v>1.0</v>
      </c>
      <c r="AF331" s="1" t="s">
        <v>3461</v>
      </c>
      <c r="AG331" s="1">
        <v>20.0</v>
      </c>
      <c r="AH331" s="1">
        <v>32.0</v>
      </c>
      <c r="AI331" s="1">
        <v>33.0</v>
      </c>
      <c r="AJ331" s="1">
        <v>80.0</v>
      </c>
      <c r="AK331" s="1">
        <v>40.0</v>
      </c>
      <c r="AL331" s="1">
        <v>40.0</v>
      </c>
      <c r="AM331" s="1">
        <v>2060.0</v>
      </c>
      <c r="AN331" s="1">
        <v>32.0</v>
      </c>
      <c r="AO331" s="1">
        <v>0.0</v>
      </c>
      <c r="AP331" s="1">
        <v>0.0</v>
      </c>
      <c r="AQ331" s="1">
        <v>13.0</v>
      </c>
      <c r="AR331" s="1">
        <v>11.0</v>
      </c>
      <c r="AS331" s="1">
        <v>4.0</v>
      </c>
    </row>
    <row r="332" hidden="1">
      <c r="A332" s="1">
        <v>395.0</v>
      </c>
      <c r="B332" s="1" t="s">
        <v>3462</v>
      </c>
      <c r="C332" s="1" t="s">
        <v>3463</v>
      </c>
      <c r="D332" s="1" t="s">
        <v>3464</v>
      </c>
      <c r="E332" s="1" t="s">
        <v>58</v>
      </c>
      <c r="F332" s="2">
        <v>28172.0</v>
      </c>
      <c r="G332" s="1">
        <f t="shared" si="1"/>
        <v>49</v>
      </c>
      <c r="H332" s="1" t="s">
        <v>266</v>
      </c>
      <c r="I332" s="1" t="str">
        <f>IFERROR(__xludf.DUMMYFUNCTION("SPLIT(left(H332,len(H332)-1),""("")"),"Valenciennes ")</f>
        <v>Valenciennes </v>
      </c>
      <c r="J332" s="1" t="str">
        <f>IFERROR(__xludf.DUMMYFUNCTION("""COMPUTED_VALUE"""),"Nord")</f>
        <v>Nord</v>
      </c>
      <c r="K332" s="1" t="str">
        <f>IFERROR(__xludf.DUMMYFUNCTION("IF( COUNTA( IFERROR( FILTER('départements_edition'!$C$2:$C$102 , 'départements_edition'!$C$2:$C$102=J332 ) ) ) , ""Oui"" , ""Non"" )"),"Oui")</f>
        <v>Oui</v>
      </c>
      <c r="L332" s="1" t="str">
        <f t="shared" si="2"/>
        <v>France</v>
      </c>
      <c r="M332" s="1">
        <v>59.0</v>
      </c>
      <c r="N332" s="1" t="s">
        <v>172</v>
      </c>
      <c r="O332" s="1">
        <v>15.0</v>
      </c>
      <c r="P332" s="2">
        <v>42907.0</v>
      </c>
      <c r="R332" s="1">
        <v>0.0</v>
      </c>
      <c r="S332" s="1" t="s">
        <v>75</v>
      </c>
      <c r="T332" s="1" t="s">
        <v>76</v>
      </c>
      <c r="U332" s="3" t="s">
        <v>3465</v>
      </c>
      <c r="X332" s="1" t="s">
        <v>373</v>
      </c>
      <c r="Y332" s="1">
        <v>397.0</v>
      </c>
      <c r="Z332" s="3" t="s">
        <v>3466</v>
      </c>
      <c r="AA332" s="1">
        <v>720538.0</v>
      </c>
      <c r="AB332" s="1" t="s">
        <v>3467</v>
      </c>
      <c r="AC332" s="3" t="s">
        <v>3468</v>
      </c>
      <c r="AD332" s="3" t="s">
        <v>3469</v>
      </c>
      <c r="AE332" s="1">
        <v>1.0</v>
      </c>
      <c r="AG332" s="1">
        <v>20.0</v>
      </c>
      <c r="AH332" s="1">
        <v>29.0</v>
      </c>
      <c r="AI332" s="1">
        <v>5.0</v>
      </c>
      <c r="AJ332" s="1">
        <v>4.0</v>
      </c>
      <c r="AK332" s="1">
        <v>1.0</v>
      </c>
      <c r="AL332" s="1">
        <v>0.0</v>
      </c>
      <c r="AM332" s="1">
        <v>77.0</v>
      </c>
      <c r="AN332" s="1">
        <v>43.0</v>
      </c>
      <c r="AO332" s="1">
        <v>1.0</v>
      </c>
      <c r="AP332" s="1">
        <v>0.0</v>
      </c>
      <c r="AQ332" s="1">
        <v>6.0</v>
      </c>
      <c r="AR332" s="1">
        <v>6.0</v>
      </c>
      <c r="AS332" s="1">
        <v>0.0</v>
      </c>
    </row>
    <row r="333" hidden="1">
      <c r="A333" s="1">
        <v>48.0</v>
      </c>
      <c r="B333" s="1" t="s">
        <v>3470</v>
      </c>
      <c r="C333" s="1" t="s">
        <v>3471</v>
      </c>
      <c r="D333" s="1" t="s">
        <v>1209</v>
      </c>
      <c r="E333" s="1" t="s">
        <v>43</v>
      </c>
      <c r="F333" s="2">
        <v>24814.0</v>
      </c>
      <c r="G333" s="1">
        <f t="shared" si="1"/>
        <v>58</v>
      </c>
      <c r="H333" s="1" t="s">
        <v>3472</v>
      </c>
      <c r="I333" s="1" t="str">
        <f>IFERROR(__xludf.DUMMYFUNCTION("SPLIT(left(H333,len(H333)-1),""("")"),"Paris 07 ")</f>
        <v>Paris 07 </v>
      </c>
      <c r="J333" s="1" t="str">
        <f>IFERROR(__xludf.DUMMYFUNCTION("""COMPUTED_VALUE"""),"Paris")</f>
        <v>Paris</v>
      </c>
      <c r="K333" s="1" t="str">
        <f>IFERROR(__xludf.DUMMYFUNCTION("IF( COUNTA( IFERROR( FILTER('départements_edition'!$C$2:$C$102 , 'départements_edition'!$C$2:$C$102=J333 ) ) ) , ""Oui"" , ""Non"" )"),"Oui")</f>
        <v>Oui</v>
      </c>
      <c r="L333" s="1" t="str">
        <f t="shared" si="2"/>
        <v>France</v>
      </c>
      <c r="M333" s="1">
        <v>67.0</v>
      </c>
      <c r="N333" s="1" t="s">
        <v>244</v>
      </c>
      <c r="O333" s="1">
        <v>2.0</v>
      </c>
      <c r="P333" s="2">
        <v>42907.0</v>
      </c>
      <c r="R333" s="1">
        <v>0.0</v>
      </c>
      <c r="S333" s="1" t="s">
        <v>280</v>
      </c>
      <c r="T333" s="1" t="s">
        <v>281</v>
      </c>
      <c r="U333" s="1" t="s">
        <v>3473</v>
      </c>
      <c r="X333" s="1" t="s">
        <v>198</v>
      </c>
      <c r="Y333" s="1">
        <v>267.0</v>
      </c>
      <c r="Z333" s="3" t="s">
        <v>3474</v>
      </c>
      <c r="AA333" s="1">
        <v>720746.0</v>
      </c>
      <c r="AB333" s="1" t="s">
        <v>3475</v>
      </c>
      <c r="AC333" s="3" t="s">
        <v>3476</v>
      </c>
      <c r="AD333" s="3" t="s">
        <v>3477</v>
      </c>
      <c r="AE333" s="1">
        <v>1.0</v>
      </c>
      <c r="AF333" s="1" t="s">
        <v>3478</v>
      </c>
      <c r="AG333" s="1">
        <v>20.0</v>
      </c>
      <c r="AH333" s="1">
        <v>17.0</v>
      </c>
      <c r="AI333" s="1">
        <v>17.0</v>
      </c>
      <c r="AJ333" s="1">
        <v>592.0</v>
      </c>
      <c r="AK333" s="1">
        <v>3302.0</v>
      </c>
      <c r="AL333" s="1">
        <v>6.0</v>
      </c>
      <c r="AM333" s="1">
        <v>193.0</v>
      </c>
      <c r="AN333" s="1">
        <v>19.0</v>
      </c>
      <c r="AO333" s="1">
        <v>1.0</v>
      </c>
      <c r="AP333" s="1">
        <v>2.0</v>
      </c>
      <c r="AQ333" s="1">
        <v>6.0</v>
      </c>
      <c r="AR333" s="1">
        <v>2.0</v>
      </c>
      <c r="AS333" s="1">
        <v>2.0</v>
      </c>
    </row>
    <row r="334" hidden="1">
      <c r="A334" s="1">
        <v>499.0</v>
      </c>
      <c r="B334" s="1" t="s">
        <v>3479</v>
      </c>
      <c r="C334" s="1" t="s">
        <v>3480</v>
      </c>
      <c r="D334" s="1" t="s">
        <v>1453</v>
      </c>
      <c r="E334" s="1" t="s">
        <v>58</v>
      </c>
      <c r="F334" s="2">
        <v>29280.0</v>
      </c>
      <c r="G334" s="1">
        <f t="shared" si="1"/>
        <v>46</v>
      </c>
      <c r="H334" s="1" t="s">
        <v>3481</v>
      </c>
      <c r="I334" s="1" t="str">
        <f>IFERROR(__xludf.DUMMYFUNCTION("SPLIT(left(H334,len(H334)-1),""("")"),"Coutances ")</f>
        <v>Coutances </v>
      </c>
      <c r="J334" s="1" t="str">
        <f>IFERROR(__xludf.DUMMYFUNCTION("""COMPUTED_VALUE"""),"Manche")</f>
        <v>Manche</v>
      </c>
      <c r="K334" s="1" t="str">
        <f>IFERROR(__xludf.DUMMYFUNCTION("IF( COUNTA( IFERROR( FILTER('départements_edition'!$C$2:$C$102 , 'départements_edition'!$C$2:$C$102=J334 ) ) ) , ""Oui"" , ""Non"" )"),"Oui")</f>
        <v>Oui</v>
      </c>
      <c r="L334" s="1" t="str">
        <f t="shared" si="2"/>
        <v>France</v>
      </c>
      <c r="M334" s="1">
        <v>44.0</v>
      </c>
      <c r="N334" s="1" t="s">
        <v>492</v>
      </c>
      <c r="O334" s="1">
        <v>4.0</v>
      </c>
      <c r="P334" s="2">
        <v>42907.0</v>
      </c>
      <c r="R334" s="1">
        <v>0.0</v>
      </c>
      <c r="S334" s="1" t="s">
        <v>75</v>
      </c>
      <c r="T334" s="1" t="s">
        <v>76</v>
      </c>
      <c r="U334" s="1" t="s">
        <v>3482</v>
      </c>
      <c r="X334" s="1" t="s">
        <v>3483</v>
      </c>
      <c r="Y334" s="1">
        <v>409.0</v>
      </c>
      <c r="Z334" s="3" t="s">
        <v>3484</v>
      </c>
      <c r="AA334" s="1">
        <v>720124.0</v>
      </c>
      <c r="AB334" s="1" t="s">
        <v>3485</v>
      </c>
      <c r="AC334" s="3" t="s">
        <v>3486</v>
      </c>
      <c r="AD334" s="3" t="s">
        <v>3487</v>
      </c>
      <c r="AE334" s="1">
        <v>1.0</v>
      </c>
      <c r="AF334" s="1" t="s">
        <v>3488</v>
      </c>
      <c r="AG334" s="1">
        <v>19.0</v>
      </c>
      <c r="AH334" s="1">
        <v>32.0</v>
      </c>
      <c r="AI334" s="1">
        <v>71.0</v>
      </c>
      <c r="AJ334" s="1">
        <v>71.0</v>
      </c>
      <c r="AK334" s="1">
        <v>24.0</v>
      </c>
      <c r="AL334" s="1">
        <v>57.0</v>
      </c>
      <c r="AM334" s="1">
        <v>103.0</v>
      </c>
      <c r="AN334" s="1">
        <v>47.0</v>
      </c>
      <c r="AO334" s="1">
        <v>1.0</v>
      </c>
      <c r="AP334" s="1">
        <v>0.0</v>
      </c>
      <c r="AQ334" s="1">
        <v>5.0</v>
      </c>
      <c r="AR334" s="1">
        <v>2.0</v>
      </c>
      <c r="AS334" s="1">
        <v>1.0</v>
      </c>
    </row>
    <row r="335" hidden="1">
      <c r="A335" s="1">
        <v>11.0</v>
      </c>
      <c r="B335" s="1" t="s">
        <v>3489</v>
      </c>
      <c r="C335" s="1" t="s">
        <v>3490</v>
      </c>
      <c r="D335" s="1" t="s">
        <v>1250</v>
      </c>
      <c r="E335" s="1" t="s">
        <v>58</v>
      </c>
      <c r="F335" s="2">
        <v>23560.0</v>
      </c>
      <c r="G335" s="1">
        <f t="shared" si="1"/>
        <v>62</v>
      </c>
      <c r="H335" s="1" t="s">
        <v>3491</v>
      </c>
      <c r="I335" s="1" t="str">
        <f>IFERROR(__xludf.DUMMYFUNCTION("SPLIT(left(H335,len(H335)-1),""("")"),"Saint-Vallier ")</f>
        <v>Saint-Vallier </v>
      </c>
      <c r="J335" s="1" t="str">
        <f>IFERROR(__xludf.DUMMYFUNCTION("""COMPUTED_VALUE"""),"Drôme")</f>
        <v>Drôme</v>
      </c>
      <c r="K335" s="1" t="str">
        <f>IFERROR(__xludf.DUMMYFUNCTION("IF( COUNTA( IFERROR( FILTER('départements_edition'!$C$2:$C$102 , 'départements_edition'!$C$2:$C$102=J335 ) ) ) , ""Oui"" , ""Non"" )"),"Oui")</f>
        <v>Oui</v>
      </c>
      <c r="L335" s="1" t="str">
        <f t="shared" si="2"/>
        <v>France</v>
      </c>
      <c r="M335" s="1">
        <v>26.0</v>
      </c>
      <c r="N335" s="1" t="s">
        <v>1873</v>
      </c>
      <c r="O335" s="1">
        <v>4.0</v>
      </c>
      <c r="P335" s="2">
        <v>42907.0</v>
      </c>
      <c r="R335" s="1">
        <v>0.0</v>
      </c>
      <c r="S335" s="1" t="s">
        <v>61</v>
      </c>
      <c r="T335" s="1" t="s">
        <v>62</v>
      </c>
      <c r="U335" s="1" t="s">
        <v>3492</v>
      </c>
      <c r="X335" s="1" t="s">
        <v>78</v>
      </c>
      <c r="Y335" s="1">
        <v>63.0</v>
      </c>
      <c r="Z335" s="3" t="s">
        <v>3493</v>
      </c>
      <c r="AA335" s="1">
        <v>719318.0</v>
      </c>
      <c r="AB335" s="1" t="s">
        <v>3494</v>
      </c>
      <c r="AC335" s="3" t="s">
        <v>3495</v>
      </c>
      <c r="AD335" s="3" t="s">
        <v>3496</v>
      </c>
      <c r="AE335" s="1">
        <v>1.0</v>
      </c>
      <c r="AF335" s="1" t="s">
        <v>3497</v>
      </c>
      <c r="AG335" s="1">
        <v>19.0</v>
      </c>
      <c r="AH335" s="1">
        <v>35.0</v>
      </c>
      <c r="AI335" s="1">
        <v>13.0</v>
      </c>
      <c r="AJ335" s="1">
        <v>12.0</v>
      </c>
      <c r="AK335" s="1">
        <v>14.0</v>
      </c>
      <c r="AL335" s="1">
        <v>33.0</v>
      </c>
      <c r="AM335" s="1">
        <v>1497.0</v>
      </c>
      <c r="AN335" s="1">
        <v>48.0</v>
      </c>
      <c r="AO335" s="1">
        <v>0.0</v>
      </c>
      <c r="AP335" s="1">
        <v>0.0</v>
      </c>
      <c r="AQ335" s="1">
        <v>58.0</v>
      </c>
      <c r="AR335" s="1">
        <v>19.0</v>
      </c>
      <c r="AS335" s="1">
        <v>0.0</v>
      </c>
    </row>
    <row r="336" hidden="1">
      <c r="A336" s="1">
        <v>461.0</v>
      </c>
      <c r="B336" s="1" t="s">
        <v>3498</v>
      </c>
      <c r="C336" s="1" t="s">
        <v>3499</v>
      </c>
      <c r="D336" s="1" t="s">
        <v>3500</v>
      </c>
      <c r="E336" s="1" t="s">
        <v>58</v>
      </c>
      <c r="F336" s="2">
        <v>31349.0</v>
      </c>
      <c r="G336" s="1">
        <f t="shared" si="1"/>
        <v>40</v>
      </c>
      <c r="H336" s="1" t="s">
        <v>3501</v>
      </c>
      <c r="I336" s="1" t="str">
        <f>IFERROR(__xludf.DUMMYFUNCTION("SPLIT(left(H336,len(H336)-1),""("")"),"Livry-Gargan ")</f>
        <v>Livry-Gargan </v>
      </c>
      <c r="J336" s="1" t="str">
        <f>IFERROR(__xludf.DUMMYFUNCTION("""COMPUTED_VALUE"""),"Seine-Saint-Denis")</f>
        <v>Seine-Saint-Denis</v>
      </c>
      <c r="K336" s="1" t="str">
        <f>IFERROR(__xludf.DUMMYFUNCTION("IF( COUNTA( IFERROR( FILTER('départements_edition'!$C$2:$C$102 , 'départements_edition'!$C$2:$C$102=J336 ) ) ) , ""Oui"" , ""Non"" )"),"Oui")</f>
        <v>Oui</v>
      </c>
      <c r="L336" s="1" t="str">
        <f t="shared" si="2"/>
        <v>France</v>
      </c>
      <c r="M336" s="1">
        <v>75.0</v>
      </c>
      <c r="N336" s="1" t="s">
        <v>232</v>
      </c>
      <c r="O336" s="1">
        <v>8.0</v>
      </c>
      <c r="P336" s="2">
        <v>42907.0</v>
      </c>
      <c r="R336" s="1">
        <v>0.0</v>
      </c>
      <c r="S336" s="1" t="s">
        <v>75</v>
      </c>
      <c r="T336" s="1" t="s">
        <v>76</v>
      </c>
      <c r="U336" s="1" t="s">
        <v>3502</v>
      </c>
      <c r="X336" s="1" t="s">
        <v>78</v>
      </c>
      <c r="Y336" s="1">
        <v>384.0</v>
      </c>
      <c r="Z336" s="3" t="s">
        <v>3503</v>
      </c>
      <c r="AA336" s="1">
        <v>721624.0</v>
      </c>
      <c r="AB336" s="1" t="s">
        <v>3504</v>
      </c>
      <c r="AC336" s="3" t="s">
        <v>3505</v>
      </c>
      <c r="AD336" s="3" t="s">
        <v>3506</v>
      </c>
      <c r="AE336" s="1">
        <v>1.0</v>
      </c>
      <c r="AF336" s="1" t="s">
        <v>3507</v>
      </c>
      <c r="AG336" s="1">
        <v>19.0</v>
      </c>
      <c r="AH336" s="1">
        <v>37.0</v>
      </c>
      <c r="AI336" s="1">
        <v>27.0</v>
      </c>
      <c r="AJ336" s="1">
        <v>55.0</v>
      </c>
      <c r="AK336" s="1">
        <v>5.0</v>
      </c>
      <c r="AL336" s="1">
        <v>0.0</v>
      </c>
      <c r="AM336" s="1">
        <v>68.0</v>
      </c>
      <c r="AN336" s="1">
        <v>31.0</v>
      </c>
      <c r="AO336" s="1">
        <v>1.0</v>
      </c>
      <c r="AP336" s="1">
        <v>0.0</v>
      </c>
      <c r="AQ336" s="1">
        <v>5.0</v>
      </c>
      <c r="AR336" s="1">
        <v>0.0</v>
      </c>
      <c r="AS336" s="1">
        <v>1.0</v>
      </c>
    </row>
    <row r="337" hidden="1">
      <c r="A337" s="1">
        <v>358.0</v>
      </c>
      <c r="B337" s="1" t="s">
        <v>3508</v>
      </c>
      <c r="C337" s="1" t="s">
        <v>3509</v>
      </c>
      <c r="D337" s="1" t="s">
        <v>3047</v>
      </c>
      <c r="E337" s="1" t="s">
        <v>43</v>
      </c>
      <c r="F337" s="2">
        <v>22158.0</v>
      </c>
      <c r="G337" s="1">
        <f t="shared" si="1"/>
        <v>65</v>
      </c>
      <c r="H337" s="1" t="s">
        <v>2462</v>
      </c>
      <c r="I337" s="1" t="str">
        <f>IFERROR(__xludf.DUMMYFUNCTION("SPLIT(left(H337,len(H337)-1),""("")"),"Audincourt ")</f>
        <v>Audincourt </v>
      </c>
      <c r="J337" s="1" t="str">
        <f>IFERROR(__xludf.DUMMYFUNCTION("""COMPUTED_VALUE"""),"Doubs")</f>
        <v>Doubs</v>
      </c>
      <c r="K337" s="1" t="str">
        <f>IFERROR(__xludf.DUMMYFUNCTION("IF( COUNTA( IFERROR( FILTER('départements_edition'!$C$2:$C$102 , 'départements_edition'!$C$2:$C$102=J337 ) ) ) , ""Oui"" , ""Non"" )"),"Oui")</f>
        <v>Oui</v>
      </c>
      <c r="L337" s="1" t="str">
        <f t="shared" si="2"/>
        <v>France</v>
      </c>
      <c r="M337" s="1">
        <v>25.0</v>
      </c>
      <c r="N337" s="1" t="s">
        <v>149</v>
      </c>
      <c r="O337" s="1">
        <v>4.0</v>
      </c>
      <c r="P337" s="2">
        <v>42907.0</v>
      </c>
      <c r="R337" s="1">
        <v>0.0</v>
      </c>
      <c r="S337" s="1" t="s">
        <v>75</v>
      </c>
      <c r="T337" s="1" t="s">
        <v>76</v>
      </c>
      <c r="U337" s="1" t="s">
        <v>3510</v>
      </c>
      <c r="X337" s="1" t="s">
        <v>3511</v>
      </c>
      <c r="Y337" s="1">
        <v>230.0</v>
      </c>
      <c r="Z337" s="3" t="s">
        <v>3512</v>
      </c>
      <c r="AA337" s="1">
        <v>642724.0</v>
      </c>
      <c r="AB337" s="1" t="s">
        <v>3513</v>
      </c>
      <c r="AC337" s="3" t="s">
        <v>3514</v>
      </c>
      <c r="AD337" s="3" t="s">
        <v>3515</v>
      </c>
      <c r="AE337" s="1">
        <v>1.0</v>
      </c>
      <c r="AF337" s="1" t="s">
        <v>3516</v>
      </c>
      <c r="AG337" s="1">
        <v>19.0</v>
      </c>
      <c r="AH337" s="1">
        <v>30.0</v>
      </c>
      <c r="AI337" s="1">
        <v>4.0</v>
      </c>
      <c r="AJ337" s="1">
        <v>7.0</v>
      </c>
      <c r="AK337" s="1">
        <v>0.0</v>
      </c>
      <c r="AL337" s="1">
        <v>4.0</v>
      </c>
      <c r="AM337" s="1">
        <v>31.0</v>
      </c>
      <c r="AN337" s="1">
        <v>8.0</v>
      </c>
      <c r="AO337" s="1">
        <v>0.0</v>
      </c>
      <c r="AP337" s="1">
        <v>0.0</v>
      </c>
      <c r="AQ337" s="1">
        <v>6.0</v>
      </c>
      <c r="AR337" s="1">
        <v>22.0</v>
      </c>
      <c r="AS337" s="1">
        <v>0.0</v>
      </c>
    </row>
    <row r="338" hidden="1">
      <c r="A338" s="1">
        <v>65.0</v>
      </c>
      <c r="B338" s="1" t="s">
        <v>3517</v>
      </c>
      <c r="C338" s="1" t="s">
        <v>3518</v>
      </c>
      <c r="D338" s="1" t="s">
        <v>629</v>
      </c>
      <c r="E338" s="1" t="s">
        <v>58</v>
      </c>
      <c r="F338" s="2">
        <v>23078.0</v>
      </c>
      <c r="G338" s="1">
        <f t="shared" si="1"/>
        <v>63</v>
      </c>
      <c r="H338" s="1" t="s">
        <v>1016</v>
      </c>
      <c r="I338" s="1" t="str">
        <f>IFERROR(__xludf.DUMMYFUNCTION("SPLIT(left(H338,len(H338)-1),""("")"),"Nevers ")</f>
        <v>Nevers </v>
      </c>
      <c r="J338" s="1" t="str">
        <f>IFERROR(__xludf.DUMMYFUNCTION("""COMPUTED_VALUE"""),"Nièvre")</f>
        <v>Nièvre</v>
      </c>
      <c r="K338" s="1" t="str">
        <f>IFERROR(__xludf.DUMMYFUNCTION("IF( COUNTA( IFERROR( FILTER('départements_edition'!$C$2:$C$102 , 'départements_edition'!$C$2:$C$102=J338 ) ) ) , ""Oui"" , ""Non"" )"),"Oui")</f>
        <v>Oui</v>
      </c>
      <c r="L338" s="1" t="str">
        <f t="shared" si="2"/>
        <v>France</v>
      </c>
      <c r="M338" s="1">
        <v>51.0</v>
      </c>
      <c r="N338" s="1" t="s">
        <v>208</v>
      </c>
      <c r="O338" s="1">
        <v>1.0</v>
      </c>
      <c r="P338" s="2">
        <v>42907.0</v>
      </c>
      <c r="R338" s="1">
        <v>0.0</v>
      </c>
      <c r="S338" s="1" t="s">
        <v>61</v>
      </c>
      <c r="T338" s="1" t="s">
        <v>62</v>
      </c>
      <c r="U338" s="1" t="s">
        <v>3519</v>
      </c>
      <c r="X338" s="1">
        <v>0.0</v>
      </c>
      <c r="Y338" s="1">
        <v>14.0</v>
      </c>
      <c r="Z338" s="3" t="s">
        <v>3520</v>
      </c>
      <c r="AA338" s="1">
        <v>720210.0</v>
      </c>
      <c r="AB338" s="1" t="s">
        <v>3521</v>
      </c>
      <c r="AC338" s="3" t="s">
        <v>3522</v>
      </c>
      <c r="AD338" s="3" t="s">
        <v>3523</v>
      </c>
      <c r="AE338" s="1">
        <v>1.0</v>
      </c>
      <c r="AF338" s="1" t="s">
        <v>3524</v>
      </c>
      <c r="AG338" s="1">
        <v>19.0</v>
      </c>
      <c r="AH338" s="1">
        <v>29.0</v>
      </c>
      <c r="AI338" s="1">
        <v>15.0</v>
      </c>
      <c r="AJ338" s="1">
        <v>21.0</v>
      </c>
      <c r="AK338" s="1">
        <v>36.0</v>
      </c>
      <c r="AL338" s="1">
        <v>34.0</v>
      </c>
      <c r="AM338" s="1">
        <v>546.0</v>
      </c>
      <c r="AN338" s="1">
        <v>25.0</v>
      </c>
      <c r="AO338" s="1">
        <v>0.0</v>
      </c>
      <c r="AP338" s="1">
        <v>2.0</v>
      </c>
      <c r="AQ338" s="1">
        <v>20.0</v>
      </c>
      <c r="AR338" s="1">
        <v>30.0</v>
      </c>
      <c r="AS338" s="1">
        <v>1.0</v>
      </c>
    </row>
    <row r="339" hidden="1">
      <c r="A339" s="1">
        <v>210.0</v>
      </c>
      <c r="B339" s="1" t="s">
        <v>3525</v>
      </c>
      <c r="C339" s="1" t="s">
        <v>3526</v>
      </c>
      <c r="D339" s="1" t="s">
        <v>3527</v>
      </c>
      <c r="E339" s="1" t="s">
        <v>58</v>
      </c>
      <c r="F339" s="2">
        <v>24308.0</v>
      </c>
      <c r="G339" s="1">
        <f t="shared" si="1"/>
        <v>60</v>
      </c>
      <c r="H339" s="1" t="s">
        <v>2442</v>
      </c>
      <c r="I339" s="1" t="str">
        <f>IFERROR(__xludf.DUMMYFUNCTION("SPLIT(left(H339,len(H339)-1),""("")"),"Rodez ")</f>
        <v>Rodez </v>
      </c>
      <c r="J339" s="1" t="str">
        <f>IFERROR(__xludf.DUMMYFUNCTION("""COMPUTED_VALUE"""),"Aveyron")</f>
        <v>Aveyron</v>
      </c>
      <c r="K339" s="1" t="str">
        <f>IFERROR(__xludf.DUMMYFUNCTION("IF( COUNTA( IFERROR( FILTER('départements_edition'!$C$2:$C$102 , 'départements_edition'!$C$2:$C$102=J339 ) ) ) , ""Oui"" , ""Non"" )"),"Oui")</f>
        <v>Oui</v>
      </c>
      <c r="L339" s="1" t="str">
        <f t="shared" si="2"/>
        <v>France</v>
      </c>
      <c r="M339" s="1">
        <v>12.0</v>
      </c>
      <c r="N339" s="1" t="s">
        <v>685</v>
      </c>
      <c r="O339" s="1">
        <v>2.0</v>
      </c>
      <c r="P339" s="2">
        <v>42907.0</v>
      </c>
      <c r="R339" s="1">
        <v>0.0</v>
      </c>
      <c r="S339" s="1" t="s">
        <v>75</v>
      </c>
      <c r="T339" s="1" t="s">
        <v>76</v>
      </c>
      <c r="U339" s="1" t="s">
        <v>3528</v>
      </c>
      <c r="X339" s="1" t="s">
        <v>3529</v>
      </c>
      <c r="Y339" s="1">
        <v>317.0</v>
      </c>
      <c r="Z339" s="3" t="s">
        <v>3530</v>
      </c>
      <c r="AA339" s="1">
        <v>718990.0</v>
      </c>
      <c r="AB339" s="1" t="s">
        <v>3531</v>
      </c>
      <c r="AC339" s="3" t="s">
        <v>3532</v>
      </c>
      <c r="AD339" s="3" t="s">
        <v>3533</v>
      </c>
      <c r="AE339" s="1">
        <v>1.0</v>
      </c>
      <c r="AF339" s="1" t="s">
        <v>3534</v>
      </c>
      <c r="AG339" s="1">
        <v>19.0</v>
      </c>
      <c r="AH339" s="1">
        <v>29.0</v>
      </c>
      <c r="AI339" s="1">
        <v>7.0</v>
      </c>
      <c r="AJ339" s="1">
        <v>1.0</v>
      </c>
      <c r="AK339" s="1">
        <v>0.0</v>
      </c>
      <c r="AL339" s="1">
        <v>0.0</v>
      </c>
      <c r="AM339" s="1">
        <v>60.0</v>
      </c>
      <c r="AN339" s="1">
        <v>25.0</v>
      </c>
      <c r="AO339" s="1">
        <v>0.0</v>
      </c>
      <c r="AP339" s="1">
        <v>0.0</v>
      </c>
      <c r="AQ339" s="1">
        <v>6.0</v>
      </c>
      <c r="AR339" s="1">
        <v>2.0</v>
      </c>
      <c r="AS339" s="1">
        <v>1.0</v>
      </c>
    </row>
    <row r="340" hidden="1">
      <c r="A340" s="1">
        <v>452.0</v>
      </c>
      <c r="B340" s="1" t="s">
        <v>3535</v>
      </c>
      <c r="C340" s="1" t="s">
        <v>3536</v>
      </c>
      <c r="D340" s="1" t="s">
        <v>3537</v>
      </c>
      <c r="E340" s="1" t="s">
        <v>43</v>
      </c>
      <c r="F340" s="2">
        <v>21887.0</v>
      </c>
      <c r="G340" s="1">
        <f t="shared" si="1"/>
        <v>66</v>
      </c>
      <c r="H340" s="1" t="s">
        <v>207</v>
      </c>
      <c r="I340" s="1" t="str">
        <f>IFERROR(__xludf.DUMMYFUNCTION("SPLIT(left(H340,len(H340)-1),""("")"),"Paris ")</f>
        <v>Paris </v>
      </c>
      <c r="J340" s="1" t="str">
        <f>IFERROR(__xludf.DUMMYFUNCTION("""COMPUTED_VALUE"""),"Paris")</f>
        <v>Paris</v>
      </c>
      <c r="K340" s="1" t="str">
        <f>IFERROR(__xludf.DUMMYFUNCTION("IF( COUNTA( IFERROR( FILTER('départements_edition'!$C$2:$C$102 , 'départements_edition'!$C$2:$C$102=J340 ) ) ) , ""Oui"" , ""Non"" )"),"Oui")</f>
        <v>Oui</v>
      </c>
      <c r="L340" s="1" t="str">
        <f t="shared" si="2"/>
        <v>France</v>
      </c>
      <c r="M340" s="1">
        <v>60.0</v>
      </c>
      <c r="N340" s="1" t="s">
        <v>769</v>
      </c>
      <c r="O340" s="1">
        <v>3.0</v>
      </c>
      <c r="P340" s="2">
        <v>42907.0</v>
      </c>
      <c r="R340" s="1">
        <v>0.0</v>
      </c>
      <c r="S340" s="1" t="s">
        <v>75</v>
      </c>
      <c r="T340" s="1" t="s">
        <v>76</v>
      </c>
      <c r="U340" s="1" t="s">
        <v>3538</v>
      </c>
      <c r="X340" s="1" t="s">
        <v>162</v>
      </c>
      <c r="Y340" s="1">
        <v>414.0</v>
      </c>
      <c r="Z340" s="3" t="s">
        <v>3539</v>
      </c>
      <c r="AA340" s="1">
        <v>720576.0</v>
      </c>
      <c r="AB340" s="1" t="s">
        <v>3540</v>
      </c>
      <c r="AC340" s="3" t="s">
        <v>3541</v>
      </c>
      <c r="AD340" s="3" t="s">
        <v>3542</v>
      </c>
      <c r="AE340" s="1">
        <v>2.0</v>
      </c>
      <c r="AF340" s="1" t="s">
        <v>3543</v>
      </c>
      <c r="AG340" s="1">
        <v>19.0</v>
      </c>
      <c r="AH340" s="1">
        <v>35.0</v>
      </c>
      <c r="AI340" s="1">
        <v>8.0</v>
      </c>
      <c r="AJ340" s="1">
        <v>11.0</v>
      </c>
      <c r="AK340" s="1">
        <v>2.0</v>
      </c>
      <c r="AL340" s="1">
        <v>0.0</v>
      </c>
      <c r="AM340" s="1">
        <v>58.0</v>
      </c>
      <c r="AN340" s="1">
        <v>22.0</v>
      </c>
      <c r="AO340" s="1">
        <v>0.0</v>
      </c>
      <c r="AP340" s="1">
        <v>0.0</v>
      </c>
      <c r="AQ340" s="1">
        <v>5.0</v>
      </c>
      <c r="AR340" s="1">
        <v>2.0</v>
      </c>
      <c r="AS340" s="1">
        <v>2.0</v>
      </c>
    </row>
    <row r="341" hidden="1">
      <c r="A341" s="1">
        <v>504.0</v>
      </c>
      <c r="B341" s="1" t="s">
        <v>3544</v>
      </c>
      <c r="C341" s="1" t="s">
        <v>3545</v>
      </c>
      <c r="D341" s="1" t="s">
        <v>3527</v>
      </c>
      <c r="E341" s="1" t="s">
        <v>58</v>
      </c>
      <c r="F341" s="2">
        <v>25900.0</v>
      </c>
      <c r="G341" s="1">
        <f t="shared" si="1"/>
        <v>55</v>
      </c>
      <c r="H341" s="1" t="s">
        <v>3546</v>
      </c>
      <c r="I341" s="1" t="str">
        <f>IFERROR(__xludf.DUMMYFUNCTION("SPLIT(left(H341,len(H341)-1),""("")"),"Versailles ")</f>
        <v>Versailles </v>
      </c>
      <c r="J341" s="1" t="str">
        <f>IFERROR(__xludf.DUMMYFUNCTION("""COMPUTED_VALUE"""),"Yvelines")</f>
        <v>Yvelines</v>
      </c>
      <c r="K341" s="1" t="str">
        <f>IFERROR(__xludf.DUMMYFUNCTION("IF( COUNTA( IFERROR( FILTER('départements_edition'!$C$2:$C$102 , 'départements_edition'!$C$2:$C$102=J341 ) ) ) , ""Oui"" , ""Non"" )"),"Oui")</f>
        <v>Oui</v>
      </c>
      <c r="L341" s="1" t="str">
        <f t="shared" si="2"/>
        <v>France</v>
      </c>
      <c r="M341" s="1">
        <v>69.0</v>
      </c>
      <c r="N341" s="1" t="s">
        <v>1363</v>
      </c>
      <c r="O341" s="1">
        <v>4.0</v>
      </c>
      <c r="P341" s="2">
        <v>42907.0</v>
      </c>
      <c r="R341" s="1">
        <v>0.0</v>
      </c>
      <c r="S341" s="1" t="s">
        <v>75</v>
      </c>
      <c r="T341" s="1" t="s">
        <v>76</v>
      </c>
      <c r="U341" s="1" t="s">
        <v>3547</v>
      </c>
      <c r="X341" s="1" t="s">
        <v>118</v>
      </c>
      <c r="Y341" s="1">
        <v>434.0</v>
      </c>
      <c r="Z341" s="3" t="s">
        <v>3548</v>
      </c>
      <c r="AA341" s="1">
        <v>721328.0</v>
      </c>
      <c r="AB341" s="1" t="s">
        <v>3549</v>
      </c>
      <c r="AC341" s="3" t="s">
        <v>3550</v>
      </c>
      <c r="AD341" s="3" t="s">
        <v>3551</v>
      </c>
      <c r="AE341" s="1">
        <v>2.0</v>
      </c>
      <c r="AF341" s="1" t="s">
        <v>3552</v>
      </c>
      <c r="AG341" s="1">
        <v>19.0</v>
      </c>
      <c r="AH341" s="1">
        <v>39.0</v>
      </c>
      <c r="AI341" s="1">
        <v>27.0</v>
      </c>
      <c r="AJ341" s="1">
        <v>29.0</v>
      </c>
      <c r="AK341" s="1">
        <v>14.0</v>
      </c>
      <c r="AL341" s="1">
        <v>10.0</v>
      </c>
      <c r="AM341" s="1">
        <v>44.0</v>
      </c>
      <c r="AN341" s="1">
        <v>14.0</v>
      </c>
      <c r="AO341" s="1">
        <v>0.0</v>
      </c>
      <c r="AP341" s="1">
        <v>0.0</v>
      </c>
      <c r="AQ341" s="1">
        <v>6.0</v>
      </c>
      <c r="AR341" s="1">
        <v>1.0</v>
      </c>
      <c r="AS341" s="1">
        <v>2.0</v>
      </c>
    </row>
    <row r="342" hidden="1">
      <c r="A342" s="1">
        <v>184.0</v>
      </c>
      <c r="B342" s="1" t="s">
        <v>3553</v>
      </c>
      <c r="C342" s="1" t="s">
        <v>3554</v>
      </c>
      <c r="D342" s="1" t="s">
        <v>3555</v>
      </c>
      <c r="E342" s="1" t="s">
        <v>58</v>
      </c>
      <c r="F342" s="2">
        <v>17352.0</v>
      </c>
      <c r="G342" s="1">
        <f t="shared" si="1"/>
        <v>79</v>
      </c>
      <c r="H342" s="1" t="s">
        <v>3556</v>
      </c>
      <c r="I342" s="1" t="str">
        <f>IFERROR(__xludf.DUMMYFUNCTION("SPLIT(left(H342,len(H342)-1),""("")"),"Longwy sur le Doubs ")</f>
        <v>Longwy sur le Doubs </v>
      </c>
      <c r="J342" s="1" t="str">
        <f>IFERROR(__xludf.DUMMYFUNCTION("""COMPUTED_VALUE"""),"Jura")</f>
        <v>Jura</v>
      </c>
      <c r="K342" s="1" t="str">
        <f>IFERROR(__xludf.DUMMYFUNCTION("IF( COUNTA( IFERROR( FILTER('départements_edition'!$C$2:$C$102 , 'départements_edition'!$C$2:$C$102=J342 ) ) ) , ""Oui"" , ""Non"" )"),"Oui")</f>
        <v>Oui</v>
      </c>
      <c r="L342" s="1" t="str">
        <f t="shared" si="2"/>
        <v>France</v>
      </c>
      <c r="M342" s="1">
        <v>39.0</v>
      </c>
      <c r="N342" s="1" t="s">
        <v>128</v>
      </c>
      <c r="O342" s="1">
        <v>1.0</v>
      </c>
      <c r="P342" s="2">
        <v>42907.0</v>
      </c>
      <c r="R342" s="1">
        <v>0.0</v>
      </c>
      <c r="S342" s="1" t="s">
        <v>75</v>
      </c>
      <c r="T342" s="1" t="s">
        <v>76</v>
      </c>
      <c r="U342" s="1" t="s">
        <v>3557</v>
      </c>
      <c r="X342" s="1" t="s">
        <v>3558</v>
      </c>
      <c r="Y342" s="1">
        <v>549.0</v>
      </c>
      <c r="Z342" s="3" t="s">
        <v>3559</v>
      </c>
      <c r="AA342" s="1">
        <v>719890.0</v>
      </c>
      <c r="AB342" s="1" t="s">
        <v>3560</v>
      </c>
      <c r="AC342" s="3" t="s">
        <v>3561</v>
      </c>
      <c r="AD342" s="3" t="s">
        <v>3562</v>
      </c>
      <c r="AE342" s="1">
        <v>2.0</v>
      </c>
      <c r="AF342" s="1" t="s">
        <v>3563</v>
      </c>
      <c r="AG342" s="1">
        <v>19.0</v>
      </c>
      <c r="AH342" s="1">
        <v>28.0</v>
      </c>
      <c r="AI342" s="1">
        <v>5.0</v>
      </c>
      <c r="AJ342" s="1">
        <v>161.0</v>
      </c>
      <c r="AK342" s="1">
        <v>841.0</v>
      </c>
      <c r="AL342" s="1">
        <v>1.0</v>
      </c>
      <c r="AM342" s="1">
        <v>107.0</v>
      </c>
      <c r="AN342" s="1">
        <v>47.0</v>
      </c>
      <c r="AO342" s="1">
        <v>0.0</v>
      </c>
      <c r="AP342" s="1">
        <v>0.0</v>
      </c>
      <c r="AQ342" s="1">
        <v>6.0</v>
      </c>
      <c r="AR342" s="1">
        <v>10.0</v>
      </c>
      <c r="AS342" s="1">
        <v>2.0</v>
      </c>
    </row>
    <row r="343" hidden="1">
      <c r="A343" s="1">
        <v>437.0</v>
      </c>
      <c r="B343" s="1" t="s">
        <v>3564</v>
      </c>
      <c r="C343" s="1" t="s">
        <v>3565</v>
      </c>
      <c r="D343" s="1" t="s">
        <v>1540</v>
      </c>
      <c r="E343" s="1" t="s">
        <v>43</v>
      </c>
      <c r="F343" s="2">
        <v>27102.0</v>
      </c>
      <c r="G343" s="1">
        <f t="shared" si="1"/>
        <v>52</v>
      </c>
      <c r="H343" s="1" t="s">
        <v>1273</v>
      </c>
      <c r="I343" s="1" t="str">
        <f>IFERROR(__xludf.DUMMYFUNCTION("SPLIT(left(H343,len(H343)-1),""("")"),"Strasbourg ")</f>
        <v>Strasbourg </v>
      </c>
      <c r="J343" s="1" t="str">
        <f>IFERROR(__xludf.DUMMYFUNCTION("""COMPUTED_VALUE"""),"Bas-Rhin")</f>
        <v>Bas-Rhin</v>
      </c>
      <c r="K343" s="1" t="str">
        <f>IFERROR(__xludf.DUMMYFUNCTION("IF( COUNTA( IFERROR( FILTER('départements_edition'!$C$2:$C$102 , 'départements_edition'!$C$2:$C$102=J343 ) ) ) , ""Oui"" , ""Non"" )"),"Oui")</f>
        <v>Oui</v>
      </c>
      <c r="L343" s="1" t="str">
        <f t="shared" si="2"/>
        <v>France</v>
      </c>
      <c r="M343" s="1">
        <v>85.0</v>
      </c>
      <c r="N343" s="1" t="s">
        <v>1853</v>
      </c>
      <c r="O343" s="1">
        <v>3.0</v>
      </c>
      <c r="P343" s="2">
        <v>42907.0</v>
      </c>
      <c r="R343" s="1">
        <v>0.0</v>
      </c>
      <c r="S343" s="1" t="s">
        <v>75</v>
      </c>
      <c r="T343" s="1" t="s">
        <v>76</v>
      </c>
      <c r="U343" s="1" t="s">
        <v>3566</v>
      </c>
      <c r="X343" s="1" t="s">
        <v>234</v>
      </c>
      <c r="Y343" s="1">
        <v>632.0</v>
      </c>
      <c r="Z343" s="3" t="s">
        <v>3567</v>
      </c>
      <c r="AA343" s="1">
        <v>722000.0</v>
      </c>
      <c r="AB343" s="1" t="s">
        <v>3568</v>
      </c>
      <c r="AC343" s="3" t="s">
        <v>3569</v>
      </c>
      <c r="AD343" s="3" t="s">
        <v>3570</v>
      </c>
      <c r="AE343" s="1">
        <v>1.0</v>
      </c>
      <c r="AF343" s="1" t="s">
        <v>3571</v>
      </c>
      <c r="AG343" s="1">
        <v>19.0</v>
      </c>
      <c r="AH343" s="1">
        <v>33.0</v>
      </c>
      <c r="AI343" s="1">
        <v>4.0</v>
      </c>
      <c r="AJ343" s="1">
        <v>2.0</v>
      </c>
      <c r="AK343" s="1">
        <v>3.0</v>
      </c>
      <c r="AL343" s="1">
        <v>0.0</v>
      </c>
      <c r="AM343" s="1">
        <v>87.0</v>
      </c>
      <c r="AN343" s="1">
        <v>43.0</v>
      </c>
      <c r="AO343" s="1">
        <v>0.0</v>
      </c>
      <c r="AP343" s="1">
        <v>0.0</v>
      </c>
      <c r="AQ343" s="1">
        <v>5.0</v>
      </c>
      <c r="AR343" s="1">
        <v>3.0</v>
      </c>
      <c r="AS343" s="1">
        <v>0.0</v>
      </c>
    </row>
    <row r="344" hidden="1">
      <c r="A344" s="1">
        <v>372.0</v>
      </c>
      <c r="B344" s="1" t="s">
        <v>3572</v>
      </c>
      <c r="C344" s="1" t="s">
        <v>3573</v>
      </c>
      <c r="D344" s="1" t="s">
        <v>3574</v>
      </c>
      <c r="E344" s="1" t="s">
        <v>43</v>
      </c>
      <c r="F344" s="2">
        <v>26059.0</v>
      </c>
      <c r="G344" s="1">
        <f t="shared" si="1"/>
        <v>55</v>
      </c>
      <c r="H344" s="1" t="s">
        <v>404</v>
      </c>
      <c r="I344" s="1" t="str">
        <f>IFERROR(__xludf.DUMMYFUNCTION("SPLIT(left(H344,len(H344)-1),""("")"),"Toulouse ")</f>
        <v>Toulouse </v>
      </c>
      <c r="J344" s="1" t="str">
        <f>IFERROR(__xludf.DUMMYFUNCTION("""COMPUTED_VALUE"""),"Haute-Garonne")</f>
        <v>Haute-Garonne</v>
      </c>
      <c r="K344" s="1" t="str">
        <f>IFERROR(__xludf.DUMMYFUNCTION("IF( COUNTA( IFERROR( FILTER('départements_edition'!$C$2:$C$102 , 'départements_edition'!$C$2:$C$102=J344 ) ) ) , ""Oui"" , ""Non"" )"),"Oui")</f>
        <v>Oui</v>
      </c>
      <c r="L344" s="1" t="str">
        <f t="shared" si="2"/>
        <v>France</v>
      </c>
      <c r="M344" s="1">
        <v>40.0</v>
      </c>
      <c r="N344" s="1" t="s">
        <v>664</v>
      </c>
      <c r="O344" s="1">
        <v>2.0</v>
      </c>
      <c r="P344" s="2">
        <v>42907.0</v>
      </c>
      <c r="R344" s="1">
        <v>0.0</v>
      </c>
      <c r="S344" s="1" t="s">
        <v>75</v>
      </c>
      <c r="T344" s="1" t="s">
        <v>76</v>
      </c>
      <c r="X344" s="1" t="s">
        <v>162</v>
      </c>
      <c r="Y344" s="1">
        <v>362.0</v>
      </c>
      <c r="Z344" s="3" t="s">
        <v>3575</v>
      </c>
      <c r="AA344" s="1">
        <v>719922.0</v>
      </c>
      <c r="AB344" s="1" t="s">
        <v>3576</v>
      </c>
      <c r="AC344" s="3" t="s">
        <v>3577</v>
      </c>
      <c r="AD344" s="3" t="s">
        <v>3578</v>
      </c>
      <c r="AE344" s="1">
        <v>2.0</v>
      </c>
      <c r="AG344" s="1">
        <v>19.0</v>
      </c>
      <c r="AH344" s="1">
        <v>35.0</v>
      </c>
      <c r="AI344" s="1">
        <v>5.0</v>
      </c>
      <c r="AJ344" s="1">
        <v>11.0</v>
      </c>
      <c r="AK344" s="1">
        <v>3.0</v>
      </c>
      <c r="AL344" s="1">
        <v>6.0</v>
      </c>
      <c r="AM344" s="1">
        <v>105.0</v>
      </c>
      <c r="AN344" s="1">
        <v>44.0</v>
      </c>
      <c r="AO344" s="1">
        <v>0.0</v>
      </c>
      <c r="AP344" s="1">
        <v>0.0</v>
      </c>
      <c r="AQ344" s="1">
        <v>5.0</v>
      </c>
      <c r="AR344" s="1">
        <v>8.0</v>
      </c>
      <c r="AS344" s="1">
        <v>2.0</v>
      </c>
    </row>
    <row r="345" hidden="1">
      <c r="A345" s="1">
        <v>559.0</v>
      </c>
      <c r="B345" s="1" t="s">
        <v>3579</v>
      </c>
      <c r="C345" s="1" t="s">
        <v>3580</v>
      </c>
      <c r="D345" s="1" t="s">
        <v>3056</v>
      </c>
      <c r="E345" s="1" t="s">
        <v>43</v>
      </c>
      <c r="F345" s="2">
        <v>25841.0</v>
      </c>
      <c r="G345" s="1">
        <f t="shared" si="1"/>
        <v>55</v>
      </c>
      <c r="H345" s="1" t="s">
        <v>2268</v>
      </c>
      <c r="I345" s="1" t="str">
        <f>IFERROR(__xludf.DUMMYFUNCTION("SPLIT(left(H345,len(H345)-1),""("")"),"Avignon ")</f>
        <v>Avignon </v>
      </c>
      <c r="J345" s="1" t="str">
        <f>IFERROR(__xludf.DUMMYFUNCTION("""COMPUTED_VALUE"""),"Vaucluse")</f>
        <v>Vaucluse</v>
      </c>
      <c r="K345" s="1" t="str">
        <f>IFERROR(__xludf.DUMMYFUNCTION("IF( COUNTA( IFERROR( FILTER('départements_edition'!$C$2:$C$102 , 'départements_edition'!$C$2:$C$102=J345 ) ) ) , ""Oui"" , ""Non"" )"),"Oui")</f>
        <v>Oui</v>
      </c>
      <c r="L345" s="1" t="str">
        <f t="shared" si="2"/>
        <v>France</v>
      </c>
      <c r="M345" s="1">
        <v>84.0</v>
      </c>
      <c r="N345" s="1" t="s">
        <v>719</v>
      </c>
      <c r="O345" s="1">
        <v>1.0</v>
      </c>
      <c r="P345" s="2">
        <v>42907.0</v>
      </c>
      <c r="R345" s="1">
        <v>0.0</v>
      </c>
      <c r="S345" s="1" t="s">
        <v>75</v>
      </c>
      <c r="T345" s="1" t="s">
        <v>76</v>
      </c>
      <c r="U345" s="1" t="s">
        <v>3581</v>
      </c>
      <c r="X345" s="1" t="s">
        <v>198</v>
      </c>
      <c r="Y345" s="1">
        <v>536.0</v>
      </c>
      <c r="Z345" s="3" t="s">
        <v>3582</v>
      </c>
      <c r="AA345" s="1">
        <v>721860.0</v>
      </c>
      <c r="AB345" s="1" t="s">
        <v>3583</v>
      </c>
      <c r="AC345" s="3" t="s">
        <v>3584</v>
      </c>
      <c r="AD345" s="3" t="s">
        <v>3585</v>
      </c>
      <c r="AE345" s="1">
        <v>1.0</v>
      </c>
      <c r="AF345" s="1" t="s">
        <v>3586</v>
      </c>
      <c r="AG345" s="1">
        <v>19.0</v>
      </c>
      <c r="AH345" s="1">
        <v>30.0</v>
      </c>
      <c r="AI345" s="1">
        <v>4.0</v>
      </c>
      <c r="AJ345" s="1">
        <v>14.0</v>
      </c>
      <c r="AK345" s="1">
        <v>2.0</v>
      </c>
      <c r="AL345" s="1">
        <v>0.0</v>
      </c>
      <c r="AM345" s="1">
        <v>171.0</v>
      </c>
      <c r="AN345" s="1">
        <v>75.0</v>
      </c>
      <c r="AO345" s="1">
        <v>0.0</v>
      </c>
      <c r="AP345" s="1">
        <v>0.0</v>
      </c>
      <c r="AQ345" s="1">
        <v>6.0</v>
      </c>
      <c r="AR345" s="1">
        <v>0.0</v>
      </c>
      <c r="AS345" s="1">
        <v>2.0</v>
      </c>
    </row>
    <row r="346" hidden="1">
      <c r="A346" s="1">
        <v>238.0</v>
      </c>
      <c r="B346" s="1" t="s">
        <v>3587</v>
      </c>
      <c r="C346" s="1" t="s">
        <v>3588</v>
      </c>
      <c r="D346" s="1" t="s">
        <v>3589</v>
      </c>
      <c r="E346" s="1" t="s">
        <v>58</v>
      </c>
      <c r="F346" s="2">
        <v>22416.0</v>
      </c>
      <c r="G346" s="1">
        <f t="shared" si="1"/>
        <v>65</v>
      </c>
      <c r="H346" s="1" t="s">
        <v>3590</v>
      </c>
      <c r="I346" s="1" t="str">
        <f>IFERROR(__xludf.DUMMYFUNCTION("SPLIT(left(H346,len(H346)-1),""("")"),"Montreuil-sous-Bois ")</f>
        <v>Montreuil-sous-Bois </v>
      </c>
      <c r="J346" s="1" t="str">
        <f>IFERROR(__xludf.DUMMYFUNCTION("""COMPUTED_VALUE"""),"Seine-Saint-Denis")</f>
        <v>Seine-Saint-Denis</v>
      </c>
      <c r="K346" s="1" t="str">
        <f>IFERROR(__xludf.DUMMYFUNCTION("IF( COUNTA( IFERROR( FILTER('départements_edition'!$C$2:$C$102 , 'départements_edition'!$C$2:$C$102=J346 ) ) ) , ""Oui"" , ""Non"" )"),"Oui")</f>
        <v>Oui</v>
      </c>
      <c r="L346" s="1" t="str">
        <f t="shared" si="2"/>
        <v>France</v>
      </c>
      <c r="M346" s="1">
        <v>93.0</v>
      </c>
      <c r="N346" s="1" t="s">
        <v>196</v>
      </c>
      <c r="O346" s="1">
        <v>8.0</v>
      </c>
      <c r="P346" s="2">
        <v>42907.0</v>
      </c>
      <c r="R346" s="1">
        <v>0.0</v>
      </c>
      <c r="S346" s="1" t="s">
        <v>75</v>
      </c>
      <c r="T346" s="1" t="s">
        <v>76</v>
      </c>
      <c r="U346" s="1" t="s">
        <v>3591</v>
      </c>
      <c r="X346" s="1" t="s">
        <v>118</v>
      </c>
      <c r="Y346" s="1">
        <v>561.0</v>
      </c>
      <c r="Z346" s="3" t="s">
        <v>3592</v>
      </c>
      <c r="AA346" s="1">
        <v>721218.0</v>
      </c>
      <c r="AB346" s="1" t="s">
        <v>3593</v>
      </c>
      <c r="AC346" s="3" t="s">
        <v>3594</v>
      </c>
      <c r="AD346" s="3" t="s">
        <v>3595</v>
      </c>
      <c r="AE346" s="1">
        <v>1.0</v>
      </c>
      <c r="AF346" s="1" t="s">
        <v>3596</v>
      </c>
      <c r="AG346" s="1">
        <v>19.0</v>
      </c>
      <c r="AH346" s="1">
        <v>33.0</v>
      </c>
      <c r="AI346" s="1">
        <v>13.0</v>
      </c>
      <c r="AJ346" s="1">
        <v>6.0</v>
      </c>
      <c r="AK346" s="1">
        <v>1.0</v>
      </c>
      <c r="AL346" s="1">
        <v>1.0</v>
      </c>
      <c r="AM346" s="1">
        <v>42.0</v>
      </c>
      <c r="AN346" s="1">
        <v>15.0</v>
      </c>
      <c r="AO346" s="1">
        <v>0.0</v>
      </c>
      <c r="AP346" s="1">
        <v>0.0</v>
      </c>
      <c r="AQ346" s="1">
        <v>6.0</v>
      </c>
      <c r="AR346" s="1">
        <v>2.0</v>
      </c>
      <c r="AS346" s="1">
        <v>2.0</v>
      </c>
    </row>
    <row r="347" hidden="1">
      <c r="A347" s="1">
        <v>330.0</v>
      </c>
      <c r="B347" s="1" t="s">
        <v>3597</v>
      </c>
      <c r="C347" s="1" t="s">
        <v>3598</v>
      </c>
      <c r="D347" s="1" t="s">
        <v>3599</v>
      </c>
      <c r="E347" s="1" t="s">
        <v>58</v>
      </c>
      <c r="F347" s="2">
        <v>31047.0</v>
      </c>
      <c r="G347" s="1">
        <f t="shared" si="1"/>
        <v>41</v>
      </c>
      <c r="H347" s="1" t="s">
        <v>3250</v>
      </c>
      <c r="I347" s="1" t="str">
        <f>IFERROR(__xludf.DUMMYFUNCTION("SPLIT(left(H347,len(H347)-1),""("")"),"Annecy ")</f>
        <v>Annecy </v>
      </c>
      <c r="J347" s="1" t="str">
        <f>IFERROR(__xludf.DUMMYFUNCTION("""COMPUTED_VALUE"""),"Haute-Savoie")</f>
        <v>Haute-Savoie</v>
      </c>
      <c r="K347" s="1" t="str">
        <f>IFERROR(__xludf.DUMMYFUNCTION("IF( COUNTA( IFERROR( FILTER('départements_edition'!$C$2:$C$102 , 'départements_edition'!$C$2:$C$102=J347 ) ) ) , ""Oui"" , ""Non"" )"),"Oui")</f>
        <v>Oui</v>
      </c>
      <c r="L347" s="1" t="str">
        <f t="shared" si="2"/>
        <v>France</v>
      </c>
      <c r="M347" s="1">
        <v>25.0</v>
      </c>
      <c r="N347" s="1" t="s">
        <v>149</v>
      </c>
      <c r="O347" s="1">
        <v>1.0</v>
      </c>
      <c r="P347" s="2">
        <v>42907.0</v>
      </c>
      <c r="R347" s="1">
        <v>0.0</v>
      </c>
      <c r="S347" s="1" t="s">
        <v>75</v>
      </c>
      <c r="T347" s="1" t="s">
        <v>76</v>
      </c>
      <c r="U347" s="1" t="s">
        <v>3600</v>
      </c>
      <c r="X347" s="1" t="s">
        <v>3601</v>
      </c>
      <c r="Y347" s="1">
        <v>528.0</v>
      </c>
      <c r="Z347" s="3" t="s">
        <v>3602</v>
      </c>
      <c r="AA347" s="1">
        <v>719170.0</v>
      </c>
      <c r="AB347" s="1" t="s">
        <v>3603</v>
      </c>
      <c r="AC347" s="3" t="s">
        <v>3604</v>
      </c>
      <c r="AD347" s="3" t="s">
        <v>3605</v>
      </c>
      <c r="AE347" s="1">
        <v>1.0</v>
      </c>
      <c r="AF347" s="1" t="s">
        <v>3606</v>
      </c>
      <c r="AG347" s="1">
        <v>19.0</v>
      </c>
      <c r="AH347" s="1">
        <v>39.0</v>
      </c>
      <c r="AI347" s="1">
        <v>9.0</v>
      </c>
      <c r="AJ347" s="1">
        <v>4.0</v>
      </c>
      <c r="AK347" s="1">
        <v>0.0</v>
      </c>
      <c r="AL347" s="1">
        <v>2.0</v>
      </c>
      <c r="AM347" s="1">
        <v>55.0</v>
      </c>
      <c r="AN347" s="1">
        <v>16.0</v>
      </c>
      <c r="AO347" s="1">
        <v>0.0</v>
      </c>
      <c r="AP347" s="1">
        <v>0.0</v>
      </c>
      <c r="AQ347" s="1">
        <v>6.0</v>
      </c>
      <c r="AR347" s="1">
        <v>10.0</v>
      </c>
      <c r="AS347" s="1">
        <v>2.0</v>
      </c>
    </row>
    <row r="348" hidden="1">
      <c r="A348" s="1">
        <v>155.0</v>
      </c>
      <c r="B348" s="1" t="s">
        <v>3607</v>
      </c>
      <c r="C348" s="1" t="s">
        <v>3608</v>
      </c>
      <c r="D348" s="1" t="s">
        <v>1968</v>
      </c>
      <c r="E348" s="1" t="s">
        <v>43</v>
      </c>
      <c r="F348" s="2">
        <v>17607.0</v>
      </c>
      <c r="G348" s="1">
        <f t="shared" si="1"/>
        <v>78</v>
      </c>
      <c r="H348" s="1" t="s">
        <v>3609</v>
      </c>
      <c r="I348" s="1" t="str">
        <f>IFERROR(__xludf.DUMMYFUNCTION("SPLIT(left(H348,len(H348)-1),""("")"),"Dombasle-sur-Meurthe ")</f>
        <v>Dombasle-sur-Meurthe </v>
      </c>
      <c r="J348" s="1" t="str">
        <f>IFERROR(__xludf.DUMMYFUNCTION("""COMPUTED_VALUE"""),"Meurthe-et-Moselle")</f>
        <v>Meurthe-et-Moselle</v>
      </c>
      <c r="K348" s="1" t="str">
        <f>IFERROR(__xludf.DUMMYFUNCTION("IF( COUNTA( IFERROR( FILTER('départements_edition'!$C$2:$C$102 , 'départements_edition'!$C$2:$C$102=J348 ) ) ) , ""Oui"" , ""Non"" )"),"Oui")</f>
        <v>Oui</v>
      </c>
      <c r="L348" s="1" t="str">
        <f t="shared" si="2"/>
        <v>France</v>
      </c>
      <c r="M348" s="1">
        <v>88.0</v>
      </c>
      <c r="N348" s="1" t="s">
        <v>1542</v>
      </c>
      <c r="O348" s="1">
        <v>2.0</v>
      </c>
      <c r="P348" s="2">
        <v>42907.0</v>
      </c>
      <c r="R348" s="1">
        <v>0.0</v>
      </c>
      <c r="S348" s="1" t="s">
        <v>61</v>
      </c>
      <c r="T348" s="1" t="s">
        <v>62</v>
      </c>
      <c r="U348" s="1" t="s">
        <v>3610</v>
      </c>
      <c r="X348" s="1" t="s">
        <v>1784</v>
      </c>
      <c r="Y348" s="1">
        <v>116.0</v>
      </c>
      <c r="Z348" s="3" t="s">
        <v>3611</v>
      </c>
      <c r="AA348" s="1">
        <v>856.0</v>
      </c>
      <c r="AB348" s="1" t="s">
        <v>3612</v>
      </c>
      <c r="AC348" s="3" t="s">
        <v>3613</v>
      </c>
      <c r="AD348" s="3" t="s">
        <v>3614</v>
      </c>
      <c r="AE348" s="1">
        <v>1.0</v>
      </c>
      <c r="AF348" s="1" t="s">
        <v>3615</v>
      </c>
      <c r="AG348" s="1">
        <v>19.0</v>
      </c>
      <c r="AH348" s="1">
        <v>37.0</v>
      </c>
      <c r="AI348" s="1">
        <v>28.0</v>
      </c>
      <c r="AJ348" s="1">
        <v>47.0</v>
      </c>
      <c r="AK348" s="1">
        <v>14.0</v>
      </c>
      <c r="AL348" s="1">
        <v>35.0</v>
      </c>
      <c r="AM348" s="1">
        <v>630.0</v>
      </c>
      <c r="AN348" s="1">
        <v>25.0</v>
      </c>
      <c r="AO348" s="1">
        <v>0.0</v>
      </c>
      <c r="AP348" s="1">
        <v>0.0</v>
      </c>
      <c r="AQ348" s="1">
        <v>13.0</v>
      </c>
      <c r="AR348" s="1">
        <v>1.0</v>
      </c>
      <c r="AS348" s="1">
        <v>0.0</v>
      </c>
    </row>
    <row r="349" hidden="1">
      <c r="A349" s="1">
        <v>571.0</v>
      </c>
      <c r="B349" s="1" t="s">
        <v>3616</v>
      </c>
      <c r="C349" s="1" t="s">
        <v>3617</v>
      </c>
      <c r="D349" s="1" t="s">
        <v>1451</v>
      </c>
      <c r="E349" s="1" t="s">
        <v>58</v>
      </c>
      <c r="F349" s="2">
        <v>23298.0</v>
      </c>
      <c r="G349" s="1">
        <f t="shared" si="1"/>
        <v>62</v>
      </c>
      <c r="H349" s="1" t="s">
        <v>652</v>
      </c>
      <c r="I349" s="1" t="str">
        <f>IFERROR(__xludf.DUMMYFUNCTION("SPLIT(left(H349,len(H349)-1),""("")"),"Belley ")</f>
        <v>Belley </v>
      </c>
      <c r="J349" s="1" t="str">
        <f>IFERROR(__xludf.DUMMYFUNCTION("""COMPUTED_VALUE"""),"Ain")</f>
        <v>Ain</v>
      </c>
      <c r="K349" s="1" t="str">
        <f>IFERROR(__xludf.DUMMYFUNCTION("IF( COUNTA( IFERROR( FILTER('départements_edition'!$C$2:$C$102 , 'départements_edition'!$C$2:$C$102=J349 ) ) ) , ""Oui"" , ""Non"" )"),"Oui")</f>
        <v>Oui</v>
      </c>
      <c r="L349" s="1" t="str">
        <f t="shared" si="2"/>
        <v>France</v>
      </c>
      <c r="M349" s="1">
        <v>26.0</v>
      </c>
      <c r="N349" s="1" t="s">
        <v>1873</v>
      </c>
      <c r="O349" s="1">
        <v>1.0</v>
      </c>
      <c r="P349" s="2">
        <v>42907.0</v>
      </c>
      <c r="R349" s="1">
        <v>0.0</v>
      </c>
      <c r="S349" s="1" t="s">
        <v>75</v>
      </c>
      <c r="T349" s="1" t="s">
        <v>76</v>
      </c>
      <c r="U349" s="1" t="s">
        <v>3618</v>
      </c>
      <c r="X349" s="1" t="s">
        <v>1037</v>
      </c>
      <c r="Y349" s="1">
        <v>358.0</v>
      </c>
      <c r="Z349" s="3" t="s">
        <v>3619</v>
      </c>
      <c r="AA349" s="1">
        <v>719294.0</v>
      </c>
      <c r="AB349" s="1" t="s">
        <v>3620</v>
      </c>
      <c r="AC349" s="3" t="s">
        <v>3621</v>
      </c>
      <c r="AD349" s="3" t="s">
        <v>3622</v>
      </c>
      <c r="AE349" s="1">
        <v>1.0</v>
      </c>
      <c r="AF349" s="1" t="s">
        <v>3623</v>
      </c>
      <c r="AG349" s="1">
        <v>19.0</v>
      </c>
      <c r="AH349" s="1">
        <v>39.0</v>
      </c>
      <c r="AI349" s="1">
        <v>13.0</v>
      </c>
      <c r="AJ349" s="1">
        <v>4.0</v>
      </c>
      <c r="AK349" s="1">
        <v>1.0</v>
      </c>
      <c r="AL349" s="1">
        <v>0.0</v>
      </c>
      <c r="AM349" s="1">
        <v>17.0</v>
      </c>
      <c r="AN349" s="1">
        <v>7.0</v>
      </c>
      <c r="AO349" s="1">
        <v>0.0</v>
      </c>
      <c r="AP349" s="1">
        <v>0.0</v>
      </c>
      <c r="AQ349" s="1">
        <v>7.0</v>
      </c>
      <c r="AR349" s="1">
        <v>4.0</v>
      </c>
      <c r="AS349" s="1">
        <v>1.0</v>
      </c>
    </row>
    <row r="350" hidden="1">
      <c r="A350" s="1">
        <v>561.0</v>
      </c>
      <c r="B350" s="1" t="s">
        <v>3624</v>
      </c>
      <c r="C350" s="1" t="s">
        <v>3625</v>
      </c>
      <c r="D350" s="1" t="s">
        <v>3626</v>
      </c>
      <c r="E350" s="1" t="s">
        <v>58</v>
      </c>
      <c r="F350" s="2">
        <v>22395.0</v>
      </c>
      <c r="G350" s="1">
        <f t="shared" si="1"/>
        <v>65</v>
      </c>
      <c r="H350" s="1" t="s">
        <v>266</v>
      </c>
      <c r="I350" s="1" t="str">
        <f>IFERROR(__xludf.DUMMYFUNCTION("SPLIT(left(H350,len(H350)-1),""("")"),"Valenciennes ")</f>
        <v>Valenciennes </v>
      </c>
      <c r="J350" s="1" t="str">
        <f>IFERROR(__xludf.DUMMYFUNCTION("""COMPUTED_VALUE"""),"Nord")</f>
        <v>Nord</v>
      </c>
      <c r="K350" s="1" t="str">
        <f>IFERROR(__xludf.DUMMYFUNCTION("IF( COUNTA( IFERROR( FILTER('départements_edition'!$C$2:$C$102 , 'départements_edition'!$C$2:$C$102=J350 ) ) ) , ""Oui"" , ""Non"" )"),"Oui")</f>
        <v>Oui</v>
      </c>
      <c r="L350" s="1" t="str">
        <f t="shared" si="2"/>
        <v>France</v>
      </c>
      <c r="M350" s="1">
        <v>59.0</v>
      </c>
      <c r="N350" s="1" t="s">
        <v>172</v>
      </c>
      <c r="O350" s="1">
        <v>21.0</v>
      </c>
      <c r="P350" s="2">
        <v>42907.0</v>
      </c>
      <c r="R350" s="1">
        <v>0.0</v>
      </c>
      <c r="S350" s="1" t="s">
        <v>46</v>
      </c>
      <c r="T350" s="1" t="s">
        <v>47</v>
      </c>
      <c r="X350" s="1" t="s">
        <v>3627</v>
      </c>
      <c r="Y350" s="1">
        <v>157.0</v>
      </c>
      <c r="Z350" s="3" t="s">
        <v>3628</v>
      </c>
      <c r="AA350" s="1">
        <v>720696.0</v>
      </c>
      <c r="AB350" s="1" t="s">
        <v>3629</v>
      </c>
      <c r="AC350" s="3" t="s">
        <v>3630</v>
      </c>
      <c r="AD350" s="3" t="s">
        <v>3631</v>
      </c>
      <c r="AE350" s="1">
        <v>2.0</v>
      </c>
      <c r="AG350" s="1">
        <v>19.0</v>
      </c>
      <c r="AH350" s="1">
        <v>33.0</v>
      </c>
      <c r="AI350" s="1">
        <v>25.0</v>
      </c>
      <c r="AJ350" s="1">
        <v>31.0</v>
      </c>
      <c r="AK350" s="1">
        <v>1.0</v>
      </c>
      <c r="AL350" s="1">
        <v>15.0</v>
      </c>
      <c r="AM350" s="1">
        <v>438.0</v>
      </c>
      <c r="AN350" s="1">
        <v>21.0</v>
      </c>
      <c r="AO350" s="1">
        <v>0.0</v>
      </c>
      <c r="AP350" s="1">
        <v>0.0</v>
      </c>
      <c r="AQ350" s="1">
        <v>14.0</v>
      </c>
      <c r="AR350" s="1">
        <v>19.0</v>
      </c>
      <c r="AS350" s="1">
        <v>4.0</v>
      </c>
    </row>
    <row r="351" hidden="1">
      <c r="A351" s="1">
        <v>362.0</v>
      </c>
      <c r="B351" s="1" t="s">
        <v>3632</v>
      </c>
      <c r="C351" s="1" t="s">
        <v>3633</v>
      </c>
      <c r="D351" s="1" t="s">
        <v>148</v>
      </c>
      <c r="E351" s="1" t="s">
        <v>43</v>
      </c>
      <c r="F351" s="2">
        <v>23944.0</v>
      </c>
      <c r="G351" s="1">
        <f t="shared" si="1"/>
        <v>61</v>
      </c>
      <c r="H351" s="1" t="s">
        <v>718</v>
      </c>
      <c r="I351" s="1" t="str">
        <f>IFERROR(__xludf.DUMMYFUNCTION("SPLIT(left(H351,len(H351)-1),""("")"),"Marseille ")</f>
        <v>Marseille </v>
      </c>
      <c r="J351" s="1" t="str">
        <f>IFERROR(__xludf.DUMMYFUNCTION("""COMPUTED_VALUE"""),"Bouches-du-Rhône")</f>
        <v>Bouches-du-Rhône</v>
      </c>
      <c r="K351" s="1" t="str">
        <f>IFERROR(__xludf.DUMMYFUNCTION("IF( COUNTA( IFERROR( FILTER('départements_edition'!$C$2:$C$102 , 'départements_edition'!$C$2:$C$102=J351 ) ) ) , ""Oui"" , ""Non"" )"),"Oui")</f>
        <v>Oui</v>
      </c>
      <c r="L351" s="1" t="str">
        <f t="shared" si="2"/>
        <v>France</v>
      </c>
      <c r="M351" s="1">
        <v>13.0</v>
      </c>
      <c r="N351" s="1" t="s">
        <v>279</v>
      </c>
      <c r="O351" s="1">
        <v>12.0</v>
      </c>
      <c r="P351" s="2">
        <v>42907.0</v>
      </c>
      <c r="R351" s="1">
        <v>0.0</v>
      </c>
      <c r="S351" s="1" t="s">
        <v>61</v>
      </c>
      <c r="T351" s="1" t="s">
        <v>62</v>
      </c>
      <c r="U351" s="1" t="s">
        <v>3634</v>
      </c>
      <c r="X351" s="1" t="s">
        <v>304</v>
      </c>
      <c r="Y351" s="1">
        <v>25.0</v>
      </c>
      <c r="Z351" s="3" t="s">
        <v>3635</v>
      </c>
      <c r="AA351" s="1">
        <v>267440.0</v>
      </c>
      <c r="AB351" s="1" t="s">
        <v>3636</v>
      </c>
      <c r="AC351" s="3" t="s">
        <v>3637</v>
      </c>
      <c r="AD351" s="3" t="s">
        <v>3638</v>
      </c>
      <c r="AE351" s="1">
        <v>2.0</v>
      </c>
      <c r="AF351" s="1" t="s">
        <v>3639</v>
      </c>
      <c r="AG351" s="1">
        <v>19.0</v>
      </c>
      <c r="AH351" s="1">
        <v>27.0</v>
      </c>
      <c r="AI351" s="1">
        <v>25.0</v>
      </c>
      <c r="AJ351" s="1">
        <v>33.0</v>
      </c>
      <c r="AK351" s="1">
        <v>67.0</v>
      </c>
      <c r="AL351" s="1">
        <v>58.0</v>
      </c>
      <c r="AM351" s="1">
        <v>365.0</v>
      </c>
      <c r="AN351" s="1">
        <v>18.0</v>
      </c>
      <c r="AO351" s="1">
        <v>0.0</v>
      </c>
      <c r="AP351" s="1">
        <v>1.0</v>
      </c>
      <c r="AQ351" s="1">
        <v>23.0</v>
      </c>
      <c r="AR351" s="1">
        <v>9.0</v>
      </c>
      <c r="AS351" s="1">
        <v>2.0</v>
      </c>
    </row>
    <row r="352" hidden="1">
      <c r="A352" s="1">
        <v>67.0</v>
      </c>
      <c r="B352" s="1" t="s">
        <v>3640</v>
      </c>
      <c r="C352" s="1" t="s">
        <v>3641</v>
      </c>
      <c r="D352" s="1" t="s">
        <v>1987</v>
      </c>
      <c r="E352" s="1" t="s">
        <v>43</v>
      </c>
      <c r="F352" s="2">
        <v>30008.0</v>
      </c>
      <c r="G352" s="1">
        <f t="shared" si="1"/>
        <v>44</v>
      </c>
      <c r="H352" s="1" t="s">
        <v>2581</v>
      </c>
      <c r="I352" s="1" t="str">
        <f>IFERROR(__xludf.DUMMYFUNCTION("SPLIT(left(H352,len(H352)-1),""("")"),"Melun ")</f>
        <v>Melun </v>
      </c>
      <c r="J352" s="1" t="str">
        <f>IFERROR(__xludf.DUMMYFUNCTION("""COMPUTED_VALUE"""),"Seine-et-Marne")</f>
        <v>Seine-et-Marne</v>
      </c>
      <c r="K352" s="1" t="str">
        <f>IFERROR(__xludf.DUMMYFUNCTION("IF( COUNTA( IFERROR( FILTER('départements_edition'!$C$2:$C$102 , 'départements_edition'!$C$2:$C$102=J352 ) ) ) , ""Oui"" , ""Non"" )"),"Oui")</f>
        <v>Oui</v>
      </c>
      <c r="L352" s="1" t="str">
        <f t="shared" si="2"/>
        <v>France</v>
      </c>
      <c r="M352" s="1">
        <v>87.0</v>
      </c>
      <c r="N352" s="1" t="s">
        <v>405</v>
      </c>
      <c r="O352" s="1">
        <v>2.0</v>
      </c>
      <c r="P352" s="2">
        <v>42907.0</v>
      </c>
      <c r="R352" s="1">
        <v>0.0</v>
      </c>
      <c r="S352" s="1" t="s">
        <v>75</v>
      </c>
      <c r="T352" s="1" t="s">
        <v>76</v>
      </c>
      <c r="U352" s="1" t="s">
        <v>3642</v>
      </c>
      <c r="X352" s="1" t="s">
        <v>198</v>
      </c>
      <c r="Y352" s="1">
        <v>539.0</v>
      </c>
      <c r="Z352" s="3" t="s">
        <v>3643</v>
      </c>
      <c r="AA352" s="1">
        <v>722236.0</v>
      </c>
      <c r="AB352" s="1" t="s">
        <v>3644</v>
      </c>
      <c r="AC352" s="3" t="s">
        <v>3645</v>
      </c>
      <c r="AD352" s="3" t="s">
        <v>3646</v>
      </c>
      <c r="AE352" s="1">
        <v>1.0</v>
      </c>
      <c r="AF352" s="1" t="s">
        <v>3647</v>
      </c>
      <c r="AG352" s="1">
        <v>19.0</v>
      </c>
      <c r="AH352" s="1">
        <v>34.0</v>
      </c>
      <c r="AI352" s="1">
        <v>26.0</v>
      </c>
      <c r="AJ352" s="1">
        <v>21.0</v>
      </c>
      <c r="AK352" s="1">
        <v>1.0</v>
      </c>
      <c r="AL352" s="1">
        <v>5.0</v>
      </c>
      <c r="AM352" s="1">
        <v>76.0</v>
      </c>
      <c r="AN352" s="1">
        <v>44.0</v>
      </c>
      <c r="AO352" s="1">
        <v>0.0</v>
      </c>
      <c r="AP352" s="1">
        <v>0.0</v>
      </c>
      <c r="AQ352" s="1">
        <v>5.0</v>
      </c>
      <c r="AR352" s="1">
        <v>8.0</v>
      </c>
      <c r="AS352" s="1">
        <v>1.0</v>
      </c>
    </row>
    <row r="353" hidden="1">
      <c r="A353" s="1">
        <v>520.0</v>
      </c>
      <c r="B353" s="1" t="s">
        <v>3648</v>
      </c>
      <c r="C353" s="1" t="s">
        <v>3649</v>
      </c>
      <c r="D353" s="1" t="s">
        <v>1421</v>
      </c>
      <c r="E353" s="1" t="s">
        <v>43</v>
      </c>
      <c r="F353" s="2">
        <v>24213.0</v>
      </c>
      <c r="G353" s="1">
        <f t="shared" si="1"/>
        <v>60</v>
      </c>
      <c r="H353" s="1" t="s">
        <v>695</v>
      </c>
      <c r="I353" s="1" t="str">
        <f>IFERROR(__xludf.DUMMYFUNCTION("SPLIT(left(H353,len(H353)-1),""("")"),"Boulogne-Billancourt ")</f>
        <v>Boulogne-Billancourt </v>
      </c>
      <c r="J353" s="1" t="str">
        <f>IFERROR(__xludf.DUMMYFUNCTION("""COMPUTED_VALUE"""),"Hauts-de-Seine")</f>
        <v>Hauts-de-Seine</v>
      </c>
      <c r="K353" s="1" t="str">
        <f>IFERROR(__xludf.DUMMYFUNCTION("IF( COUNTA( IFERROR( FILTER('départements_edition'!$C$2:$C$102 , 'départements_edition'!$C$2:$C$102=J353 ) ) ) , ""Oui"" , ""Non"" )"),"Oui")</f>
        <v>Oui</v>
      </c>
      <c r="L353" s="1" t="str">
        <f t="shared" si="2"/>
        <v>France</v>
      </c>
      <c r="M353" s="1">
        <v>6.0</v>
      </c>
      <c r="N353" s="1" t="s">
        <v>438</v>
      </c>
      <c r="O353" s="1">
        <v>2.0</v>
      </c>
      <c r="P353" s="2">
        <v>42907.0</v>
      </c>
      <c r="R353" s="1">
        <v>0.0</v>
      </c>
      <c r="S353" s="1" t="s">
        <v>75</v>
      </c>
      <c r="T353" s="1" t="s">
        <v>76</v>
      </c>
      <c r="U353" s="1" t="s">
        <v>3650</v>
      </c>
      <c r="X353" s="1" t="s">
        <v>2484</v>
      </c>
      <c r="Y353" s="1">
        <v>402.0</v>
      </c>
      <c r="Z353" s="3" t="s">
        <v>3651</v>
      </c>
      <c r="AA353" s="1">
        <v>718894.0</v>
      </c>
      <c r="AB353" s="1" t="s">
        <v>3652</v>
      </c>
      <c r="AC353" s="3" t="s">
        <v>3653</v>
      </c>
      <c r="AD353" s="3" t="s">
        <v>3654</v>
      </c>
      <c r="AE353" s="1">
        <v>2.0</v>
      </c>
      <c r="AF353" s="1" t="s">
        <v>3655</v>
      </c>
      <c r="AG353" s="1">
        <v>19.0</v>
      </c>
      <c r="AH353" s="1">
        <v>27.0</v>
      </c>
      <c r="AI353" s="1">
        <v>6.0</v>
      </c>
      <c r="AJ353" s="1">
        <v>5.0</v>
      </c>
      <c r="AK353" s="1">
        <v>0.0</v>
      </c>
      <c r="AL353" s="1">
        <v>6.0</v>
      </c>
      <c r="AM353" s="1">
        <v>89.0</v>
      </c>
      <c r="AN353" s="1">
        <v>42.0</v>
      </c>
      <c r="AO353" s="1">
        <v>0.0</v>
      </c>
      <c r="AP353" s="1">
        <v>0.0</v>
      </c>
      <c r="AQ353" s="1">
        <v>9.0</v>
      </c>
      <c r="AR353" s="1">
        <v>19.0</v>
      </c>
      <c r="AS353" s="1">
        <v>2.0</v>
      </c>
    </row>
    <row r="354" hidden="1">
      <c r="A354" s="1">
        <v>187.0</v>
      </c>
      <c r="B354" s="1" t="s">
        <v>3656</v>
      </c>
      <c r="C354" s="1" t="s">
        <v>3657</v>
      </c>
      <c r="D354" s="1" t="s">
        <v>3658</v>
      </c>
      <c r="E354" s="1" t="s">
        <v>58</v>
      </c>
      <c r="F354" s="2">
        <v>20968.0</v>
      </c>
      <c r="G354" s="1">
        <f t="shared" si="1"/>
        <v>69</v>
      </c>
      <c r="H354" s="1" t="s">
        <v>3659</v>
      </c>
      <c r="I354" s="1" t="str">
        <f>IFERROR(__xludf.DUMMYFUNCTION("SPLIT(left(H354,len(H354)-1),""("")"),"Fréjus ")</f>
        <v>Fréjus </v>
      </c>
      <c r="J354" s="1" t="str">
        <f>IFERROR(__xludf.DUMMYFUNCTION("""COMPUTED_VALUE"""),"Var")</f>
        <v>Var</v>
      </c>
      <c r="K354" s="1" t="str">
        <f>IFERROR(__xludf.DUMMYFUNCTION("IF( COUNTA( IFERROR( FILTER('départements_edition'!$C$2:$C$102 , 'départements_edition'!$C$2:$C$102=J354 ) ) ) , ""Oui"" , ""Non"" )"),"Oui")</f>
        <v>Oui</v>
      </c>
      <c r="L354" s="1" t="str">
        <f t="shared" si="2"/>
        <v>France</v>
      </c>
      <c r="M354" s="1">
        <v>24.0</v>
      </c>
      <c r="N354" s="1" t="s">
        <v>2327</v>
      </c>
      <c r="O354" s="1">
        <v>4.0</v>
      </c>
      <c r="P354" s="2">
        <v>42907.0</v>
      </c>
      <c r="R354" s="1">
        <v>0.0</v>
      </c>
      <c r="S354" s="1" t="s">
        <v>75</v>
      </c>
      <c r="T354" s="1" t="s">
        <v>76</v>
      </c>
      <c r="U354" s="1" t="s">
        <v>3660</v>
      </c>
      <c r="X354" s="1" t="s">
        <v>3558</v>
      </c>
      <c r="Y354" s="1">
        <v>484.0</v>
      </c>
      <c r="Z354" s="3" t="s">
        <v>3661</v>
      </c>
      <c r="AA354" s="1">
        <v>719162.0</v>
      </c>
      <c r="AB354" s="1" t="s">
        <v>3662</v>
      </c>
      <c r="AC354" s="3" t="s">
        <v>3663</v>
      </c>
      <c r="AD354" s="3" t="s">
        <v>3664</v>
      </c>
      <c r="AE354" s="1">
        <v>1.0</v>
      </c>
      <c r="AF354" s="1" t="s">
        <v>3665</v>
      </c>
      <c r="AG354" s="1">
        <v>19.0</v>
      </c>
      <c r="AH354" s="1">
        <v>39.0</v>
      </c>
      <c r="AI354" s="1">
        <v>19.0</v>
      </c>
      <c r="AJ354" s="1">
        <v>10.0</v>
      </c>
      <c r="AK354" s="1">
        <v>4.0</v>
      </c>
      <c r="AL354" s="1">
        <v>2.0</v>
      </c>
      <c r="AM354" s="1">
        <v>60.0</v>
      </c>
      <c r="AN354" s="1">
        <v>16.0</v>
      </c>
      <c r="AO354" s="1">
        <v>0.0</v>
      </c>
      <c r="AP354" s="1">
        <v>0.0</v>
      </c>
      <c r="AQ354" s="1">
        <v>8.0</v>
      </c>
      <c r="AR354" s="1">
        <v>6.0</v>
      </c>
      <c r="AS354" s="1">
        <v>3.0</v>
      </c>
    </row>
    <row r="355" hidden="1">
      <c r="A355" s="1">
        <v>102.0</v>
      </c>
      <c r="B355" s="1" t="s">
        <v>3666</v>
      </c>
      <c r="C355" s="1" t="s">
        <v>3667</v>
      </c>
      <c r="D355" s="1" t="s">
        <v>3668</v>
      </c>
      <c r="E355" s="1" t="s">
        <v>58</v>
      </c>
      <c r="F355" s="2">
        <v>30379.0</v>
      </c>
      <c r="G355" s="1">
        <f t="shared" si="1"/>
        <v>43</v>
      </c>
      <c r="H355" s="1" t="s">
        <v>857</v>
      </c>
      <c r="I355" s="1" t="str">
        <f>IFERROR(__xludf.DUMMYFUNCTION("SPLIT(left(H355,len(H355)-1),""("")"),"Montpellier ")</f>
        <v>Montpellier </v>
      </c>
      <c r="J355" s="1" t="str">
        <f>IFERROR(__xludf.DUMMYFUNCTION("""COMPUTED_VALUE"""),"Hérault")</f>
        <v>Hérault</v>
      </c>
      <c r="K355" s="1" t="str">
        <f>IFERROR(__xludf.DUMMYFUNCTION("IF( COUNTA( IFERROR( FILTER('départements_edition'!$C$2:$C$102 , 'départements_edition'!$C$2:$C$102=J355 ) ) ) , ""Oui"" , ""Non"" )"),"Oui")</f>
        <v>Oui</v>
      </c>
      <c r="L355" s="1" t="str">
        <f t="shared" si="2"/>
        <v>France</v>
      </c>
      <c r="M355" s="1">
        <v>34.0</v>
      </c>
      <c r="N355" s="1" t="s">
        <v>1252</v>
      </c>
      <c r="O355" s="1">
        <v>3.0</v>
      </c>
      <c r="P355" s="2">
        <v>42907.0</v>
      </c>
      <c r="R355" s="1">
        <v>0.0</v>
      </c>
      <c r="S355" s="1" t="s">
        <v>75</v>
      </c>
      <c r="T355" s="1" t="s">
        <v>76</v>
      </c>
      <c r="U355" s="1" t="s">
        <v>3669</v>
      </c>
      <c r="X355" s="1" t="s">
        <v>1386</v>
      </c>
      <c r="Y355" s="1">
        <v>347.0</v>
      </c>
      <c r="Z355" s="3" t="s">
        <v>3670</v>
      </c>
      <c r="AA355" s="1">
        <v>719684.0</v>
      </c>
      <c r="AB355" s="1" t="s">
        <v>3671</v>
      </c>
      <c r="AC355" s="3" t="s">
        <v>3672</v>
      </c>
      <c r="AD355" s="3" t="s">
        <v>3673</v>
      </c>
      <c r="AE355" s="1">
        <v>1.0</v>
      </c>
      <c r="AF355" s="1" t="s">
        <v>3674</v>
      </c>
      <c r="AG355" s="1">
        <v>19.0</v>
      </c>
      <c r="AH355" s="1">
        <v>34.0</v>
      </c>
      <c r="AI355" s="1">
        <v>5.0</v>
      </c>
      <c r="AJ355" s="1">
        <v>9.0</v>
      </c>
      <c r="AK355" s="1">
        <v>9.0</v>
      </c>
      <c r="AL355" s="1">
        <v>15.0</v>
      </c>
      <c r="AM355" s="1">
        <v>63.0</v>
      </c>
      <c r="AN355" s="1">
        <v>25.0</v>
      </c>
      <c r="AO355" s="1">
        <v>0.0</v>
      </c>
      <c r="AP355" s="1">
        <v>0.0</v>
      </c>
      <c r="AQ355" s="1">
        <v>5.0</v>
      </c>
      <c r="AR355" s="1">
        <v>0.0</v>
      </c>
      <c r="AS355" s="1">
        <v>0.0</v>
      </c>
    </row>
    <row r="356" hidden="1">
      <c r="A356" s="1">
        <v>459.0</v>
      </c>
      <c r="B356" s="1" t="s">
        <v>3675</v>
      </c>
      <c r="C356" s="1" t="s">
        <v>3676</v>
      </c>
      <c r="D356" s="1" t="s">
        <v>3249</v>
      </c>
      <c r="E356" s="1" t="s">
        <v>58</v>
      </c>
      <c r="F356" s="2">
        <v>23149.0</v>
      </c>
      <c r="G356" s="1">
        <f t="shared" si="1"/>
        <v>63</v>
      </c>
      <c r="H356" s="1" t="s">
        <v>3677</v>
      </c>
      <c r="I356" s="1" t="str">
        <f>IFERROR(__xludf.DUMMYFUNCTION("SPLIT(left(H356,len(H356)-1),""("")"),"Paris 20ème ")</f>
        <v>Paris 20ème </v>
      </c>
      <c r="J356" s="1" t="str">
        <f>IFERROR(__xludf.DUMMYFUNCTION("""COMPUTED_VALUE"""),"Paris")</f>
        <v>Paris</v>
      </c>
      <c r="K356" s="1" t="str">
        <f>IFERROR(__xludf.DUMMYFUNCTION("IF( COUNTA( IFERROR( FILTER('départements_edition'!$C$2:$C$102 , 'départements_edition'!$C$2:$C$102=J356 ) ) ) , ""Oui"" , ""Non"" )"),"Oui")</f>
        <v>Oui</v>
      </c>
      <c r="L356" s="1" t="str">
        <f t="shared" si="2"/>
        <v>France</v>
      </c>
      <c r="M356" s="1">
        <v>92.0</v>
      </c>
      <c r="N356" s="1" t="s">
        <v>781</v>
      </c>
      <c r="O356" s="1">
        <v>13.0</v>
      </c>
      <c r="P356" s="2">
        <v>42907.0</v>
      </c>
      <c r="R356" s="1">
        <v>0.0</v>
      </c>
      <c r="S356" s="1" t="s">
        <v>75</v>
      </c>
      <c r="T356" s="1" t="s">
        <v>76</v>
      </c>
      <c r="U356" s="1" t="s">
        <v>3678</v>
      </c>
      <c r="X356" s="1" t="s">
        <v>198</v>
      </c>
      <c r="Y356" s="1">
        <v>411.0</v>
      </c>
      <c r="Z356" s="3" t="s">
        <v>3679</v>
      </c>
      <c r="AA356" s="1">
        <v>721194.0</v>
      </c>
      <c r="AB356" s="1" t="s">
        <v>3680</v>
      </c>
      <c r="AC356" s="3" t="s">
        <v>3681</v>
      </c>
      <c r="AD356" s="3" t="s">
        <v>3682</v>
      </c>
      <c r="AE356" s="1">
        <v>1.0</v>
      </c>
      <c r="AF356" s="1" t="s">
        <v>3683</v>
      </c>
      <c r="AG356" s="1">
        <v>19.0</v>
      </c>
      <c r="AH356" s="1">
        <v>37.0</v>
      </c>
      <c r="AI356" s="1">
        <v>16.0</v>
      </c>
      <c r="AJ356" s="1">
        <v>11.0</v>
      </c>
      <c r="AK356" s="1">
        <v>6.0</v>
      </c>
      <c r="AL356" s="1">
        <v>2.0</v>
      </c>
      <c r="AM356" s="1">
        <v>54.0</v>
      </c>
      <c r="AN356" s="1">
        <v>20.0</v>
      </c>
      <c r="AO356" s="1">
        <v>1.0</v>
      </c>
      <c r="AP356" s="1">
        <v>0.0</v>
      </c>
      <c r="AQ356" s="1">
        <v>6.0</v>
      </c>
      <c r="AR356" s="1">
        <v>5.0</v>
      </c>
      <c r="AS356" s="1">
        <v>1.0</v>
      </c>
    </row>
    <row r="357" hidden="1">
      <c r="A357" s="1">
        <v>584.0</v>
      </c>
      <c r="B357" s="1" t="s">
        <v>3684</v>
      </c>
      <c r="C357" s="1" t="s">
        <v>3685</v>
      </c>
      <c r="D357" s="1" t="s">
        <v>3686</v>
      </c>
      <c r="E357" s="1" t="s">
        <v>58</v>
      </c>
      <c r="F357" s="2">
        <v>25755.0</v>
      </c>
      <c r="G357" s="1">
        <f t="shared" si="1"/>
        <v>56</v>
      </c>
      <c r="H357" s="1" t="s">
        <v>3687</v>
      </c>
      <c r="I357" s="1" t="str">
        <f>IFERROR(__xludf.DUMMYFUNCTION("SPLIT(left(H357,len(H357)-1),""("")"),"Sartrouville ")</f>
        <v>Sartrouville </v>
      </c>
      <c r="J357" s="1" t="str">
        <f>IFERROR(__xludf.DUMMYFUNCTION("""COMPUTED_VALUE"""),"Yvelines")</f>
        <v>Yvelines</v>
      </c>
      <c r="K357" s="1" t="str">
        <f>IFERROR(__xludf.DUMMYFUNCTION("IF( COUNTA( IFERROR( FILTER('départements_edition'!$C$2:$C$102 , 'départements_edition'!$C$2:$C$102=J357 ) ) ) , ""Oui"" , ""Non"" )"),"Oui")</f>
        <v>Oui</v>
      </c>
      <c r="L357" s="1" t="str">
        <f t="shared" si="2"/>
        <v>France</v>
      </c>
      <c r="M357" s="1">
        <v>75.0</v>
      </c>
      <c r="N357" s="1" t="s">
        <v>232</v>
      </c>
      <c r="O357" s="1">
        <v>5.0</v>
      </c>
      <c r="P357" s="2">
        <v>42938.0</v>
      </c>
      <c r="R357" s="1">
        <v>0.0</v>
      </c>
      <c r="S357" s="1" t="s">
        <v>75</v>
      </c>
      <c r="T357" s="1" t="s">
        <v>76</v>
      </c>
      <c r="U357" s="1" t="s">
        <v>3688</v>
      </c>
      <c r="X357" s="1" t="s">
        <v>3689</v>
      </c>
      <c r="Y357" s="1">
        <v>461.0</v>
      </c>
      <c r="Z357" s="3" t="s">
        <v>3690</v>
      </c>
      <c r="AA357" s="1">
        <v>721564.0</v>
      </c>
      <c r="AB357" s="1" t="s">
        <v>3691</v>
      </c>
      <c r="AC357" s="3" t="s">
        <v>3692</v>
      </c>
      <c r="AD357" s="3" t="s">
        <v>3693</v>
      </c>
      <c r="AE357" s="1">
        <v>1.0</v>
      </c>
      <c r="AF357" s="1" t="s">
        <v>3694</v>
      </c>
      <c r="AG357" s="1">
        <v>19.0</v>
      </c>
      <c r="AH357" s="1">
        <v>44.0</v>
      </c>
      <c r="AI357" s="1">
        <v>10.0</v>
      </c>
      <c r="AJ357" s="1">
        <v>21.0</v>
      </c>
      <c r="AK357" s="1">
        <v>5.0</v>
      </c>
      <c r="AL357" s="1">
        <v>0.0</v>
      </c>
      <c r="AM357" s="1">
        <v>59.0</v>
      </c>
      <c r="AN357" s="1">
        <v>25.0</v>
      </c>
      <c r="AO357" s="1">
        <v>0.0</v>
      </c>
      <c r="AP357" s="1">
        <v>0.0</v>
      </c>
      <c r="AQ357" s="1">
        <v>5.0</v>
      </c>
      <c r="AR357" s="1">
        <v>0.0</v>
      </c>
      <c r="AS357" s="1">
        <v>1.0</v>
      </c>
    </row>
    <row r="358" hidden="1">
      <c r="A358" s="1">
        <v>232.0</v>
      </c>
      <c r="B358" s="1" t="s">
        <v>3695</v>
      </c>
      <c r="C358" s="1" t="s">
        <v>3696</v>
      </c>
      <c r="D358" s="1" t="s">
        <v>810</v>
      </c>
      <c r="E358" s="1" t="s">
        <v>43</v>
      </c>
      <c r="F358" s="2">
        <v>18386.0</v>
      </c>
      <c r="G358" s="1">
        <f t="shared" si="1"/>
        <v>76</v>
      </c>
      <c r="H358" s="1" t="s">
        <v>2317</v>
      </c>
      <c r="I358" s="1" t="str">
        <f>IFERROR(__xludf.DUMMYFUNCTION("SPLIT(left(H358,len(H358)-1),""("")"),"Clermont-Ferrand ")</f>
        <v>Clermont-Ferrand </v>
      </c>
      <c r="J358" s="1" t="str">
        <f>IFERROR(__xludf.DUMMYFUNCTION("""COMPUTED_VALUE"""),"Puy-de-Dôme")</f>
        <v>Puy-de-Dôme</v>
      </c>
      <c r="K358" s="1" t="str">
        <f>IFERROR(__xludf.DUMMYFUNCTION("IF( COUNTA( IFERROR( FILTER('départements_edition'!$C$2:$C$102 , 'départements_edition'!$C$2:$C$102=J358 ) ) ) , ""Oui"" , ""Non"" )"),"Oui")</f>
        <v>Oui</v>
      </c>
      <c r="L358" s="1" t="str">
        <f t="shared" si="2"/>
        <v>France</v>
      </c>
      <c r="M358" s="1">
        <v>63.0</v>
      </c>
      <c r="N358" s="1" t="s">
        <v>114</v>
      </c>
      <c r="O358" s="1">
        <v>4.0</v>
      </c>
      <c r="P358" s="2">
        <v>42907.0</v>
      </c>
      <c r="R358" s="1">
        <v>0.0</v>
      </c>
      <c r="S358" s="1" t="s">
        <v>280</v>
      </c>
      <c r="T358" s="1" t="s">
        <v>281</v>
      </c>
      <c r="U358" s="3" t="s">
        <v>3697</v>
      </c>
      <c r="X358" s="1" t="s">
        <v>3698</v>
      </c>
      <c r="Y358" s="1">
        <v>175.0</v>
      </c>
      <c r="Z358" s="3" t="s">
        <v>3699</v>
      </c>
      <c r="AA358" s="1">
        <v>1276.0</v>
      </c>
      <c r="AB358" s="1" t="s">
        <v>3700</v>
      </c>
      <c r="AC358" s="3" t="s">
        <v>3701</v>
      </c>
      <c r="AD358" s="3" t="s">
        <v>3702</v>
      </c>
      <c r="AE358" s="1">
        <v>1.0</v>
      </c>
      <c r="AF358" s="1" t="s">
        <v>3703</v>
      </c>
      <c r="AG358" s="1">
        <v>19.0</v>
      </c>
      <c r="AH358" s="1">
        <v>32.0</v>
      </c>
      <c r="AI358" s="1">
        <v>12.0</v>
      </c>
      <c r="AJ358" s="1">
        <v>4.0</v>
      </c>
      <c r="AK358" s="1">
        <v>2.0</v>
      </c>
      <c r="AL358" s="1">
        <v>0.0</v>
      </c>
      <c r="AM358" s="1">
        <v>189.0</v>
      </c>
      <c r="AN358" s="1">
        <v>17.0</v>
      </c>
      <c r="AO358" s="1">
        <v>1.0</v>
      </c>
      <c r="AP358" s="1">
        <v>0.0</v>
      </c>
      <c r="AQ358" s="1">
        <v>7.0</v>
      </c>
      <c r="AR358" s="1">
        <v>1.0</v>
      </c>
      <c r="AS358" s="1">
        <v>1.0</v>
      </c>
    </row>
    <row r="359" hidden="1">
      <c r="A359" s="1">
        <v>277.0</v>
      </c>
      <c r="B359" s="1" t="s">
        <v>3704</v>
      </c>
      <c r="C359" s="1" t="s">
        <v>3705</v>
      </c>
      <c r="D359" s="1" t="s">
        <v>2825</v>
      </c>
      <c r="E359" s="1" t="s">
        <v>58</v>
      </c>
      <c r="F359" s="2">
        <v>25162.0</v>
      </c>
      <c r="G359" s="1">
        <f t="shared" si="1"/>
        <v>57</v>
      </c>
      <c r="H359" s="1" t="s">
        <v>1158</v>
      </c>
      <c r="I359" s="1" t="str">
        <f>IFERROR(__xludf.DUMMYFUNCTION("SPLIT(left(H359,len(H359)-1),""("")"),"Havre ")</f>
        <v>Havre </v>
      </c>
      <c r="J359" s="1" t="str">
        <f>IFERROR(__xludf.DUMMYFUNCTION("""COMPUTED_VALUE"""),"Seine-Maritime")</f>
        <v>Seine-Maritime</v>
      </c>
      <c r="K359" s="1" t="str">
        <f>IFERROR(__xludf.DUMMYFUNCTION("IF( COUNTA( IFERROR( FILTER('départements_edition'!$C$2:$C$102 , 'départements_edition'!$C$2:$C$102=J359 ) ) ) , ""Oui"" , ""Non"" )"),"Oui")</f>
        <v>Oui</v>
      </c>
      <c r="L359" s="1" t="str">
        <f t="shared" si="2"/>
        <v>France</v>
      </c>
      <c r="M359" s="1">
        <v>76.0</v>
      </c>
      <c r="N359" s="1" t="s">
        <v>371</v>
      </c>
      <c r="O359" s="1">
        <v>7.0</v>
      </c>
      <c r="P359" s="2">
        <v>42907.0</v>
      </c>
      <c r="R359" s="1">
        <v>0.0</v>
      </c>
      <c r="S359" s="1" t="s">
        <v>46</v>
      </c>
      <c r="T359" s="1" t="s">
        <v>47</v>
      </c>
      <c r="U359" s="3" t="s">
        <v>3706</v>
      </c>
      <c r="X359" s="1" t="s">
        <v>1784</v>
      </c>
      <c r="Y359" s="1">
        <v>158.0</v>
      </c>
      <c r="Z359" s="3" t="s">
        <v>3707</v>
      </c>
      <c r="AA359" s="1">
        <v>267780.0</v>
      </c>
      <c r="AB359" s="1" t="s">
        <v>3708</v>
      </c>
      <c r="AC359" s="3" t="s">
        <v>3709</v>
      </c>
      <c r="AD359" s="3" t="s">
        <v>3710</v>
      </c>
      <c r="AE359" s="1">
        <v>1.0</v>
      </c>
      <c r="AF359" s="1" t="s">
        <v>3711</v>
      </c>
      <c r="AG359" s="1">
        <v>19.0</v>
      </c>
      <c r="AH359" s="1">
        <v>33.0</v>
      </c>
      <c r="AI359" s="1">
        <v>35.0</v>
      </c>
      <c r="AJ359" s="1">
        <v>74.0</v>
      </c>
      <c r="AK359" s="1">
        <v>12.0</v>
      </c>
      <c r="AL359" s="1">
        <v>43.0</v>
      </c>
      <c r="AM359" s="1">
        <v>646.0</v>
      </c>
      <c r="AN359" s="1">
        <v>31.0</v>
      </c>
      <c r="AO359" s="1">
        <v>1.0</v>
      </c>
      <c r="AP359" s="1">
        <v>0.0</v>
      </c>
      <c r="AQ359" s="1">
        <v>16.0</v>
      </c>
      <c r="AR359" s="1">
        <v>12.0</v>
      </c>
      <c r="AS359" s="1">
        <v>1.0</v>
      </c>
    </row>
    <row r="360" hidden="1">
      <c r="A360" s="1">
        <v>581.0</v>
      </c>
      <c r="B360" s="1" t="s">
        <v>3712</v>
      </c>
      <c r="C360" s="1" t="s">
        <v>3713</v>
      </c>
      <c r="D360" s="1" t="s">
        <v>1250</v>
      </c>
      <c r="E360" s="1" t="s">
        <v>58</v>
      </c>
      <c r="F360" s="2">
        <v>26904.0</v>
      </c>
      <c r="G360" s="1">
        <f t="shared" si="1"/>
        <v>52</v>
      </c>
      <c r="H360" s="1" t="s">
        <v>3714</v>
      </c>
      <c r="I360" s="1" t="str">
        <f>IFERROR(__xludf.DUMMYFUNCTION("SPLIT(left(H360,len(H360)-1),""("")"),"Manosque ")</f>
        <v>Manosque </v>
      </c>
      <c r="J360" s="1" t="str">
        <f>IFERROR(__xludf.DUMMYFUNCTION("""COMPUTED_VALUE"""),"Alpes-de-Haute-Provence")</f>
        <v>Alpes-de-Haute-Provence</v>
      </c>
      <c r="K360" s="1" t="str">
        <f>IFERROR(__xludf.DUMMYFUNCTION("IF( COUNTA( IFERROR( FILTER('départements_edition'!$C$2:$C$102 , 'départements_edition'!$C$2:$C$102=J360 ) ) ) , ""Oui"" , ""Non"" )"),"Oui")</f>
        <v>Oui</v>
      </c>
      <c r="L360" s="1" t="str">
        <f t="shared" si="2"/>
        <v>France</v>
      </c>
      <c r="M360" s="1">
        <v>4.0</v>
      </c>
      <c r="N360" s="1" t="s">
        <v>740</v>
      </c>
      <c r="O360" s="1">
        <v>2.0</v>
      </c>
      <c r="P360" s="2">
        <v>42938.0</v>
      </c>
      <c r="R360" s="1">
        <v>0.0</v>
      </c>
      <c r="S360" s="1" t="s">
        <v>75</v>
      </c>
      <c r="T360" s="1" t="s">
        <v>76</v>
      </c>
      <c r="U360" s="3" t="s">
        <v>3715</v>
      </c>
      <c r="X360" s="1" t="s">
        <v>3716</v>
      </c>
      <c r="Y360" s="1">
        <v>447.0</v>
      </c>
      <c r="Z360" s="3" t="s">
        <v>3717</v>
      </c>
      <c r="AA360" s="1">
        <v>718706.0</v>
      </c>
      <c r="AB360" s="1" t="s">
        <v>3718</v>
      </c>
      <c r="AC360" s="3" t="s">
        <v>3719</v>
      </c>
      <c r="AD360" s="3" t="s">
        <v>3720</v>
      </c>
      <c r="AE360" s="1">
        <v>1.0</v>
      </c>
      <c r="AG360" s="1">
        <v>19.0</v>
      </c>
      <c r="AH360" s="1">
        <v>36.0</v>
      </c>
      <c r="AI360" s="1">
        <v>6.0</v>
      </c>
      <c r="AJ360" s="1">
        <v>2.0</v>
      </c>
      <c r="AK360" s="1">
        <v>2.0</v>
      </c>
      <c r="AL360" s="1">
        <v>0.0</v>
      </c>
      <c r="AM360" s="1">
        <v>55.0</v>
      </c>
      <c r="AN360" s="1">
        <v>24.0</v>
      </c>
      <c r="AO360" s="1">
        <v>0.0</v>
      </c>
      <c r="AP360" s="1">
        <v>0.0</v>
      </c>
      <c r="AQ360" s="1">
        <v>6.0</v>
      </c>
      <c r="AR360" s="1">
        <v>2.0</v>
      </c>
      <c r="AS360" s="1">
        <v>1.0</v>
      </c>
    </row>
    <row r="361" hidden="1">
      <c r="A361" s="1">
        <v>3.0</v>
      </c>
      <c r="B361" s="1" t="s">
        <v>3721</v>
      </c>
      <c r="C361" s="1" t="s">
        <v>3722</v>
      </c>
      <c r="D361" s="1" t="s">
        <v>1623</v>
      </c>
      <c r="E361" s="1" t="s">
        <v>58</v>
      </c>
      <c r="F361" s="2">
        <v>22792.0</v>
      </c>
      <c r="G361" s="1">
        <f t="shared" si="1"/>
        <v>64</v>
      </c>
      <c r="H361" s="1" t="s">
        <v>2493</v>
      </c>
      <c r="I361" s="1" t="str">
        <f>IFERROR(__xludf.DUMMYFUNCTION("SPLIT(left(H361,len(H361)-1),""("")"),"Mans ")</f>
        <v>Mans </v>
      </c>
      <c r="J361" s="1" t="str">
        <f>IFERROR(__xludf.DUMMYFUNCTION("""COMPUTED_VALUE"""),"Sarthe")</f>
        <v>Sarthe</v>
      </c>
      <c r="K361" s="1" t="str">
        <f>IFERROR(__xludf.DUMMYFUNCTION("IF( COUNTA( IFERROR( FILTER('départements_edition'!$C$2:$C$102 , 'départements_edition'!$C$2:$C$102=J361 ) ) ) , ""Oui"" , ""Non"" )"),"Oui")</f>
        <v>Oui</v>
      </c>
      <c r="L361" s="1" t="str">
        <f t="shared" si="2"/>
        <v>France</v>
      </c>
      <c r="M361" s="1">
        <v>72.0</v>
      </c>
      <c r="N361" s="1" t="s">
        <v>2494</v>
      </c>
      <c r="O361" s="1">
        <v>3.0</v>
      </c>
      <c r="P361" s="2">
        <v>42907.0</v>
      </c>
      <c r="R361" s="1">
        <v>0.0</v>
      </c>
      <c r="S361" s="1" t="s">
        <v>75</v>
      </c>
      <c r="T361" s="1" t="s">
        <v>76</v>
      </c>
      <c r="U361" s="1" t="s">
        <v>3723</v>
      </c>
      <c r="X361" s="1" t="s">
        <v>198</v>
      </c>
      <c r="Y361" s="1">
        <v>463.0</v>
      </c>
      <c r="Z361" s="3" t="s">
        <v>3724</v>
      </c>
      <c r="AA361" s="1">
        <v>721384.0</v>
      </c>
      <c r="AB361" s="1" t="s">
        <v>3725</v>
      </c>
      <c r="AC361" s="3" t="s">
        <v>3726</v>
      </c>
      <c r="AD361" s="3" t="s">
        <v>3727</v>
      </c>
      <c r="AE361" s="1">
        <v>1.0</v>
      </c>
      <c r="AF361" s="1" t="s">
        <v>3728</v>
      </c>
      <c r="AG361" s="1">
        <v>19.0</v>
      </c>
      <c r="AH361" s="1">
        <v>27.0</v>
      </c>
      <c r="AI361" s="1">
        <v>3.0</v>
      </c>
      <c r="AJ361" s="1">
        <v>5.0</v>
      </c>
      <c r="AK361" s="1">
        <v>1.0</v>
      </c>
      <c r="AL361" s="1">
        <v>3.0</v>
      </c>
      <c r="AM361" s="1">
        <v>65.0</v>
      </c>
      <c r="AN361" s="1">
        <v>25.0</v>
      </c>
      <c r="AO361" s="1">
        <v>0.0</v>
      </c>
      <c r="AP361" s="1">
        <v>0.0</v>
      </c>
      <c r="AQ361" s="1">
        <v>5.0</v>
      </c>
      <c r="AR361" s="1">
        <v>1.0</v>
      </c>
      <c r="AS361" s="1">
        <v>1.0</v>
      </c>
    </row>
    <row r="362" hidden="1">
      <c r="A362" s="1">
        <v>89.0</v>
      </c>
      <c r="B362" s="1" t="s">
        <v>3729</v>
      </c>
      <c r="C362" s="1" t="s">
        <v>3730</v>
      </c>
      <c r="D362" s="1" t="s">
        <v>641</v>
      </c>
      <c r="E362" s="1" t="s">
        <v>43</v>
      </c>
      <c r="F362" s="2">
        <v>23881.0</v>
      </c>
      <c r="G362" s="1">
        <f t="shared" si="1"/>
        <v>61</v>
      </c>
      <c r="H362" s="1" t="s">
        <v>1500</v>
      </c>
      <c r="I362" s="1" t="str">
        <f>IFERROR(__xludf.DUMMYFUNCTION("SPLIT(left(H362,len(H362)-1),""("")"),"Colmar ")</f>
        <v>Colmar </v>
      </c>
      <c r="J362" s="1" t="str">
        <f>IFERROR(__xludf.DUMMYFUNCTION("""COMPUTED_VALUE"""),"Haut-Rhin")</f>
        <v>Haut-Rhin</v>
      </c>
      <c r="K362" s="1" t="str">
        <f>IFERROR(__xludf.DUMMYFUNCTION("IF( COUNTA( IFERROR( FILTER('départements_edition'!$C$2:$C$102 , 'départements_edition'!$C$2:$C$102=J362 ) ) ) , ""Oui"" , ""Non"" )"),"Oui")</f>
        <v>Oui</v>
      </c>
      <c r="L362" s="1" t="str">
        <f t="shared" si="2"/>
        <v>France</v>
      </c>
      <c r="M362" s="1">
        <v>67.0</v>
      </c>
      <c r="N362" s="1" t="s">
        <v>244</v>
      </c>
      <c r="O362" s="1">
        <v>6.0</v>
      </c>
      <c r="P362" s="2">
        <v>42907.0</v>
      </c>
      <c r="R362" s="1">
        <v>0.0</v>
      </c>
      <c r="S362" s="1" t="s">
        <v>61</v>
      </c>
      <c r="T362" s="1" t="s">
        <v>62</v>
      </c>
      <c r="U362" s="3" t="s">
        <v>3731</v>
      </c>
      <c r="X362" s="1" t="s">
        <v>3732</v>
      </c>
      <c r="Y362" s="1">
        <v>80.0</v>
      </c>
      <c r="Z362" s="3" t="s">
        <v>3733</v>
      </c>
      <c r="AA362" s="1">
        <v>266774.0</v>
      </c>
      <c r="AB362" s="1" t="s">
        <v>3734</v>
      </c>
      <c r="AC362" s="3" t="s">
        <v>3735</v>
      </c>
      <c r="AD362" s="3" t="s">
        <v>3736</v>
      </c>
      <c r="AE362" s="1">
        <v>2.0</v>
      </c>
      <c r="AG362" s="1">
        <v>19.0</v>
      </c>
      <c r="AH362" s="1">
        <v>25.0</v>
      </c>
      <c r="AI362" s="1">
        <v>19.0</v>
      </c>
      <c r="AJ362" s="1">
        <v>71.0</v>
      </c>
      <c r="AK362" s="1">
        <v>367.0</v>
      </c>
      <c r="AL362" s="1">
        <v>16.0</v>
      </c>
      <c r="AM362" s="1">
        <v>954.0</v>
      </c>
      <c r="AN362" s="1">
        <v>24.0</v>
      </c>
      <c r="AO362" s="1">
        <v>0.0</v>
      </c>
      <c r="AP362" s="1">
        <v>1.0</v>
      </c>
      <c r="AQ362" s="1">
        <v>80.0</v>
      </c>
      <c r="AR362" s="1">
        <v>23.0</v>
      </c>
      <c r="AS362" s="1">
        <v>2.0</v>
      </c>
    </row>
    <row r="363" hidden="1">
      <c r="A363" s="1">
        <v>305.0</v>
      </c>
      <c r="B363" s="1" t="s">
        <v>3737</v>
      </c>
      <c r="C363" s="1" t="s">
        <v>3738</v>
      </c>
      <c r="D363" s="1" t="s">
        <v>1760</v>
      </c>
      <c r="E363" s="1" t="s">
        <v>43</v>
      </c>
      <c r="F363" s="2">
        <v>19607.0</v>
      </c>
      <c r="G363" s="1">
        <f t="shared" si="1"/>
        <v>72</v>
      </c>
      <c r="H363" s="1" t="s">
        <v>207</v>
      </c>
      <c r="I363" s="1" t="str">
        <f>IFERROR(__xludf.DUMMYFUNCTION("SPLIT(left(H363,len(H363)-1),""("")"),"Paris ")</f>
        <v>Paris </v>
      </c>
      <c r="J363" s="1" t="str">
        <f>IFERROR(__xludf.DUMMYFUNCTION("""COMPUTED_VALUE"""),"Paris")</f>
        <v>Paris</v>
      </c>
      <c r="K363" s="1" t="str">
        <f>IFERROR(__xludf.DUMMYFUNCTION("IF( COUNTA( IFERROR( FILTER('départements_edition'!$C$2:$C$102 , 'départements_edition'!$C$2:$C$102=J363 ) ) ) , ""Oui"" , ""Non"" )"),"Oui")</f>
        <v>Oui</v>
      </c>
      <c r="L363" s="1" t="str">
        <f t="shared" si="2"/>
        <v>France</v>
      </c>
      <c r="M363" s="1">
        <v>45.0</v>
      </c>
      <c r="N363" s="1" t="s">
        <v>2531</v>
      </c>
      <c r="O363" s="1">
        <v>3.0</v>
      </c>
      <c r="P363" s="2">
        <v>42907.0</v>
      </c>
      <c r="R363" s="1">
        <v>0.0</v>
      </c>
      <c r="S363" s="1" t="s">
        <v>61</v>
      </c>
      <c r="T363" s="1" t="s">
        <v>62</v>
      </c>
      <c r="U363" s="1" t="s">
        <v>3739</v>
      </c>
      <c r="X363" s="1">
        <v>0.0</v>
      </c>
      <c r="Y363" s="1">
        <v>51.0</v>
      </c>
      <c r="Z363" s="3" t="s">
        <v>3740</v>
      </c>
      <c r="AA363" s="1">
        <v>267735.0</v>
      </c>
      <c r="AB363" s="1" t="s">
        <v>3741</v>
      </c>
      <c r="AC363" s="3" t="s">
        <v>3742</v>
      </c>
      <c r="AD363" s="3" t="s">
        <v>3743</v>
      </c>
      <c r="AE363" s="1">
        <v>1.0</v>
      </c>
      <c r="AF363" s="1" t="s">
        <v>3744</v>
      </c>
      <c r="AG363" s="1">
        <v>19.0</v>
      </c>
      <c r="AH363" s="1">
        <v>32.0</v>
      </c>
      <c r="AI363" s="1">
        <v>13.0</v>
      </c>
      <c r="AJ363" s="1">
        <v>5.0</v>
      </c>
      <c r="AK363" s="1">
        <v>1.0</v>
      </c>
      <c r="AL363" s="1">
        <v>0.0</v>
      </c>
      <c r="AM363" s="1">
        <v>730.0</v>
      </c>
      <c r="AN363" s="1">
        <v>26.0</v>
      </c>
      <c r="AO363" s="1">
        <v>1.0</v>
      </c>
      <c r="AP363" s="1">
        <v>0.0</v>
      </c>
      <c r="AQ363" s="1">
        <v>21.0</v>
      </c>
      <c r="AR363" s="1">
        <v>2.0</v>
      </c>
      <c r="AS363" s="1">
        <v>0.0</v>
      </c>
    </row>
    <row r="364" hidden="1">
      <c r="A364" s="1">
        <v>199.0</v>
      </c>
      <c r="B364" s="1" t="s">
        <v>3754</v>
      </c>
      <c r="C364" s="1" t="s">
        <v>3755</v>
      </c>
      <c r="D364" s="1" t="s">
        <v>694</v>
      </c>
      <c r="E364" s="1" t="s">
        <v>58</v>
      </c>
      <c r="F364" s="2">
        <v>24010.0</v>
      </c>
      <c r="G364" s="1">
        <f t="shared" si="1"/>
        <v>60</v>
      </c>
      <c r="H364" s="1" t="s">
        <v>2768</v>
      </c>
      <c r="I364" s="1" t="str">
        <f>IFERROR(__xludf.DUMMYFUNCTION("SPLIT(left(H364,len(H364)-1),""("")"),"Paris 13ème ")</f>
        <v>Paris 13ème </v>
      </c>
      <c r="J364" s="1" t="str">
        <f>IFERROR(__xludf.DUMMYFUNCTION("""COMPUTED_VALUE"""),"Paris")</f>
        <v>Paris</v>
      </c>
      <c r="K364" s="1" t="str">
        <f>IFERROR(__xludf.DUMMYFUNCTION("IF( COUNTA( IFERROR( FILTER('départements_edition'!$C$2:$C$102 , 'départements_edition'!$C$2:$C$102=J364 ) ) ) , ""Oui"" , ""Non"" )"),"Oui")</f>
        <v>Oui</v>
      </c>
      <c r="L364" s="1" t="str">
        <f t="shared" si="2"/>
        <v>France</v>
      </c>
      <c r="M364" s="1">
        <v>66.0</v>
      </c>
      <c r="N364" s="1" t="s">
        <v>1773</v>
      </c>
      <c r="O364" s="1">
        <v>3.0</v>
      </c>
      <c r="P364" s="2">
        <v>42907.0</v>
      </c>
      <c r="R364" s="1">
        <v>0.0</v>
      </c>
      <c r="S364" s="1" t="s">
        <v>75</v>
      </c>
      <c r="T364" s="1" t="s">
        <v>76</v>
      </c>
      <c r="U364" s="1" t="s">
        <v>3756</v>
      </c>
      <c r="X364" s="1" t="s">
        <v>234</v>
      </c>
      <c r="Y364" s="1">
        <v>530.0</v>
      </c>
      <c r="Z364" s="3" t="s">
        <v>3757</v>
      </c>
      <c r="AA364" s="1">
        <v>720806.0</v>
      </c>
      <c r="AB364" s="1" t="s">
        <v>3758</v>
      </c>
      <c r="AC364" s="3" t="s">
        <v>3759</v>
      </c>
      <c r="AD364" s="3" t="s">
        <v>3760</v>
      </c>
      <c r="AE364" s="1">
        <v>1.0</v>
      </c>
      <c r="AF364" s="1" t="s">
        <v>3761</v>
      </c>
      <c r="AG364" s="1">
        <v>19.0</v>
      </c>
      <c r="AH364" s="1">
        <v>32.0</v>
      </c>
      <c r="AI364" s="1">
        <v>7.0</v>
      </c>
      <c r="AJ364" s="1">
        <v>7.0</v>
      </c>
      <c r="AK364" s="1">
        <v>0.0</v>
      </c>
      <c r="AL364" s="1">
        <v>1.0</v>
      </c>
      <c r="AM364" s="1">
        <v>17.0</v>
      </c>
      <c r="AN364" s="1">
        <v>4.0</v>
      </c>
      <c r="AO364" s="1">
        <v>1.0</v>
      </c>
      <c r="AP364" s="1">
        <v>0.0</v>
      </c>
      <c r="AQ364" s="1">
        <v>5.0</v>
      </c>
      <c r="AR364" s="1">
        <v>3.0</v>
      </c>
      <c r="AS364" s="1">
        <v>2.0</v>
      </c>
    </row>
    <row r="365" hidden="1">
      <c r="A365" s="1">
        <v>249.0</v>
      </c>
      <c r="B365" s="1" t="s">
        <v>3762</v>
      </c>
      <c r="C365" s="1" t="s">
        <v>3763</v>
      </c>
      <c r="D365" s="1" t="s">
        <v>148</v>
      </c>
      <c r="E365" s="1" t="s">
        <v>43</v>
      </c>
      <c r="F365" s="2">
        <v>22689.0</v>
      </c>
      <c r="G365" s="1">
        <f t="shared" si="1"/>
        <v>64</v>
      </c>
      <c r="H365" s="1" t="s">
        <v>3764</v>
      </c>
      <c r="I365" s="1" t="str">
        <f>IFERROR(__xludf.DUMMYFUNCTION("SPLIT(left(H365,len(H365)-1),""("")"),"Sézanne ")</f>
        <v>Sézanne </v>
      </c>
      <c r="J365" s="1" t="str">
        <f>IFERROR(__xludf.DUMMYFUNCTION("""COMPUTED_VALUE"""),"Marne")</f>
        <v>Marne</v>
      </c>
      <c r="K365" s="1" t="str">
        <f>IFERROR(__xludf.DUMMYFUNCTION("IF( COUNTA( IFERROR( FILTER('départements_edition'!$C$2:$C$102 , 'départements_edition'!$C$2:$C$102=J365 ) ) ) , ""Oui"" , ""Non"" )"),"Oui")</f>
        <v>Oui</v>
      </c>
      <c r="L365" s="1" t="str">
        <f t="shared" si="2"/>
        <v>France</v>
      </c>
      <c r="M365" s="1">
        <v>51.0</v>
      </c>
      <c r="N365" s="1" t="s">
        <v>208</v>
      </c>
      <c r="O365" s="1">
        <v>3.0</v>
      </c>
      <c r="P365" s="2">
        <v>42907.0</v>
      </c>
      <c r="R365" s="1">
        <v>0.0</v>
      </c>
      <c r="S365" s="1" t="s">
        <v>75</v>
      </c>
      <c r="T365" s="1" t="s">
        <v>76</v>
      </c>
      <c r="U365" s="3" t="s">
        <v>3765</v>
      </c>
      <c r="X365" s="1" t="s">
        <v>198</v>
      </c>
      <c r="Y365" s="1">
        <v>219.0</v>
      </c>
      <c r="Z365" s="3" t="s">
        <v>3766</v>
      </c>
      <c r="AA365" s="1">
        <v>720222.0</v>
      </c>
      <c r="AB365" s="1" t="s">
        <v>3767</v>
      </c>
      <c r="AC365" s="3" t="s">
        <v>3768</v>
      </c>
      <c r="AD365" s="3" t="s">
        <v>3769</v>
      </c>
      <c r="AE365" s="1">
        <v>1.0</v>
      </c>
      <c r="AF365" s="1" t="s">
        <v>3770</v>
      </c>
      <c r="AG365" s="1">
        <v>19.0</v>
      </c>
      <c r="AH365" s="1">
        <v>46.0</v>
      </c>
      <c r="AI365" s="1">
        <v>3.0</v>
      </c>
      <c r="AJ365" s="1">
        <v>6.0</v>
      </c>
      <c r="AK365" s="1">
        <v>1.0</v>
      </c>
      <c r="AL365" s="1">
        <v>1.0</v>
      </c>
      <c r="AM365" s="1">
        <v>38.0</v>
      </c>
      <c r="AN365" s="1">
        <v>14.0</v>
      </c>
      <c r="AO365" s="1">
        <v>0.0</v>
      </c>
      <c r="AP365" s="1">
        <v>0.0</v>
      </c>
      <c r="AQ365" s="1">
        <v>5.0</v>
      </c>
      <c r="AR365" s="1">
        <v>2.0</v>
      </c>
      <c r="AS365" s="1">
        <v>1.0</v>
      </c>
    </row>
    <row r="366" hidden="1">
      <c r="A366" s="1">
        <v>230.0</v>
      </c>
      <c r="B366" s="1" t="s">
        <v>3771</v>
      </c>
      <c r="C366" s="1" t="s">
        <v>3772</v>
      </c>
      <c r="D366" s="1" t="s">
        <v>1822</v>
      </c>
      <c r="E366" s="1" t="s">
        <v>43</v>
      </c>
      <c r="F366" s="2">
        <v>31444.0</v>
      </c>
      <c r="G366" s="1">
        <f t="shared" si="1"/>
        <v>40</v>
      </c>
      <c r="H366" s="1" t="s">
        <v>836</v>
      </c>
      <c r="I366" s="1" t="str">
        <f>IFERROR(__xludf.DUMMYFUNCTION("SPLIT(left(H366,len(H366)-1),""("")"),"Beauvais ")</f>
        <v>Beauvais </v>
      </c>
      <c r="J366" s="1" t="str">
        <f>IFERROR(__xludf.DUMMYFUNCTION("""COMPUTED_VALUE"""),"Oise")</f>
        <v>Oise</v>
      </c>
      <c r="K366" s="1" t="str">
        <f>IFERROR(__xludf.DUMMYFUNCTION("IF( COUNTA( IFERROR( FILTER('départements_edition'!$C$2:$C$102 , 'départements_edition'!$C$2:$C$102=J366 ) ) ) , ""Oui"" , ""Non"" )"),"Oui")</f>
        <v>Oui</v>
      </c>
      <c r="L366" s="1" t="str">
        <f t="shared" si="2"/>
        <v>France</v>
      </c>
      <c r="M366" s="1">
        <v>94.0</v>
      </c>
      <c r="N366" s="1" t="s">
        <v>642</v>
      </c>
      <c r="O366" s="1">
        <v>6.0</v>
      </c>
      <c r="P366" s="2">
        <v>42907.0</v>
      </c>
      <c r="R366" s="1">
        <v>0.0</v>
      </c>
      <c r="S366" s="1" t="s">
        <v>75</v>
      </c>
      <c r="T366" s="1" t="s">
        <v>76</v>
      </c>
      <c r="U366" s="1" t="s">
        <v>3773</v>
      </c>
      <c r="X366" s="1" t="s">
        <v>3774</v>
      </c>
      <c r="Y366" s="1">
        <v>420.0</v>
      </c>
      <c r="Z366" s="3" t="s">
        <v>3775</v>
      </c>
      <c r="AA366" s="1">
        <v>721296.0</v>
      </c>
      <c r="AB366" s="1" t="s">
        <v>3776</v>
      </c>
      <c r="AC366" s="3" t="s">
        <v>3777</v>
      </c>
      <c r="AD366" s="3" t="s">
        <v>3778</v>
      </c>
      <c r="AE366" s="1">
        <v>1.0</v>
      </c>
      <c r="AF366" s="1" t="s">
        <v>3779</v>
      </c>
      <c r="AG366" s="1">
        <v>19.0</v>
      </c>
      <c r="AH366" s="1">
        <v>41.0</v>
      </c>
      <c r="AI366" s="1">
        <v>39.0</v>
      </c>
      <c r="AJ366" s="1">
        <v>30.0</v>
      </c>
      <c r="AK366" s="1">
        <v>3.0</v>
      </c>
      <c r="AL366" s="1">
        <v>4.0</v>
      </c>
      <c r="AM366" s="1">
        <v>21.0</v>
      </c>
      <c r="AN366" s="1">
        <v>9.0</v>
      </c>
      <c r="AO366" s="1">
        <v>1.0</v>
      </c>
      <c r="AP366" s="1">
        <v>0.0</v>
      </c>
      <c r="AQ366" s="1">
        <v>5.0</v>
      </c>
      <c r="AR366" s="1">
        <v>4.0</v>
      </c>
      <c r="AS366" s="1">
        <v>0.0</v>
      </c>
    </row>
    <row r="367" hidden="1">
      <c r="A367" s="1">
        <v>288.0</v>
      </c>
      <c r="B367" s="1" t="s">
        <v>3780</v>
      </c>
      <c r="C367" s="1" t="s">
        <v>3781</v>
      </c>
      <c r="D367" s="1" t="s">
        <v>469</v>
      </c>
      <c r="E367" s="1" t="s">
        <v>43</v>
      </c>
      <c r="F367" s="2">
        <v>28760.0</v>
      </c>
      <c r="G367" s="1">
        <f t="shared" si="1"/>
        <v>47</v>
      </c>
      <c r="H367" s="1" t="s">
        <v>3546</v>
      </c>
      <c r="I367" s="1" t="str">
        <f>IFERROR(__xludf.DUMMYFUNCTION("SPLIT(left(H367,len(H367)-1),""("")"),"Versailles ")</f>
        <v>Versailles </v>
      </c>
      <c r="J367" s="1" t="str">
        <f>IFERROR(__xludf.DUMMYFUNCTION("""COMPUTED_VALUE"""),"Yvelines")</f>
        <v>Yvelines</v>
      </c>
      <c r="K367" s="1" t="str">
        <f>IFERROR(__xludf.DUMMYFUNCTION("IF( COUNTA( IFERROR( FILTER('départements_edition'!$C$2:$C$102 , 'départements_edition'!$C$2:$C$102=J367 ) ) ) , ""Oui"" , ""Non"" )"),"Oui")</f>
        <v>Oui</v>
      </c>
      <c r="L367" s="1" t="str">
        <f t="shared" si="2"/>
        <v>France</v>
      </c>
      <c r="M367" s="1">
        <v>27.0</v>
      </c>
      <c r="N367" s="1" t="s">
        <v>2698</v>
      </c>
      <c r="O367" s="1">
        <v>2.0</v>
      </c>
      <c r="P367" s="2">
        <v>42907.0</v>
      </c>
      <c r="R367" s="1">
        <v>0.0</v>
      </c>
      <c r="S367" s="1" t="s">
        <v>75</v>
      </c>
      <c r="T367" s="1" t="s">
        <v>76</v>
      </c>
      <c r="U367" s="1" t="s">
        <v>3782</v>
      </c>
      <c r="X367" s="1" t="s">
        <v>118</v>
      </c>
      <c r="Y367" s="1">
        <v>415.0</v>
      </c>
      <c r="Z367" s="3" t="s">
        <v>3783</v>
      </c>
      <c r="AA367" s="1">
        <v>719330.0</v>
      </c>
      <c r="AB367" s="1" t="s">
        <v>3784</v>
      </c>
      <c r="AC367" s="3" t="s">
        <v>3785</v>
      </c>
      <c r="AD367" s="3" t="s">
        <v>3786</v>
      </c>
      <c r="AE367" s="1">
        <v>1.0</v>
      </c>
      <c r="AF367" s="1" t="s">
        <v>3787</v>
      </c>
      <c r="AG367" s="1">
        <v>19.0</v>
      </c>
      <c r="AH367" s="1">
        <v>39.0</v>
      </c>
      <c r="AI367" s="1">
        <v>11.0</v>
      </c>
      <c r="AJ367" s="1">
        <v>7.0</v>
      </c>
      <c r="AK367" s="1">
        <v>0.0</v>
      </c>
      <c r="AL367" s="1">
        <v>0.0</v>
      </c>
      <c r="AM367" s="1">
        <v>8.0</v>
      </c>
      <c r="AN367" s="1">
        <v>1.0</v>
      </c>
      <c r="AO367" s="1">
        <v>0.0</v>
      </c>
      <c r="AP367" s="1">
        <v>0.0</v>
      </c>
      <c r="AQ367" s="1">
        <v>5.0</v>
      </c>
      <c r="AR367" s="1">
        <v>23.0</v>
      </c>
      <c r="AS367" s="1">
        <v>0.0</v>
      </c>
    </row>
    <row r="368" hidden="1">
      <c r="A368" s="1">
        <v>294.0</v>
      </c>
      <c r="B368" s="1" t="s">
        <v>3788</v>
      </c>
      <c r="C368" s="1" t="s">
        <v>3789</v>
      </c>
      <c r="D368" s="1" t="s">
        <v>1801</v>
      </c>
      <c r="E368" s="1" t="s">
        <v>43</v>
      </c>
      <c r="F368" s="2">
        <v>17633.0</v>
      </c>
      <c r="G368" s="1">
        <f t="shared" si="1"/>
        <v>78</v>
      </c>
      <c r="H368" s="1" t="s">
        <v>3790</v>
      </c>
      <c r="I368" s="1" t="str">
        <f>IFERROR(__xludf.DUMMYFUNCTION("SPLIT(left(H368,len(H368)-1),""("")"),"Epieds ")</f>
        <v>Epieds </v>
      </c>
      <c r="J368" s="1" t="str">
        <f>IFERROR(__xludf.DUMMYFUNCTION("""COMPUTED_VALUE"""),"Aisne")</f>
        <v>Aisne</v>
      </c>
      <c r="K368" s="1" t="str">
        <f>IFERROR(__xludf.DUMMYFUNCTION("IF( COUNTA( IFERROR( FILTER('départements_edition'!$C$2:$C$102 , 'départements_edition'!$C$2:$C$102=J368 ) ) ) , ""Oui"" , ""Non"" )"),"Oui")</f>
        <v>Oui</v>
      </c>
      <c r="L368" s="1" t="str">
        <f t="shared" si="2"/>
        <v>France</v>
      </c>
      <c r="M368" s="1">
        <v>2.0</v>
      </c>
      <c r="N368" s="1" t="s">
        <v>185</v>
      </c>
      <c r="O368" s="1">
        <v>5.0</v>
      </c>
      <c r="P368" s="2">
        <v>42907.0</v>
      </c>
      <c r="R368" s="1">
        <v>0.0</v>
      </c>
      <c r="S368" s="1" t="s">
        <v>75</v>
      </c>
      <c r="T368" s="1" t="s">
        <v>76</v>
      </c>
      <c r="U368" s="1" t="s">
        <v>3791</v>
      </c>
      <c r="X368" s="1" t="s">
        <v>3792</v>
      </c>
      <c r="Y368" s="1">
        <v>542.0</v>
      </c>
      <c r="Z368" s="3" t="s">
        <v>3793</v>
      </c>
      <c r="AA368" s="1">
        <v>605084.0</v>
      </c>
      <c r="AB368" s="1" t="s">
        <v>3794</v>
      </c>
      <c r="AC368" s="3" t="s">
        <v>3795</v>
      </c>
      <c r="AD368" s="3" t="s">
        <v>3796</v>
      </c>
      <c r="AE368" s="1">
        <v>2.0</v>
      </c>
      <c r="AF368" s="1" t="s">
        <v>3797</v>
      </c>
      <c r="AG368" s="1">
        <v>19.0</v>
      </c>
      <c r="AH368" s="1">
        <v>22.0</v>
      </c>
      <c r="AI368" s="1">
        <v>4.0</v>
      </c>
      <c r="AJ368" s="1">
        <v>21.0</v>
      </c>
      <c r="AK368" s="1">
        <v>10.0</v>
      </c>
      <c r="AL368" s="1">
        <v>0.0</v>
      </c>
      <c r="AM368" s="1">
        <v>87.0</v>
      </c>
      <c r="AN368" s="1">
        <v>44.0</v>
      </c>
      <c r="AO368" s="1">
        <v>0.0</v>
      </c>
      <c r="AP368" s="1">
        <v>0.0</v>
      </c>
      <c r="AQ368" s="1">
        <v>5.0</v>
      </c>
      <c r="AR368" s="1">
        <v>2.0</v>
      </c>
      <c r="AS368" s="1">
        <v>1.0</v>
      </c>
    </row>
    <row r="369" hidden="1">
      <c r="A369" s="1">
        <v>272.0</v>
      </c>
      <c r="B369" s="1" t="s">
        <v>3798</v>
      </c>
      <c r="C369" s="1" t="s">
        <v>3799</v>
      </c>
      <c r="D369" s="1" t="s">
        <v>3800</v>
      </c>
      <c r="E369" s="1" t="s">
        <v>43</v>
      </c>
      <c r="F369" s="2">
        <v>25291.0</v>
      </c>
      <c r="G369" s="1">
        <f t="shared" si="1"/>
        <v>57</v>
      </c>
      <c r="H369" s="1" t="s">
        <v>780</v>
      </c>
      <c r="I369" s="1" t="str">
        <f>IFERROR(__xludf.DUMMYFUNCTION("SPLIT(left(H369,len(H369)-1),""("")"),"Rennes ")</f>
        <v>Rennes </v>
      </c>
      <c r="J369" s="1" t="str">
        <f>IFERROR(__xludf.DUMMYFUNCTION("""COMPUTED_VALUE"""),"Ille-et-Vilaine")</f>
        <v>Ille-et-Vilaine</v>
      </c>
      <c r="K369" s="1" t="str">
        <f>IFERROR(__xludf.DUMMYFUNCTION("IF( COUNTA( IFERROR( FILTER('départements_edition'!$C$2:$C$102 , 'départements_edition'!$C$2:$C$102=J369 ) ) ) , ""Oui"" , ""Non"" )"),"Oui")</f>
        <v>Oui</v>
      </c>
      <c r="L369" s="1" t="str">
        <f t="shared" si="2"/>
        <v>France</v>
      </c>
      <c r="M369" s="1">
        <v>35.0</v>
      </c>
      <c r="N369" s="1" t="s">
        <v>415</v>
      </c>
      <c r="O369" s="1">
        <v>1.0</v>
      </c>
      <c r="P369" s="2">
        <v>42907.0</v>
      </c>
      <c r="R369" s="1">
        <v>0.0</v>
      </c>
      <c r="S369" s="1" t="s">
        <v>75</v>
      </c>
      <c r="T369" s="1" t="s">
        <v>76</v>
      </c>
      <c r="U369" s="1" t="s">
        <v>3801</v>
      </c>
      <c r="X369" s="1" t="s">
        <v>3802</v>
      </c>
      <c r="Y369" s="1">
        <v>557.0</v>
      </c>
      <c r="Z369" s="3" t="s">
        <v>3803</v>
      </c>
      <c r="AA369" s="1">
        <v>719842.0</v>
      </c>
      <c r="AB369" s="1" t="s">
        <v>3804</v>
      </c>
      <c r="AC369" s="3" t="s">
        <v>3805</v>
      </c>
      <c r="AD369" s="3" t="s">
        <v>3806</v>
      </c>
      <c r="AE369" s="1">
        <v>1.0</v>
      </c>
      <c r="AF369" s="1" t="s">
        <v>3807</v>
      </c>
      <c r="AG369" s="1">
        <v>19.0</v>
      </c>
      <c r="AH369" s="1">
        <v>37.0</v>
      </c>
      <c r="AI369" s="1">
        <v>3.0</v>
      </c>
      <c r="AJ369" s="1">
        <v>4.0</v>
      </c>
      <c r="AK369" s="1">
        <v>4.0</v>
      </c>
      <c r="AL369" s="1">
        <v>0.0</v>
      </c>
      <c r="AM369" s="1">
        <v>62.0</v>
      </c>
      <c r="AN369" s="1">
        <v>26.0</v>
      </c>
      <c r="AO369" s="1">
        <v>0.0</v>
      </c>
      <c r="AP369" s="1">
        <v>0.0</v>
      </c>
      <c r="AQ369" s="1">
        <v>5.0</v>
      </c>
      <c r="AR369" s="1">
        <v>0.0</v>
      </c>
      <c r="AS369" s="1">
        <v>1.0</v>
      </c>
    </row>
    <row r="370" hidden="1">
      <c r="A370" s="1">
        <v>357.0</v>
      </c>
      <c r="B370" s="1" t="s">
        <v>3808</v>
      </c>
      <c r="C370" s="1" t="s">
        <v>3809</v>
      </c>
      <c r="D370" s="1" t="s">
        <v>3810</v>
      </c>
      <c r="E370" s="1" t="s">
        <v>43</v>
      </c>
      <c r="F370" s="2">
        <v>28433.0</v>
      </c>
      <c r="G370" s="1">
        <f t="shared" si="1"/>
        <v>48</v>
      </c>
      <c r="H370" s="1" t="s">
        <v>3202</v>
      </c>
      <c r="I370" s="1" t="str">
        <f>IFERROR(__xludf.DUMMYFUNCTION("SPLIT(left(H370,len(H370)-1),""("")"),"Saint-Brieuc ")</f>
        <v>Saint-Brieuc </v>
      </c>
      <c r="J370" s="1" t="str">
        <f>IFERROR(__xludf.DUMMYFUNCTION("""COMPUTED_VALUE"""),"Côtes-d'Armor")</f>
        <v>Côtes-d'Armor</v>
      </c>
      <c r="K370" s="1" t="str">
        <f>IFERROR(__xludf.DUMMYFUNCTION("IF( COUNTA( IFERROR( FILTER('départements_edition'!$C$2:$C$102 , 'départements_edition'!$C$2:$C$102=J370 ) ) ) , ""Oui"" , ""Non"" )"),"Oui")</f>
        <v>Oui</v>
      </c>
      <c r="L370" s="1" t="str">
        <f t="shared" si="2"/>
        <v>France</v>
      </c>
      <c r="M370" s="1">
        <v>35.0</v>
      </c>
      <c r="N370" s="1" t="s">
        <v>415</v>
      </c>
      <c r="O370" s="1">
        <v>4.0</v>
      </c>
      <c r="P370" s="2">
        <v>42907.0</v>
      </c>
      <c r="R370" s="1">
        <v>0.0</v>
      </c>
      <c r="S370" s="1" t="s">
        <v>75</v>
      </c>
      <c r="T370" s="1" t="s">
        <v>76</v>
      </c>
      <c r="U370" s="1" t="s">
        <v>3811</v>
      </c>
      <c r="X370" s="1" t="s">
        <v>2798</v>
      </c>
      <c r="Y370" s="1">
        <v>207.0</v>
      </c>
      <c r="Z370" s="3" t="s">
        <v>3812</v>
      </c>
      <c r="AA370" s="1">
        <v>719728.0</v>
      </c>
      <c r="AB370" s="1" t="s">
        <v>3813</v>
      </c>
      <c r="AC370" s="3" t="s">
        <v>3814</v>
      </c>
      <c r="AD370" s="3" t="s">
        <v>3815</v>
      </c>
      <c r="AE370" s="1">
        <v>1.0</v>
      </c>
      <c r="AF370" s="1" t="s">
        <v>3816</v>
      </c>
      <c r="AG370" s="1">
        <v>19.0</v>
      </c>
      <c r="AH370" s="1">
        <v>43.0</v>
      </c>
      <c r="AI370" s="1">
        <v>20.0</v>
      </c>
      <c r="AJ370" s="1">
        <v>19.0</v>
      </c>
      <c r="AK370" s="1">
        <v>3.0</v>
      </c>
      <c r="AL370" s="1">
        <v>18.0</v>
      </c>
      <c r="AM370" s="1">
        <v>118.0</v>
      </c>
      <c r="AN370" s="1">
        <v>49.0</v>
      </c>
      <c r="AO370" s="1">
        <v>0.0</v>
      </c>
      <c r="AP370" s="1">
        <v>0.0</v>
      </c>
      <c r="AQ370" s="1">
        <v>6.0</v>
      </c>
      <c r="AR370" s="1">
        <v>0.0</v>
      </c>
      <c r="AS370" s="1">
        <v>2.0</v>
      </c>
    </row>
    <row r="371" hidden="1">
      <c r="A371" s="1">
        <v>82.0</v>
      </c>
      <c r="B371" s="1" t="s">
        <v>3817</v>
      </c>
      <c r="C371" s="1" t="s">
        <v>3818</v>
      </c>
      <c r="D371" s="1" t="s">
        <v>3340</v>
      </c>
      <c r="E371" s="1" t="s">
        <v>58</v>
      </c>
      <c r="F371" s="2">
        <v>33315.0</v>
      </c>
      <c r="G371" s="1">
        <f t="shared" si="1"/>
        <v>35</v>
      </c>
      <c r="H371" s="1" t="s">
        <v>3819</v>
      </c>
      <c r="I371" s="1" t="str">
        <f>IFERROR(__xludf.DUMMYFUNCTION("SPLIT(left(H371,len(H371)-1),""("")"),"Saint Brieuc ")</f>
        <v>Saint Brieuc </v>
      </c>
      <c r="J371" s="1" t="str">
        <f>IFERROR(__xludf.DUMMYFUNCTION("""COMPUTED_VALUE"""),"Côtes-d'Armor")</f>
        <v>Côtes-d'Armor</v>
      </c>
      <c r="K371" s="1" t="str">
        <f>IFERROR(__xludf.DUMMYFUNCTION("IF( COUNTA( IFERROR( FILTER('départements_edition'!$C$2:$C$102 , 'départements_edition'!$C$2:$C$102=J371 ) ) ) , ""Oui"" , ""Non"" )"),"Oui")</f>
        <v>Oui</v>
      </c>
      <c r="L371" s="1" t="str">
        <f t="shared" si="2"/>
        <v>France</v>
      </c>
      <c r="M371" s="1">
        <v>29.0</v>
      </c>
      <c r="N371" s="1" t="s">
        <v>393</v>
      </c>
      <c r="O371" s="1">
        <v>4.0</v>
      </c>
      <c r="P371" s="2">
        <v>42907.0</v>
      </c>
      <c r="R371" s="1">
        <v>0.0</v>
      </c>
      <c r="S371" s="1" t="s">
        <v>75</v>
      </c>
      <c r="T371" s="1" t="s">
        <v>76</v>
      </c>
      <c r="U371" s="3" t="s">
        <v>3820</v>
      </c>
      <c r="X371" s="1" t="s">
        <v>1905</v>
      </c>
      <c r="Y371" s="1">
        <v>286.0</v>
      </c>
      <c r="Z371" s="3" t="s">
        <v>3821</v>
      </c>
      <c r="AA371" s="1">
        <v>719412.0</v>
      </c>
      <c r="AB371" s="1" t="s">
        <v>3822</v>
      </c>
      <c r="AC371" s="3" t="s">
        <v>3823</v>
      </c>
      <c r="AD371" s="3" t="s">
        <v>3824</v>
      </c>
      <c r="AE371" s="1">
        <v>1.0</v>
      </c>
      <c r="AF371" s="1" t="s">
        <v>3825</v>
      </c>
      <c r="AG371" s="1">
        <v>19.0</v>
      </c>
      <c r="AH371" s="1">
        <v>38.0</v>
      </c>
      <c r="AI371" s="1">
        <v>5.0</v>
      </c>
      <c r="AJ371" s="1">
        <v>2.0</v>
      </c>
      <c r="AK371" s="1">
        <v>0.0</v>
      </c>
      <c r="AL371" s="1">
        <v>0.0</v>
      </c>
      <c r="AM371" s="1">
        <v>85.0</v>
      </c>
      <c r="AN371" s="1">
        <v>44.0</v>
      </c>
      <c r="AO371" s="1">
        <v>0.0</v>
      </c>
      <c r="AP371" s="1">
        <v>0.0</v>
      </c>
      <c r="AQ371" s="1">
        <v>6.0</v>
      </c>
      <c r="AR371" s="1">
        <v>4.0</v>
      </c>
      <c r="AS371" s="1">
        <v>1.0</v>
      </c>
    </row>
    <row r="372" hidden="1">
      <c r="A372" s="1">
        <v>19.0</v>
      </c>
      <c r="B372" s="1" t="s">
        <v>3826</v>
      </c>
      <c r="C372" s="1" t="s">
        <v>3827</v>
      </c>
      <c r="D372" s="1" t="s">
        <v>3828</v>
      </c>
      <c r="E372" s="1" t="s">
        <v>58</v>
      </c>
      <c r="F372" s="2">
        <v>26783.0</v>
      </c>
      <c r="G372" s="1">
        <f t="shared" si="1"/>
        <v>53</v>
      </c>
      <c r="H372" s="1" t="s">
        <v>2609</v>
      </c>
      <c r="I372" s="1" t="str">
        <f>IFERROR(__xludf.DUMMYFUNCTION("SPLIT(left(H372,len(H372)-1),""("")"),"Brest ")</f>
        <v>Brest </v>
      </c>
      <c r="J372" s="1" t="str">
        <f>IFERROR(__xludf.DUMMYFUNCTION("""COMPUTED_VALUE"""),"Finistère")</f>
        <v>Finistère</v>
      </c>
      <c r="K372" s="1" t="str">
        <f>IFERROR(__xludf.DUMMYFUNCTION("IF( COUNTA( IFERROR( FILTER('départements_edition'!$C$2:$C$102 , 'départements_edition'!$C$2:$C$102=J372 ) ) ) , ""Oui"" , ""Non"" )"),"Oui")</f>
        <v>Oui</v>
      </c>
      <c r="L372" s="1" t="str">
        <f t="shared" si="2"/>
        <v>France</v>
      </c>
      <c r="M372" s="1">
        <v>29.0</v>
      </c>
      <c r="N372" s="1" t="s">
        <v>393</v>
      </c>
      <c r="O372" s="1">
        <v>1.0</v>
      </c>
      <c r="P372" s="2">
        <v>42907.0</v>
      </c>
      <c r="R372" s="1">
        <v>0.0</v>
      </c>
      <c r="S372" s="1" t="s">
        <v>75</v>
      </c>
      <c r="T372" s="1" t="s">
        <v>76</v>
      </c>
      <c r="U372" s="1" t="s">
        <v>3829</v>
      </c>
      <c r="X372" s="1" t="s">
        <v>293</v>
      </c>
      <c r="Y372" s="1">
        <v>318.0</v>
      </c>
      <c r="Z372" s="3" t="s">
        <v>3830</v>
      </c>
      <c r="AA372" s="1">
        <v>719388.0</v>
      </c>
      <c r="AB372" s="1" t="s">
        <v>3831</v>
      </c>
      <c r="AC372" s="3" t="s">
        <v>3832</v>
      </c>
      <c r="AD372" s="3" t="s">
        <v>3833</v>
      </c>
      <c r="AE372" s="1">
        <v>1.0</v>
      </c>
      <c r="AF372" s="1" t="s">
        <v>3834</v>
      </c>
      <c r="AG372" s="1">
        <v>19.0</v>
      </c>
      <c r="AH372" s="1">
        <v>34.0</v>
      </c>
      <c r="AI372" s="1">
        <v>6.0</v>
      </c>
      <c r="AJ372" s="1">
        <v>8.0</v>
      </c>
      <c r="AK372" s="1">
        <v>0.0</v>
      </c>
      <c r="AL372" s="1">
        <v>2.0</v>
      </c>
      <c r="AM372" s="1">
        <v>56.0</v>
      </c>
      <c r="AN372" s="1">
        <v>28.0</v>
      </c>
      <c r="AO372" s="1">
        <v>1.0</v>
      </c>
      <c r="AP372" s="1">
        <v>0.0</v>
      </c>
      <c r="AQ372" s="1">
        <v>5.0</v>
      </c>
      <c r="AR372" s="1">
        <v>5.0</v>
      </c>
      <c r="AS372" s="1">
        <v>1.0</v>
      </c>
    </row>
    <row r="373" hidden="1">
      <c r="A373" s="1">
        <v>253.0</v>
      </c>
      <c r="B373" s="1" t="s">
        <v>3835</v>
      </c>
      <c r="C373" s="1" t="s">
        <v>3836</v>
      </c>
      <c r="D373" s="1" t="s">
        <v>3837</v>
      </c>
      <c r="E373" s="1" t="s">
        <v>58</v>
      </c>
      <c r="F373" s="2">
        <v>25055.0</v>
      </c>
      <c r="G373" s="1">
        <f t="shared" si="1"/>
        <v>58</v>
      </c>
      <c r="H373" s="1" t="s">
        <v>1893</v>
      </c>
      <c r="I373" s="1" t="str">
        <f>IFERROR(__xludf.DUMMYFUNCTION("SPLIT(left(H373,len(H373)-1),""("")"),"Neuilly-sur-Seine ")</f>
        <v>Neuilly-sur-Seine </v>
      </c>
      <c r="J373" s="1" t="str">
        <f>IFERROR(__xludf.DUMMYFUNCTION("""COMPUTED_VALUE"""),"Hauts-de-Seine")</f>
        <v>Hauts-de-Seine</v>
      </c>
      <c r="K373" s="1" t="str">
        <f>IFERROR(__xludf.DUMMYFUNCTION("IF( COUNTA( IFERROR( FILTER('départements_edition'!$C$2:$C$102 , 'départements_edition'!$C$2:$C$102=J373 ) ) ) , ""Oui"" , ""Non"" )"),"Oui")</f>
        <v>Oui</v>
      </c>
      <c r="L373" s="1" t="str">
        <f t="shared" si="2"/>
        <v>France</v>
      </c>
      <c r="M373" s="1">
        <v>62.0</v>
      </c>
      <c r="N373" s="1" t="s">
        <v>427</v>
      </c>
      <c r="O373" s="1">
        <v>11.0</v>
      </c>
      <c r="P373" s="2">
        <v>42907.0</v>
      </c>
      <c r="R373" s="1">
        <v>0.0</v>
      </c>
      <c r="S373" s="1" t="s">
        <v>814</v>
      </c>
      <c r="T373" s="1" t="s">
        <v>837</v>
      </c>
      <c r="U373" s="1" t="s">
        <v>3838</v>
      </c>
      <c r="X373" s="1" t="s">
        <v>78</v>
      </c>
      <c r="Y373" s="1">
        <v>60.0</v>
      </c>
      <c r="Z373" s="3" t="s">
        <v>3839</v>
      </c>
      <c r="AA373" s="1">
        <v>720614.0</v>
      </c>
      <c r="AB373" s="1" t="s">
        <v>3840</v>
      </c>
      <c r="AC373" s="3" t="s">
        <v>3841</v>
      </c>
      <c r="AD373" s="3" t="s">
        <v>3842</v>
      </c>
      <c r="AE373" s="1">
        <v>1.0</v>
      </c>
      <c r="AF373" s="1" t="s">
        <v>3843</v>
      </c>
      <c r="AG373" s="1">
        <v>19.0</v>
      </c>
      <c r="AH373" s="1">
        <v>18.0</v>
      </c>
      <c r="AI373" s="1">
        <v>13.0</v>
      </c>
      <c r="AJ373" s="1">
        <v>62.0</v>
      </c>
      <c r="AK373" s="1">
        <v>45.0</v>
      </c>
      <c r="AL373" s="1">
        <v>48.0</v>
      </c>
      <c r="AM373" s="1">
        <v>245.0</v>
      </c>
      <c r="AN373" s="1">
        <v>0.0</v>
      </c>
      <c r="AO373" s="1">
        <v>0.0</v>
      </c>
      <c r="AP373" s="1">
        <v>3.0</v>
      </c>
      <c r="AQ373" s="1">
        <v>9.0</v>
      </c>
      <c r="AR373" s="1">
        <v>5.0</v>
      </c>
      <c r="AS373" s="1">
        <v>0.0</v>
      </c>
    </row>
    <row r="374" hidden="1">
      <c r="A374" s="1">
        <v>168.0</v>
      </c>
      <c r="B374" s="1" t="s">
        <v>3844</v>
      </c>
      <c r="C374" s="1" t="s">
        <v>3845</v>
      </c>
      <c r="D374" s="1" t="s">
        <v>835</v>
      </c>
      <c r="E374" s="1" t="s">
        <v>43</v>
      </c>
      <c r="F374" s="2">
        <v>25655.0</v>
      </c>
      <c r="G374" s="1">
        <f t="shared" si="1"/>
        <v>56</v>
      </c>
      <c r="H374" s="1" t="s">
        <v>3846</v>
      </c>
      <c r="I374" s="1" t="str">
        <f>IFERROR(__xludf.DUMMYFUNCTION("SPLIT(left(H374,len(H374)-1),""("")"),"Lisieux ")</f>
        <v>Lisieux </v>
      </c>
      <c r="J374" s="1" t="str">
        <f>IFERROR(__xludf.DUMMYFUNCTION("""COMPUTED_VALUE"""),"Calvados")</f>
        <v>Calvados</v>
      </c>
      <c r="K374" s="1" t="str">
        <f>IFERROR(__xludf.DUMMYFUNCTION("IF( COUNTA( IFERROR( FILTER('départements_edition'!$C$2:$C$102 , 'départements_edition'!$C$2:$C$102=J374 ) ) ) , ""Oui"" , ""Non"" )"),"Oui")</f>
        <v>Oui</v>
      </c>
      <c r="L374" s="1" t="str">
        <f t="shared" si="2"/>
        <v>France</v>
      </c>
      <c r="M374" s="1">
        <v>14.0</v>
      </c>
      <c r="N374" s="1" t="s">
        <v>1137</v>
      </c>
      <c r="O374" s="1">
        <v>3.0</v>
      </c>
      <c r="P374" s="2">
        <v>42907.0</v>
      </c>
      <c r="R374" s="1">
        <v>0.0</v>
      </c>
      <c r="S374" s="1" t="s">
        <v>61</v>
      </c>
      <c r="T374" s="1" t="s">
        <v>62</v>
      </c>
      <c r="U374" s="1" t="s">
        <v>3847</v>
      </c>
      <c r="X374" s="1" t="s">
        <v>293</v>
      </c>
      <c r="Y374" s="1">
        <v>1.0</v>
      </c>
      <c r="Z374" s="3" t="s">
        <v>3848</v>
      </c>
      <c r="AA374" s="1">
        <v>340853.0</v>
      </c>
      <c r="AB374" s="1" t="s">
        <v>3849</v>
      </c>
      <c r="AC374" s="3" t="s">
        <v>3850</v>
      </c>
      <c r="AD374" s="3" t="s">
        <v>3851</v>
      </c>
      <c r="AE374" s="1">
        <v>1.0</v>
      </c>
      <c r="AF374" s="1" t="s">
        <v>3852</v>
      </c>
      <c r="AG374" s="1">
        <v>19.0</v>
      </c>
      <c r="AH374" s="1">
        <v>24.0</v>
      </c>
      <c r="AI374" s="1">
        <v>5.0</v>
      </c>
      <c r="AJ374" s="1">
        <v>18.0</v>
      </c>
      <c r="AK374" s="1">
        <v>6.0</v>
      </c>
      <c r="AL374" s="1">
        <v>11.0</v>
      </c>
      <c r="AM374" s="1">
        <v>656.0</v>
      </c>
      <c r="AN374" s="1">
        <v>29.0</v>
      </c>
      <c r="AO374" s="1">
        <v>0.0</v>
      </c>
      <c r="AP374" s="1">
        <v>2.0</v>
      </c>
      <c r="AQ374" s="1">
        <v>63.0</v>
      </c>
      <c r="AR374" s="1">
        <v>20.0</v>
      </c>
      <c r="AS374" s="1">
        <v>4.0</v>
      </c>
    </row>
    <row r="375" hidden="1">
      <c r="A375" s="1">
        <v>150.0</v>
      </c>
      <c r="B375" s="1" t="s">
        <v>3853</v>
      </c>
      <c r="C375" s="1" t="s">
        <v>3854</v>
      </c>
      <c r="D375" s="1" t="s">
        <v>3855</v>
      </c>
      <c r="E375" s="1" t="s">
        <v>58</v>
      </c>
      <c r="F375" s="2">
        <v>26422.0</v>
      </c>
      <c r="G375" s="1">
        <f t="shared" si="1"/>
        <v>54</v>
      </c>
      <c r="H375" s="1" t="s">
        <v>2493</v>
      </c>
      <c r="I375" s="1" t="str">
        <f>IFERROR(__xludf.DUMMYFUNCTION("SPLIT(left(H375,len(H375)-1),""("")"),"Mans ")</f>
        <v>Mans </v>
      </c>
      <c r="J375" s="1" t="str">
        <f>IFERROR(__xludf.DUMMYFUNCTION("""COMPUTED_VALUE"""),"Sarthe")</f>
        <v>Sarthe</v>
      </c>
      <c r="K375" s="1" t="str">
        <f>IFERROR(__xludf.DUMMYFUNCTION("IF( COUNTA( IFERROR( FILTER('départements_edition'!$C$2:$C$102 , 'départements_edition'!$C$2:$C$102=J375 ) ) ) , ""Oui"" , ""Non"" )"),"Oui")</f>
        <v>Oui</v>
      </c>
      <c r="L375" s="1" t="str">
        <f t="shared" si="2"/>
        <v>France</v>
      </c>
      <c r="M375" s="1">
        <v>83.0</v>
      </c>
      <c r="N375" s="1" t="s">
        <v>1231</v>
      </c>
      <c r="O375" s="1">
        <v>4.0</v>
      </c>
      <c r="P375" s="2">
        <v>42907.0</v>
      </c>
      <c r="R375" s="1">
        <v>0.0</v>
      </c>
      <c r="S375" s="1" t="s">
        <v>75</v>
      </c>
      <c r="T375" s="1" t="s">
        <v>76</v>
      </c>
      <c r="U375" s="1" t="s">
        <v>3856</v>
      </c>
      <c r="X375" s="1" t="s">
        <v>3716</v>
      </c>
      <c r="Y375" s="1">
        <v>438.0</v>
      </c>
      <c r="Z375" s="3" t="s">
        <v>3857</v>
      </c>
      <c r="AA375" s="1">
        <v>721726.0</v>
      </c>
      <c r="AB375" s="1" t="s">
        <v>3858</v>
      </c>
      <c r="AC375" s="3" t="s">
        <v>3859</v>
      </c>
      <c r="AD375" s="3" t="s">
        <v>3860</v>
      </c>
      <c r="AE375" s="1">
        <v>1.0</v>
      </c>
      <c r="AF375" s="1" t="s">
        <v>3861</v>
      </c>
      <c r="AG375" s="1">
        <v>19.0</v>
      </c>
      <c r="AH375" s="1">
        <v>37.0</v>
      </c>
      <c r="AI375" s="1">
        <v>13.0</v>
      </c>
      <c r="AJ375" s="1">
        <v>6.0</v>
      </c>
      <c r="AK375" s="1">
        <v>4.0</v>
      </c>
      <c r="AL375" s="1">
        <v>0.0</v>
      </c>
      <c r="AM375" s="1">
        <v>31.0</v>
      </c>
      <c r="AN375" s="1">
        <v>17.0</v>
      </c>
      <c r="AO375" s="1">
        <v>0.0</v>
      </c>
      <c r="AP375" s="1">
        <v>0.0</v>
      </c>
      <c r="AQ375" s="1">
        <v>7.0</v>
      </c>
      <c r="AR375" s="1">
        <v>2.0</v>
      </c>
      <c r="AS375" s="1">
        <v>1.0</v>
      </c>
    </row>
    <row r="376" hidden="1">
      <c r="A376" s="1">
        <v>446.0</v>
      </c>
      <c r="B376" s="1" t="s">
        <v>3872</v>
      </c>
      <c r="C376" s="1" t="s">
        <v>3873</v>
      </c>
      <c r="D376" s="1" t="s">
        <v>3874</v>
      </c>
      <c r="E376" s="1" t="s">
        <v>43</v>
      </c>
      <c r="F376" s="2">
        <v>26536.0</v>
      </c>
      <c r="G376" s="1">
        <f t="shared" si="1"/>
        <v>53</v>
      </c>
      <c r="H376" s="1" t="s">
        <v>44</v>
      </c>
      <c r="I376" s="1" t="str">
        <f>IFERROR(__xludf.DUMMYFUNCTION("SPLIT(left(H376,len(H376)-1),""("")"),"Valence ")</f>
        <v>Valence </v>
      </c>
      <c r="J376" s="1" t="str">
        <f>IFERROR(__xludf.DUMMYFUNCTION("""COMPUTED_VALUE"""),"Drôme")</f>
        <v>Drôme</v>
      </c>
      <c r="K376" s="1" t="str">
        <f>IFERROR(__xludf.DUMMYFUNCTION("IF( COUNTA( IFERROR( FILTER('départements_edition'!$C$2:$C$102 , 'départements_edition'!$C$2:$C$102=J376 ) ) ) , ""Oui"" , ""Non"" )"),"Oui")</f>
        <v>Oui</v>
      </c>
      <c r="L376" s="1" t="str">
        <f t="shared" si="2"/>
        <v>France</v>
      </c>
      <c r="M376" s="1">
        <v>61.0</v>
      </c>
      <c r="N376" s="1" t="s">
        <v>1188</v>
      </c>
      <c r="O376" s="1">
        <v>3.0</v>
      </c>
      <c r="P376" s="2">
        <v>42907.0</v>
      </c>
      <c r="R376" s="1">
        <v>0.0</v>
      </c>
      <c r="S376" s="1" t="s">
        <v>61</v>
      </c>
      <c r="T376" s="1" t="s">
        <v>62</v>
      </c>
      <c r="U376" s="1" t="s">
        <v>3875</v>
      </c>
      <c r="X376" s="1" t="s">
        <v>3876</v>
      </c>
      <c r="Y376" s="1">
        <v>30.0</v>
      </c>
      <c r="Z376" s="3" t="s">
        <v>3877</v>
      </c>
      <c r="AA376" s="1">
        <v>720644.0</v>
      </c>
      <c r="AB376" s="1" t="s">
        <v>3878</v>
      </c>
      <c r="AC376" s="3" t="s">
        <v>3879</v>
      </c>
      <c r="AD376" s="3" t="s">
        <v>3880</v>
      </c>
      <c r="AE376" s="1">
        <v>1.0</v>
      </c>
      <c r="AF376" s="1" t="s">
        <v>3881</v>
      </c>
      <c r="AG376" s="1">
        <v>19.0</v>
      </c>
      <c r="AH376" s="1">
        <v>28.0</v>
      </c>
      <c r="AI376" s="1">
        <v>15.0</v>
      </c>
      <c r="AJ376" s="1">
        <v>25.0</v>
      </c>
      <c r="AK376" s="1">
        <v>22.0</v>
      </c>
      <c r="AL376" s="1">
        <v>30.0</v>
      </c>
      <c r="AM376" s="1">
        <v>802.0</v>
      </c>
      <c r="AN376" s="1">
        <v>36.0</v>
      </c>
      <c r="AO376" s="1">
        <v>0.0</v>
      </c>
      <c r="AP376" s="1">
        <v>1.0</v>
      </c>
      <c r="AQ376" s="1">
        <v>19.0</v>
      </c>
      <c r="AR376" s="1">
        <v>14.0</v>
      </c>
      <c r="AS376" s="1">
        <v>1.0</v>
      </c>
    </row>
    <row r="377" hidden="1">
      <c r="A377" s="1">
        <v>458.0</v>
      </c>
      <c r="B377" s="1" t="s">
        <v>3882</v>
      </c>
      <c r="C377" s="1" t="s">
        <v>3883</v>
      </c>
      <c r="D377" s="1" t="s">
        <v>3884</v>
      </c>
      <c r="E377" s="1" t="s">
        <v>58</v>
      </c>
      <c r="F377" s="2">
        <v>17825.0</v>
      </c>
      <c r="G377" s="1">
        <f t="shared" si="1"/>
        <v>77</v>
      </c>
      <c r="H377" s="1" t="s">
        <v>1914</v>
      </c>
      <c r="I377" s="1" t="str">
        <f>IFERROR(__xludf.DUMMYFUNCTION("SPLIT(left(H377,len(H377)-1),""("")"),"Pointe-à-Pitre ")</f>
        <v>Pointe-à-Pitre </v>
      </c>
      <c r="J377" s="1" t="str">
        <f>IFERROR(__xludf.DUMMYFUNCTION("""COMPUTED_VALUE"""),"Guadeloupe")</f>
        <v>Guadeloupe</v>
      </c>
      <c r="K377" s="1" t="str">
        <f>IFERROR(__xludf.DUMMYFUNCTION("IF( COUNTA( IFERROR( FILTER('départements_edition'!$C$2:$C$102 , 'départements_edition'!$C$2:$C$102=J377 ) ) ) , ""Oui"" , ""Non"" )"),"Oui")</f>
        <v>Oui</v>
      </c>
      <c r="L377" s="1" t="str">
        <f t="shared" si="2"/>
        <v>France</v>
      </c>
      <c r="M377" s="1">
        <v>75.0</v>
      </c>
      <c r="N377" s="1" t="s">
        <v>232</v>
      </c>
      <c r="O377" s="1">
        <v>15.0</v>
      </c>
      <c r="P377" s="2">
        <v>42907.0</v>
      </c>
      <c r="R377" s="1">
        <v>0.0</v>
      </c>
      <c r="S377" s="1" t="s">
        <v>115</v>
      </c>
      <c r="T377" s="1" t="s">
        <v>116</v>
      </c>
      <c r="U377" s="1" t="s">
        <v>3885</v>
      </c>
      <c r="X377" s="1" t="s">
        <v>3886</v>
      </c>
      <c r="Y377" s="1">
        <v>511.0</v>
      </c>
      <c r="Z377" s="3" t="s">
        <v>3887</v>
      </c>
      <c r="AA377" s="1">
        <v>335532.0</v>
      </c>
      <c r="AB377" s="1" t="s">
        <v>3888</v>
      </c>
      <c r="AC377" s="3" t="s">
        <v>3889</v>
      </c>
      <c r="AD377" s="3" t="s">
        <v>3890</v>
      </c>
      <c r="AE377" s="1">
        <v>1.0</v>
      </c>
      <c r="AF377" s="1" t="s">
        <v>3891</v>
      </c>
      <c r="AG377" s="1">
        <v>19.0</v>
      </c>
      <c r="AH377" s="1">
        <v>38.0</v>
      </c>
      <c r="AI377" s="1">
        <v>29.0</v>
      </c>
      <c r="AJ377" s="1">
        <v>32.0</v>
      </c>
      <c r="AK377" s="1">
        <v>9.0</v>
      </c>
      <c r="AL377" s="1">
        <v>46.0</v>
      </c>
      <c r="AM377" s="1">
        <v>1062.0</v>
      </c>
      <c r="AN377" s="1">
        <v>69.0</v>
      </c>
      <c r="AO377" s="1">
        <v>0.0</v>
      </c>
      <c r="AP377" s="1">
        <v>0.0</v>
      </c>
      <c r="AQ377" s="1">
        <v>5.0</v>
      </c>
      <c r="AR377" s="1">
        <v>9.0</v>
      </c>
      <c r="AS377" s="1">
        <v>3.0</v>
      </c>
    </row>
    <row r="378" hidden="1">
      <c r="A378" s="1">
        <v>460.0</v>
      </c>
      <c r="B378" s="1" t="s">
        <v>3892</v>
      </c>
      <c r="C378" s="1" t="s">
        <v>3893</v>
      </c>
      <c r="D378" s="1" t="s">
        <v>3894</v>
      </c>
      <c r="E378" s="1" t="s">
        <v>58</v>
      </c>
      <c r="F378" s="2">
        <v>25607.0</v>
      </c>
      <c r="G378" s="1">
        <f t="shared" si="1"/>
        <v>56</v>
      </c>
      <c r="H378" s="1" t="s">
        <v>3895</v>
      </c>
      <c r="I378" s="1" t="str">
        <f>IFERROR(__xludf.DUMMYFUNCTION("SPLIT(left(H378,len(H378)-1),""("")"),"Saint Raphaël ")</f>
        <v>Saint Raphaël </v>
      </c>
      <c r="J378" s="1" t="str">
        <f>IFERROR(__xludf.DUMMYFUNCTION("""COMPUTED_VALUE"""),"Var")</f>
        <v>Var</v>
      </c>
      <c r="K378" s="1" t="str">
        <f>IFERROR(__xludf.DUMMYFUNCTION("IF( COUNTA( IFERROR( FILTER('départements_edition'!$C$2:$C$102 , 'départements_edition'!$C$2:$C$102=J378 ) ) ) , ""Oui"" , ""Non"" )"),"Oui")</f>
        <v>Oui</v>
      </c>
      <c r="L378" s="1" t="str">
        <f t="shared" si="2"/>
        <v>France</v>
      </c>
      <c r="M378" s="1">
        <v>13.0</v>
      </c>
      <c r="N378" s="1" t="s">
        <v>279</v>
      </c>
      <c r="O378" s="1">
        <v>14.0</v>
      </c>
      <c r="P378" s="2">
        <v>42907.0</v>
      </c>
      <c r="R378" s="1">
        <v>0.0</v>
      </c>
      <c r="S378" s="1" t="s">
        <v>75</v>
      </c>
      <c r="T378" s="1" t="s">
        <v>76</v>
      </c>
      <c r="U378" s="1" t="s">
        <v>3896</v>
      </c>
      <c r="X378" s="1" t="s">
        <v>3897</v>
      </c>
      <c r="Y378" s="1">
        <v>440.0</v>
      </c>
      <c r="Z378" s="3" t="s">
        <v>3898</v>
      </c>
      <c r="AA378" s="1">
        <v>718930.0</v>
      </c>
      <c r="AB378" s="1" t="s">
        <v>3899</v>
      </c>
      <c r="AC378" s="3" t="s">
        <v>3900</v>
      </c>
      <c r="AD378" s="3" t="s">
        <v>3901</v>
      </c>
      <c r="AE378" s="1">
        <v>1.0</v>
      </c>
      <c r="AF378" s="1" t="s">
        <v>3902</v>
      </c>
      <c r="AG378" s="1">
        <v>19.0</v>
      </c>
      <c r="AH378" s="1">
        <v>42.0</v>
      </c>
      <c r="AI378" s="1">
        <v>22.0</v>
      </c>
      <c r="AJ378" s="1">
        <v>2.0</v>
      </c>
      <c r="AK378" s="1">
        <v>0.0</v>
      </c>
      <c r="AL378" s="1">
        <v>0.0</v>
      </c>
      <c r="AM378" s="1">
        <v>52.0</v>
      </c>
      <c r="AN378" s="1">
        <v>25.0</v>
      </c>
      <c r="AO378" s="1">
        <v>0.0</v>
      </c>
      <c r="AP378" s="1">
        <v>0.0</v>
      </c>
      <c r="AQ378" s="1">
        <v>5.0</v>
      </c>
      <c r="AR378" s="1">
        <v>3.0</v>
      </c>
      <c r="AS378" s="1">
        <v>1.0</v>
      </c>
    </row>
    <row r="379" hidden="1">
      <c r="A379" s="1">
        <v>45.0</v>
      </c>
      <c r="B379" s="1" t="s">
        <v>3903</v>
      </c>
      <c r="C379" s="1" t="s">
        <v>3904</v>
      </c>
      <c r="D379" s="1" t="s">
        <v>3905</v>
      </c>
      <c r="E379" s="1" t="s">
        <v>58</v>
      </c>
      <c r="F379" s="2">
        <v>29115.0</v>
      </c>
      <c r="G379" s="1">
        <f t="shared" si="1"/>
        <v>46</v>
      </c>
      <c r="H379" s="1" t="s">
        <v>718</v>
      </c>
      <c r="I379" s="1" t="str">
        <f>IFERROR(__xludf.DUMMYFUNCTION("SPLIT(left(H379,len(H379)-1),""("")"),"Marseille ")</f>
        <v>Marseille </v>
      </c>
      <c r="J379" s="1" t="str">
        <f>IFERROR(__xludf.DUMMYFUNCTION("""COMPUTED_VALUE"""),"Bouches-du-Rhône")</f>
        <v>Bouches-du-Rhône</v>
      </c>
      <c r="K379" s="1" t="str">
        <f>IFERROR(__xludf.DUMMYFUNCTION("IF( COUNTA( IFERROR( FILTER('départements_edition'!$C$2:$C$102 , 'départements_edition'!$C$2:$C$102=J379 ) ) ) , ""Oui"" , ""Non"" )"),"Oui")</f>
        <v>Oui</v>
      </c>
      <c r="L379" s="1" t="str">
        <f t="shared" si="2"/>
        <v>France</v>
      </c>
      <c r="M379" s="1">
        <v>13.0</v>
      </c>
      <c r="N379" s="1" t="s">
        <v>279</v>
      </c>
      <c r="O379" s="1">
        <v>2.0</v>
      </c>
      <c r="P379" s="2">
        <v>42907.0</v>
      </c>
      <c r="R379" s="1">
        <v>0.0</v>
      </c>
      <c r="S379" s="1" t="s">
        <v>75</v>
      </c>
      <c r="T379" s="1" t="s">
        <v>76</v>
      </c>
      <c r="U379" s="1" t="s">
        <v>3906</v>
      </c>
      <c r="X379" s="1" t="s">
        <v>827</v>
      </c>
      <c r="Y379" s="1">
        <v>524.0</v>
      </c>
      <c r="Z379" s="3" t="s">
        <v>3907</v>
      </c>
      <c r="AA379" s="1">
        <v>718910.0</v>
      </c>
      <c r="AB379" s="1" t="s">
        <v>3908</v>
      </c>
      <c r="AC379" s="3" t="s">
        <v>3909</v>
      </c>
      <c r="AD379" s="3" t="s">
        <v>3910</v>
      </c>
      <c r="AE379" s="1">
        <v>1.0</v>
      </c>
      <c r="AF379" s="1" t="s">
        <v>3911</v>
      </c>
      <c r="AG379" s="1">
        <v>19.0</v>
      </c>
      <c r="AH379" s="1">
        <v>38.0</v>
      </c>
      <c r="AI379" s="1">
        <v>1.0</v>
      </c>
      <c r="AJ379" s="1">
        <v>8.0</v>
      </c>
      <c r="AK379" s="1">
        <v>1.0</v>
      </c>
      <c r="AL379" s="1">
        <v>2.0</v>
      </c>
      <c r="AM379" s="1">
        <v>56.0</v>
      </c>
      <c r="AN379" s="1">
        <v>25.0</v>
      </c>
      <c r="AO379" s="1">
        <v>0.0</v>
      </c>
      <c r="AP379" s="1">
        <v>0.0</v>
      </c>
      <c r="AQ379" s="1">
        <v>5.0</v>
      </c>
      <c r="AR379" s="1">
        <v>1.0</v>
      </c>
      <c r="AS379" s="1">
        <v>1.0</v>
      </c>
    </row>
    <row r="380" hidden="1">
      <c r="A380" s="1">
        <v>451.0</v>
      </c>
      <c r="B380" s="1" t="s">
        <v>3912</v>
      </c>
      <c r="C380" s="1" t="s">
        <v>3913</v>
      </c>
      <c r="D380" s="1" t="s">
        <v>3914</v>
      </c>
      <c r="E380" s="1" t="s">
        <v>58</v>
      </c>
      <c r="F380" s="2">
        <v>28086.0</v>
      </c>
      <c r="G380" s="1">
        <f t="shared" si="1"/>
        <v>49</v>
      </c>
      <c r="H380" s="1" t="s">
        <v>3915</v>
      </c>
      <c r="I380" s="1" t="str">
        <f>IFERROR(__xludf.DUMMYFUNCTION("SPLIT(left(H380,len(H380)-1),""("")"),"Domont ")</f>
        <v>Domont </v>
      </c>
      <c r="J380" s="1" t="str">
        <f>IFERROR(__xludf.DUMMYFUNCTION("""COMPUTED_VALUE"""),"Val-d'Oise")</f>
        <v>Val-d'Oise</v>
      </c>
      <c r="K380" s="1" t="str">
        <f>IFERROR(__xludf.DUMMYFUNCTION("IF( COUNTA( IFERROR( FILTER('départements_edition'!$C$2:$C$102 , 'départements_edition'!$C$2:$C$102=J380 ) ) ) , ""Oui"" , ""Non"" )"),"Oui")</f>
        <v>Oui</v>
      </c>
      <c r="L380" s="1" t="str">
        <f t="shared" si="2"/>
        <v>France</v>
      </c>
      <c r="M380" s="1">
        <v>13.0</v>
      </c>
      <c r="N380" s="1" t="s">
        <v>279</v>
      </c>
      <c r="O380" s="1">
        <v>5.0</v>
      </c>
      <c r="P380" s="2">
        <v>42907.0</v>
      </c>
      <c r="R380" s="1">
        <v>0.0</v>
      </c>
      <c r="S380" s="1" t="s">
        <v>75</v>
      </c>
      <c r="T380" s="1" t="s">
        <v>76</v>
      </c>
      <c r="U380" s="1" t="s">
        <v>3916</v>
      </c>
      <c r="X380" s="1" t="s">
        <v>234</v>
      </c>
      <c r="Y380" s="1">
        <v>336.0</v>
      </c>
      <c r="Z380" s="3" t="s">
        <v>3917</v>
      </c>
      <c r="AA380" s="1">
        <v>718944.0</v>
      </c>
      <c r="AB380" s="1" t="s">
        <v>3918</v>
      </c>
      <c r="AC380" s="3" t="s">
        <v>3919</v>
      </c>
      <c r="AD380" s="3" t="s">
        <v>3920</v>
      </c>
      <c r="AE380" s="1">
        <v>1.0</v>
      </c>
      <c r="AF380" s="1" t="s">
        <v>3921</v>
      </c>
      <c r="AG380" s="1">
        <v>19.0</v>
      </c>
      <c r="AH380" s="1">
        <v>30.0</v>
      </c>
      <c r="AI380" s="1">
        <v>8.0</v>
      </c>
      <c r="AJ380" s="1">
        <v>10.0</v>
      </c>
      <c r="AK380" s="1">
        <v>2.0</v>
      </c>
      <c r="AL380" s="1">
        <v>0.0</v>
      </c>
      <c r="AM380" s="1">
        <v>44.0</v>
      </c>
      <c r="AN380" s="1">
        <v>15.0</v>
      </c>
      <c r="AO380" s="1">
        <v>0.0</v>
      </c>
      <c r="AP380" s="1">
        <v>0.0</v>
      </c>
      <c r="AQ380" s="1">
        <v>5.0</v>
      </c>
      <c r="AR380" s="1">
        <v>3.0</v>
      </c>
      <c r="AS380" s="1">
        <v>3.0</v>
      </c>
    </row>
    <row r="381" hidden="1">
      <c r="A381" s="1">
        <v>378.0</v>
      </c>
      <c r="B381" s="1" t="s">
        <v>3922</v>
      </c>
      <c r="C381" s="1" t="s">
        <v>3923</v>
      </c>
      <c r="D381" s="1" t="s">
        <v>994</v>
      </c>
      <c r="E381" s="1" t="s">
        <v>58</v>
      </c>
      <c r="F381" s="2">
        <v>25060.0</v>
      </c>
      <c r="G381" s="1">
        <f t="shared" si="1"/>
        <v>58</v>
      </c>
      <c r="H381" s="1" t="s">
        <v>706</v>
      </c>
      <c r="I381" s="1" t="str">
        <f>IFERROR(__xludf.DUMMYFUNCTION("SPLIT(left(H381,len(H381)-1),""("")"),"Villers-Semeuse ")</f>
        <v>Villers-Semeuse </v>
      </c>
      <c r="J381" s="1" t="str">
        <f>IFERROR(__xludf.DUMMYFUNCTION("""COMPUTED_VALUE"""),"Ardennes")</f>
        <v>Ardennes</v>
      </c>
      <c r="K381" s="1" t="str">
        <f>IFERROR(__xludf.DUMMYFUNCTION("IF( COUNTA( IFERROR( FILTER('départements_edition'!$C$2:$C$102 , 'départements_edition'!$C$2:$C$102=J381 ) ) ) , ""Oui"" , ""Non"" )"),"Oui")</f>
        <v>Oui</v>
      </c>
      <c r="L381" s="1" t="str">
        <f t="shared" si="2"/>
        <v>France</v>
      </c>
      <c r="M381" s="1">
        <v>57.0</v>
      </c>
      <c r="N381" s="1" t="s">
        <v>471</v>
      </c>
      <c r="O381" s="1">
        <v>9.0</v>
      </c>
      <c r="P381" s="2">
        <v>42907.0</v>
      </c>
      <c r="R381" s="1">
        <v>0.0</v>
      </c>
      <c r="S381" s="1" t="s">
        <v>75</v>
      </c>
      <c r="T381" s="1" t="s">
        <v>76</v>
      </c>
      <c r="U381" s="3" t="s">
        <v>3924</v>
      </c>
      <c r="X381" s="1" t="s">
        <v>3925</v>
      </c>
      <c r="Y381" s="1">
        <v>197.0</v>
      </c>
      <c r="Z381" s="3" t="s">
        <v>3926</v>
      </c>
      <c r="AA381" s="1">
        <v>720552.0</v>
      </c>
      <c r="AB381" s="1" t="s">
        <v>3927</v>
      </c>
      <c r="AC381" s="3" t="s">
        <v>3928</v>
      </c>
      <c r="AD381" s="3" t="s">
        <v>3929</v>
      </c>
      <c r="AE381" s="1">
        <v>1.0</v>
      </c>
      <c r="AF381" s="1" t="s">
        <v>3930</v>
      </c>
      <c r="AG381" s="1">
        <v>19.0</v>
      </c>
      <c r="AH381" s="1">
        <v>35.0</v>
      </c>
      <c r="AI381" s="1">
        <v>20.0</v>
      </c>
      <c r="AJ381" s="1">
        <v>5.0</v>
      </c>
      <c r="AK381" s="1">
        <v>1.0</v>
      </c>
      <c r="AL381" s="1">
        <v>0.0</v>
      </c>
      <c r="AM381" s="1">
        <v>26.0</v>
      </c>
      <c r="AN381" s="1">
        <v>8.0</v>
      </c>
      <c r="AO381" s="1">
        <v>2.0</v>
      </c>
      <c r="AP381" s="1">
        <v>0.0</v>
      </c>
      <c r="AQ381" s="1">
        <v>5.0</v>
      </c>
      <c r="AR381" s="1">
        <v>16.0</v>
      </c>
      <c r="AS381" s="1">
        <v>1.0</v>
      </c>
    </row>
    <row r="382" hidden="1">
      <c r="A382" s="1">
        <v>560.0</v>
      </c>
      <c r="B382" s="1" t="s">
        <v>3931</v>
      </c>
      <c r="C382" s="1" t="s">
        <v>3932</v>
      </c>
      <c r="D382" s="1" t="s">
        <v>3500</v>
      </c>
      <c r="E382" s="1" t="s">
        <v>58</v>
      </c>
      <c r="F382" s="2">
        <v>29607.0</v>
      </c>
      <c r="G382" s="1">
        <f t="shared" si="1"/>
        <v>45</v>
      </c>
      <c r="H382" s="1" t="s">
        <v>3933</v>
      </c>
      <c r="I382" s="1" t="str">
        <f>IFERROR(__xludf.DUMMYFUNCTION("SPLIT(left(H382,len(H382)-1),""("")"),"Chartres ")</f>
        <v>Chartres </v>
      </c>
      <c r="J382" s="1" t="str">
        <f>IFERROR(__xludf.DUMMYFUNCTION("""COMPUTED_VALUE"""),"Eure-et-Loir")</f>
        <v>Eure-et-Loir</v>
      </c>
      <c r="K382" s="1" t="str">
        <f>IFERROR(__xludf.DUMMYFUNCTION("IF( COUNTA( IFERROR( FILTER('départements_edition'!$C$2:$C$102 , 'départements_edition'!$C$2:$C$102=J382 ) ) ) , ""Oui"" , ""Non"" )"),"Oui")</f>
        <v>Oui</v>
      </c>
      <c r="L382" s="1" t="str">
        <f t="shared" si="2"/>
        <v>France</v>
      </c>
      <c r="M382" s="1">
        <v>49.0</v>
      </c>
      <c r="N382" s="1" t="s">
        <v>220</v>
      </c>
      <c r="O382" s="1">
        <v>4.0</v>
      </c>
      <c r="P382" s="2">
        <v>42907.0</v>
      </c>
      <c r="R382" s="1">
        <v>0.0</v>
      </c>
      <c r="S382" s="1" t="s">
        <v>75</v>
      </c>
      <c r="T382" s="1" t="s">
        <v>76</v>
      </c>
      <c r="U382" s="3" t="s">
        <v>3934</v>
      </c>
      <c r="X382" s="1" t="s">
        <v>3935</v>
      </c>
      <c r="Y382" s="1">
        <v>364.0</v>
      </c>
      <c r="Z382" s="3" t="s">
        <v>3936</v>
      </c>
      <c r="AA382" s="1">
        <v>720138.0</v>
      </c>
      <c r="AB382" s="1" t="s">
        <v>3937</v>
      </c>
      <c r="AC382" s="3" t="s">
        <v>3938</v>
      </c>
      <c r="AD382" s="3" t="s">
        <v>3939</v>
      </c>
      <c r="AE382" s="1">
        <v>1.0</v>
      </c>
      <c r="AG382" s="1">
        <v>19.0</v>
      </c>
      <c r="AH382" s="1">
        <v>32.0</v>
      </c>
      <c r="AI382" s="1">
        <v>15.0</v>
      </c>
      <c r="AJ382" s="1">
        <v>2.0</v>
      </c>
      <c r="AK382" s="1">
        <v>1.0</v>
      </c>
      <c r="AL382" s="1">
        <v>1.0</v>
      </c>
      <c r="AM382" s="1">
        <v>12.0</v>
      </c>
      <c r="AN382" s="1">
        <v>7.0</v>
      </c>
      <c r="AO382" s="1">
        <v>1.0</v>
      </c>
      <c r="AP382" s="1">
        <v>0.0</v>
      </c>
      <c r="AQ382" s="1">
        <v>5.0</v>
      </c>
      <c r="AR382" s="1">
        <v>6.0</v>
      </c>
      <c r="AS382" s="1">
        <v>0.0</v>
      </c>
    </row>
    <row r="383" hidden="1">
      <c r="A383" s="1">
        <v>545.0</v>
      </c>
      <c r="B383" s="1" t="s">
        <v>3940</v>
      </c>
      <c r="C383" s="1" t="s">
        <v>1262</v>
      </c>
      <c r="D383" s="1" t="s">
        <v>629</v>
      </c>
      <c r="E383" s="1" t="s">
        <v>58</v>
      </c>
      <c r="F383" s="2">
        <v>24858.0</v>
      </c>
      <c r="G383" s="1">
        <f t="shared" si="1"/>
        <v>58</v>
      </c>
      <c r="H383" s="1" t="s">
        <v>3941</v>
      </c>
      <c r="I383" s="1" t="str">
        <f>IFERROR(__xludf.DUMMYFUNCTION("SPLIT(left(H383,len(H383)-1),""("")"),"Desertines ")</f>
        <v>Desertines </v>
      </c>
      <c r="J383" s="1" t="str">
        <f>IFERROR(__xludf.DUMMYFUNCTION("""COMPUTED_VALUE"""),"Allier")</f>
        <v>Allier</v>
      </c>
      <c r="K383" s="1" t="str">
        <f>IFERROR(__xludf.DUMMYFUNCTION("IF( COUNTA( IFERROR( FILTER('départements_edition'!$C$2:$C$102 , 'départements_edition'!$C$2:$C$102=J383 ) ) ) , ""Oui"" , ""Non"" )"),"Oui")</f>
        <v>Oui</v>
      </c>
      <c r="L383" s="1" t="str">
        <f t="shared" si="2"/>
        <v>France</v>
      </c>
      <c r="M383" s="1">
        <v>63.0</v>
      </c>
      <c r="N383" s="1" t="s">
        <v>114</v>
      </c>
      <c r="O383" s="1">
        <v>1.0</v>
      </c>
      <c r="P383" s="2">
        <v>42907.0</v>
      </c>
      <c r="R383" s="1">
        <v>0.0</v>
      </c>
      <c r="S383" s="1" t="s">
        <v>75</v>
      </c>
      <c r="T383" s="1" t="s">
        <v>76</v>
      </c>
      <c r="U383" s="1" t="s">
        <v>3942</v>
      </c>
      <c r="X383" s="1" t="s">
        <v>293</v>
      </c>
      <c r="Y383" s="1">
        <v>534.0</v>
      </c>
      <c r="Z383" s="3" t="s">
        <v>3943</v>
      </c>
      <c r="AA383" s="1">
        <v>720830.0</v>
      </c>
      <c r="AB383" s="1" t="s">
        <v>3944</v>
      </c>
      <c r="AC383" s="3" t="s">
        <v>3945</v>
      </c>
      <c r="AD383" s="3" t="s">
        <v>3946</v>
      </c>
      <c r="AE383" s="1">
        <v>1.0</v>
      </c>
      <c r="AF383" s="1" t="s">
        <v>3947</v>
      </c>
      <c r="AG383" s="1">
        <v>19.0</v>
      </c>
      <c r="AH383" s="1">
        <v>33.0</v>
      </c>
      <c r="AI383" s="1">
        <v>2.0</v>
      </c>
      <c r="AJ383" s="1">
        <v>0.0</v>
      </c>
      <c r="AK383" s="1">
        <v>0.0</v>
      </c>
      <c r="AL383" s="1">
        <v>0.0</v>
      </c>
      <c r="AM383" s="1">
        <v>15.0</v>
      </c>
      <c r="AN383" s="1">
        <v>7.0</v>
      </c>
      <c r="AO383" s="1">
        <v>0.0</v>
      </c>
      <c r="AP383" s="1">
        <v>0.0</v>
      </c>
      <c r="AQ383" s="1">
        <v>5.0</v>
      </c>
      <c r="AR383" s="1">
        <v>3.0</v>
      </c>
      <c r="AS383" s="1">
        <v>0.0</v>
      </c>
    </row>
    <row r="384" hidden="1">
      <c r="A384" s="1">
        <v>557.0</v>
      </c>
      <c r="B384" s="1" t="s">
        <v>3966</v>
      </c>
      <c r="C384" s="1" t="s">
        <v>3967</v>
      </c>
      <c r="D384" s="1" t="s">
        <v>1902</v>
      </c>
      <c r="E384" s="1" t="s">
        <v>58</v>
      </c>
      <c r="F384" s="2">
        <v>23191.0</v>
      </c>
      <c r="G384" s="1">
        <f t="shared" si="1"/>
        <v>63</v>
      </c>
      <c r="H384" s="1" t="s">
        <v>3968</v>
      </c>
      <c r="I384" s="1" t="str">
        <f>IFERROR(__xludf.DUMMYFUNCTION("SPLIT(left(H384,len(H384)-1),""("")"),"Sarreguemines ")</f>
        <v>Sarreguemines </v>
      </c>
      <c r="J384" s="1" t="str">
        <f>IFERROR(__xludf.DUMMYFUNCTION("""COMPUTED_VALUE"""),"Moselle")</f>
        <v>Moselle</v>
      </c>
      <c r="K384" s="1" t="str">
        <f>IFERROR(__xludf.DUMMYFUNCTION("IF( COUNTA( IFERROR( FILTER('départements_edition'!$C$2:$C$102 , 'départements_edition'!$C$2:$C$102=J384 ) ) ) , ""Oui"" , ""Non"" )"),"Oui")</f>
        <v>Oui</v>
      </c>
      <c r="L384" s="1" t="str">
        <f t="shared" si="2"/>
        <v>France</v>
      </c>
      <c r="M384" s="1">
        <v>57.0</v>
      </c>
      <c r="N384" s="1" t="s">
        <v>471</v>
      </c>
      <c r="O384" s="1">
        <v>5.0</v>
      </c>
      <c r="P384" s="2">
        <v>42907.0</v>
      </c>
      <c r="R384" s="1">
        <v>0.0</v>
      </c>
      <c r="S384" s="1" t="s">
        <v>75</v>
      </c>
      <c r="T384" s="1" t="s">
        <v>76</v>
      </c>
      <c r="X384" s="1" t="s">
        <v>986</v>
      </c>
      <c r="Y384" s="1">
        <v>446.0</v>
      </c>
      <c r="Z384" s="3" t="s">
        <v>3969</v>
      </c>
      <c r="AA384" s="1">
        <v>720394.0</v>
      </c>
      <c r="AB384" s="1" t="s">
        <v>3970</v>
      </c>
      <c r="AC384" s="3" t="s">
        <v>3971</v>
      </c>
      <c r="AD384" s="3" t="s">
        <v>3972</v>
      </c>
      <c r="AE384" s="1">
        <v>1.0</v>
      </c>
      <c r="AG384" s="1">
        <v>19.0</v>
      </c>
      <c r="AH384" s="1">
        <v>36.0</v>
      </c>
      <c r="AI384" s="1">
        <v>12.0</v>
      </c>
      <c r="AJ384" s="1">
        <v>6.0</v>
      </c>
      <c r="AK384" s="1">
        <v>2.0</v>
      </c>
      <c r="AL384" s="1">
        <v>0.0</v>
      </c>
      <c r="AM384" s="1">
        <v>27.0</v>
      </c>
      <c r="AN384" s="1">
        <v>3.0</v>
      </c>
      <c r="AO384" s="1">
        <v>1.0</v>
      </c>
      <c r="AP384" s="1">
        <v>0.0</v>
      </c>
      <c r="AQ384" s="1">
        <v>6.0</v>
      </c>
      <c r="AR384" s="1">
        <v>7.0</v>
      </c>
      <c r="AS384" s="1">
        <v>2.0</v>
      </c>
    </row>
    <row r="385" hidden="1">
      <c r="A385" s="1">
        <v>549.0</v>
      </c>
      <c r="B385" s="1" t="s">
        <v>3973</v>
      </c>
      <c r="C385" s="1" t="s">
        <v>3974</v>
      </c>
      <c r="D385" s="1" t="s">
        <v>3249</v>
      </c>
      <c r="E385" s="1" t="s">
        <v>58</v>
      </c>
      <c r="F385" s="2">
        <v>20635.0</v>
      </c>
      <c r="G385" s="1">
        <f t="shared" si="1"/>
        <v>70</v>
      </c>
      <c r="H385" s="1" t="s">
        <v>3975</v>
      </c>
      <c r="I385" s="1" t="str">
        <f>IFERROR(__xludf.DUMMYFUNCTION("SPLIT(left(H385,len(H385)-1),""("")"),"Châtellerault ")</f>
        <v>Châtellerault </v>
      </c>
      <c r="J385" s="1" t="str">
        <f>IFERROR(__xludf.DUMMYFUNCTION("""COMPUTED_VALUE"""),"Vienne")</f>
        <v>Vienne</v>
      </c>
      <c r="K385" s="1" t="str">
        <f>IFERROR(__xludf.DUMMYFUNCTION("IF( COUNTA( IFERROR( FILTER('départements_edition'!$C$2:$C$102 , 'départements_edition'!$C$2:$C$102=J385 ) ) ) , ""Oui"" , ""Non"" )"),"Oui")</f>
        <v>Oui</v>
      </c>
      <c r="L385" s="1" t="str">
        <f t="shared" si="2"/>
        <v>France</v>
      </c>
      <c r="M385" s="1">
        <v>17.0</v>
      </c>
      <c r="N385" s="1" t="s">
        <v>2055</v>
      </c>
      <c r="O385" s="1">
        <v>2.0</v>
      </c>
      <c r="P385" s="2">
        <v>42907.0</v>
      </c>
      <c r="R385" s="1">
        <v>0.0</v>
      </c>
      <c r="S385" s="1" t="s">
        <v>75</v>
      </c>
      <c r="T385" s="1" t="s">
        <v>76</v>
      </c>
      <c r="U385" s="1" t="s">
        <v>3976</v>
      </c>
      <c r="X385" s="1" t="s">
        <v>2940</v>
      </c>
      <c r="Y385" s="1">
        <v>346.0</v>
      </c>
      <c r="Z385" s="3" t="s">
        <v>3977</v>
      </c>
      <c r="AA385" s="1">
        <v>719092.0</v>
      </c>
      <c r="AB385" s="1" t="s">
        <v>3978</v>
      </c>
      <c r="AC385" s="3" t="s">
        <v>3979</v>
      </c>
      <c r="AD385" s="3" t="s">
        <v>3980</v>
      </c>
      <c r="AE385" s="1">
        <v>2.0</v>
      </c>
      <c r="AF385" s="1" t="s">
        <v>3981</v>
      </c>
      <c r="AG385" s="1">
        <v>19.0</v>
      </c>
      <c r="AH385" s="1">
        <v>30.0</v>
      </c>
      <c r="AI385" s="1">
        <v>6.0</v>
      </c>
      <c r="AJ385" s="1">
        <v>4.0</v>
      </c>
      <c r="AK385" s="1">
        <v>3.0</v>
      </c>
      <c r="AL385" s="1">
        <v>0.0</v>
      </c>
      <c r="AM385" s="1">
        <v>91.0</v>
      </c>
      <c r="AN385" s="1">
        <v>40.0</v>
      </c>
      <c r="AO385" s="1">
        <v>0.0</v>
      </c>
      <c r="AP385" s="1">
        <v>0.0</v>
      </c>
      <c r="AQ385" s="1">
        <v>5.0</v>
      </c>
      <c r="AR385" s="1">
        <v>4.0</v>
      </c>
      <c r="AS385" s="1">
        <v>1.0</v>
      </c>
    </row>
    <row r="386" hidden="1">
      <c r="A386" s="1">
        <v>434.0</v>
      </c>
      <c r="B386" s="1" t="s">
        <v>3982</v>
      </c>
      <c r="C386" s="1" t="s">
        <v>3983</v>
      </c>
      <c r="D386" s="1" t="s">
        <v>2316</v>
      </c>
      <c r="E386" s="1" t="s">
        <v>43</v>
      </c>
      <c r="F386" s="2">
        <v>20071.0</v>
      </c>
      <c r="G386" s="1">
        <f t="shared" si="1"/>
        <v>71</v>
      </c>
      <c r="H386" s="1" t="s">
        <v>3984</v>
      </c>
      <c r="I386" s="1" t="str">
        <f>IFERROR(__xludf.DUMMYFUNCTION("SPLIT(left(H386,len(H386)-1),""("")"),"Avallon ")</f>
        <v>Avallon </v>
      </c>
      <c r="J386" s="1" t="str">
        <f>IFERROR(__xludf.DUMMYFUNCTION("""COMPUTED_VALUE"""),"Yonne")</f>
        <v>Yonne</v>
      </c>
      <c r="K386" s="1" t="str">
        <f>IFERROR(__xludf.DUMMYFUNCTION("IF( COUNTA( IFERROR( FILTER('départements_edition'!$C$2:$C$102 , 'départements_edition'!$C$2:$C$102=J386 ) ) ) , ""Oui"" , ""Non"" )"),"Oui")</f>
        <v>Oui</v>
      </c>
      <c r="L386" s="1" t="str">
        <f t="shared" si="2"/>
        <v>France</v>
      </c>
      <c r="M386" s="1">
        <v>89.0</v>
      </c>
      <c r="N386" s="1" t="s">
        <v>877</v>
      </c>
      <c r="O386" s="1">
        <v>2.0</v>
      </c>
      <c r="P386" s="2">
        <v>42907.0</v>
      </c>
      <c r="R386" s="1">
        <v>0.0</v>
      </c>
      <c r="S386" s="1" t="s">
        <v>46</v>
      </c>
      <c r="T386" s="1" t="s">
        <v>47</v>
      </c>
      <c r="U386" s="1" t="s">
        <v>3985</v>
      </c>
      <c r="X386" s="1" t="s">
        <v>1905</v>
      </c>
      <c r="Y386" s="1">
        <v>153.0</v>
      </c>
      <c r="Z386" s="3" t="s">
        <v>3986</v>
      </c>
      <c r="AA386" s="1">
        <v>421348.0</v>
      </c>
      <c r="AB386" s="1" t="s">
        <v>3987</v>
      </c>
      <c r="AC386" s="3" t="s">
        <v>3988</v>
      </c>
      <c r="AD386" s="3" t="s">
        <v>3989</v>
      </c>
      <c r="AE386" s="1">
        <v>2.0</v>
      </c>
      <c r="AF386" s="1" t="s">
        <v>3990</v>
      </c>
      <c r="AG386" s="1">
        <v>19.0</v>
      </c>
      <c r="AH386" s="1">
        <v>32.0</v>
      </c>
      <c r="AI386" s="1">
        <v>25.0</v>
      </c>
      <c r="AJ386" s="1">
        <v>4.0</v>
      </c>
      <c r="AK386" s="1">
        <v>5.0</v>
      </c>
      <c r="AL386" s="1">
        <v>0.0</v>
      </c>
      <c r="AM386" s="1">
        <v>240.0</v>
      </c>
      <c r="AN386" s="1">
        <v>14.0</v>
      </c>
      <c r="AO386" s="1">
        <v>0.0</v>
      </c>
      <c r="AP386" s="1">
        <v>0.0</v>
      </c>
      <c r="AQ386" s="1">
        <v>4.0</v>
      </c>
      <c r="AR386" s="1">
        <v>0.0</v>
      </c>
      <c r="AS386" s="1">
        <v>1.0</v>
      </c>
    </row>
    <row r="387" hidden="1">
      <c r="A387" s="1">
        <v>493.0</v>
      </c>
      <c r="B387" s="1" t="s">
        <v>4001</v>
      </c>
      <c r="C387" s="1" t="s">
        <v>4002</v>
      </c>
      <c r="D387" s="1" t="s">
        <v>4003</v>
      </c>
      <c r="E387" s="1" t="s">
        <v>43</v>
      </c>
      <c r="F387" s="2">
        <v>26742.0</v>
      </c>
      <c r="G387" s="1">
        <f t="shared" si="1"/>
        <v>53</v>
      </c>
      <c r="H387" s="1" t="s">
        <v>811</v>
      </c>
      <c r="I387" s="1" t="str">
        <f>IFERROR(__xludf.DUMMYFUNCTION("SPLIT(left(H387,len(H387)-1),""("")"),"Bastia ")</f>
        <v>Bastia </v>
      </c>
      <c r="J387" s="1" t="str">
        <f>IFERROR(__xludf.DUMMYFUNCTION("""COMPUTED_VALUE"""),"Haute-Corse")</f>
        <v>Haute-Corse</v>
      </c>
      <c r="K387" s="1" t="str">
        <f>IFERROR(__xludf.DUMMYFUNCTION("IF( COUNTA( IFERROR( FILTER('départements_edition'!$C$2:$C$102 , 'départements_edition'!$C$2:$C$102=J387 ) ) ) , ""Oui"" , ""Non"" )"),"Oui")</f>
        <v>Oui</v>
      </c>
      <c r="L387" s="1" t="str">
        <f t="shared" si="2"/>
        <v>France</v>
      </c>
      <c r="M387" s="1" t="s">
        <v>812</v>
      </c>
      <c r="N387" s="1" t="s">
        <v>813</v>
      </c>
      <c r="O387" s="1">
        <v>2.0</v>
      </c>
      <c r="P387" s="2">
        <v>42907.0</v>
      </c>
      <c r="R387" s="1">
        <v>0.0</v>
      </c>
      <c r="S387" s="1" t="s">
        <v>814</v>
      </c>
      <c r="T387" s="1" t="s">
        <v>815</v>
      </c>
      <c r="U387" s="1" t="s">
        <v>4004</v>
      </c>
      <c r="X387" s="1" t="s">
        <v>3138</v>
      </c>
      <c r="Y387" s="1">
        <v>650.0</v>
      </c>
      <c r="Z387" s="3" t="s">
        <v>4005</v>
      </c>
      <c r="AA387" s="1">
        <v>719146.0</v>
      </c>
      <c r="AB387" s="1" t="s">
        <v>4006</v>
      </c>
      <c r="AC387" s="3" t="s">
        <v>4007</v>
      </c>
      <c r="AD387" s="3" t="s">
        <v>4008</v>
      </c>
      <c r="AE387" s="1">
        <v>1.0</v>
      </c>
      <c r="AF387" s="1" t="s">
        <v>4009</v>
      </c>
      <c r="AG387" s="1">
        <v>18.0</v>
      </c>
      <c r="AH387" s="1">
        <v>26.0</v>
      </c>
      <c r="AI387" s="1">
        <v>15.0</v>
      </c>
      <c r="AJ387" s="1">
        <v>58.0</v>
      </c>
      <c r="AK387" s="1">
        <v>14.0</v>
      </c>
      <c r="AL387" s="1">
        <v>89.0</v>
      </c>
      <c r="AM387" s="1">
        <v>235.0</v>
      </c>
      <c r="AN387" s="1">
        <v>3.0</v>
      </c>
      <c r="AO387" s="1">
        <v>0.0</v>
      </c>
      <c r="AP387" s="1">
        <v>1.0</v>
      </c>
      <c r="AQ387" s="1">
        <v>6.0</v>
      </c>
      <c r="AR387" s="1">
        <v>12.0</v>
      </c>
      <c r="AS387" s="1">
        <v>1.0</v>
      </c>
    </row>
    <row r="388" hidden="1">
      <c r="A388" s="1">
        <v>351.0</v>
      </c>
      <c r="B388" s="1" t="s">
        <v>4010</v>
      </c>
      <c r="C388" s="1" t="s">
        <v>2316</v>
      </c>
      <c r="D388" s="1" t="s">
        <v>1490</v>
      </c>
      <c r="E388" s="1" t="s">
        <v>43</v>
      </c>
      <c r="F388" s="2">
        <v>24672.0</v>
      </c>
      <c r="G388" s="1">
        <f t="shared" si="1"/>
        <v>59</v>
      </c>
      <c r="H388" s="1" t="s">
        <v>1903</v>
      </c>
      <c r="I388" s="1" t="str">
        <f>IFERROR(__xludf.DUMMYFUNCTION("SPLIT(left(H388,len(H388)-1),""("")"),"Pontivy ")</f>
        <v>Pontivy </v>
      </c>
      <c r="J388" s="1" t="str">
        <f>IFERROR(__xludf.DUMMYFUNCTION("""COMPUTED_VALUE"""),"Morbihan")</f>
        <v>Morbihan</v>
      </c>
      <c r="K388" s="1" t="str">
        <f>IFERROR(__xludf.DUMMYFUNCTION("IF( COUNTA( IFERROR( FILTER('départements_edition'!$C$2:$C$102 , 'départements_edition'!$C$2:$C$102=J388 ) ) ) , ""Oui"" , ""Non"" )"),"Oui")</f>
        <v>Oui</v>
      </c>
      <c r="L388" s="1" t="str">
        <f t="shared" si="2"/>
        <v>France</v>
      </c>
      <c r="M388" s="1">
        <v>35.0</v>
      </c>
      <c r="N388" s="1" t="s">
        <v>415</v>
      </c>
      <c r="O388" s="1">
        <v>3.0</v>
      </c>
      <c r="P388" s="2">
        <v>42907.0</v>
      </c>
      <c r="R388" s="1">
        <v>0.0</v>
      </c>
      <c r="S388" s="1" t="s">
        <v>75</v>
      </c>
      <c r="T388" s="1" t="s">
        <v>76</v>
      </c>
      <c r="U388" s="1" t="s">
        <v>4011</v>
      </c>
      <c r="X388" s="1" t="s">
        <v>118</v>
      </c>
      <c r="Y388" s="1">
        <v>276.0</v>
      </c>
      <c r="Z388" s="3" t="s">
        <v>4012</v>
      </c>
      <c r="AA388" s="1">
        <v>606675.0</v>
      </c>
      <c r="AB388" s="1" t="s">
        <v>4013</v>
      </c>
      <c r="AC388" s="3" t="s">
        <v>4014</v>
      </c>
      <c r="AD388" s="3" t="s">
        <v>4015</v>
      </c>
      <c r="AE388" s="1">
        <v>1.0</v>
      </c>
      <c r="AF388" s="1" t="s">
        <v>4016</v>
      </c>
      <c r="AG388" s="1">
        <v>18.0</v>
      </c>
      <c r="AH388" s="1">
        <v>26.0</v>
      </c>
      <c r="AI388" s="1">
        <v>8.0</v>
      </c>
      <c r="AJ388" s="1">
        <v>6.0</v>
      </c>
      <c r="AK388" s="1">
        <v>5.0</v>
      </c>
      <c r="AL388" s="1">
        <v>0.0</v>
      </c>
      <c r="AM388" s="1">
        <v>15.0</v>
      </c>
      <c r="AN388" s="1">
        <v>4.0</v>
      </c>
      <c r="AO388" s="1">
        <v>0.0</v>
      </c>
      <c r="AP388" s="1">
        <v>0.0</v>
      </c>
      <c r="AQ388" s="1">
        <v>5.0</v>
      </c>
      <c r="AR388" s="1">
        <v>4.0</v>
      </c>
      <c r="AS388" s="1">
        <v>0.0</v>
      </c>
    </row>
    <row r="389" hidden="1">
      <c r="A389" s="1">
        <v>218.0</v>
      </c>
      <c r="B389" s="1" t="s">
        <v>4017</v>
      </c>
      <c r="C389" s="1" t="s">
        <v>4018</v>
      </c>
      <c r="D389" s="1" t="s">
        <v>629</v>
      </c>
      <c r="E389" s="1" t="s">
        <v>58</v>
      </c>
      <c r="F389" s="2">
        <v>25507.0</v>
      </c>
      <c r="G389" s="1">
        <f t="shared" si="1"/>
        <v>56</v>
      </c>
      <c r="H389" s="1" t="s">
        <v>4019</v>
      </c>
      <c r="I389" s="1" t="str">
        <f>IFERROR(__xludf.DUMMYFUNCTION("SPLIT(left(H389,len(H389)-1),""("")"),"Romilly-sur-Seine ")</f>
        <v>Romilly-sur-Seine </v>
      </c>
      <c r="J389" s="1" t="str">
        <f>IFERROR(__xludf.DUMMYFUNCTION("""COMPUTED_VALUE"""),"Aube")</f>
        <v>Aube</v>
      </c>
      <c r="K389" s="1" t="str">
        <f>IFERROR(__xludf.DUMMYFUNCTION("IF( COUNTA( IFERROR( FILTER('départements_edition'!$C$2:$C$102 , 'départements_edition'!$C$2:$C$102=J389 ) ) ) , ""Oui"" , ""Non"" )"),"Oui")</f>
        <v>Oui</v>
      </c>
      <c r="L389" s="1" t="str">
        <f t="shared" si="2"/>
        <v>France</v>
      </c>
      <c r="M389" s="1">
        <v>10.0</v>
      </c>
      <c r="N389" s="1" t="s">
        <v>1970</v>
      </c>
      <c r="O389" s="1">
        <v>2.0</v>
      </c>
      <c r="P389" s="2">
        <v>42907.0</v>
      </c>
      <c r="R389" s="1">
        <v>0.0</v>
      </c>
      <c r="S389" s="1" t="s">
        <v>61</v>
      </c>
      <c r="T389" s="1" t="s">
        <v>62</v>
      </c>
      <c r="U389" s="3" t="s">
        <v>4020</v>
      </c>
      <c r="X389" s="1" t="s">
        <v>4021</v>
      </c>
      <c r="Y389" s="1">
        <v>119.0</v>
      </c>
      <c r="Z389" s="3" t="s">
        <v>4022</v>
      </c>
      <c r="AA389" s="1">
        <v>718884.0</v>
      </c>
      <c r="AB389" s="1" t="s">
        <v>4023</v>
      </c>
      <c r="AC389" s="3" t="s">
        <v>4024</v>
      </c>
      <c r="AD389" s="3" t="s">
        <v>4025</v>
      </c>
      <c r="AE389" s="1">
        <v>2.0</v>
      </c>
      <c r="AF389" s="1" t="s">
        <v>4026</v>
      </c>
      <c r="AG389" s="1">
        <v>18.0</v>
      </c>
      <c r="AH389" s="1">
        <v>27.0</v>
      </c>
      <c r="AI389" s="1">
        <v>10.0</v>
      </c>
      <c r="AJ389" s="1">
        <v>18.0</v>
      </c>
      <c r="AK389" s="1">
        <v>2.0</v>
      </c>
      <c r="AL389" s="1">
        <v>61.0</v>
      </c>
      <c r="AM389" s="1">
        <v>1844.0</v>
      </c>
      <c r="AN389" s="1">
        <v>53.0</v>
      </c>
      <c r="AO389" s="1">
        <v>0.0</v>
      </c>
      <c r="AP389" s="1">
        <v>0.0</v>
      </c>
      <c r="AQ389" s="1">
        <v>117.0</v>
      </c>
      <c r="AR389" s="1">
        <v>32.0</v>
      </c>
      <c r="AS389" s="1">
        <v>1.0</v>
      </c>
    </row>
    <row r="390" hidden="1">
      <c r="A390" s="1">
        <v>311.0</v>
      </c>
      <c r="B390" s="1" t="s">
        <v>4027</v>
      </c>
      <c r="C390" s="1" t="s">
        <v>4028</v>
      </c>
      <c r="D390" s="1" t="s">
        <v>4029</v>
      </c>
      <c r="E390" s="1" t="s">
        <v>43</v>
      </c>
      <c r="F390" s="2">
        <v>20159.0</v>
      </c>
      <c r="G390" s="1">
        <f t="shared" si="1"/>
        <v>71</v>
      </c>
      <c r="H390" s="1" t="s">
        <v>1663</v>
      </c>
      <c r="I390" s="1" t="str">
        <f>IFERROR(__xludf.DUMMYFUNCTION("SPLIT(left(H390,len(H390)-1),""("")"),"Aurillac ")</f>
        <v>Aurillac </v>
      </c>
      <c r="J390" s="1" t="str">
        <f>IFERROR(__xludf.DUMMYFUNCTION("""COMPUTED_VALUE"""),"Cantal")</f>
        <v>Cantal</v>
      </c>
      <c r="K390" s="1" t="str">
        <f>IFERROR(__xludf.DUMMYFUNCTION("IF( COUNTA( IFERROR( FILTER('départements_edition'!$C$2:$C$102 , 'départements_edition'!$C$2:$C$102=J390 ) ) ) , ""Oui"" , ""Non"" )"),"Oui")</f>
        <v>Oui</v>
      </c>
      <c r="L390" s="1" t="str">
        <f t="shared" si="2"/>
        <v>France</v>
      </c>
      <c r="M390" s="1">
        <v>15.0</v>
      </c>
      <c r="N390" s="1" t="s">
        <v>1664</v>
      </c>
      <c r="O390" s="1">
        <v>2.0</v>
      </c>
      <c r="P390" s="2">
        <v>42907.0</v>
      </c>
      <c r="R390" s="1">
        <v>0.0</v>
      </c>
      <c r="S390" s="1" t="s">
        <v>61</v>
      </c>
      <c r="T390" s="1" t="s">
        <v>62</v>
      </c>
      <c r="X390" s="1" t="s">
        <v>4030</v>
      </c>
      <c r="Y390" s="1">
        <v>2.0</v>
      </c>
      <c r="Z390" s="3" t="s">
        <v>4031</v>
      </c>
      <c r="AA390" s="1">
        <v>266793.0</v>
      </c>
      <c r="AB390" s="1" t="s">
        <v>4032</v>
      </c>
      <c r="AC390" s="3" t="s">
        <v>4033</v>
      </c>
      <c r="AD390" s="3" t="s">
        <v>4034</v>
      </c>
      <c r="AE390" s="1">
        <v>2.0</v>
      </c>
      <c r="AG390" s="1">
        <v>18.0</v>
      </c>
      <c r="AH390" s="1">
        <v>24.0</v>
      </c>
      <c r="AI390" s="1">
        <v>7.0</v>
      </c>
      <c r="AJ390" s="1">
        <v>11.0</v>
      </c>
      <c r="AK390" s="1">
        <v>11.0</v>
      </c>
      <c r="AL390" s="1">
        <v>6.0</v>
      </c>
      <c r="AM390" s="1">
        <v>634.0</v>
      </c>
      <c r="AN390" s="1">
        <v>24.0</v>
      </c>
      <c r="AO390" s="1">
        <v>0.0</v>
      </c>
      <c r="AP390" s="1">
        <v>0.0</v>
      </c>
      <c r="AQ390" s="1">
        <v>43.0</v>
      </c>
      <c r="AR390" s="1">
        <v>20.0</v>
      </c>
      <c r="AS390" s="1">
        <v>4.0</v>
      </c>
    </row>
    <row r="391" hidden="1">
      <c r="A391" s="1">
        <v>445.0</v>
      </c>
      <c r="B391" s="1" t="s">
        <v>4035</v>
      </c>
      <c r="C391" s="1" t="s">
        <v>1622</v>
      </c>
      <c r="D391" s="1" t="s">
        <v>629</v>
      </c>
      <c r="E391" s="1" t="s">
        <v>58</v>
      </c>
      <c r="F391" s="2">
        <v>22808.0</v>
      </c>
      <c r="G391" s="1">
        <f t="shared" si="1"/>
        <v>64</v>
      </c>
      <c r="H391" s="1" t="s">
        <v>2335</v>
      </c>
      <c r="I391" s="1" t="str">
        <f>IFERROR(__xludf.DUMMYFUNCTION("SPLIT(left(H391,len(H391)-1),""("")"),"Bourges ")</f>
        <v>Bourges </v>
      </c>
      <c r="J391" s="1" t="str">
        <f>IFERROR(__xludf.DUMMYFUNCTION("""COMPUTED_VALUE"""),"Cher")</f>
        <v>Cher</v>
      </c>
      <c r="K391" s="1" t="str">
        <f>IFERROR(__xludf.DUMMYFUNCTION("IF( COUNTA( IFERROR( FILTER('départements_edition'!$C$2:$C$102 , 'départements_edition'!$C$2:$C$102=J391 ) ) ) , ""Oui"" , ""Non"" )"),"Oui")</f>
        <v>Oui</v>
      </c>
      <c r="L391" s="1" t="str">
        <f t="shared" si="2"/>
        <v>France</v>
      </c>
      <c r="M391" s="1">
        <v>13.0</v>
      </c>
      <c r="N391" s="1" t="s">
        <v>279</v>
      </c>
      <c r="O391" s="1">
        <v>1.0</v>
      </c>
      <c r="P391" s="2">
        <v>42907.0</v>
      </c>
      <c r="R391" s="1">
        <v>0.0</v>
      </c>
      <c r="S391" s="1" t="s">
        <v>61</v>
      </c>
      <c r="T391" s="1" t="s">
        <v>62</v>
      </c>
      <c r="U391" s="1" t="s">
        <v>4036</v>
      </c>
      <c r="X391" s="1" t="s">
        <v>4037</v>
      </c>
      <c r="Y391" s="1">
        <v>82.0</v>
      </c>
      <c r="Z391" s="3" t="s">
        <v>4038</v>
      </c>
      <c r="AA391" s="1">
        <v>330684.0</v>
      </c>
      <c r="AB391" s="1" t="s">
        <v>4039</v>
      </c>
      <c r="AC391" s="3" t="s">
        <v>4040</v>
      </c>
      <c r="AD391" s="3" t="s">
        <v>4041</v>
      </c>
      <c r="AE391" s="1">
        <v>3.0</v>
      </c>
      <c r="AF391" s="1" t="s">
        <v>4042</v>
      </c>
      <c r="AG391" s="1">
        <v>18.0</v>
      </c>
      <c r="AH391" s="1">
        <v>19.0</v>
      </c>
      <c r="AI391" s="1">
        <v>8.0</v>
      </c>
      <c r="AJ391" s="1">
        <v>43.0</v>
      </c>
      <c r="AK391" s="1">
        <v>70.0</v>
      </c>
      <c r="AL391" s="1">
        <v>38.0</v>
      </c>
      <c r="AM391" s="1">
        <v>1344.0</v>
      </c>
      <c r="AN391" s="1">
        <v>49.0</v>
      </c>
      <c r="AO391" s="1">
        <v>0.0</v>
      </c>
      <c r="AP391" s="1">
        <v>8.0</v>
      </c>
      <c r="AQ391" s="1">
        <v>47.0</v>
      </c>
      <c r="AR391" s="1">
        <v>5.0</v>
      </c>
      <c r="AS391" s="1">
        <v>1.0</v>
      </c>
    </row>
    <row r="392" hidden="1">
      <c r="A392" s="1">
        <v>527.0</v>
      </c>
      <c r="B392" s="1" t="s">
        <v>4043</v>
      </c>
      <c r="C392" s="1" t="s">
        <v>4044</v>
      </c>
      <c r="D392" s="1" t="s">
        <v>4045</v>
      </c>
      <c r="E392" s="1" t="s">
        <v>43</v>
      </c>
      <c r="F392" s="2">
        <v>19486.0</v>
      </c>
      <c r="G392" s="1">
        <f t="shared" si="1"/>
        <v>73</v>
      </c>
      <c r="H392" s="1" t="s">
        <v>437</v>
      </c>
      <c r="I392" s="1" t="str">
        <f>IFERROR(__xludf.DUMMYFUNCTION("SPLIT(left(H392,len(H392)-1),""("")"),"Nice ")</f>
        <v>Nice </v>
      </c>
      <c r="J392" s="1" t="str">
        <f>IFERROR(__xludf.DUMMYFUNCTION("""COMPUTED_VALUE"""),"Alpes-Maritimes")</f>
        <v>Alpes-Maritimes</v>
      </c>
      <c r="K392" s="1" t="str">
        <f>IFERROR(__xludf.DUMMYFUNCTION("IF( COUNTA( IFERROR( FILTER('départements_edition'!$C$2:$C$102 , 'départements_edition'!$C$2:$C$102=J392 ) ) ) , ""Oui"" , ""Non"" )"),"Oui")</f>
        <v>Oui</v>
      </c>
      <c r="L392" s="1" t="str">
        <f t="shared" si="2"/>
        <v>France</v>
      </c>
      <c r="M392" s="1">
        <v>94.0</v>
      </c>
      <c r="N392" s="1" t="s">
        <v>642</v>
      </c>
      <c r="O392" s="1">
        <v>7.0</v>
      </c>
      <c r="P392" s="2">
        <v>42907.0</v>
      </c>
      <c r="R392" s="1">
        <v>0.0</v>
      </c>
      <c r="S392" s="1" t="s">
        <v>75</v>
      </c>
      <c r="T392" s="1" t="s">
        <v>76</v>
      </c>
      <c r="U392" s="1" t="s">
        <v>4046</v>
      </c>
      <c r="X392" s="1" t="s">
        <v>570</v>
      </c>
      <c r="Y392" s="1">
        <v>454.0</v>
      </c>
      <c r="Z392" s="3" t="s">
        <v>4047</v>
      </c>
      <c r="AA392" s="1">
        <v>672.0</v>
      </c>
      <c r="AB392" s="1" t="s">
        <v>4048</v>
      </c>
      <c r="AC392" s="3" t="s">
        <v>4049</v>
      </c>
      <c r="AD392" s="3" t="s">
        <v>4050</v>
      </c>
      <c r="AE392" s="1">
        <v>2.0</v>
      </c>
      <c r="AF392" s="1" t="s">
        <v>4051</v>
      </c>
      <c r="AG392" s="1">
        <v>18.0</v>
      </c>
      <c r="AH392" s="1">
        <v>35.0</v>
      </c>
      <c r="AI392" s="1">
        <v>146.0</v>
      </c>
      <c r="AJ392" s="1">
        <v>5.0</v>
      </c>
      <c r="AK392" s="1">
        <v>15.0</v>
      </c>
      <c r="AL392" s="1">
        <v>1.0</v>
      </c>
      <c r="AM392" s="1">
        <v>11.0</v>
      </c>
      <c r="AN392" s="1">
        <v>2.0</v>
      </c>
      <c r="AO392" s="1">
        <v>0.0</v>
      </c>
      <c r="AP392" s="1">
        <v>0.0</v>
      </c>
      <c r="AQ392" s="1">
        <v>5.0</v>
      </c>
      <c r="AR392" s="1">
        <v>0.0</v>
      </c>
      <c r="AS392" s="1">
        <v>1.0</v>
      </c>
    </row>
    <row r="393" hidden="1">
      <c r="A393" s="1">
        <v>196.0</v>
      </c>
      <c r="B393" s="1" t="s">
        <v>4052</v>
      </c>
      <c r="C393" s="1" t="s">
        <v>4053</v>
      </c>
      <c r="D393" s="1" t="s">
        <v>4054</v>
      </c>
      <c r="E393" s="1" t="s">
        <v>58</v>
      </c>
      <c r="F393" s="2">
        <v>29893.0</v>
      </c>
      <c r="G393" s="1">
        <f t="shared" si="1"/>
        <v>44</v>
      </c>
      <c r="H393" s="1" t="s">
        <v>1273</v>
      </c>
      <c r="I393" s="1" t="str">
        <f>IFERROR(__xludf.DUMMYFUNCTION("SPLIT(left(H393,len(H393)-1),""("")"),"Strasbourg ")</f>
        <v>Strasbourg </v>
      </c>
      <c r="J393" s="1" t="str">
        <f>IFERROR(__xludf.DUMMYFUNCTION("""COMPUTED_VALUE"""),"Bas-Rhin")</f>
        <v>Bas-Rhin</v>
      </c>
      <c r="K393" s="1" t="str">
        <f>IFERROR(__xludf.DUMMYFUNCTION("IF( COUNTA( IFERROR( FILTER('départements_edition'!$C$2:$C$102 , 'départements_edition'!$C$2:$C$102=J393 ) ) ) , ""Oui"" , ""Non"" )"),"Oui")</f>
        <v>Oui</v>
      </c>
      <c r="L393" s="1" t="str">
        <f t="shared" si="2"/>
        <v>France</v>
      </c>
      <c r="M393" s="1">
        <v>69.0</v>
      </c>
      <c r="N393" s="1" t="s">
        <v>1363</v>
      </c>
      <c r="O393" s="1">
        <v>5.0</v>
      </c>
      <c r="P393" s="2">
        <v>42907.0</v>
      </c>
      <c r="R393" s="1">
        <v>0.0</v>
      </c>
      <c r="S393" s="1" t="s">
        <v>75</v>
      </c>
      <c r="T393" s="1" t="s">
        <v>76</v>
      </c>
      <c r="U393" s="1" t="s">
        <v>4055</v>
      </c>
      <c r="X393" s="1" t="s">
        <v>450</v>
      </c>
      <c r="Y393" s="1">
        <v>323.0</v>
      </c>
      <c r="Z393" s="3" t="s">
        <v>4056</v>
      </c>
      <c r="AA393" s="1">
        <v>721336.0</v>
      </c>
      <c r="AB393" s="1" t="s">
        <v>4057</v>
      </c>
      <c r="AC393" s="3" t="s">
        <v>4058</v>
      </c>
      <c r="AD393" s="3" t="s">
        <v>4059</v>
      </c>
      <c r="AE393" s="1">
        <v>1.0</v>
      </c>
      <c r="AF393" s="1" t="s">
        <v>4060</v>
      </c>
      <c r="AG393" s="1">
        <v>18.0</v>
      </c>
      <c r="AH393" s="1">
        <v>27.0</v>
      </c>
      <c r="AI393" s="1">
        <v>12.0</v>
      </c>
      <c r="AJ393" s="1">
        <v>16.0</v>
      </c>
      <c r="AK393" s="1">
        <v>3.0</v>
      </c>
      <c r="AL393" s="1">
        <v>17.0</v>
      </c>
      <c r="AM393" s="1">
        <v>73.0</v>
      </c>
      <c r="AN393" s="1">
        <v>24.0</v>
      </c>
      <c r="AO393" s="1">
        <v>0.0</v>
      </c>
      <c r="AP393" s="1">
        <v>0.0</v>
      </c>
      <c r="AQ393" s="1">
        <v>5.0</v>
      </c>
      <c r="AR393" s="1">
        <v>5.0</v>
      </c>
      <c r="AS393" s="1">
        <v>0.0</v>
      </c>
    </row>
    <row r="394" hidden="1">
      <c r="A394" s="1">
        <v>207.0</v>
      </c>
      <c r="B394" s="1" t="s">
        <v>4061</v>
      </c>
      <c r="C394" s="1" t="s">
        <v>4062</v>
      </c>
      <c r="D394" s="1" t="s">
        <v>1801</v>
      </c>
      <c r="E394" s="1" t="s">
        <v>43</v>
      </c>
      <c r="F394" s="2">
        <v>21340.0</v>
      </c>
      <c r="G394" s="1">
        <f t="shared" si="1"/>
        <v>68</v>
      </c>
      <c r="H394" s="1" t="s">
        <v>1500</v>
      </c>
      <c r="I394" s="1" t="str">
        <f>IFERROR(__xludf.DUMMYFUNCTION("SPLIT(left(H394,len(H394)-1),""("")"),"Colmar ")</f>
        <v>Colmar </v>
      </c>
      <c r="J394" s="1" t="str">
        <f>IFERROR(__xludf.DUMMYFUNCTION("""COMPUTED_VALUE"""),"Haut-Rhin")</f>
        <v>Haut-Rhin</v>
      </c>
      <c r="K394" s="1" t="str">
        <f>IFERROR(__xludf.DUMMYFUNCTION("IF( COUNTA( IFERROR( FILTER('départements_edition'!$C$2:$C$102 , 'départements_edition'!$C$2:$C$102=J394 ) ) ) , ""Oui"" , ""Non"" )"),"Oui")</f>
        <v>Oui</v>
      </c>
      <c r="L394" s="1" t="str">
        <f t="shared" si="2"/>
        <v>France</v>
      </c>
      <c r="M394" s="1">
        <v>68.0</v>
      </c>
      <c r="N394" s="1" t="s">
        <v>1501</v>
      </c>
      <c r="O394" s="1">
        <v>2.0</v>
      </c>
      <c r="P394" s="2">
        <v>42907.0</v>
      </c>
      <c r="R394" s="1">
        <v>0.0</v>
      </c>
      <c r="S394" s="1" t="s">
        <v>61</v>
      </c>
      <c r="T394" s="1" t="s">
        <v>62</v>
      </c>
      <c r="U394" s="1" t="s">
        <v>4063</v>
      </c>
      <c r="X394" s="1" t="s">
        <v>4064</v>
      </c>
      <c r="Y394" s="1">
        <v>73.0</v>
      </c>
      <c r="Z394" s="3" t="s">
        <v>4065</v>
      </c>
      <c r="AA394" s="1">
        <v>767.0</v>
      </c>
      <c r="AB394" s="1" t="s">
        <v>4066</v>
      </c>
      <c r="AC394" s="3" t="s">
        <v>4067</v>
      </c>
      <c r="AD394" s="3" t="s">
        <v>4068</v>
      </c>
      <c r="AE394" s="1">
        <v>1.0</v>
      </c>
      <c r="AF394" s="1" t="s">
        <v>4069</v>
      </c>
      <c r="AG394" s="1">
        <v>18.0</v>
      </c>
      <c r="AH394" s="1">
        <v>21.0</v>
      </c>
      <c r="AI394" s="1">
        <v>6.0</v>
      </c>
      <c r="AJ394" s="1">
        <v>5.0</v>
      </c>
      <c r="AK394" s="1">
        <v>1.0</v>
      </c>
      <c r="AL394" s="1">
        <v>13.0</v>
      </c>
      <c r="AM394" s="1">
        <v>1077.0</v>
      </c>
      <c r="AN394" s="1">
        <v>35.0</v>
      </c>
      <c r="AO394" s="1">
        <v>0.0</v>
      </c>
      <c r="AP394" s="1">
        <v>2.0</v>
      </c>
      <c r="AQ394" s="1">
        <v>98.0</v>
      </c>
      <c r="AR394" s="1">
        <v>34.0</v>
      </c>
      <c r="AS394" s="1">
        <v>1.0</v>
      </c>
    </row>
    <row r="395" hidden="1">
      <c r="A395" s="1">
        <v>318.0</v>
      </c>
      <c r="B395" s="1" t="s">
        <v>4070</v>
      </c>
      <c r="C395" s="1" t="s">
        <v>4071</v>
      </c>
      <c r="D395" s="1" t="s">
        <v>1822</v>
      </c>
      <c r="E395" s="1" t="s">
        <v>43</v>
      </c>
      <c r="F395" s="2">
        <v>31501.0</v>
      </c>
      <c r="G395" s="1">
        <f t="shared" si="1"/>
        <v>40</v>
      </c>
      <c r="H395" s="1" t="s">
        <v>4072</v>
      </c>
      <c r="I395" s="1" t="str">
        <f>IFERROR(__xludf.DUMMYFUNCTION("SPLIT(left(H395,len(H395)-1),""("")"),"Niort ")</f>
        <v>Niort </v>
      </c>
      <c r="J395" s="1" t="str">
        <f>IFERROR(__xludf.DUMMYFUNCTION("""COMPUTED_VALUE"""),"Deux-Sèvres")</f>
        <v>Deux-Sèvres</v>
      </c>
      <c r="K395" s="1" t="str">
        <f>IFERROR(__xludf.DUMMYFUNCTION("IF( COUNTA( IFERROR( FILTER('départements_edition'!$C$2:$C$102 , 'départements_edition'!$C$2:$C$102=J395 ) ) ) , ""Oui"" , ""Non"" )"),"Oui")</f>
        <v>Oui</v>
      </c>
      <c r="L395" s="1" t="str">
        <f t="shared" si="2"/>
        <v>France</v>
      </c>
      <c r="M395" s="1">
        <v>79.0</v>
      </c>
      <c r="N395" s="1" t="s">
        <v>2228</v>
      </c>
      <c r="O395" s="1">
        <v>1.0</v>
      </c>
      <c r="P395" s="2">
        <v>42907.0</v>
      </c>
      <c r="R395" s="1">
        <v>0.0</v>
      </c>
      <c r="S395" s="1" t="s">
        <v>75</v>
      </c>
      <c r="T395" s="1" t="s">
        <v>76</v>
      </c>
      <c r="U395" s="1" t="s">
        <v>4073</v>
      </c>
      <c r="X395" s="1" t="s">
        <v>162</v>
      </c>
      <c r="Y395" s="1">
        <v>616.0</v>
      </c>
      <c r="Z395" s="3" t="s">
        <v>4074</v>
      </c>
      <c r="AA395" s="1">
        <v>722126.0</v>
      </c>
      <c r="AB395" s="1" t="s">
        <v>4075</v>
      </c>
      <c r="AC395" s="3" t="s">
        <v>4076</v>
      </c>
      <c r="AD395" s="3" t="s">
        <v>4077</v>
      </c>
      <c r="AE395" s="1">
        <v>1.0</v>
      </c>
      <c r="AF395" s="1" t="s">
        <v>4078</v>
      </c>
      <c r="AG395" s="1">
        <v>18.0</v>
      </c>
      <c r="AH395" s="1">
        <v>27.0</v>
      </c>
      <c r="AI395" s="1">
        <v>9.0</v>
      </c>
      <c r="AJ395" s="1">
        <v>17.0</v>
      </c>
      <c r="AK395" s="1">
        <v>6.0</v>
      </c>
      <c r="AL395" s="1">
        <v>3.0</v>
      </c>
      <c r="AM395" s="1">
        <v>55.0</v>
      </c>
      <c r="AN395" s="1">
        <v>25.0</v>
      </c>
      <c r="AO395" s="1">
        <v>0.0</v>
      </c>
      <c r="AP395" s="1">
        <v>0.0</v>
      </c>
      <c r="AQ395" s="1">
        <v>5.0</v>
      </c>
      <c r="AR395" s="1">
        <v>1.0</v>
      </c>
      <c r="AS395" s="1">
        <v>0.0</v>
      </c>
    </row>
    <row r="396" hidden="1">
      <c r="A396" s="1">
        <v>278.0</v>
      </c>
      <c r="B396" s="1" t="s">
        <v>4079</v>
      </c>
      <c r="C396" s="1" t="s">
        <v>4080</v>
      </c>
      <c r="D396" s="1" t="s">
        <v>4081</v>
      </c>
      <c r="E396" s="1" t="s">
        <v>58</v>
      </c>
      <c r="F396" s="2">
        <v>26154.0</v>
      </c>
      <c r="G396" s="1">
        <f t="shared" si="1"/>
        <v>55</v>
      </c>
      <c r="H396" s="1" t="s">
        <v>4082</v>
      </c>
      <c r="I396" s="1" t="str">
        <f>IFERROR(__xludf.DUMMYFUNCTION("SPLIT(left(H396,len(H396)-1),""("")"),"Thiais ")</f>
        <v>Thiais </v>
      </c>
      <c r="J396" s="1" t="str">
        <f>IFERROR(__xludf.DUMMYFUNCTION("""COMPUTED_VALUE"""),"Val-de-Marne")</f>
        <v>Val-de-Marne</v>
      </c>
      <c r="K396" s="1" t="str">
        <f>IFERROR(__xludf.DUMMYFUNCTION("IF( COUNTA( IFERROR( FILTER('départements_edition'!$C$2:$C$102 , 'départements_edition'!$C$2:$C$102=J396 ) ) ) , ""Oui"" , ""Non"" )"),"Oui")</f>
        <v>Oui</v>
      </c>
      <c r="L396" s="1" t="str">
        <f t="shared" si="2"/>
        <v>France</v>
      </c>
      <c r="M396" s="1">
        <v>37.0</v>
      </c>
      <c r="N396" s="1" t="s">
        <v>547</v>
      </c>
      <c r="O396" s="1">
        <v>4.0</v>
      </c>
      <c r="P396" s="2">
        <v>42907.0</v>
      </c>
      <c r="R396" s="1">
        <v>0.0</v>
      </c>
      <c r="S396" s="1" t="s">
        <v>75</v>
      </c>
      <c r="T396" s="1" t="s">
        <v>76</v>
      </c>
      <c r="U396" s="1" t="s">
        <v>4083</v>
      </c>
      <c r="X396" s="1" t="s">
        <v>198</v>
      </c>
      <c r="Y396" s="1">
        <v>538.0</v>
      </c>
      <c r="Z396" s="3" t="s">
        <v>4084</v>
      </c>
      <c r="AA396" s="1">
        <v>719814.0</v>
      </c>
      <c r="AB396" s="1" t="s">
        <v>4085</v>
      </c>
      <c r="AC396" s="3" t="s">
        <v>4086</v>
      </c>
      <c r="AD396" s="3" t="s">
        <v>4087</v>
      </c>
      <c r="AE396" s="1">
        <v>1.0</v>
      </c>
      <c r="AF396" s="1" t="s">
        <v>4088</v>
      </c>
      <c r="AG396" s="1">
        <v>18.0</v>
      </c>
      <c r="AH396" s="1">
        <v>28.0</v>
      </c>
      <c r="AI396" s="1">
        <v>10.0</v>
      </c>
      <c r="AJ396" s="1">
        <v>4.0</v>
      </c>
      <c r="AK396" s="1">
        <v>2.0</v>
      </c>
      <c r="AL396" s="1">
        <v>1.0</v>
      </c>
      <c r="AM396" s="1">
        <v>59.0</v>
      </c>
      <c r="AN396" s="1">
        <v>15.0</v>
      </c>
      <c r="AO396" s="1">
        <v>0.0</v>
      </c>
      <c r="AP396" s="1">
        <v>0.0</v>
      </c>
      <c r="AQ396" s="1">
        <v>5.0</v>
      </c>
      <c r="AR396" s="1">
        <v>2.0</v>
      </c>
      <c r="AS396" s="1">
        <v>1.0</v>
      </c>
    </row>
    <row r="397" hidden="1">
      <c r="A397" s="1">
        <v>420.0</v>
      </c>
      <c r="B397" s="1" t="s">
        <v>4089</v>
      </c>
      <c r="C397" s="1" t="s">
        <v>4090</v>
      </c>
      <c r="D397" s="1" t="s">
        <v>137</v>
      </c>
      <c r="E397" s="1" t="s">
        <v>43</v>
      </c>
      <c r="F397" s="2">
        <v>17568.0</v>
      </c>
      <c r="G397" s="1">
        <f t="shared" si="1"/>
        <v>78</v>
      </c>
      <c r="H397" s="1" t="s">
        <v>4091</v>
      </c>
      <c r="I397" s="1" t="str">
        <f>IFERROR(__xludf.DUMMYFUNCTION("SPLIT(left(H397,len(H397)-1),""("")"),"Lanouaille ")</f>
        <v>Lanouaille </v>
      </c>
      <c r="J397" s="1" t="str">
        <f>IFERROR(__xludf.DUMMYFUNCTION("""COMPUTED_VALUE"""),"Dordogne")</f>
        <v>Dordogne</v>
      </c>
      <c r="K397" s="1" t="str">
        <f>IFERROR(__xludf.DUMMYFUNCTION("IF( COUNTA( IFERROR( FILTER('départements_edition'!$C$2:$C$102 , 'départements_edition'!$C$2:$C$102=J397 ) ) ) , ""Oui"" , ""Non"" )"),"Oui")</f>
        <v>Oui</v>
      </c>
      <c r="L397" s="1" t="str">
        <f t="shared" si="2"/>
        <v>France</v>
      </c>
      <c r="M397" s="1">
        <v>24.0</v>
      </c>
      <c r="N397" s="1" t="s">
        <v>2327</v>
      </c>
      <c r="O397" s="1">
        <v>3.0</v>
      </c>
      <c r="P397" s="2">
        <v>42907.0</v>
      </c>
      <c r="R397" s="1">
        <v>0.0</v>
      </c>
      <c r="S397" s="1" t="s">
        <v>280</v>
      </c>
      <c r="T397" s="1" t="s">
        <v>281</v>
      </c>
      <c r="U397" s="3" t="s">
        <v>4092</v>
      </c>
      <c r="X397" s="1" t="s">
        <v>4093</v>
      </c>
      <c r="Y397" s="1">
        <v>169.0</v>
      </c>
      <c r="Z397" s="3" t="s">
        <v>4094</v>
      </c>
      <c r="AA397" s="1">
        <v>719266.0</v>
      </c>
      <c r="AB397" s="1" t="s">
        <v>4095</v>
      </c>
      <c r="AC397" s="3" t="s">
        <v>4096</v>
      </c>
      <c r="AD397" s="3" t="s">
        <v>4097</v>
      </c>
      <c r="AE397" s="1">
        <v>2.0</v>
      </c>
      <c r="AG397" s="1">
        <v>18.0</v>
      </c>
      <c r="AH397" s="1">
        <v>33.0</v>
      </c>
      <c r="AI397" s="1">
        <v>14.0</v>
      </c>
      <c r="AJ397" s="1">
        <v>8.0</v>
      </c>
      <c r="AK397" s="1">
        <v>3.0</v>
      </c>
      <c r="AL397" s="1">
        <v>2.0</v>
      </c>
      <c r="AM397" s="1">
        <v>190.0</v>
      </c>
      <c r="AN397" s="1">
        <v>16.0</v>
      </c>
      <c r="AO397" s="1">
        <v>0.0</v>
      </c>
      <c r="AP397" s="1">
        <v>0.0</v>
      </c>
      <c r="AQ397" s="1">
        <v>6.0</v>
      </c>
      <c r="AR397" s="1">
        <v>11.0</v>
      </c>
      <c r="AS397" s="1">
        <v>2.0</v>
      </c>
    </row>
    <row r="398" hidden="1">
      <c r="A398" s="1">
        <v>457.0</v>
      </c>
      <c r="B398" s="1" t="s">
        <v>4098</v>
      </c>
      <c r="C398" s="1" t="s">
        <v>943</v>
      </c>
      <c r="D398" s="1" t="s">
        <v>4099</v>
      </c>
      <c r="E398" s="1" t="s">
        <v>43</v>
      </c>
      <c r="F398" s="2">
        <v>20615.0</v>
      </c>
      <c r="G398" s="1">
        <f t="shared" si="1"/>
        <v>70</v>
      </c>
      <c r="H398" s="1" t="s">
        <v>4100</v>
      </c>
      <c r="I398" s="1" t="str">
        <f>IFERROR(__xludf.DUMMYFUNCTION("SPLIT(left(H398,len(H398)-1),""("")"),"Dijon ")</f>
        <v>Dijon </v>
      </c>
      <c r="J398" s="1" t="str">
        <f>IFERROR(__xludf.DUMMYFUNCTION("""COMPUTED_VALUE"""),"Côte-d'Or")</f>
        <v>Côte-d'Or</v>
      </c>
      <c r="K398" s="1" t="str">
        <f>IFERROR(__xludf.DUMMYFUNCTION("IF( COUNTA( IFERROR( FILTER('départements_edition'!$C$2:$C$102 , 'départements_edition'!$C$2:$C$102=J398 ) ) ) , ""Oui"" , ""Non"" )"),"Oui")</f>
        <v>Oui</v>
      </c>
      <c r="L398" s="1" t="str">
        <f t="shared" si="2"/>
        <v>France</v>
      </c>
      <c r="M398" s="1">
        <v>21.0</v>
      </c>
      <c r="N398" s="1" t="s">
        <v>1220</v>
      </c>
      <c r="O398" s="1">
        <v>2.0</v>
      </c>
      <c r="P398" s="2">
        <v>42907.0</v>
      </c>
      <c r="R398" s="1">
        <v>0.0</v>
      </c>
      <c r="S398" s="1" t="s">
        <v>61</v>
      </c>
      <c r="T398" s="1" t="s">
        <v>62</v>
      </c>
      <c r="X398" s="1" t="s">
        <v>1067</v>
      </c>
      <c r="Y398" s="1">
        <v>117.0</v>
      </c>
      <c r="Z398" s="3" t="s">
        <v>4101</v>
      </c>
      <c r="AA398" s="1">
        <v>267450.0</v>
      </c>
      <c r="AB398" s="1" t="s">
        <v>4102</v>
      </c>
      <c r="AC398" s="3" t="s">
        <v>4103</v>
      </c>
      <c r="AD398" s="3" t="s">
        <v>4104</v>
      </c>
      <c r="AE398" s="1">
        <v>1.0</v>
      </c>
      <c r="AG398" s="1">
        <v>18.0</v>
      </c>
      <c r="AH398" s="1">
        <v>27.0</v>
      </c>
      <c r="AI398" s="1">
        <v>12.0</v>
      </c>
      <c r="AJ398" s="1">
        <v>2.0</v>
      </c>
      <c r="AK398" s="1">
        <v>1.0</v>
      </c>
      <c r="AL398" s="1">
        <v>4.0</v>
      </c>
      <c r="AM398" s="1">
        <v>479.0</v>
      </c>
      <c r="AN398" s="1">
        <v>18.0</v>
      </c>
      <c r="AO398" s="1">
        <v>0.0</v>
      </c>
      <c r="AP398" s="1">
        <v>1.0</v>
      </c>
      <c r="AQ398" s="1">
        <v>37.0</v>
      </c>
      <c r="AR398" s="1">
        <v>6.0</v>
      </c>
      <c r="AS398" s="1">
        <v>0.0</v>
      </c>
    </row>
    <row r="399" hidden="1">
      <c r="A399" s="1">
        <v>566.0</v>
      </c>
      <c r="B399" s="1" t="s">
        <v>4105</v>
      </c>
      <c r="C399" s="1" t="s">
        <v>4106</v>
      </c>
      <c r="D399" s="1" t="s">
        <v>522</v>
      </c>
      <c r="E399" s="1" t="s">
        <v>43</v>
      </c>
      <c r="F399" s="2">
        <v>23573.0</v>
      </c>
      <c r="G399" s="1">
        <f t="shared" si="1"/>
        <v>62</v>
      </c>
      <c r="H399" s="1" t="s">
        <v>4107</v>
      </c>
      <c r="I399" s="1" t="str">
        <f>IFERROR(__xludf.DUMMYFUNCTION("SPLIT(left(H399,len(H399)-1),""("")"),"Hautmont ")</f>
        <v>Hautmont </v>
      </c>
      <c r="J399" s="1" t="str">
        <f>IFERROR(__xludf.DUMMYFUNCTION("""COMPUTED_VALUE"""),"Nord")</f>
        <v>Nord</v>
      </c>
      <c r="K399" s="1" t="str">
        <f>IFERROR(__xludf.DUMMYFUNCTION("IF( COUNTA( IFERROR( FILTER('départements_edition'!$C$2:$C$102 , 'départements_edition'!$C$2:$C$102=J399 ) ) ) , ""Oui"" , ""Non"" )"),"Oui")</f>
        <v>Oui</v>
      </c>
      <c r="L399" s="1" t="str">
        <f t="shared" si="2"/>
        <v>France</v>
      </c>
      <c r="M399" s="1">
        <v>59.0</v>
      </c>
      <c r="N399" s="1" t="s">
        <v>172</v>
      </c>
      <c r="O399" s="1">
        <v>3.0</v>
      </c>
      <c r="P399" s="2">
        <v>42907.0</v>
      </c>
      <c r="R399" s="1">
        <v>0.0</v>
      </c>
      <c r="S399" s="1" t="s">
        <v>75</v>
      </c>
      <c r="T399" s="1" t="s">
        <v>76</v>
      </c>
      <c r="U399" s="3" t="s">
        <v>4108</v>
      </c>
      <c r="X399" s="1" t="s">
        <v>1592</v>
      </c>
      <c r="Y399" s="1">
        <v>553.0</v>
      </c>
      <c r="Z399" s="3" t="s">
        <v>4109</v>
      </c>
      <c r="AA399" s="1">
        <v>720438.0</v>
      </c>
      <c r="AB399" s="1" t="s">
        <v>4110</v>
      </c>
      <c r="AC399" s="3" t="s">
        <v>4111</v>
      </c>
      <c r="AD399" s="3" t="s">
        <v>4112</v>
      </c>
      <c r="AE399" s="1">
        <v>2.0</v>
      </c>
      <c r="AF399" s="1" t="s">
        <v>4113</v>
      </c>
      <c r="AG399" s="1">
        <v>18.0</v>
      </c>
      <c r="AH399" s="1">
        <v>30.0</v>
      </c>
      <c r="AI399" s="1">
        <v>9.0</v>
      </c>
      <c r="AJ399" s="1">
        <v>0.0</v>
      </c>
      <c r="AK399" s="1">
        <v>0.0</v>
      </c>
      <c r="AL399" s="1">
        <v>0.0</v>
      </c>
      <c r="AM399" s="1">
        <v>20.0</v>
      </c>
      <c r="AN399" s="1">
        <v>8.0</v>
      </c>
      <c r="AO399" s="1">
        <v>3.0</v>
      </c>
      <c r="AP399" s="1">
        <v>0.0</v>
      </c>
      <c r="AQ399" s="1">
        <v>6.0</v>
      </c>
      <c r="AR399" s="1">
        <v>0.0</v>
      </c>
      <c r="AS399" s="1">
        <v>0.0</v>
      </c>
    </row>
    <row r="400" hidden="1">
      <c r="A400" s="1">
        <v>8.0</v>
      </c>
      <c r="B400" s="1" t="s">
        <v>4114</v>
      </c>
      <c r="C400" s="1" t="s">
        <v>4115</v>
      </c>
      <c r="D400" s="1" t="s">
        <v>905</v>
      </c>
      <c r="E400" s="1" t="s">
        <v>43</v>
      </c>
      <c r="F400" s="2">
        <v>25068.0</v>
      </c>
      <c r="G400" s="1">
        <f t="shared" si="1"/>
        <v>57</v>
      </c>
      <c r="H400" s="1" t="s">
        <v>4116</v>
      </c>
      <c r="I400" s="1" t="str">
        <f>IFERROR(__xludf.DUMMYFUNCTION("SPLIT(left(H400,len(H400)-1),""("")"),"La Tronche ")</f>
        <v>La Tronche </v>
      </c>
      <c r="J400" s="1" t="str">
        <f>IFERROR(__xludf.DUMMYFUNCTION("""COMPUTED_VALUE"""),"Isère")</f>
        <v>Isère</v>
      </c>
      <c r="K400" s="1" t="str">
        <f>IFERROR(__xludf.DUMMYFUNCTION("IF( COUNTA( IFERROR( FILTER('départements_edition'!$C$2:$C$102 , 'départements_edition'!$C$2:$C$102=J400 ) ) ) , ""Oui"" , ""Non"" )"),"Oui")</f>
        <v>Oui</v>
      </c>
      <c r="L400" s="1" t="str">
        <f t="shared" si="2"/>
        <v>France</v>
      </c>
      <c r="M400" s="1">
        <v>77.0</v>
      </c>
      <c r="N400" s="1" t="s">
        <v>503</v>
      </c>
      <c r="O400" s="1">
        <v>11.0</v>
      </c>
      <c r="P400" s="2">
        <v>42907.0</v>
      </c>
      <c r="R400" s="1">
        <v>0.0</v>
      </c>
      <c r="S400" s="1" t="s">
        <v>115</v>
      </c>
      <c r="T400" s="1" t="s">
        <v>116</v>
      </c>
      <c r="U400" s="1" t="s">
        <v>4117</v>
      </c>
      <c r="X400" s="1" t="s">
        <v>234</v>
      </c>
      <c r="Y400" s="1">
        <v>499.0</v>
      </c>
      <c r="Z400" s="3" t="s">
        <v>4118</v>
      </c>
      <c r="AA400" s="1">
        <v>609332.0</v>
      </c>
      <c r="AB400" s="1" t="s">
        <v>4119</v>
      </c>
      <c r="AC400" s="3" t="s">
        <v>4120</v>
      </c>
      <c r="AD400" s="3" t="s">
        <v>4121</v>
      </c>
      <c r="AE400" s="1">
        <v>1.0</v>
      </c>
      <c r="AF400" s="1" t="s">
        <v>4122</v>
      </c>
      <c r="AG400" s="1">
        <v>18.0</v>
      </c>
      <c r="AH400" s="1">
        <v>8.0</v>
      </c>
      <c r="AI400" s="1">
        <v>3.0</v>
      </c>
      <c r="AJ400" s="1">
        <v>216.0</v>
      </c>
      <c r="AK400" s="1">
        <v>236.0</v>
      </c>
      <c r="AL400" s="1">
        <v>60.0</v>
      </c>
      <c r="AM400" s="1">
        <v>1035.0</v>
      </c>
      <c r="AN400" s="1">
        <v>71.0</v>
      </c>
      <c r="AO400" s="1">
        <v>0.0</v>
      </c>
      <c r="AP400" s="1">
        <v>4.0</v>
      </c>
      <c r="AQ400" s="1">
        <v>7.0</v>
      </c>
      <c r="AR400" s="1">
        <v>2.0</v>
      </c>
      <c r="AS400" s="1">
        <v>2.0</v>
      </c>
    </row>
    <row r="401" hidden="1">
      <c r="A401" s="1">
        <v>256.0</v>
      </c>
      <c r="B401" s="1" t="s">
        <v>4134</v>
      </c>
      <c r="C401" s="1" t="s">
        <v>4135</v>
      </c>
      <c r="D401" s="1" t="s">
        <v>1782</v>
      </c>
      <c r="E401" s="1" t="s">
        <v>43</v>
      </c>
      <c r="F401" s="2">
        <v>21409.0</v>
      </c>
      <c r="G401" s="1">
        <f t="shared" si="1"/>
        <v>68</v>
      </c>
      <c r="H401" s="1" t="s">
        <v>4136</v>
      </c>
      <c r="I401" s="1" t="str">
        <f>IFERROR(__xludf.DUMMYFUNCTION("SPLIT(left(H401,len(H401)-1),""("")"),"Chaudron-en-Mauges ")</f>
        <v>Chaudron-en-Mauges </v>
      </c>
      <c r="J401" s="1" t="str">
        <f>IFERROR(__xludf.DUMMYFUNCTION("""COMPUTED_VALUE"""),"Maine-et-Loire")</f>
        <v>Maine-et-Loire</v>
      </c>
      <c r="K401" s="1" t="str">
        <f>IFERROR(__xludf.DUMMYFUNCTION("IF( COUNTA( IFERROR( FILTER('départements_edition'!$C$2:$C$102 , 'départements_edition'!$C$2:$C$102=J401 ) ) ) , ""Oui"" , ""Non"" )"),"Oui")</f>
        <v>Oui</v>
      </c>
      <c r="L401" s="1" t="str">
        <f t="shared" si="2"/>
        <v>France</v>
      </c>
      <c r="M401" s="1">
        <v>53.0</v>
      </c>
      <c r="N401" s="1" t="s">
        <v>2900</v>
      </c>
      <c r="O401" s="1">
        <v>3.0</v>
      </c>
      <c r="P401" s="2">
        <v>42907.0</v>
      </c>
      <c r="R401" s="1">
        <v>0.0</v>
      </c>
      <c r="S401" s="1" t="s">
        <v>46</v>
      </c>
      <c r="T401" s="1" t="s">
        <v>47</v>
      </c>
      <c r="U401" s="1" t="s">
        <v>4137</v>
      </c>
      <c r="X401" s="1" t="s">
        <v>4138</v>
      </c>
      <c r="Y401" s="1">
        <v>112.0</v>
      </c>
      <c r="Z401" s="3" t="s">
        <v>4139</v>
      </c>
      <c r="AA401" s="1">
        <v>267042.0</v>
      </c>
      <c r="AB401" s="1" t="s">
        <v>4140</v>
      </c>
      <c r="AC401" s="3" t="s">
        <v>4141</v>
      </c>
      <c r="AD401" s="3" t="s">
        <v>4142</v>
      </c>
      <c r="AE401" s="1">
        <v>1.0</v>
      </c>
      <c r="AF401" s="1" t="s">
        <v>4143</v>
      </c>
      <c r="AG401" s="1">
        <v>18.0</v>
      </c>
      <c r="AH401" s="1">
        <v>35.0</v>
      </c>
      <c r="AI401" s="1">
        <v>36.0</v>
      </c>
      <c r="AJ401" s="1">
        <v>17.0</v>
      </c>
      <c r="AK401" s="1">
        <v>95.0</v>
      </c>
      <c r="AL401" s="1">
        <v>1.0</v>
      </c>
      <c r="AM401" s="1">
        <v>368.0</v>
      </c>
      <c r="AN401" s="1">
        <v>17.0</v>
      </c>
      <c r="AO401" s="1">
        <v>0.0</v>
      </c>
      <c r="AP401" s="1">
        <v>0.0</v>
      </c>
      <c r="AQ401" s="1">
        <v>9.0</v>
      </c>
      <c r="AR401" s="1">
        <v>31.0</v>
      </c>
      <c r="AS401" s="1">
        <v>3.0</v>
      </c>
    </row>
    <row r="402" hidden="1">
      <c r="A402" s="1">
        <v>159.0</v>
      </c>
      <c r="B402" s="1" t="s">
        <v>4144</v>
      </c>
      <c r="C402" s="1" t="s">
        <v>4145</v>
      </c>
      <c r="D402" s="1" t="s">
        <v>4045</v>
      </c>
      <c r="E402" s="1" t="s">
        <v>43</v>
      </c>
      <c r="F402" s="2">
        <v>24639.0</v>
      </c>
      <c r="G402" s="1">
        <f t="shared" si="1"/>
        <v>59</v>
      </c>
      <c r="H402" s="1" t="s">
        <v>718</v>
      </c>
      <c r="I402" s="1" t="str">
        <f>IFERROR(__xludf.DUMMYFUNCTION("SPLIT(left(H402,len(H402)-1),""("")"),"Marseille ")</f>
        <v>Marseille </v>
      </c>
      <c r="J402" s="1" t="str">
        <f>IFERROR(__xludf.DUMMYFUNCTION("""COMPUTED_VALUE"""),"Bouches-du-Rhône")</f>
        <v>Bouches-du-Rhône</v>
      </c>
      <c r="K402" s="1" t="str">
        <f>IFERROR(__xludf.DUMMYFUNCTION("IF( COUNTA( IFERROR( FILTER('départements_edition'!$C$2:$C$102 , 'départements_edition'!$C$2:$C$102=J402 ) ) ) , ""Oui"" , ""Non"" )"),"Oui")</f>
        <v>Oui</v>
      </c>
      <c r="L402" s="1" t="str">
        <f t="shared" si="2"/>
        <v>France</v>
      </c>
      <c r="M402" s="1" t="s">
        <v>4146</v>
      </c>
      <c r="N402" s="1" t="s">
        <v>4147</v>
      </c>
      <c r="O402" s="1">
        <v>1.0</v>
      </c>
      <c r="P402" s="2">
        <v>42907.0</v>
      </c>
      <c r="R402" s="1">
        <v>0.0</v>
      </c>
      <c r="S402" s="1" t="s">
        <v>61</v>
      </c>
      <c r="T402" s="1" t="s">
        <v>62</v>
      </c>
      <c r="U402" s="1" t="s">
        <v>4148</v>
      </c>
      <c r="X402" s="1" t="s">
        <v>151</v>
      </c>
      <c r="Y402" s="1">
        <v>18.0</v>
      </c>
      <c r="Z402" s="3" t="s">
        <v>4149</v>
      </c>
      <c r="AA402" s="1">
        <v>643103.0</v>
      </c>
      <c r="AB402" s="1" t="s">
        <v>4150</v>
      </c>
      <c r="AC402" s="3" t="s">
        <v>4151</v>
      </c>
      <c r="AD402" s="3" t="s">
        <v>4152</v>
      </c>
      <c r="AE402" s="1">
        <v>2.0</v>
      </c>
      <c r="AF402" s="1" t="s">
        <v>4153</v>
      </c>
      <c r="AG402" s="1">
        <v>18.0</v>
      </c>
      <c r="AH402" s="1">
        <v>30.0</v>
      </c>
      <c r="AI402" s="1">
        <v>7.0</v>
      </c>
      <c r="AJ402" s="1">
        <v>11.0</v>
      </c>
      <c r="AK402" s="1">
        <v>0.0</v>
      </c>
      <c r="AL402" s="1">
        <v>2.0</v>
      </c>
      <c r="AM402" s="1">
        <v>301.0</v>
      </c>
      <c r="AN402" s="1">
        <v>18.0</v>
      </c>
      <c r="AO402" s="1">
        <v>1.0</v>
      </c>
      <c r="AP402" s="1">
        <v>0.0</v>
      </c>
      <c r="AQ402" s="1">
        <v>27.0</v>
      </c>
      <c r="AR402" s="1">
        <v>4.0</v>
      </c>
      <c r="AS402" s="1">
        <v>1.0</v>
      </c>
    </row>
    <row r="403" hidden="1">
      <c r="A403" s="1">
        <v>321.0</v>
      </c>
      <c r="B403" s="1" t="s">
        <v>4163</v>
      </c>
      <c r="C403" s="1" t="s">
        <v>4164</v>
      </c>
      <c r="D403" s="1" t="s">
        <v>1822</v>
      </c>
      <c r="E403" s="1" t="s">
        <v>43</v>
      </c>
      <c r="F403" s="2">
        <v>24256.0</v>
      </c>
      <c r="G403" s="1">
        <f t="shared" si="1"/>
        <v>60</v>
      </c>
      <c r="H403" s="1" t="s">
        <v>2899</v>
      </c>
      <c r="I403" s="1" t="str">
        <f>IFERROR(__xludf.DUMMYFUNCTION("SPLIT(left(H403,len(H403)-1),""("")"),"Laval ")</f>
        <v>Laval </v>
      </c>
      <c r="J403" s="1" t="str">
        <f>IFERROR(__xludf.DUMMYFUNCTION("""COMPUTED_VALUE"""),"Mayenne")</f>
        <v>Mayenne</v>
      </c>
      <c r="K403" s="1" t="str">
        <f>IFERROR(__xludf.DUMMYFUNCTION("IF( COUNTA( IFERROR( FILTER('départements_edition'!$C$2:$C$102 , 'départements_edition'!$C$2:$C$102=J403 ) ) ) , ""Oui"" , ""Non"" )"),"Oui")</f>
        <v>Oui</v>
      </c>
      <c r="L403" s="1" t="str">
        <f t="shared" si="2"/>
        <v>France</v>
      </c>
      <c r="M403" s="1">
        <v>53.0</v>
      </c>
      <c r="N403" s="1" t="s">
        <v>2900</v>
      </c>
      <c r="O403" s="1">
        <v>1.0</v>
      </c>
      <c r="P403" s="2">
        <v>42907.0</v>
      </c>
      <c r="R403" s="1">
        <v>0.0</v>
      </c>
      <c r="S403" s="1" t="s">
        <v>115</v>
      </c>
      <c r="T403" s="1" t="s">
        <v>116</v>
      </c>
      <c r="U403" s="1" t="s">
        <v>4165</v>
      </c>
      <c r="X403" s="1" t="s">
        <v>4166</v>
      </c>
      <c r="Y403" s="1">
        <v>495.0</v>
      </c>
      <c r="Z403" s="3" t="s">
        <v>4167</v>
      </c>
      <c r="AA403" s="1">
        <v>333285.0</v>
      </c>
      <c r="AB403" s="1" t="s">
        <v>4168</v>
      </c>
      <c r="AC403" s="3" t="s">
        <v>4169</v>
      </c>
      <c r="AD403" s="3" t="s">
        <v>4170</v>
      </c>
      <c r="AE403" s="1">
        <v>1.0</v>
      </c>
      <c r="AF403" s="1" t="s">
        <v>4171</v>
      </c>
      <c r="AG403" s="1">
        <v>18.0</v>
      </c>
      <c r="AH403" s="1">
        <v>21.0</v>
      </c>
      <c r="AI403" s="1">
        <v>37.0</v>
      </c>
      <c r="AJ403" s="1">
        <v>47.0</v>
      </c>
      <c r="AK403" s="1">
        <v>53.0</v>
      </c>
      <c r="AL403" s="1">
        <v>8.0</v>
      </c>
      <c r="AM403" s="1">
        <v>1156.0</v>
      </c>
      <c r="AN403" s="1">
        <v>86.0</v>
      </c>
      <c r="AO403" s="1">
        <v>1.0</v>
      </c>
      <c r="AP403" s="1">
        <v>0.0</v>
      </c>
      <c r="AQ403" s="1">
        <v>5.0</v>
      </c>
      <c r="AR403" s="1">
        <v>13.0</v>
      </c>
      <c r="AS403" s="1">
        <v>3.0</v>
      </c>
    </row>
    <row r="404" hidden="1">
      <c r="A404" s="1">
        <v>585.0</v>
      </c>
      <c r="B404" s="1" t="s">
        <v>4172</v>
      </c>
      <c r="C404" s="1" t="s">
        <v>4173</v>
      </c>
      <c r="D404" s="1" t="s">
        <v>4174</v>
      </c>
      <c r="E404" s="1" t="s">
        <v>58</v>
      </c>
      <c r="F404" s="2">
        <v>25915.0</v>
      </c>
      <c r="G404" s="1">
        <f t="shared" si="1"/>
        <v>55</v>
      </c>
      <c r="H404" s="1" t="s">
        <v>4175</v>
      </c>
      <c r="I404" s="1" t="str">
        <f>IFERROR(__xludf.DUMMYFUNCTION("SPLIT(left(H404,len(H404)-1),""("")"),"Évreux ")</f>
        <v>Évreux </v>
      </c>
      <c r="J404" s="1" t="str">
        <f>IFERROR(__xludf.DUMMYFUNCTION("""COMPUTED_VALUE"""),"Eure")</f>
        <v>Eure</v>
      </c>
      <c r="K404" s="1" t="str">
        <f>IFERROR(__xludf.DUMMYFUNCTION("IF( COUNTA( IFERROR( FILTER('départements_edition'!$C$2:$C$102 , 'départements_edition'!$C$2:$C$102=J404 ) ) ) , ""Oui"" , ""Non"" )"),"Oui")</f>
        <v>Oui</v>
      </c>
      <c r="L404" s="1" t="str">
        <f t="shared" si="2"/>
        <v>France</v>
      </c>
      <c r="M404" s="1">
        <v>27.0</v>
      </c>
      <c r="N404" s="1" t="s">
        <v>2698</v>
      </c>
      <c r="O404" s="1">
        <v>1.0</v>
      </c>
      <c r="P404" s="2">
        <v>42938.0</v>
      </c>
      <c r="R404" s="1">
        <v>0.0</v>
      </c>
      <c r="S404" s="1" t="s">
        <v>75</v>
      </c>
      <c r="T404" s="1" t="s">
        <v>76</v>
      </c>
      <c r="U404" s="3" t="s">
        <v>4176</v>
      </c>
      <c r="X404" s="1" t="s">
        <v>4177</v>
      </c>
      <c r="Y404" s="1">
        <v>365.0</v>
      </c>
      <c r="Z404" s="3" t="s">
        <v>4178</v>
      </c>
      <c r="AA404" s="1">
        <v>719326.0</v>
      </c>
      <c r="AB404" s="1" t="s">
        <v>4179</v>
      </c>
      <c r="AC404" s="3" t="s">
        <v>4180</v>
      </c>
      <c r="AD404" s="3" t="s">
        <v>4181</v>
      </c>
      <c r="AE404" s="1">
        <v>2.0</v>
      </c>
      <c r="AF404" s="1" t="s">
        <v>4182</v>
      </c>
      <c r="AG404" s="1">
        <v>18.0</v>
      </c>
      <c r="AH404" s="1">
        <v>25.0</v>
      </c>
      <c r="AI404" s="1">
        <v>17.0</v>
      </c>
      <c r="AJ404" s="1">
        <v>14.0</v>
      </c>
      <c r="AK404" s="1">
        <v>0.0</v>
      </c>
      <c r="AL404" s="1">
        <v>3.0</v>
      </c>
      <c r="AM404" s="1">
        <v>20.0</v>
      </c>
      <c r="AN404" s="1">
        <v>2.0</v>
      </c>
      <c r="AO404" s="1">
        <v>0.0</v>
      </c>
      <c r="AP404" s="1">
        <v>0.0</v>
      </c>
      <c r="AQ404" s="1">
        <v>5.0</v>
      </c>
      <c r="AR404" s="1">
        <v>29.0</v>
      </c>
      <c r="AS404" s="1">
        <v>1.0</v>
      </c>
    </row>
    <row r="405" hidden="1">
      <c r="A405" s="1">
        <v>547.0</v>
      </c>
      <c r="B405" s="1" t="s">
        <v>4193</v>
      </c>
      <c r="C405" s="1" t="s">
        <v>4194</v>
      </c>
      <c r="D405" s="1" t="s">
        <v>4195</v>
      </c>
      <c r="E405" s="1" t="s">
        <v>58</v>
      </c>
      <c r="F405" s="2">
        <v>23785.0</v>
      </c>
      <c r="G405" s="1">
        <f t="shared" si="1"/>
        <v>61</v>
      </c>
      <c r="H405" s="1" t="s">
        <v>1893</v>
      </c>
      <c r="I405" s="1" t="str">
        <f>IFERROR(__xludf.DUMMYFUNCTION("SPLIT(left(H405,len(H405)-1),""("")"),"Neuilly-sur-Seine ")</f>
        <v>Neuilly-sur-Seine </v>
      </c>
      <c r="J405" s="1" t="str">
        <f>IFERROR(__xludf.DUMMYFUNCTION("""COMPUTED_VALUE"""),"Hauts-de-Seine")</f>
        <v>Hauts-de-Seine</v>
      </c>
      <c r="K405" s="1" t="str">
        <f>IFERROR(__xludf.DUMMYFUNCTION("IF( COUNTA( IFERROR( FILTER('départements_edition'!$C$2:$C$102 , 'départements_edition'!$C$2:$C$102=J405 ) ) ) , ""Oui"" , ""Non"" )"),"Oui")</f>
        <v>Oui</v>
      </c>
      <c r="L405" s="1" t="str">
        <f t="shared" si="2"/>
        <v>France</v>
      </c>
      <c r="M405" s="1">
        <v>28.0</v>
      </c>
      <c r="N405" s="1" t="s">
        <v>45</v>
      </c>
      <c r="O405" s="1">
        <v>3.0</v>
      </c>
      <c r="P405" s="2">
        <v>42907.0</v>
      </c>
      <c r="R405" s="1">
        <v>0.0</v>
      </c>
      <c r="S405" s="1" t="s">
        <v>46</v>
      </c>
      <c r="T405" s="1" t="s">
        <v>47</v>
      </c>
      <c r="U405" s="1" t="s">
        <v>4196</v>
      </c>
      <c r="X405" s="1" t="s">
        <v>2484</v>
      </c>
      <c r="Y405" s="1">
        <v>133.0</v>
      </c>
      <c r="Z405" s="3" t="s">
        <v>4197</v>
      </c>
      <c r="AA405" s="1">
        <v>331567.0</v>
      </c>
      <c r="AB405" s="1" t="s">
        <v>4198</v>
      </c>
      <c r="AC405" s="3" t="s">
        <v>4199</v>
      </c>
      <c r="AD405" s="3" t="s">
        <v>4200</v>
      </c>
      <c r="AE405" s="1">
        <v>2.0</v>
      </c>
      <c r="AF405" s="1" t="s">
        <v>4201</v>
      </c>
      <c r="AG405" s="1">
        <v>18.0</v>
      </c>
      <c r="AH405" s="1">
        <v>29.0</v>
      </c>
      <c r="AI405" s="1">
        <v>68.0</v>
      </c>
      <c r="AJ405" s="1">
        <v>49.0</v>
      </c>
      <c r="AK405" s="1">
        <v>36.0</v>
      </c>
      <c r="AL405" s="1">
        <v>114.0</v>
      </c>
      <c r="AM405" s="1">
        <v>454.0</v>
      </c>
      <c r="AN405" s="1">
        <v>33.0</v>
      </c>
      <c r="AO405" s="1">
        <v>1.0</v>
      </c>
      <c r="AP405" s="1">
        <v>0.0</v>
      </c>
      <c r="AQ405" s="1">
        <v>20.0</v>
      </c>
      <c r="AR405" s="1">
        <v>12.0</v>
      </c>
      <c r="AS405" s="1">
        <v>2.0</v>
      </c>
    </row>
    <row r="406" hidden="1">
      <c r="A406" s="1">
        <v>149.0</v>
      </c>
      <c r="B406" s="1" t="s">
        <v>4202</v>
      </c>
      <c r="C406" s="1" t="s">
        <v>4203</v>
      </c>
      <c r="D406" s="1" t="s">
        <v>2816</v>
      </c>
      <c r="E406" s="1" t="s">
        <v>43</v>
      </c>
      <c r="F406" s="2">
        <v>20212.0</v>
      </c>
      <c r="G406" s="1">
        <f t="shared" si="1"/>
        <v>71</v>
      </c>
      <c r="H406" s="1" t="s">
        <v>4204</v>
      </c>
      <c r="I406" s="1" t="str">
        <f>IFERROR(__xludf.DUMMYFUNCTION("SPLIT(left(H406,len(H406)-1),""("")"),"Lourdios-Ichère ")</f>
        <v>Lourdios-Ichère </v>
      </c>
      <c r="J406" s="1" t="str">
        <f>IFERROR(__xludf.DUMMYFUNCTION("""COMPUTED_VALUE"""),"Pyrénées-Atlantiques")</f>
        <v>Pyrénées-Atlantiques</v>
      </c>
      <c r="K406" s="1" t="str">
        <f>IFERROR(__xludf.DUMMYFUNCTION("IF( COUNTA( IFERROR( FILTER('départements_edition'!$C$2:$C$102 , 'départements_edition'!$C$2:$C$102=J406 ) ) ) , ""Oui"" , ""Non"" )"),"Oui")</f>
        <v>Oui</v>
      </c>
      <c r="L406" s="1" t="str">
        <f t="shared" si="2"/>
        <v>France</v>
      </c>
      <c r="M406" s="1">
        <v>64.0</v>
      </c>
      <c r="N406" s="1" t="s">
        <v>579</v>
      </c>
      <c r="O406" s="1">
        <v>4.0</v>
      </c>
      <c r="P406" s="2">
        <v>42907.0</v>
      </c>
      <c r="R406" s="1">
        <v>0.0</v>
      </c>
      <c r="S406" s="1" t="s">
        <v>814</v>
      </c>
      <c r="T406" s="1" t="s">
        <v>815</v>
      </c>
      <c r="U406" s="1" t="s">
        <v>4205</v>
      </c>
      <c r="X406" s="1" t="s">
        <v>4206</v>
      </c>
      <c r="Y406" s="1">
        <v>225.0</v>
      </c>
      <c r="Z406" s="3" t="s">
        <v>4207</v>
      </c>
      <c r="AA406" s="1">
        <v>1838.0</v>
      </c>
      <c r="AB406" s="1" t="s">
        <v>4208</v>
      </c>
      <c r="AC406" s="3" t="s">
        <v>4209</v>
      </c>
      <c r="AD406" s="3" t="s">
        <v>4210</v>
      </c>
      <c r="AE406" s="1">
        <v>1.0</v>
      </c>
      <c r="AF406" s="1" t="s">
        <v>4211</v>
      </c>
      <c r="AG406" s="1">
        <v>18.0</v>
      </c>
      <c r="AH406" s="1">
        <v>16.0</v>
      </c>
      <c r="AI406" s="1">
        <v>7.0</v>
      </c>
      <c r="AJ406" s="1">
        <v>65.0</v>
      </c>
      <c r="AK406" s="1">
        <v>127.0</v>
      </c>
      <c r="AL406" s="1">
        <v>2.0</v>
      </c>
      <c r="AM406" s="1">
        <v>31.0</v>
      </c>
      <c r="AN406" s="1">
        <v>1.0</v>
      </c>
      <c r="AO406" s="1">
        <v>0.0</v>
      </c>
      <c r="AP406" s="1">
        <v>0.0</v>
      </c>
      <c r="AQ406" s="1">
        <v>0.0</v>
      </c>
      <c r="AR406" s="1">
        <v>5.0</v>
      </c>
      <c r="AS406" s="1">
        <v>1.0</v>
      </c>
    </row>
    <row r="407" hidden="1">
      <c r="A407" s="1">
        <v>442.0</v>
      </c>
      <c r="B407" s="1" t="s">
        <v>4212</v>
      </c>
      <c r="C407" s="1" t="s">
        <v>4213</v>
      </c>
      <c r="D407" s="1" t="s">
        <v>1035</v>
      </c>
      <c r="E407" s="1" t="s">
        <v>58</v>
      </c>
      <c r="F407" s="2">
        <v>27209.0</v>
      </c>
      <c r="G407" s="1">
        <f t="shared" si="1"/>
        <v>52</v>
      </c>
      <c r="H407" s="1" t="s">
        <v>1633</v>
      </c>
      <c r="I407" s="1" t="str">
        <f>IFERROR(__xludf.DUMMYFUNCTION("SPLIT(left(H407,len(H407)-1),""("")"),"Bayonne ")</f>
        <v>Bayonne </v>
      </c>
      <c r="J407" s="1" t="str">
        <f>IFERROR(__xludf.DUMMYFUNCTION("""COMPUTED_VALUE"""),"Pyrénées-Atlantiques")</f>
        <v>Pyrénées-Atlantiques</v>
      </c>
      <c r="K407" s="1" t="str">
        <f>IFERROR(__xludf.DUMMYFUNCTION("IF( COUNTA( IFERROR( FILTER('départements_edition'!$C$2:$C$102 , 'départements_edition'!$C$2:$C$102=J407 ) ) ) , ""Oui"" , ""Non"" )"),"Oui")</f>
        <v>Oui</v>
      </c>
      <c r="L407" s="1" t="str">
        <f t="shared" si="2"/>
        <v>France</v>
      </c>
      <c r="M407" s="1">
        <v>64.0</v>
      </c>
      <c r="N407" s="1" t="s">
        <v>579</v>
      </c>
      <c r="O407" s="1">
        <v>5.0</v>
      </c>
      <c r="P407" s="2">
        <v>42907.0</v>
      </c>
      <c r="R407" s="1">
        <v>0.0</v>
      </c>
      <c r="S407" s="1" t="s">
        <v>280</v>
      </c>
      <c r="T407" s="1" t="s">
        <v>281</v>
      </c>
      <c r="U407" s="3" t="s">
        <v>4214</v>
      </c>
      <c r="X407" s="1" t="s">
        <v>1733</v>
      </c>
      <c r="Y407" s="1">
        <v>251.0</v>
      </c>
      <c r="Z407" s="3" t="s">
        <v>4215</v>
      </c>
      <c r="AA407" s="1">
        <v>720764.0</v>
      </c>
      <c r="AB407" s="1" t="s">
        <v>4216</v>
      </c>
      <c r="AC407" s="3" t="s">
        <v>4217</v>
      </c>
      <c r="AD407" s="3" t="s">
        <v>4218</v>
      </c>
      <c r="AE407" s="1">
        <v>2.0</v>
      </c>
      <c r="AG407" s="1">
        <v>18.0</v>
      </c>
      <c r="AH407" s="1">
        <v>33.0</v>
      </c>
      <c r="AI407" s="1">
        <v>12.0</v>
      </c>
      <c r="AJ407" s="1">
        <v>7.0</v>
      </c>
      <c r="AK407" s="1">
        <v>10.0</v>
      </c>
      <c r="AL407" s="1">
        <v>5.0</v>
      </c>
      <c r="AM407" s="1">
        <v>259.0</v>
      </c>
      <c r="AN407" s="1">
        <v>29.0</v>
      </c>
      <c r="AO407" s="1">
        <v>0.0</v>
      </c>
      <c r="AP407" s="1">
        <v>0.0</v>
      </c>
      <c r="AQ407" s="1">
        <v>4.0</v>
      </c>
      <c r="AR407" s="1">
        <v>4.0</v>
      </c>
      <c r="AS407" s="1">
        <v>0.0</v>
      </c>
    </row>
    <row r="408" hidden="1">
      <c r="A408" s="1">
        <v>127.0</v>
      </c>
      <c r="B408" s="1" t="s">
        <v>4219</v>
      </c>
      <c r="C408" s="1" t="s">
        <v>4220</v>
      </c>
      <c r="D408" s="1" t="s">
        <v>522</v>
      </c>
      <c r="E408" s="1" t="s">
        <v>43</v>
      </c>
      <c r="F408" s="2">
        <v>25284.0</v>
      </c>
      <c r="G408" s="1">
        <f t="shared" si="1"/>
        <v>57</v>
      </c>
      <c r="H408" s="1" t="s">
        <v>4221</v>
      </c>
      <c r="I408" s="1" t="str">
        <f>IFERROR(__xludf.DUMMYFUNCTION("SPLIT(left(H408,len(H408)-1),""("")"),"Luxeuil-les-Bains ")</f>
        <v>Luxeuil-les-Bains </v>
      </c>
      <c r="J408" s="1" t="str">
        <f>IFERROR(__xludf.DUMMYFUNCTION("""COMPUTED_VALUE"""),"Haute-Saône")</f>
        <v>Haute-Saône</v>
      </c>
      <c r="K408" s="1" t="str">
        <f>IFERROR(__xludf.DUMMYFUNCTION("IF( COUNTA( IFERROR( FILTER('départements_edition'!$C$2:$C$102 , 'départements_edition'!$C$2:$C$102=J408 ) ) ) , ""Oui"" , ""Non"" )"),"Oui")</f>
        <v>Oui</v>
      </c>
      <c r="L408" s="1" t="str">
        <f t="shared" si="2"/>
        <v>France</v>
      </c>
      <c r="M408" s="1">
        <v>70.0</v>
      </c>
      <c r="N408" s="1" t="s">
        <v>2938</v>
      </c>
      <c r="O408" s="1">
        <v>2.0</v>
      </c>
      <c r="P408" s="2">
        <v>42907.0</v>
      </c>
      <c r="R408" s="1">
        <v>0.0</v>
      </c>
      <c r="S408" s="1" t="s">
        <v>75</v>
      </c>
      <c r="T408" s="1" t="s">
        <v>76</v>
      </c>
      <c r="U408" s="3" t="s">
        <v>4222</v>
      </c>
      <c r="X408" s="1" t="s">
        <v>4223</v>
      </c>
      <c r="Y408" s="1">
        <v>206.0</v>
      </c>
      <c r="Z408" s="3" t="s">
        <v>4224</v>
      </c>
      <c r="AA408" s="1">
        <v>722320.0</v>
      </c>
      <c r="AB408" s="1" t="s">
        <v>4225</v>
      </c>
      <c r="AC408" s="3" t="s">
        <v>4226</v>
      </c>
      <c r="AD408" s="3" t="s">
        <v>4227</v>
      </c>
      <c r="AE408" s="1">
        <v>1.0</v>
      </c>
      <c r="AG408" s="1">
        <v>18.0</v>
      </c>
      <c r="AH408" s="1">
        <v>35.0</v>
      </c>
      <c r="AI408" s="1">
        <v>28.0</v>
      </c>
      <c r="AJ408" s="1">
        <v>1.0</v>
      </c>
      <c r="AK408" s="1">
        <v>0.0</v>
      </c>
      <c r="AL408" s="1">
        <v>0.0</v>
      </c>
      <c r="AM408" s="1">
        <v>18.0</v>
      </c>
      <c r="AN408" s="1">
        <v>1.0</v>
      </c>
      <c r="AO408" s="1">
        <v>0.0</v>
      </c>
      <c r="AP408" s="1">
        <v>0.0</v>
      </c>
      <c r="AQ408" s="1">
        <v>5.0</v>
      </c>
      <c r="AR408" s="1">
        <v>9.0</v>
      </c>
      <c r="AS408" s="1">
        <v>1.0</v>
      </c>
    </row>
    <row r="409" hidden="1">
      <c r="A409" s="1">
        <v>90.0</v>
      </c>
      <c r="B409" s="1" t="s">
        <v>4228</v>
      </c>
      <c r="C409" s="1" t="s">
        <v>4229</v>
      </c>
      <c r="D409" s="1" t="s">
        <v>4230</v>
      </c>
      <c r="E409" s="1" t="s">
        <v>58</v>
      </c>
      <c r="F409" s="2">
        <v>27353.0</v>
      </c>
      <c r="G409" s="1">
        <f t="shared" si="1"/>
        <v>51</v>
      </c>
      <c r="H409" s="1" t="s">
        <v>4231</v>
      </c>
      <c r="I409" s="1" t="str">
        <f>IFERROR(__xludf.DUMMYFUNCTION("SPLIT(left(H409,len(H409)-1),""("")"),"Gardanne ")</f>
        <v>Gardanne </v>
      </c>
      <c r="J409" s="1" t="str">
        <f>IFERROR(__xludf.DUMMYFUNCTION("""COMPUTED_VALUE"""),"Bouches-du-Rhône")</f>
        <v>Bouches-du-Rhône</v>
      </c>
      <c r="K409" s="1" t="str">
        <f>IFERROR(__xludf.DUMMYFUNCTION("IF( COUNTA( IFERROR( FILTER('départements_edition'!$C$2:$C$102 , 'départements_edition'!$C$2:$C$102=J409 ) ) ) , ""Oui"" , ""Non"" )"),"Oui")</f>
        <v>Oui</v>
      </c>
      <c r="L409" s="1" t="str">
        <f t="shared" si="2"/>
        <v>France</v>
      </c>
      <c r="M409" s="1">
        <v>74.0</v>
      </c>
      <c r="N409" s="1" t="s">
        <v>1441</v>
      </c>
      <c r="O409" s="1">
        <v>5.0</v>
      </c>
      <c r="P409" s="2">
        <v>42907.0</v>
      </c>
      <c r="R409" s="1">
        <v>0.0</v>
      </c>
      <c r="S409" s="1" t="s">
        <v>75</v>
      </c>
      <c r="T409" s="1" t="s">
        <v>76</v>
      </c>
      <c r="U409" s="1" t="s">
        <v>4232</v>
      </c>
      <c r="X409" s="1" t="s">
        <v>4233</v>
      </c>
      <c r="Y409" s="1">
        <v>314.0</v>
      </c>
      <c r="Z409" s="3" t="s">
        <v>4234</v>
      </c>
      <c r="AA409" s="1">
        <v>721450.0</v>
      </c>
      <c r="AB409" s="1" t="s">
        <v>4235</v>
      </c>
      <c r="AC409" s="3" t="s">
        <v>4236</v>
      </c>
      <c r="AD409" s="3" t="s">
        <v>4237</v>
      </c>
      <c r="AE409" s="1">
        <v>2.0</v>
      </c>
      <c r="AF409" s="1" t="s">
        <v>4238</v>
      </c>
      <c r="AG409" s="1">
        <v>18.0</v>
      </c>
      <c r="AH409" s="1">
        <v>30.0</v>
      </c>
      <c r="AI409" s="1">
        <v>6.0</v>
      </c>
      <c r="AJ409" s="1">
        <v>2.0</v>
      </c>
      <c r="AK409" s="1">
        <v>0.0</v>
      </c>
      <c r="AL409" s="1">
        <v>1.0</v>
      </c>
      <c r="AM409" s="1">
        <v>41.0</v>
      </c>
      <c r="AN409" s="1">
        <v>13.0</v>
      </c>
      <c r="AO409" s="1">
        <v>1.0</v>
      </c>
      <c r="AP409" s="1">
        <v>0.0</v>
      </c>
      <c r="AQ409" s="1">
        <v>5.0</v>
      </c>
      <c r="AR409" s="1">
        <v>7.0</v>
      </c>
      <c r="AS409" s="1">
        <v>0.0</v>
      </c>
    </row>
    <row r="410" hidden="1">
      <c r="A410" s="1">
        <v>178.0</v>
      </c>
      <c r="B410" s="1" t="s">
        <v>4239</v>
      </c>
      <c r="C410" s="1" t="s">
        <v>4240</v>
      </c>
      <c r="D410" s="1" t="s">
        <v>425</v>
      </c>
      <c r="E410" s="1" t="s">
        <v>58</v>
      </c>
      <c r="F410" s="2">
        <v>21760.0</v>
      </c>
      <c r="G410" s="1">
        <f t="shared" si="1"/>
        <v>67</v>
      </c>
      <c r="H410" s="1" t="s">
        <v>1251</v>
      </c>
      <c r="I410" s="1" t="str">
        <f>IFERROR(__xludf.DUMMYFUNCTION("SPLIT(left(H410,len(H410)-1),""("")"),"Lille ")</f>
        <v>Lille </v>
      </c>
      <c r="J410" s="1" t="str">
        <f>IFERROR(__xludf.DUMMYFUNCTION("""COMPUTED_VALUE"""),"Nord")</f>
        <v>Nord</v>
      </c>
      <c r="K410" s="1" t="str">
        <f>IFERROR(__xludf.DUMMYFUNCTION("IF( COUNTA( IFERROR( FILTER('départements_edition'!$C$2:$C$102 , 'départements_edition'!$C$2:$C$102=J410 ) ) ) , ""Oui"" , ""Non"" )"),"Oui")</f>
        <v>Oui</v>
      </c>
      <c r="L410" s="1" t="str">
        <f t="shared" si="2"/>
        <v>France</v>
      </c>
      <c r="M410" s="1">
        <v>59.0</v>
      </c>
      <c r="N410" s="1" t="s">
        <v>172</v>
      </c>
      <c r="O410" s="1">
        <v>4.0</v>
      </c>
      <c r="P410" s="2">
        <v>42907.0</v>
      </c>
      <c r="R410" s="1">
        <v>0.0</v>
      </c>
      <c r="S410" s="1" t="s">
        <v>75</v>
      </c>
      <c r="T410" s="1" t="s">
        <v>76</v>
      </c>
      <c r="U410" s="1" t="s">
        <v>4241</v>
      </c>
      <c r="X410" s="1" t="s">
        <v>1465</v>
      </c>
      <c r="Y410" s="1">
        <v>424.0</v>
      </c>
      <c r="Z410" s="3" t="s">
        <v>4242</v>
      </c>
      <c r="AA410" s="1">
        <v>720446.0</v>
      </c>
      <c r="AB410" s="1" t="s">
        <v>4243</v>
      </c>
      <c r="AC410" s="3" t="s">
        <v>4244</v>
      </c>
      <c r="AD410" s="3" t="s">
        <v>4245</v>
      </c>
      <c r="AE410" s="1">
        <v>1.0</v>
      </c>
      <c r="AF410" s="1" t="s">
        <v>4246</v>
      </c>
      <c r="AG410" s="1">
        <v>18.0</v>
      </c>
      <c r="AH410" s="1">
        <v>35.0</v>
      </c>
      <c r="AI410" s="1">
        <v>3.0</v>
      </c>
      <c r="AJ410" s="1">
        <v>6.0</v>
      </c>
      <c r="AK410" s="1">
        <v>2.0</v>
      </c>
      <c r="AL410" s="1">
        <v>0.0</v>
      </c>
      <c r="AM410" s="1">
        <v>53.0</v>
      </c>
      <c r="AN410" s="1">
        <v>15.0</v>
      </c>
      <c r="AO410" s="1">
        <v>0.0</v>
      </c>
      <c r="AP410" s="1">
        <v>0.0</v>
      </c>
      <c r="AQ410" s="1">
        <v>6.0</v>
      </c>
      <c r="AR410" s="1">
        <v>16.0</v>
      </c>
      <c r="AS410" s="1">
        <v>1.0</v>
      </c>
    </row>
    <row r="411" hidden="1">
      <c r="A411" s="1">
        <v>414.0</v>
      </c>
      <c r="B411" s="1" t="s">
        <v>4247</v>
      </c>
      <c r="C411" s="1" t="s">
        <v>4248</v>
      </c>
      <c r="D411" s="1" t="s">
        <v>4249</v>
      </c>
      <c r="E411" s="1" t="s">
        <v>58</v>
      </c>
      <c r="F411" s="2">
        <v>27031.0</v>
      </c>
      <c r="G411" s="1">
        <f t="shared" si="1"/>
        <v>52</v>
      </c>
      <c r="H411" s="1" t="s">
        <v>4250</v>
      </c>
      <c r="I411" s="1" t="str">
        <f>IFERROR(__xludf.DUMMYFUNCTION("SPLIT(left(H411,len(H411)-1),""("")"),"Périgueux ")</f>
        <v>Périgueux </v>
      </c>
      <c r="J411" s="1" t="str">
        <f>IFERROR(__xludf.DUMMYFUNCTION("""COMPUTED_VALUE"""),"Dordogne")</f>
        <v>Dordogne</v>
      </c>
      <c r="K411" s="1" t="str">
        <f>IFERROR(__xludf.DUMMYFUNCTION("IF( COUNTA( IFERROR( FILTER('départements_edition'!$C$2:$C$102 , 'départements_edition'!$C$2:$C$102=J411 ) ) ) , ""Oui"" , ""Non"" )"),"Oui")</f>
        <v>Oui</v>
      </c>
      <c r="L411" s="1" t="str">
        <f t="shared" si="2"/>
        <v>France</v>
      </c>
      <c r="M411" s="1">
        <v>16.0</v>
      </c>
      <c r="N411" s="1" t="s">
        <v>1264</v>
      </c>
      <c r="O411" s="1">
        <v>2.0</v>
      </c>
      <c r="P411" s="2">
        <v>42907.0</v>
      </c>
      <c r="R411" s="1">
        <v>0.0</v>
      </c>
      <c r="S411" s="1" t="s">
        <v>75</v>
      </c>
      <c r="T411" s="1" t="s">
        <v>76</v>
      </c>
      <c r="U411" s="1" t="s">
        <v>4251</v>
      </c>
      <c r="X411" s="1" t="s">
        <v>2940</v>
      </c>
      <c r="Y411" s="1">
        <v>372.0</v>
      </c>
      <c r="Z411" s="3" t="s">
        <v>4252</v>
      </c>
      <c r="AA411" s="1">
        <v>719080.0</v>
      </c>
      <c r="AB411" s="1" t="s">
        <v>4253</v>
      </c>
      <c r="AC411" s="3" t="s">
        <v>4254</v>
      </c>
      <c r="AD411" s="3" t="s">
        <v>4255</v>
      </c>
      <c r="AE411" s="1">
        <v>1.0</v>
      </c>
      <c r="AF411" s="1" t="s">
        <v>4256</v>
      </c>
      <c r="AG411" s="1">
        <v>18.0</v>
      </c>
      <c r="AH411" s="1">
        <v>35.0</v>
      </c>
      <c r="AI411" s="1">
        <v>7.0</v>
      </c>
      <c r="AJ411" s="1">
        <v>5.0</v>
      </c>
      <c r="AK411" s="1">
        <v>10.0</v>
      </c>
      <c r="AL411" s="1">
        <v>1.0</v>
      </c>
      <c r="AM411" s="1">
        <v>99.0</v>
      </c>
      <c r="AN411" s="1">
        <v>45.0</v>
      </c>
      <c r="AO411" s="1">
        <v>1.0</v>
      </c>
      <c r="AP411" s="1">
        <v>0.0</v>
      </c>
      <c r="AQ411" s="1">
        <v>5.0</v>
      </c>
      <c r="AR411" s="1">
        <v>3.0</v>
      </c>
      <c r="AS411" s="1">
        <v>0.0</v>
      </c>
    </row>
    <row r="412" hidden="1">
      <c r="A412" s="1">
        <v>73.0</v>
      </c>
      <c r="B412" s="1" t="s">
        <v>4257</v>
      </c>
      <c r="C412" s="1" t="s">
        <v>4258</v>
      </c>
      <c r="D412" s="1" t="s">
        <v>469</v>
      </c>
      <c r="E412" s="1" t="s">
        <v>43</v>
      </c>
      <c r="F412" s="2">
        <v>30937.0</v>
      </c>
      <c r="G412" s="1">
        <f t="shared" si="1"/>
        <v>41</v>
      </c>
      <c r="H412" s="1" t="s">
        <v>1075</v>
      </c>
      <c r="I412" s="1" t="str">
        <f>IFERROR(__xludf.DUMMYFUNCTION("SPLIT(left(H412,len(H412)-1),""("")"),"Grenoble ")</f>
        <v>Grenoble </v>
      </c>
      <c r="J412" s="1" t="str">
        <f>IFERROR(__xludf.DUMMYFUNCTION("""COMPUTED_VALUE"""),"Isère")</f>
        <v>Isère</v>
      </c>
      <c r="K412" s="1" t="str">
        <f>IFERROR(__xludf.DUMMYFUNCTION("IF( COUNTA( IFERROR( FILTER('départements_edition'!$C$2:$C$102 , 'départements_edition'!$C$2:$C$102=J412 ) ) ) , ""Oui"" , ""Non"" )"),"Oui")</f>
        <v>Oui</v>
      </c>
      <c r="L412" s="1" t="str">
        <f t="shared" si="2"/>
        <v>France</v>
      </c>
      <c r="M412" s="1">
        <v>83.0</v>
      </c>
      <c r="N412" s="1" t="s">
        <v>1231</v>
      </c>
      <c r="O412" s="1">
        <v>8.0</v>
      </c>
      <c r="P412" s="2">
        <v>42907.0</v>
      </c>
      <c r="R412" s="1">
        <v>0.0</v>
      </c>
      <c r="S412" s="1" t="s">
        <v>75</v>
      </c>
      <c r="T412" s="1" t="s">
        <v>76</v>
      </c>
      <c r="X412" s="1" t="s">
        <v>4259</v>
      </c>
      <c r="Y412" s="1">
        <v>386.0</v>
      </c>
      <c r="Z412" s="3" t="s">
        <v>4260</v>
      </c>
      <c r="AA412" s="1">
        <v>721800.0</v>
      </c>
      <c r="AB412" s="1" t="s">
        <v>4261</v>
      </c>
      <c r="AC412" s="3" t="s">
        <v>4262</v>
      </c>
      <c r="AD412" s="3" t="s">
        <v>4263</v>
      </c>
      <c r="AE412" s="1">
        <v>2.0</v>
      </c>
      <c r="AG412" s="1">
        <v>18.0</v>
      </c>
      <c r="AH412" s="1">
        <v>44.0</v>
      </c>
      <c r="AI412" s="1">
        <v>7.0</v>
      </c>
      <c r="AJ412" s="1">
        <v>7.0</v>
      </c>
      <c r="AK412" s="1">
        <v>1.0</v>
      </c>
      <c r="AL412" s="1">
        <v>1.0</v>
      </c>
      <c r="AM412" s="1">
        <v>63.0</v>
      </c>
      <c r="AN412" s="1">
        <v>26.0</v>
      </c>
      <c r="AO412" s="1">
        <v>1.0</v>
      </c>
      <c r="AP412" s="1">
        <v>0.0</v>
      </c>
      <c r="AQ412" s="1">
        <v>5.0</v>
      </c>
      <c r="AR412" s="1">
        <v>1.0</v>
      </c>
      <c r="AS412" s="1">
        <v>1.0</v>
      </c>
    </row>
    <row r="413" hidden="1">
      <c r="A413" s="1">
        <v>578.0</v>
      </c>
      <c r="B413" s="1" t="s">
        <v>4274</v>
      </c>
      <c r="C413" s="1" t="s">
        <v>4275</v>
      </c>
      <c r="D413" s="1" t="s">
        <v>1431</v>
      </c>
      <c r="E413" s="1" t="s">
        <v>43</v>
      </c>
      <c r="F413" s="2">
        <v>29952.0</v>
      </c>
      <c r="G413" s="1">
        <f t="shared" si="1"/>
        <v>44</v>
      </c>
      <c r="H413" s="1" t="s">
        <v>4276</v>
      </c>
      <c r="I413" s="1" t="str">
        <f>IFERROR(__xludf.DUMMYFUNCTION("SPLIT(left(H413,len(H413)-1),""("")"),"Carpentras ")</f>
        <v>Carpentras </v>
      </c>
      <c r="J413" s="1" t="str">
        <f>IFERROR(__xludf.DUMMYFUNCTION("""COMPUTED_VALUE"""),"Vaucluse")</f>
        <v>Vaucluse</v>
      </c>
      <c r="K413" s="1" t="str">
        <f>IFERROR(__xludf.DUMMYFUNCTION("IF( COUNTA( IFERROR( FILTER('départements_edition'!$C$2:$C$102 , 'départements_edition'!$C$2:$C$102=J413 ) ) ) , ""Oui"" , ""Non"" )"),"Oui")</f>
        <v>Oui</v>
      </c>
      <c r="L413" s="1" t="str">
        <f t="shared" si="2"/>
        <v>France</v>
      </c>
      <c r="M413" s="1">
        <v>84.0</v>
      </c>
      <c r="N413" s="1" t="s">
        <v>719</v>
      </c>
      <c r="O413" s="1">
        <v>3.0</v>
      </c>
      <c r="P413" s="2">
        <v>42938.0</v>
      </c>
      <c r="R413" s="1">
        <v>0.0</v>
      </c>
      <c r="S413" s="1" t="s">
        <v>75</v>
      </c>
      <c r="T413" s="1" t="s">
        <v>76</v>
      </c>
      <c r="U413" s="1" t="s">
        <v>4277</v>
      </c>
      <c r="X413" s="1" t="s">
        <v>4278</v>
      </c>
      <c r="Y413" s="1">
        <v>571.0</v>
      </c>
      <c r="Z413" s="3" t="s">
        <v>4279</v>
      </c>
      <c r="AA413" s="1">
        <v>721876.0</v>
      </c>
      <c r="AB413" s="1" t="s">
        <v>4280</v>
      </c>
      <c r="AC413" s="3" t="s">
        <v>4281</v>
      </c>
      <c r="AD413" s="3" t="s">
        <v>4282</v>
      </c>
      <c r="AE413" s="1">
        <v>1.0</v>
      </c>
      <c r="AF413" s="1" t="s">
        <v>4283</v>
      </c>
      <c r="AG413" s="1">
        <v>18.0</v>
      </c>
      <c r="AH413" s="1">
        <v>29.0</v>
      </c>
      <c r="AI413" s="1">
        <v>4.0</v>
      </c>
      <c r="AJ413" s="1">
        <v>8.0</v>
      </c>
      <c r="AK413" s="1">
        <v>1.0</v>
      </c>
      <c r="AL413" s="1">
        <v>0.0</v>
      </c>
      <c r="AM413" s="1">
        <v>83.0</v>
      </c>
      <c r="AN413" s="1">
        <v>33.0</v>
      </c>
      <c r="AO413" s="1">
        <v>0.0</v>
      </c>
      <c r="AP413" s="1">
        <v>0.0</v>
      </c>
      <c r="AQ413" s="1">
        <v>7.0</v>
      </c>
      <c r="AR413" s="1">
        <v>9.0</v>
      </c>
      <c r="AS413" s="1">
        <v>1.0</v>
      </c>
    </row>
    <row r="414" hidden="1">
      <c r="A414" s="1">
        <v>34.0</v>
      </c>
      <c r="B414" s="1" t="s">
        <v>4284</v>
      </c>
      <c r="C414" s="1" t="s">
        <v>4285</v>
      </c>
      <c r="D414" s="1" t="s">
        <v>2982</v>
      </c>
      <c r="E414" s="1" t="s">
        <v>43</v>
      </c>
      <c r="F414" s="2">
        <v>21341.0</v>
      </c>
      <c r="G414" s="1">
        <f t="shared" si="1"/>
        <v>68</v>
      </c>
      <c r="H414" s="1" t="s">
        <v>4286</v>
      </c>
      <c r="I414" s="1" t="str">
        <f>IFERROR(__xludf.DUMMYFUNCTION("SPLIT(left(H414,len(H414)-1),""("")"),"Saint-Mihiel ")</f>
        <v>Saint-Mihiel </v>
      </c>
      <c r="J414" s="1" t="str">
        <f>IFERROR(__xludf.DUMMYFUNCTION("""COMPUTED_VALUE"""),"Meuse")</f>
        <v>Meuse</v>
      </c>
      <c r="K414" s="1" t="str">
        <f>IFERROR(__xludf.DUMMYFUNCTION("IF( COUNTA( IFERROR( FILTER('départements_edition'!$C$2:$C$102 , 'départements_edition'!$C$2:$C$102=J414 ) ) ) , ""Oui"" , ""Non"" )"),"Oui")</f>
        <v>Oui</v>
      </c>
      <c r="L414" s="1" t="str">
        <f t="shared" si="2"/>
        <v>France</v>
      </c>
      <c r="M414" s="1">
        <v>55.0</v>
      </c>
      <c r="N414" s="1" t="s">
        <v>792</v>
      </c>
      <c r="O414" s="1">
        <v>1.0</v>
      </c>
      <c r="P414" s="2">
        <v>42907.0</v>
      </c>
      <c r="R414" s="1">
        <v>0.0</v>
      </c>
      <c r="S414" s="1" t="s">
        <v>46</v>
      </c>
      <c r="T414" s="1" t="s">
        <v>47</v>
      </c>
      <c r="U414" s="1" t="s">
        <v>4287</v>
      </c>
      <c r="X414" s="1" t="s">
        <v>4288</v>
      </c>
      <c r="Y414" s="1">
        <v>103.0</v>
      </c>
      <c r="Z414" s="3" t="s">
        <v>4289</v>
      </c>
      <c r="AA414" s="1">
        <v>333421.0</v>
      </c>
      <c r="AB414" s="1" t="s">
        <v>4290</v>
      </c>
      <c r="AC414" s="3" t="s">
        <v>4291</v>
      </c>
      <c r="AD414" s="3" t="s">
        <v>4292</v>
      </c>
      <c r="AE414" s="1">
        <v>2.0</v>
      </c>
      <c r="AF414" s="1" t="s">
        <v>4293</v>
      </c>
      <c r="AG414" s="1">
        <v>18.0</v>
      </c>
      <c r="AH414" s="1">
        <v>32.0</v>
      </c>
      <c r="AI414" s="1">
        <v>55.0</v>
      </c>
      <c r="AJ414" s="1">
        <v>65.0</v>
      </c>
      <c r="AK414" s="1">
        <v>68.0</v>
      </c>
      <c r="AL414" s="1">
        <v>97.0</v>
      </c>
      <c r="AM414" s="1">
        <v>518.0</v>
      </c>
      <c r="AN414" s="1">
        <v>26.0</v>
      </c>
      <c r="AO414" s="1">
        <v>0.0</v>
      </c>
      <c r="AP414" s="1">
        <v>0.0</v>
      </c>
      <c r="AQ414" s="1">
        <v>10.0</v>
      </c>
      <c r="AR414" s="1">
        <v>2.0</v>
      </c>
      <c r="AS414" s="1">
        <v>2.0</v>
      </c>
    </row>
    <row r="415" hidden="1">
      <c r="A415" s="1">
        <v>79.0</v>
      </c>
      <c r="B415" s="1" t="s">
        <v>4294</v>
      </c>
      <c r="C415" s="1" t="s">
        <v>232</v>
      </c>
      <c r="D415" s="1" t="s">
        <v>1115</v>
      </c>
      <c r="E415" s="1" t="s">
        <v>43</v>
      </c>
      <c r="F415" s="2">
        <v>19769.0</v>
      </c>
      <c r="G415" s="1">
        <f t="shared" si="1"/>
        <v>72</v>
      </c>
      <c r="H415" s="1" t="s">
        <v>207</v>
      </c>
      <c r="I415" s="1" t="str">
        <f>IFERROR(__xludf.DUMMYFUNCTION("SPLIT(left(H415,len(H415)-1),""("")"),"Paris ")</f>
        <v>Paris </v>
      </c>
      <c r="J415" s="1" t="str">
        <f>IFERROR(__xludf.DUMMYFUNCTION("""COMPUTED_VALUE"""),"Paris")</f>
        <v>Paris</v>
      </c>
      <c r="K415" s="1" t="str">
        <f>IFERROR(__xludf.DUMMYFUNCTION("IF( COUNTA( IFERROR( FILTER('départements_edition'!$C$2:$C$102 , 'départements_edition'!$C$2:$C$102=J415 ) ) ) , ""Oui"" , ""Non"" )"),"Oui")</f>
        <v>Oui</v>
      </c>
      <c r="L415" s="1" t="str">
        <f t="shared" si="2"/>
        <v>France</v>
      </c>
      <c r="M415" s="1">
        <v>21.0</v>
      </c>
      <c r="N415" s="1" t="s">
        <v>1220</v>
      </c>
      <c r="O415" s="1">
        <v>5.0</v>
      </c>
      <c r="P415" s="2">
        <v>42907.0</v>
      </c>
      <c r="R415" s="1">
        <v>0.0</v>
      </c>
      <c r="S415" s="1" t="s">
        <v>75</v>
      </c>
      <c r="T415" s="1" t="s">
        <v>76</v>
      </c>
      <c r="U415" s="3" t="s">
        <v>4295</v>
      </c>
      <c r="X415" s="1" t="s">
        <v>234</v>
      </c>
      <c r="Y415" s="1">
        <v>403.0</v>
      </c>
      <c r="Z415" s="3" t="s">
        <v>4296</v>
      </c>
      <c r="AA415" s="1">
        <v>719202.0</v>
      </c>
      <c r="AB415" s="1" t="s">
        <v>4297</v>
      </c>
      <c r="AC415" s="3" t="s">
        <v>4298</v>
      </c>
      <c r="AD415" s="3" t="s">
        <v>4299</v>
      </c>
      <c r="AE415" s="1">
        <v>1.0</v>
      </c>
      <c r="AG415" s="1">
        <v>18.0</v>
      </c>
      <c r="AH415" s="1">
        <v>30.0</v>
      </c>
      <c r="AI415" s="1">
        <v>37.0</v>
      </c>
      <c r="AJ415" s="1">
        <v>39.0</v>
      </c>
      <c r="AK415" s="1">
        <v>4.0</v>
      </c>
      <c r="AL415" s="1">
        <v>0.0</v>
      </c>
      <c r="AM415" s="1">
        <v>59.0</v>
      </c>
      <c r="AN415" s="1">
        <v>25.0</v>
      </c>
      <c r="AO415" s="1">
        <v>1.0</v>
      </c>
      <c r="AP415" s="1">
        <v>0.0</v>
      </c>
      <c r="AQ415" s="1">
        <v>5.0</v>
      </c>
      <c r="AR415" s="1">
        <v>2.0</v>
      </c>
      <c r="AS415" s="1">
        <v>1.0</v>
      </c>
    </row>
    <row r="416">
      <c r="A416" s="1">
        <v>213.0</v>
      </c>
      <c r="B416" s="1" t="s">
        <v>4300</v>
      </c>
      <c r="C416" s="1" t="s">
        <v>1372</v>
      </c>
      <c r="D416" s="1" t="s">
        <v>3047</v>
      </c>
      <c r="E416" s="1" t="s">
        <v>43</v>
      </c>
      <c r="F416" s="2">
        <v>22322.0</v>
      </c>
      <c r="G416" s="1">
        <f t="shared" si="1"/>
        <v>65</v>
      </c>
      <c r="H416" s="1" t="s">
        <v>718</v>
      </c>
      <c r="I416" s="1" t="str">
        <f>IFERROR(__xludf.DUMMYFUNCTION("SPLIT(left(H416,len(H416)-1),""("")"),"Marseille ")</f>
        <v>Marseille </v>
      </c>
      <c r="J416" s="1" t="str">
        <f>IFERROR(__xludf.DUMMYFUNCTION("""COMPUTED_VALUE"""),"Bouches-du-Rhône")</f>
        <v>Bouches-du-Rhône</v>
      </c>
      <c r="K416" s="1" t="str">
        <f>IFERROR(__xludf.DUMMYFUNCTION("IF( COUNTA( IFERROR( FILTER('départements_edition'!$C$2:$C$102 , 'départements_edition'!$C$2:$C$102=J416 ) ) ) , ""Oui"" , ""Non"" )"),"Oui")</f>
        <v>Oui</v>
      </c>
      <c r="L416" s="1" t="str">
        <f t="shared" si="2"/>
        <v>France</v>
      </c>
      <c r="M416" s="1">
        <v>999.0</v>
      </c>
      <c r="N416" s="1" t="s">
        <v>256</v>
      </c>
      <c r="O416" s="1">
        <v>7.0</v>
      </c>
      <c r="P416" s="2">
        <v>42907.0</v>
      </c>
      <c r="R416" s="1">
        <v>0.0</v>
      </c>
      <c r="S416" s="1" t="s">
        <v>280</v>
      </c>
      <c r="T416" s="1" t="s">
        <v>281</v>
      </c>
      <c r="U416" s="1" t="s">
        <v>4301</v>
      </c>
      <c r="X416" s="1" t="s">
        <v>827</v>
      </c>
      <c r="Y416" s="1">
        <v>260.0</v>
      </c>
      <c r="Z416" s="3" t="s">
        <v>4302</v>
      </c>
      <c r="AA416" s="1">
        <v>721182.0</v>
      </c>
      <c r="AB416" s="1" t="s">
        <v>4303</v>
      </c>
      <c r="AC416" s="3" t="s">
        <v>4304</v>
      </c>
      <c r="AD416" s="3" t="s">
        <v>4305</v>
      </c>
      <c r="AE416" s="1">
        <v>1.0</v>
      </c>
      <c r="AF416" s="1" t="s">
        <v>4306</v>
      </c>
      <c r="AG416" s="1">
        <v>18.0</v>
      </c>
      <c r="AH416" s="1">
        <v>30.0</v>
      </c>
      <c r="AI416" s="1">
        <v>17.0</v>
      </c>
      <c r="AJ416" s="1">
        <v>37.0</v>
      </c>
      <c r="AK416" s="1">
        <v>15.0</v>
      </c>
      <c r="AL416" s="1">
        <v>5.0</v>
      </c>
      <c r="AM416" s="1">
        <v>195.0</v>
      </c>
      <c r="AN416" s="1">
        <v>18.0</v>
      </c>
      <c r="AO416" s="1">
        <v>1.0</v>
      </c>
      <c r="AP416" s="1">
        <v>0.0</v>
      </c>
      <c r="AQ416" s="1">
        <v>4.0</v>
      </c>
      <c r="AR416" s="1">
        <v>0.0</v>
      </c>
      <c r="AS416" s="1">
        <v>1.0</v>
      </c>
    </row>
    <row r="417" hidden="1">
      <c r="A417" s="1">
        <v>490.0</v>
      </c>
      <c r="B417" s="1" t="s">
        <v>4307</v>
      </c>
      <c r="C417" s="1" t="s">
        <v>4308</v>
      </c>
      <c r="D417" s="1" t="s">
        <v>3626</v>
      </c>
      <c r="E417" s="1" t="s">
        <v>58</v>
      </c>
      <c r="F417" s="2">
        <v>23984.0</v>
      </c>
      <c r="G417" s="1">
        <f t="shared" si="1"/>
        <v>60</v>
      </c>
      <c r="H417" s="1" t="s">
        <v>4309</v>
      </c>
      <c r="I417" s="1" t="str">
        <f>IFERROR(__xludf.DUMMYFUNCTION("SPLIT(left(H417,len(H417)-1),""("")"),"Martigues ")</f>
        <v>Martigues </v>
      </c>
      <c r="J417" s="1" t="str">
        <f>IFERROR(__xludf.DUMMYFUNCTION("""COMPUTED_VALUE"""),"Bouches-du-Rhône")</f>
        <v>Bouches-du-Rhône</v>
      </c>
      <c r="K417" s="1" t="str">
        <f>IFERROR(__xludf.DUMMYFUNCTION("IF( COUNTA( IFERROR( FILTER('départements_edition'!$C$2:$C$102 , 'départements_edition'!$C$2:$C$102=J417 ) ) ) , ""Oui"" , ""Non"" )"),"Oui")</f>
        <v>Oui</v>
      </c>
      <c r="L417" s="1" t="str">
        <f t="shared" si="2"/>
        <v>France</v>
      </c>
      <c r="M417" s="1">
        <v>78.0</v>
      </c>
      <c r="N417" s="1" t="s">
        <v>74</v>
      </c>
      <c r="O417" s="1">
        <v>3.0</v>
      </c>
      <c r="P417" s="2">
        <v>42907.0</v>
      </c>
      <c r="R417" s="1">
        <v>0.0</v>
      </c>
      <c r="S417" s="1" t="s">
        <v>75</v>
      </c>
      <c r="T417" s="1" t="s">
        <v>76</v>
      </c>
      <c r="U417" s="1" t="s">
        <v>4310</v>
      </c>
      <c r="X417" s="1" t="s">
        <v>2484</v>
      </c>
      <c r="Y417" s="1">
        <v>391.0</v>
      </c>
      <c r="Z417" s="3" t="s">
        <v>4311</v>
      </c>
      <c r="AA417" s="1">
        <v>721844.0</v>
      </c>
      <c r="AB417" s="1" t="s">
        <v>4312</v>
      </c>
      <c r="AC417" s="3" t="s">
        <v>4313</v>
      </c>
      <c r="AD417" s="3" t="s">
        <v>4314</v>
      </c>
      <c r="AE417" s="1">
        <v>1.0</v>
      </c>
      <c r="AF417" s="1" t="s">
        <v>4315</v>
      </c>
      <c r="AG417" s="1">
        <v>18.0</v>
      </c>
      <c r="AH417" s="1">
        <v>32.0</v>
      </c>
      <c r="AI417" s="1">
        <v>16.0</v>
      </c>
      <c r="AJ417" s="1">
        <v>7.0</v>
      </c>
      <c r="AK417" s="1">
        <v>1.0</v>
      </c>
      <c r="AL417" s="1">
        <v>7.0</v>
      </c>
      <c r="AM417" s="1">
        <v>56.0</v>
      </c>
      <c r="AN417" s="1">
        <v>16.0</v>
      </c>
      <c r="AO417" s="1">
        <v>1.0</v>
      </c>
      <c r="AP417" s="1">
        <v>0.0</v>
      </c>
      <c r="AQ417" s="1">
        <v>5.0</v>
      </c>
      <c r="AR417" s="1">
        <v>0.0</v>
      </c>
      <c r="AS417" s="1">
        <v>2.0</v>
      </c>
    </row>
    <row r="418" hidden="1">
      <c r="A418" s="1">
        <v>295.0</v>
      </c>
      <c r="B418" s="1" t="s">
        <v>4316</v>
      </c>
      <c r="C418" s="1" t="s">
        <v>4317</v>
      </c>
      <c r="D418" s="1" t="s">
        <v>4318</v>
      </c>
      <c r="E418" s="1" t="s">
        <v>58</v>
      </c>
      <c r="F418" s="2">
        <v>21837.0</v>
      </c>
      <c r="G418" s="1">
        <f t="shared" si="1"/>
        <v>66</v>
      </c>
      <c r="H418" s="1" t="s">
        <v>4319</v>
      </c>
      <c r="I418" s="1" t="str">
        <f>IFERROR(__xludf.DUMMYFUNCTION("SPLIT(left(H418,len(H418)-1),""("")"),"Biencourt-sur-Orge ")</f>
        <v>Biencourt-sur-Orge </v>
      </c>
      <c r="J418" s="1" t="str">
        <f>IFERROR(__xludf.DUMMYFUNCTION("""COMPUTED_VALUE"""),"Meuse")</f>
        <v>Meuse</v>
      </c>
      <c r="K418" s="1" t="str">
        <f>IFERROR(__xludf.DUMMYFUNCTION("IF( COUNTA( IFERROR( FILTER('départements_edition'!$C$2:$C$102 , 'départements_edition'!$C$2:$C$102=J418 ) ) ) , ""Oui"" , ""Non"" )"),"Oui")</f>
        <v>Oui</v>
      </c>
      <c r="L418" s="1" t="str">
        <f t="shared" si="2"/>
        <v>France</v>
      </c>
      <c r="M418" s="1">
        <v>8.0</v>
      </c>
      <c r="N418" s="1" t="s">
        <v>707</v>
      </c>
      <c r="O418" s="1">
        <v>1.0</v>
      </c>
      <c r="P418" s="2">
        <v>42907.0</v>
      </c>
      <c r="R418" s="1">
        <v>0.0</v>
      </c>
      <c r="S418" s="1" t="s">
        <v>61</v>
      </c>
      <c r="T418" s="1" t="s">
        <v>62</v>
      </c>
      <c r="U418" s="1" t="s">
        <v>4320</v>
      </c>
      <c r="X418" s="1" t="s">
        <v>4321</v>
      </c>
      <c r="Y418" s="1">
        <v>22.0</v>
      </c>
      <c r="Z418" s="3" t="s">
        <v>4322</v>
      </c>
      <c r="AA418" s="1">
        <v>267260.0</v>
      </c>
      <c r="AB418" s="1" t="s">
        <v>4323</v>
      </c>
      <c r="AC418" s="3" t="s">
        <v>4324</v>
      </c>
      <c r="AD418" s="3" t="s">
        <v>4325</v>
      </c>
      <c r="AE418" s="1">
        <v>1.0</v>
      </c>
      <c r="AF418" s="1" t="s">
        <v>4326</v>
      </c>
      <c r="AG418" s="1">
        <v>18.0</v>
      </c>
      <c r="AH418" s="1">
        <v>26.0</v>
      </c>
      <c r="AI418" s="1">
        <v>8.0</v>
      </c>
      <c r="AJ418" s="1">
        <v>20.0</v>
      </c>
      <c r="AK418" s="1">
        <v>23.0</v>
      </c>
      <c r="AL418" s="1">
        <v>23.0</v>
      </c>
      <c r="AM418" s="1">
        <v>839.0</v>
      </c>
      <c r="AN418" s="1">
        <v>41.0</v>
      </c>
      <c r="AO418" s="1">
        <v>1.0</v>
      </c>
      <c r="AP418" s="1">
        <v>14.0</v>
      </c>
      <c r="AQ418" s="1">
        <v>86.0</v>
      </c>
      <c r="AR418" s="1">
        <v>29.0</v>
      </c>
      <c r="AS418" s="1">
        <v>2.0</v>
      </c>
    </row>
    <row r="419" hidden="1">
      <c r="A419" s="1">
        <v>9.0</v>
      </c>
      <c r="B419" s="1" t="s">
        <v>4327</v>
      </c>
      <c r="C419" s="1" t="s">
        <v>4328</v>
      </c>
      <c r="D419" s="1" t="s">
        <v>4329</v>
      </c>
      <c r="E419" s="1" t="s">
        <v>43</v>
      </c>
      <c r="F419" s="2">
        <v>30412.0</v>
      </c>
      <c r="G419" s="1">
        <f t="shared" si="1"/>
        <v>43</v>
      </c>
      <c r="H419" s="1" t="s">
        <v>4330</v>
      </c>
      <c r="I419" s="1" t="str">
        <f>IFERROR(__xludf.DUMMYFUNCTION("SPLIT(left(H419,len(H419)-1),""("")"),"Choisy-le-Roi ")</f>
        <v>Choisy-le-Roi </v>
      </c>
      <c r="J419" s="1" t="str">
        <f>IFERROR(__xludf.DUMMYFUNCTION("""COMPUTED_VALUE"""),"Val-de-Marne")</f>
        <v>Val-de-Marne</v>
      </c>
      <c r="K419" s="1" t="str">
        <f>IFERROR(__xludf.DUMMYFUNCTION("IF( COUNTA( IFERROR( FILTER('départements_edition'!$C$2:$C$102 , 'départements_edition'!$C$2:$C$102=J419 ) ) ) , ""Oui"" , ""Non"" )"),"Oui")</f>
        <v>Oui</v>
      </c>
      <c r="L419" s="1" t="str">
        <f t="shared" si="2"/>
        <v>France</v>
      </c>
      <c r="M419" s="1">
        <v>91.0</v>
      </c>
      <c r="N419" s="1" t="s">
        <v>610</v>
      </c>
      <c r="O419" s="1">
        <v>10.0</v>
      </c>
      <c r="P419" s="2">
        <v>42907.0</v>
      </c>
      <c r="R419" s="1">
        <v>0.0</v>
      </c>
      <c r="S419" s="1" t="s">
        <v>75</v>
      </c>
      <c r="T419" s="1" t="s">
        <v>76</v>
      </c>
      <c r="U419" s="1" t="s">
        <v>4331</v>
      </c>
      <c r="X419" s="1" t="s">
        <v>4332</v>
      </c>
      <c r="Y419" s="1">
        <v>269.0</v>
      </c>
      <c r="Z419" s="3" t="s">
        <v>4333</v>
      </c>
      <c r="AA419" s="1">
        <v>721888.0</v>
      </c>
      <c r="AB419" s="1" t="s">
        <v>4334</v>
      </c>
      <c r="AC419" s="3" t="s">
        <v>4335</v>
      </c>
      <c r="AD419" s="3" t="s">
        <v>4336</v>
      </c>
      <c r="AE419" s="1">
        <v>1.0</v>
      </c>
      <c r="AF419" s="1" t="s">
        <v>4337</v>
      </c>
      <c r="AG419" s="1">
        <v>18.0</v>
      </c>
      <c r="AH419" s="1">
        <v>33.0</v>
      </c>
      <c r="AI419" s="1">
        <v>2.0</v>
      </c>
      <c r="AJ419" s="1">
        <v>12.0</v>
      </c>
      <c r="AK419" s="1">
        <v>5.0</v>
      </c>
      <c r="AL419" s="1">
        <v>3.0</v>
      </c>
      <c r="AM419" s="1">
        <v>51.0</v>
      </c>
      <c r="AN419" s="1">
        <v>16.0</v>
      </c>
      <c r="AO419" s="1">
        <v>0.0</v>
      </c>
      <c r="AP419" s="1">
        <v>0.0</v>
      </c>
      <c r="AQ419" s="1">
        <v>5.0</v>
      </c>
      <c r="AR419" s="1">
        <v>0.0</v>
      </c>
      <c r="AS419" s="1">
        <v>1.0</v>
      </c>
    </row>
    <row r="420" hidden="1">
      <c r="A420" s="1">
        <v>368.0</v>
      </c>
      <c r="B420" s="1" t="s">
        <v>4338</v>
      </c>
      <c r="C420" s="1" t="s">
        <v>4339</v>
      </c>
      <c r="D420" s="1" t="s">
        <v>1094</v>
      </c>
      <c r="E420" s="1" t="s">
        <v>58</v>
      </c>
      <c r="F420" s="2">
        <v>26882.0</v>
      </c>
      <c r="G420" s="1">
        <f t="shared" si="1"/>
        <v>53</v>
      </c>
      <c r="H420" s="1" t="s">
        <v>4340</v>
      </c>
      <c r="I420" s="1" t="str">
        <f>IFERROR(__xludf.DUMMYFUNCTION("SPLIT(left(H420,len(H420)-1),""("")"),"Athis-Mons ")</f>
        <v>Athis-Mons </v>
      </c>
      <c r="J420" s="1" t="str">
        <f>IFERROR(__xludf.DUMMYFUNCTION("""COMPUTED_VALUE"""),"Essonne")</f>
        <v>Essonne</v>
      </c>
      <c r="K420" s="1" t="str">
        <f>IFERROR(__xludf.DUMMYFUNCTION("IF( COUNTA( IFERROR( FILTER('départements_edition'!$C$2:$C$102 , 'départements_edition'!$C$2:$C$102=J420 ) ) ) , ""Oui"" , ""Non"" )"),"Oui")</f>
        <v>Oui</v>
      </c>
      <c r="L420" s="1" t="str">
        <f t="shared" si="2"/>
        <v>France</v>
      </c>
      <c r="M420" s="1">
        <v>45.0</v>
      </c>
      <c r="N420" s="1" t="s">
        <v>2531</v>
      </c>
      <c r="O420" s="1">
        <v>1.0</v>
      </c>
      <c r="P420" s="2">
        <v>42907.0</v>
      </c>
      <c r="R420" s="1">
        <v>0.0</v>
      </c>
      <c r="S420" s="1" t="s">
        <v>75</v>
      </c>
      <c r="T420" s="1" t="s">
        <v>76</v>
      </c>
      <c r="U420" s="1" t="s">
        <v>4341</v>
      </c>
      <c r="X420" s="1" t="s">
        <v>151</v>
      </c>
      <c r="Y420" s="1">
        <v>607.0</v>
      </c>
      <c r="Z420" s="3" t="s">
        <v>4342</v>
      </c>
      <c r="AA420" s="1">
        <v>720066.0</v>
      </c>
      <c r="AB420" s="1" t="s">
        <v>4343</v>
      </c>
      <c r="AC420" s="3" t="s">
        <v>4344</v>
      </c>
      <c r="AD420" s="3" t="s">
        <v>4345</v>
      </c>
      <c r="AE420" s="1">
        <v>1.0</v>
      </c>
      <c r="AF420" s="1" t="s">
        <v>4346</v>
      </c>
      <c r="AG420" s="1">
        <v>18.0</v>
      </c>
      <c r="AH420" s="1">
        <v>35.0</v>
      </c>
      <c r="AI420" s="1">
        <v>13.0</v>
      </c>
      <c r="AJ420" s="1">
        <v>11.0</v>
      </c>
      <c r="AK420" s="1">
        <v>6.0</v>
      </c>
      <c r="AL420" s="1">
        <v>1.0</v>
      </c>
      <c r="AM420" s="1">
        <v>132.0</v>
      </c>
      <c r="AN420" s="1">
        <v>48.0</v>
      </c>
      <c r="AO420" s="1">
        <v>0.0</v>
      </c>
      <c r="AP420" s="1">
        <v>0.0</v>
      </c>
      <c r="AQ420" s="1">
        <v>5.0</v>
      </c>
      <c r="AR420" s="1">
        <v>10.0</v>
      </c>
      <c r="AS420" s="1">
        <v>3.0</v>
      </c>
    </row>
    <row r="421" hidden="1">
      <c r="A421" s="1">
        <v>574.0</v>
      </c>
      <c r="B421" s="1" t="s">
        <v>4347</v>
      </c>
      <c r="C421" s="1" t="s">
        <v>4348</v>
      </c>
      <c r="D421" s="1" t="s">
        <v>1801</v>
      </c>
      <c r="E421" s="1" t="s">
        <v>43</v>
      </c>
      <c r="F421" s="2">
        <v>19290.0</v>
      </c>
      <c r="G421" s="1">
        <f t="shared" si="1"/>
        <v>73</v>
      </c>
      <c r="H421" s="1" t="s">
        <v>4349</v>
      </c>
      <c r="I421" s="1" t="str">
        <f>IFERROR(__xludf.DUMMYFUNCTION("SPLIT(left(H421,len(H421)-1),""("")"),"Fontenay-le-Comte ")</f>
        <v>Fontenay-le-Comte </v>
      </c>
      <c r="J421" s="1" t="str">
        <f>IFERROR(__xludf.DUMMYFUNCTION("""COMPUTED_VALUE"""),"Vendée")</f>
        <v>Vendée</v>
      </c>
      <c r="K421" s="1" t="str">
        <f>IFERROR(__xludf.DUMMYFUNCTION("IF( COUNTA( IFERROR( FILTER('départements_edition'!$C$2:$C$102 , 'départements_edition'!$C$2:$C$102=J421 ) ) ) , ""Oui"" , ""Non"" )"),"Oui")</f>
        <v>Oui</v>
      </c>
      <c r="L421" s="1" t="str">
        <f t="shared" si="2"/>
        <v>France</v>
      </c>
      <c r="M421" s="1">
        <v>86.0</v>
      </c>
      <c r="N421" s="1" t="s">
        <v>513</v>
      </c>
      <c r="O421" s="1">
        <v>1.0</v>
      </c>
      <c r="P421" s="2">
        <v>42907.0</v>
      </c>
      <c r="R421" s="1">
        <v>0.0</v>
      </c>
      <c r="S421" s="1" t="s">
        <v>75</v>
      </c>
      <c r="T421" s="1" t="s">
        <v>76</v>
      </c>
      <c r="U421" s="1" t="s">
        <v>4350</v>
      </c>
      <c r="X421" s="1" t="s">
        <v>4351</v>
      </c>
      <c r="Y421" s="1">
        <v>639.0</v>
      </c>
      <c r="Z421" s="3" t="s">
        <v>4352</v>
      </c>
      <c r="AA421" s="1">
        <v>722078.0</v>
      </c>
      <c r="AB421" s="1" t="s">
        <v>4353</v>
      </c>
      <c r="AC421" s="3" t="s">
        <v>4354</v>
      </c>
      <c r="AD421" s="3" t="s">
        <v>4355</v>
      </c>
      <c r="AE421" s="1">
        <v>1.0</v>
      </c>
      <c r="AF421" s="1" t="s">
        <v>4356</v>
      </c>
      <c r="AG421" s="1">
        <v>18.0</v>
      </c>
      <c r="AH421" s="1">
        <v>35.0</v>
      </c>
      <c r="AI421" s="1">
        <v>4.0</v>
      </c>
      <c r="AJ421" s="1">
        <v>11.0</v>
      </c>
      <c r="AK421" s="1">
        <v>3.0</v>
      </c>
      <c r="AL421" s="1">
        <v>0.0</v>
      </c>
      <c r="AM421" s="1">
        <v>150.0</v>
      </c>
      <c r="AN421" s="1">
        <v>103.0</v>
      </c>
      <c r="AO421" s="1">
        <v>1.0</v>
      </c>
      <c r="AP421" s="1">
        <v>0.0</v>
      </c>
      <c r="AQ421" s="1">
        <v>5.0</v>
      </c>
      <c r="AR421" s="1">
        <v>0.0</v>
      </c>
      <c r="AS421" s="1">
        <v>1.0</v>
      </c>
    </row>
    <row r="422" hidden="1">
      <c r="A422" s="1">
        <v>206.0</v>
      </c>
      <c r="B422" s="1" t="s">
        <v>4357</v>
      </c>
      <c r="C422" s="1" t="s">
        <v>4358</v>
      </c>
      <c r="D422" s="1" t="s">
        <v>4359</v>
      </c>
      <c r="E422" s="1" t="s">
        <v>43</v>
      </c>
      <c r="F422" s="2">
        <v>23594.0</v>
      </c>
      <c r="G422" s="1">
        <f t="shared" si="1"/>
        <v>62</v>
      </c>
      <c r="H422" s="1" t="s">
        <v>4360</v>
      </c>
      <c r="I422" s="1" t="str">
        <f>IFERROR(__xludf.DUMMYFUNCTION("SPLIT(left(H422,len(H422)-1),""("")"),"Bagnères-de-Bigorre ")</f>
        <v>Bagnères-de-Bigorre </v>
      </c>
      <c r="J422" s="1" t="str">
        <f>IFERROR(__xludf.DUMMYFUNCTION("""COMPUTED_VALUE"""),"Hautes-Pyrénées")</f>
        <v>Hautes-Pyrénées</v>
      </c>
      <c r="K422" s="1" t="str">
        <f>IFERROR(__xludf.DUMMYFUNCTION("IF( COUNTA( IFERROR( FILTER('départements_edition'!$C$2:$C$102 , 'départements_edition'!$C$2:$C$102=J422 ) ) ) , ""Oui"" , ""Non"" )"),"Oui")</f>
        <v>Oui</v>
      </c>
      <c r="L422" s="1" t="str">
        <f t="shared" si="2"/>
        <v>France</v>
      </c>
      <c r="M422" s="1">
        <v>65.0</v>
      </c>
      <c r="N422" s="1" t="s">
        <v>2396</v>
      </c>
      <c r="O422" s="1">
        <v>1.0</v>
      </c>
      <c r="P422" s="2">
        <v>42907.0</v>
      </c>
      <c r="R422" s="1">
        <v>0.0</v>
      </c>
      <c r="S422" s="1" t="s">
        <v>75</v>
      </c>
      <c r="T422" s="1" t="s">
        <v>76</v>
      </c>
      <c r="U422" s="1" t="s">
        <v>4361</v>
      </c>
      <c r="X422" s="1" t="s">
        <v>269</v>
      </c>
      <c r="Y422" s="1">
        <v>313.0</v>
      </c>
      <c r="Z422" s="3" t="s">
        <v>4362</v>
      </c>
      <c r="AA422" s="1">
        <v>720780.0</v>
      </c>
      <c r="AB422" s="1" t="s">
        <v>4363</v>
      </c>
      <c r="AC422" s="3" t="s">
        <v>4364</v>
      </c>
      <c r="AD422" s="3" t="s">
        <v>4365</v>
      </c>
      <c r="AE422" s="1">
        <v>2.0</v>
      </c>
      <c r="AF422" s="1" t="s">
        <v>4366</v>
      </c>
      <c r="AG422" s="1">
        <v>18.0</v>
      </c>
      <c r="AH422" s="1">
        <v>33.0</v>
      </c>
      <c r="AI422" s="1">
        <v>8.0</v>
      </c>
      <c r="AJ422" s="1">
        <v>0.0</v>
      </c>
      <c r="AK422" s="1">
        <v>0.0</v>
      </c>
      <c r="AL422" s="1">
        <v>3.0</v>
      </c>
      <c r="AM422" s="1">
        <v>81.0</v>
      </c>
      <c r="AN422" s="1">
        <v>27.0</v>
      </c>
      <c r="AO422" s="1">
        <v>1.0</v>
      </c>
      <c r="AP422" s="1">
        <v>0.0</v>
      </c>
      <c r="AQ422" s="1">
        <v>5.0</v>
      </c>
      <c r="AR422" s="1">
        <v>10.0</v>
      </c>
      <c r="AS422" s="1">
        <v>0.0</v>
      </c>
    </row>
    <row r="423" hidden="1">
      <c r="A423" s="1">
        <v>285.0</v>
      </c>
      <c r="B423" s="1" t="s">
        <v>4367</v>
      </c>
      <c r="C423" s="1" t="s">
        <v>4368</v>
      </c>
      <c r="D423" s="1" t="s">
        <v>1431</v>
      </c>
      <c r="E423" s="1" t="s">
        <v>43</v>
      </c>
      <c r="F423" s="2">
        <v>28128.0</v>
      </c>
      <c r="G423" s="1">
        <f t="shared" si="1"/>
        <v>49</v>
      </c>
      <c r="H423" s="1" t="s">
        <v>2217</v>
      </c>
      <c r="I423" s="1" t="str">
        <f>IFERROR(__xludf.DUMMYFUNCTION("SPLIT(left(H423,len(H423)-1),""("")"),"Paris 16 ")</f>
        <v>Paris 16 </v>
      </c>
      <c r="J423" s="1" t="str">
        <f>IFERROR(__xludf.DUMMYFUNCTION("""COMPUTED_VALUE"""),"Paris")</f>
        <v>Paris</v>
      </c>
      <c r="K423" s="1" t="str">
        <f>IFERROR(__xludf.DUMMYFUNCTION("IF( COUNTA( IFERROR( FILTER('départements_edition'!$C$2:$C$102 , 'départements_edition'!$C$2:$C$102=J423 ) ) ) , ""Oui"" , ""Non"" )"),"Oui")</f>
        <v>Oui</v>
      </c>
      <c r="L423" s="1" t="str">
        <f t="shared" si="2"/>
        <v>France</v>
      </c>
      <c r="M423" s="1">
        <v>92.0</v>
      </c>
      <c r="N423" s="1" t="s">
        <v>781</v>
      </c>
      <c r="O423" s="1">
        <v>2.0</v>
      </c>
      <c r="P423" s="2">
        <v>42907.0</v>
      </c>
      <c r="R423" s="1">
        <v>0.0</v>
      </c>
      <c r="S423" s="1" t="s">
        <v>75</v>
      </c>
      <c r="T423" s="1" t="s">
        <v>76</v>
      </c>
      <c r="U423" s="1" t="s">
        <v>4369</v>
      </c>
      <c r="X423" s="1" t="s">
        <v>4370</v>
      </c>
      <c r="Y423" s="1">
        <v>209.0</v>
      </c>
      <c r="Z423" s="3" t="s">
        <v>4371</v>
      </c>
      <c r="AA423" s="1">
        <v>722086.0</v>
      </c>
      <c r="AB423" s="1" t="s">
        <v>4372</v>
      </c>
      <c r="AC423" s="3" t="s">
        <v>4373</v>
      </c>
      <c r="AD423" s="3" t="s">
        <v>4374</v>
      </c>
      <c r="AE423" s="1">
        <v>1.0</v>
      </c>
      <c r="AF423" s="1" t="s">
        <v>4375</v>
      </c>
      <c r="AG423" s="1">
        <v>18.0</v>
      </c>
      <c r="AH423" s="1">
        <v>41.0</v>
      </c>
      <c r="AI423" s="1">
        <v>15.0</v>
      </c>
      <c r="AJ423" s="1">
        <v>26.0</v>
      </c>
      <c r="AK423" s="1">
        <v>3.0</v>
      </c>
      <c r="AL423" s="1">
        <v>7.0</v>
      </c>
      <c r="AM423" s="1">
        <v>130.0</v>
      </c>
      <c r="AN423" s="1">
        <v>60.0</v>
      </c>
      <c r="AO423" s="1">
        <v>0.0</v>
      </c>
      <c r="AP423" s="1">
        <v>0.0</v>
      </c>
      <c r="AQ423" s="1">
        <v>5.0</v>
      </c>
      <c r="AR423" s="1">
        <v>7.0</v>
      </c>
      <c r="AS423" s="1">
        <v>1.0</v>
      </c>
    </row>
    <row r="424" hidden="1">
      <c r="A424" s="1">
        <v>190.0</v>
      </c>
      <c r="B424" s="1" t="s">
        <v>4376</v>
      </c>
      <c r="C424" s="1" t="s">
        <v>4377</v>
      </c>
      <c r="D424" s="1" t="s">
        <v>2374</v>
      </c>
      <c r="E424" s="1" t="s">
        <v>43</v>
      </c>
      <c r="F424" s="2">
        <v>26506.0</v>
      </c>
      <c r="G424" s="1">
        <f t="shared" si="1"/>
        <v>54</v>
      </c>
      <c r="H424" s="1" t="s">
        <v>1331</v>
      </c>
      <c r="I424" s="1" t="str">
        <f>IFERROR(__xludf.DUMMYFUNCTION("SPLIT(left(H424,len(H424)-1),""("")"),"Tours ")</f>
        <v>Tours </v>
      </c>
      <c r="J424" s="1" t="str">
        <f>IFERROR(__xludf.DUMMYFUNCTION("""COMPUTED_VALUE"""),"Indre-et-Loire")</f>
        <v>Indre-et-Loire</v>
      </c>
      <c r="K424" s="1" t="str">
        <f>IFERROR(__xludf.DUMMYFUNCTION("IF( COUNTA( IFERROR( FILTER('départements_edition'!$C$2:$C$102 , 'départements_edition'!$C$2:$C$102=J424 ) ) ) , ""Oui"" , ""Non"" )"),"Oui")</f>
        <v>Oui</v>
      </c>
      <c r="L424" s="1" t="str">
        <f t="shared" si="2"/>
        <v>France</v>
      </c>
      <c r="M424" s="1">
        <v>86.0</v>
      </c>
      <c r="N424" s="1" t="s">
        <v>513</v>
      </c>
      <c r="O424" s="1">
        <v>4.0</v>
      </c>
      <c r="P424" s="2">
        <v>42907.0</v>
      </c>
      <c r="R424" s="1">
        <v>0.0</v>
      </c>
      <c r="S424" s="1" t="s">
        <v>280</v>
      </c>
      <c r="T424" s="1" t="s">
        <v>281</v>
      </c>
      <c r="U424" s="1" t="s">
        <v>4378</v>
      </c>
      <c r="X424" s="1" t="s">
        <v>1905</v>
      </c>
      <c r="Y424" s="1">
        <v>265.0</v>
      </c>
      <c r="Z424" s="3" t="s">
        <v>4379</v>
      </c>
      <c r="AA424" s="1">
        <v>722162.0</v>
      </c>
      <c r="AB424" s="1" t="s">
        <v>4380</v>
      </c>
      <c r="AC424" s="3" t="s">
        <v>4381</v>
      </c>
      <c r="AD424" s="3" t="s">
        <v>4382</v>
      </c>
      <c r="AE424" s="1">
        <v>1.0</v>
      </c>
      <c r="AF424" s="1" t="s">
        <v>4383</v>
      </c>
      <c r="AG424" s="1">
        <v>18.0</v>
      </c>
      <c r="AH424" s="1">
        <v>31.0</v>
      </c>
      <c r="AI424" s="1">
        <v>35.0</v>
      </c>
      <c r="AJ424" s="1">
        <v>18.0</v>
      </c>
      <c r="AK424" s="1">
        <v>2.0</v>
      </c>
      <c r="AL424" s="1">
        <v>4.0</v>
      </c>
      <c r="AM424" s="1">
        <v>245.0</v>
      </c>
      <c r="AN424" s="1">
        <v>25.0</v>
      </c>
      <c r="AO424" s="1">
        <v>0.0</v>
      </c>
      <c r="AP424" s="1">
        <v>0.0</v>
      </c>
      <c r="AQ424" s="1">
        <v>8.0</v>
      </c>
      <c r="AR424" s="1">
        <v>0.0</v>
      </c>
      <c r="AS424" s="1">
        <v>1.0</v>
      </c>
    </row>
    <row r="425" hidden="1">
      <c r="A425" s="1">
        <v>416.0</v>
      </c>
      <c r="B425" s="1" t="s">
        <v>4384</v>
      </c>
      <c r="C425" s="1" t="s">
        <v>4385</v>
      </c>
      <c r="D425" s="1" t="s">
        <v>4386</v>
      </c>
      <c r="E425" s="1" t="s">
        <v>43</v>
      </c>
      <c r="F425" s="2">
        <v>21315.0</v>
      </c>
      <c r="G425" s="1">
        <f t="shared" si="1"/>
        <v>68</v>
      </c>
      <c r="H425" s="1" t="s">
        <v>1251</v>
      </c>
      <c r="I425" s="1" t="str">
        <f>IFERROR(__xludf.DUMMYFUNCTION("SPLIT(left(H425,len(H425)-1),""("")"),"Lille ")</f>
        <v>Lille </v>
      </c>
      <c r="J425" s="1" t="str">
        <f>IFERROR(__xludf.DUMMYFUNCTION("""COMPUTED_VALUE"""),"Nord")</f>
        <v>Nord</v>
      </c>
      <c r="K425" s="1" t="str">
        <f>IFERROR(__xludf.DUMMYFUNCTION("IF( COUNTA( IFERROR( FILTER('départements_edition'!$C$2:$C$102 , 'départements_edition'!$C$2:$C$102=J425 ) ) ) , ""Oui"" , ""Non"" )"),"Oui")</f>
        <v>Oui</v>
      </c>
      <c r="L425" s="1" t="str">
        <f t="shared" si="2"/>
        <v>France</v>
      </c>
      <c r="M425" s="1">
        <v>59.0</v>
      </c>
      <c r="N425" s="1" t="s">
        <v>172</v>
      </c>
      <c r="O425" s="1">
        <v>7.0</v>
      </c>
      <c r="P425" s="2">
        <v>42907.0</v>
      </c>
      <c r="R425" s="1">
        <v>0.0</v>
      </c>
      <c r="S425" s="1" t="s">
        <v>46</v>
      </c>
      <c r="T425" s="1" t="s">
        <v>47</v>
      </c>
      <c r="U425" s="1" t="s">
        <v>4387</v>
      </c>
      <c r="X425" s="1" t="s">
        <v>827</v>
      </c>
      <c r="Y425" s="1">
        <v>123.0</v>
      </c>
      <c r="Z425" s="3" t="s">
        <v>4388</v>
      </c>
      <c r="AA425" s="1">
        <v>267585.0</v>
      </c>
      <c r="AB425" s="1" t="s">
        <v>4389</v>
      </c>
      <c r="AC425" s="3" t="s">
        <v>4390</v>
      </c>
      <c r="AD425" s="3" t="s">
        <v>4391</v>
      </c>
      <c r="AE425" s="1">
        <v>2.0</v>
      </c>
      <c r="AF425" s="1" t="s">
        <v>4392</v>
      </c>
      <c r="AG425" s="1">
        <v>18.0</v>
      </c>
      <c r="AH425" s="1">
        <v>27.0</v>
      </c>
      <c r="AI425" s="1">
        <v>64.0</v>
      </c>
      <c r="AJ425" s="1">
        <v>139.0</v>
      </c>
      <c r="AK425" s="1">
        <v>46.0</v>
      </c>
      <c r="AL425" s="1">
        <v>107.0</v>
      </c>
      <c r="AM425" s="1">
        <v>595.0</v>
      </c>
      <c r="AN425" s="1">
        <v>26.0</v>
      </c>
      <c r="AO425" s="1">
        <v>1.0</v>
      </c>
      <c r="AP425" s="1">
        <v>2.0</v>
      </c>
      <c r="AQ425" s="1">
        <v>15.0</v>
      </c>
      <c r="AR425" s="1">
        <v>11.0</v>
      </c>
      <c r="AS425" s="1">
        <v>1.0</v>
      </c>
    </row>
    <row r="426" hidden="1">
      <c r="A426" s="1">
        <v>488.0</v>
      </c>
      <c r="B426" s="1" t="s">
        <v>4393</v>
      </c>
      <c r="C426" s="1" t="s">
        <v>4394</v>
      </c>
      <c r="D426" s="1" t="s">
        <v>1115</v>
      </c>
      <c r="E426" s="1" t="s">
        <v>43</v>
      </c>
      <c r="F426" s="2">
        <v>25800.0</v>
      </c>
      <c r="G426" s="1">
        <f t="shared" si="1"/>
        <v>55</v>
      </c>
      <c r="H426" s="1" t="s">
        <v>4395</v>
      </c>
      <c r="I426" s="1" t="str">
        <f>IFERROR(__xludf.DUMMYFUNCTION("SPLIT(left(H426,len(H426)-1),""("")"),"Limoux ")</f>
        <v>Limoux </v>
      </c>
      <c r="J426" s="1" t="str">
        <f>IFERROR(__xludf.DUMMYFUNCTION("""COMPUTED_VALUE"""),"Aude")</f>
        <v>Aude</v>
      </c>
      <c r="K426" s="1" t="str">
        <f>IFERROR(__xludf.DUMMYFUNCTION("IF( COUNTA( IFERROR( FILTER('départements_edition'!$C$2:$C$102 , 'départements_edition'!$C$2:$C$102=J426 ) ) ) , ""Oui"" , ""Non"" )"),"Oui")</f>
        <v>Oui</v>
      </c>
      <c r="L426" s="1" t="str">
        <f t="shared" si="2"/>
        <v>France</v>
      </c>
      <c r="M426" s="1">
        <v>78.0</v>
      </c>
      <c r="N426" s="1" t="s">
        <v>74</v>
      </c>
      <c r="O426" s="1">
        <v>1.0</v>
      </c>
      <c r="P426" s="2">
        <v>42907.0</v>
      </c>
      <c r="R426" s="1">
        <v>0.0</v>
      </c>
      <c r="S426" s="1" t="s">
        <v>75</v>
      </c>
      <c r="T426" s="1" t="s">
        <v>76</v>
      </c>
      <c r="U426" s="1" t="s">
        <v>4396</v>
      </c>
      <c r="X426" s="1" t="s">
        <v>4397</v>
      </c>
      <c r="Y426" s="1">
        <v>321.0</v>
      </c>
      <c r="Z426" s="3" t="s">
        <v>4398</v>
      </c>
      <c r="AA426" s="1">
        <v>721776.0</v>
      </c>
      <c r="AB426" s="1" t="s">
        <v>4399</v>
      </c>
      <c r="AC426" s="3" t="s">
        <v>4400</v>
      </c>
      <c r="AD426" s="3" t="s">
        <v>4401</v>
      </c>
      <c r="AE426" s="1">
        <v>1.0</v>
      </c>
      <c r="AF426" s="1" t="s">
        <v>4402</v>
      </c>
      <c r="AG426" s="1">
        <v>17.0</v>
      </c>
      <c r="AH426" s="1">
        <v>25.0</v>
      </c>
      <c r="AI426" s="1">
        <v>11.0</v>
      </c>
      <c r="AJ426" s="1">
        <v>1.0</v>
      </c>
      <c r="AK426" s="1">
        <v>0.0</v>
      </c>
      <c r="AL426" s="1">
        <v>0.0</v>
      </c>
      <c r="AM426" s="1">
        <v>8.0</v>
      </c>
      <c r="AN426" s="1">
        <v>2.0</v>
      </c>
      <c r="AO426" s="1">
        <v>0.0</v>
      </c>
      <c r="AP426" s="1">
        <v>0.0</v>
      </c>
      <c r="AQ426" s="1">
        <v>5.0</v>
      </c>
      <c r="AR426" s="1">
        <v>0.0</v>
      </c>
      <c r="AS426" s="1">
        <v>0.0</v>
      </c>
    </row>
    <row r="427" hidden="1">
      <c r="A427" s="1">
        <v>533.0</v>
      </c>
      <c r="B427" s="1" t="s">
        <v>4412</v>
      </c>
      <c r="C427" s="1" t="s">
        <v>4413</v>
      </c>
      <c r="D427" s="1" t="s">
        <v>4414</v>
      </c>
      <c r="E427" s="1" t="s">
        <v>58</v>
      </c>
      <c r="F427" s="2">
        <v>18025.0</v>
      </c>
      <c r="G427" s="1">
        <f t="shared" si="1"/>
        <v>77</v>
      </c>
      <c r="H427" s="1" t="s">
        <v>4415</v>
      </c>
      <c r="I427" s="1" t="str">
        <f>IFERROR(__xludf.DUMMYFUNCTION("SPLIT(left(H427,len(H427)-1),""("")"),"Sceaux ")</f>
        <v>Sceaux </v>
      </c>
      <c r="J427" s="1" t="str">
        <f>IFERROR(__xludf.DUMMYFUNCTION("""COMPUTED_VALUE"""),"Hauts-de-Seine")</f>
        <v>Hauts-de-Seine</v>
      </c>
      <c r="K427" s="1" t="str">
        <f>IFERROR(__xludf.DUMMYFUNCTION("IF( COUNTA( IFERROR( FILTER('départements_edition'!$C$2:$C$102 , 'départements_edition'!$C$2:$C$102=J427 ) ) ) , ""Oui"" , ""Non"" )"),"Oui")</f>
        <v>Oui</v>
      </c>
      <c r="L427" s="1" t="str">
        <f t="shared" si="2"/>
        <v>France</v>
      </c>
      <c r="M427" s="1">
        <v>93.0</v>
      </c>
      <c r="N427" s="1" t="s">
        <v>196</v>
      </c>
      <c r="O427" s="1">
        <v>4.0</v>
      </c>
      <c r="P427" s="2">
        <v>42907.0</v>
      </c>
      <c r="R427" s="1">
        <v>0.0</v>
      </c>
      <c r="S427" s="1" t="s">
        <v>101</v>
      </c>
      <c r="T427" s="1" t="s">
        <v>102</v>
      </c>
      <c r="X427" s="1" t="s">
        <v>4416</v>
      </c>
      <c r="Y427" s="1">
        <v>593.0</v>
      </c>
      <c r="Z427" s="3" t="s">
        <v>4417</v>
      </c>
      <c r="AA427" s="1">
        <v>689.0</v>
      </c>
      <c r="AB427" s="1" t="s">
        <v>4418</v>
      </c>
      <c r="AC427" s="3" t="s">
        <v>4419</v>
      </c>
      <c r="AD427" s="3" t="s">
        <v>4420</v>
      </c>
      <c r="AE427" s="1">
        <v>2.0</v>
      </c>
      <c r="AG427" s="1">
        <v>17.0</v>
      </c>
      <c r="AH427" s="1">
        <v>27.0</v>
      </c>
      <c r="AI427" s="1">
        <v>41.0</v>
      </c>
      <c r="AJ427" s="1">
        <v>56.0</v>
      </c>
      <c r="AK427" s="1">
        <v>58.0</v>
      </c>
      <c r="AL427" s="1">
        <v>41.0</v>
      </c>
      <c r="AM427" s="1">
        <v>674.0</v>
      </c>
      <c r="AN427" s="1">
        <v>23.0</v>
      </c>
      <c r="AO427" s="1">
        <v>0.0</v>
      </c>
      <c r="AP427" s="1">
        <v>5.0</v>
      </c>
      <c r="AQ427" s="1">
        <v>21.0</v>
      </c>
      <c r="AR427" s="1">
        <v>19.0</v>
      </c>
      <c r="AS427" s="1">
        <v>2.0</v>
      </c>
    </row>
    <row r="428" hidden="1">
      <c r="A428" s="1">
        <v>554.0</v>
      </c>
      <c r="B428" s="1" t="s">
        <v>4421</v>
      </c>
      <c r="C428" s="1" t="s">
        <v>4422</v>
      </c>
      <c r="D428" s="1" t="s">
        <v>126</v>
      </c>
      <c r="E428" s="1" t="s">
        <v>43</v>
      </c>
      <c r="F428" s="2">
        <v>23547.0</v>
      </c>
      <c r="G428" s="1">
        <f t="shared" si="1"/>
        <v>62</v>
      </c>
      <c r="H428" s="1" t="s">
        <v>512</v>
      </c>
      <c r="I428" s="1" t="str">
        <f>IFERROR(__xludf.DUMMYFUNCTION("SPLIT(left(H428,len(H428)-1),""("")"),"Bressuire ")</f>
        <v>Bressuire </v>
      </c>
      <c r="J428" s="1" t="str">
        <f>IFERROR(__xludf.DUMMYFUNCTION("""COMPUTED_VALUE"""),"Deux-Sèvres")</f>
        <v>Deux-Sèvres</v>
      </c>
      <c r="K428" s="1" t="str">
        <f>IFERROR(__xludf.DUMMYFUNCTION("IF( COUNTA( IFERROR( FILTER('départements_edition'!$C$2:$C$102 , 'départements_edition'!$C$2:$C$102=J428 ) ) ) , ""Oui"" , ""Non"" )"),"Oui")</f>
        <v>Oui</v>
      </c>
      <c r="L428" s="1" t="str">
        <f t="shared" si="2"/>
        <v>France</v>
      </c>
      <c r="M428" s="1">
        <v>79.0</v>
      </c>
      <c r="N428" s="1" t="s">
        <v>2228</v>
      </c>
      <c r="O428" s="1">
        <v>3.0</v>
      </c>
      <c r="P428" s="2">
        <v>42907.0</v>
      </c>
      <c r="R428" s="1">
        <v>0.0</v>
      </c>
      <c r="S428" s="1" t="s">
        <v>75</v>
      </c>
      <c r="T428" s="1" t="s">
        <v>76</v>
      </c>
      <c r="U428" s="1" t="s">
        <v>4423</v>
      </c>
      <c r="X428" s="1" t="s">
        <v>429</v>
      </c>
      <c r="Y428" s="1">
        <v>560.0</v>
      </c>
      <c r="Z428" s="3" t="s">
        <v>4424</v>
      </c>
      <c r="AA428" s="1">
        <v>722134.0</v>
      </c>
      <c r="AB428" s="1" t="s">
        <v>4425</v>
      </c>
      <c r="AC428" s="3" t="s">
        <v>4426</v>
      </c>
      <c r="AD428" s="3" t="s">
        <v>4427</v>
      </c>
      <c r="AE428" s="1">
        <v>1.0</v>
      </c>
      <c r="AF428" s="1" t="s">
        <v>4428</v>
      </c>
      <c r="AG428" s="1">
        <v>17.0</v>
      </c>
      <c r="AH428" s="1">
        <v>34.0</v>
      </c>
      <c r="AI428" s="1">
        <v>6.0</v>
      </c>
      <c r="AJ428" s="1">
        <v>0.0</v>
      </c>
      <c r="AK428" s="1">
        <v>0.0</v>
      </c>
      <c r="AL428" s="1">
        <v>0.0</v>
      </c>
      <c r="AM428" s="1">
        <v>41.0</v>
      </c>
      <c r="AN428" s="1">
        <v>3.0</v>
      </c>
      <c r="AO428" s="1">
        <v>0.0</v>
      </c>
      <c r="AP428" s="1">
        <v>0.0</v>
      </c>
      <c r="AQ428" s="1">
        <v>6.0</v>
      </c>
      <c r="AR428" s="1">
        <v>1.0</v>
      </c>
      <c r="AS428" s="1">
        <v>0.0</v>
      </c>
    </row>
    <row r="429" hidden="1">
      <c r="A429" s="1">
        <v>129.0</v>
      </c>
      <c r="B429" s="1" t="s">
        <v>4429</v>
      </c>
      <c r="C429" s="1" t="s">
        <v>4430</v>
      </c>
      <c r="D429" s="1" t="s">
        <v>2374</v>
      </c>
      <c r="E429" s="1" t="s">
        <v>43</v>
      </c>
      <c r="F429" s="2">
        <v>22329.0</v>
      </c>
      <c r="G429" s="1">
        <f t="shared" si="1"/>
        <v>65</v>
      </c>
      <c r="H429" s="1" t="s">
        <v>207</v>
      </c>
      <c r="I429" s="1" t="str">
        <f>IFERROR(__xludf.DUMMYFUNCTION("SPLIT(left(H429,len(H429)-1),""("")"),"Paris ")</f>
        <v>Paris </v>
      </c>
      <c r="J429" s="1" t="str">
        <f>IFERROR(__xludf.DUMMYFUNCTION("""COMPUTED_VALUE"""),"Paris")</f>
        <v>Paris</v>
      </c>
      <c r="K429" s="1" t="str">
        <f>IFERROR(__xludf.DUMMYFUNCTION("IF( COUNTA( IFERROR( FILTER('départements_edition'!$C$2:$C$102 , 'départements_edition'!$C$2:$C$102=J429 ) ) ) , ""Oui"" , ""Non"" )"),"Oui")</f>
        <v>Oui</v>
      </c>
      <c r="L429" s="1" t="str">
        <f t="shared" si="2"/>
        <v>France</v>
      </c>
      <c r="M429" s="1">
        <v>36.0</v>
      </c>
      <c r="N429" s="1" t="s">
        <v>1813</v>
      </c>
      <c r="O429" s="1">
        <v>2.0</v>
      </c>
      <c r="P429" s="2">
        <v>42907.0</v>
      </c>
      <c r="R429" s="1">
        <v>0.0</v>
      </c>
      <c r="S429" s="1" t="s">
        <v>61</v>
      </c>
      <c r="T429" s="1" t="s">
        <v>62</v>
      </c>
      <c r="U429" s="1" t="s">
        <v>4431</v>
      </c>
      <c r="X429" s="1" t="s">
        <v>2484</v>
      </c>
      <c r="Y429" s="1">
        <v>19.0</v>
      </c>
      <c r="Z429" s="3" t="s">
        <v>4432</v>
      </c>
      <c r="AA429" s="1">
        <v>1327.0</v>
      </c>
      <c r="AB429" s="1" t="s">
        <v>4433</v>
      </c>
      <c r="AC429" s="3" t="s">
        <v>4434</v>
      </c>
      <c r="AD429" s="3" t="s">
        <v>4435</v>
      </c>
      <c r="AE429" s="1">
        <v>1.0</v>
      </c>
      <c r="AF429" s="1" t="s">
        <v>4436</v>
      </c>
      <c r="AG429" s="1">
        <v>17.0</v>
      </c>
      <c r="AH429" s="1">
        <v>25.0</v>
      </c>
      <c r="AI429" s="1">
        <v>17.0</v>
      </c>
      <c r="AJ429" s="1">
        <v>29.0</v>
      </c>
      <c r="AK429" s="1">
        <v>34.0</v>
      </c>
      <c r="AL429" s="1">
        <v>49.0</v>
      </c>
      <c r="AM429" s="1">
        <v>529.0</v>
      </c>
      <c r="AN429" s="1">
        <v>28.0</v>
      </c>
      <c r="AO429" s="1">
        <v>1.0</v>
      </c>
      <c r="AP429" s="1">
        <v>0.0</v>
      </c>
      <c r="AQ429" s="1">
        <v>32.0</v>
      </c>
      <c r="AR429" s="1">
        <v>12.0</v>
      </c>
      <c r="AS429" s="1">
        <v>0.0</v>
      </c>
    </row>
    <row r="430">
      <c r="A430" s="1">
        <v>472.0</v>
      </c>
      <c r="B430" s="1" t="s">
        <v>4437</v>
      </c>
      <c r="C430" s="1" t="s">
        <v>4438</v>
      </c>
      <c r="D430" s="1" t="s">
        <v>3527</v>
      </c>
      <c r="E430" s="1" t="s">
        <v>58</v>
      </c>
      <c r="F430" s="2">
        <v>23121.0</v>
      </c>
      <c r="G430" s="1">
        <f t="shared" si="1"/>
        <v>63</v>
      </c>
      <c r="H430" s="1" t="s">
        <v>4439</v>
      </c>
      <c r="I430" s="1" t="str">
        <f>IFERROR(__xludf.DUMMYFUNCTION("SPLIT(left(H430,len(H430)-1),""("")"),"Neuilly sur seine ")</f>
        <v>Neuilly sur seine </v>
      </c>
      <c r="J430" s="1" t="str">
        <f>IFERROR(__xludf.DUMMYFUNCTION("""COMPUTED_VALUE"""),"Paris")</f>
        <v>Paris</v>
      </c>
      <c r="K430" s="1" t="str">
        <f>IFERROR(__xludf.DUMMYFUNCTION("IF( COUNTA( IFERROR( FILTER('départements_edition'!$C$2:$C$102 , 'départements_edition'!$C$2:$C$102=J430 ) ) ) , ""Oui"" , ""Non"" )"),"Oui")</f>
        <v>Oui</v>
      </c>
      <c r="L430" s="1" t="str">
        <f t="shared" si="2"/>
        <v>France</v>
      </c>
      <c r="M430" s="1">
        <v>999.0</v>
      </c>
      <c r="N430" s="1" t="s">
        <v>256</v>
      </c>
      <c r="O430" s="1">
        <v>11.0</v>
      </c>
      <c r="P430" s="2">
        <v>42907.0</v>
      </c>
      <c r="R430" s="1">
        <v>0.0</v>
      </c>
      <c r="S430" s="1" t="s">
        <v>75</v>
      </c>
      <c r="T430" s="1" t="s">
        <v>76</v>
      </c>
      <c r="U430" s="1" t="s">
        <v>4440</v>
      </c>
      <c r="X430" s="1" t="s">
        <v>151</v>
      </c>
      <c r="Y430" s="1">
        <v>351.0</v>
      </c>
      <c r="Z430" s="3" t="s">
        <v>4441</v>
      </c>
      <c r="AA430" s="1">
        <v>721024.0</v>
      </c>
      <c r="AB430" s="1" t="s">
        <v>4442</v>
      </c>
      <c r="AC430" s="3" t="s">
        <v>4443</v>
      </c>
      <c r="AD430" s="3" t="s">
        <v>4444</v>
      </c>
      <c r="AE430" s="1">
        <v>1.0</v>
      </c>
      <c r="AF430" s="1" t="s">
        <v>4445</v>
      </c>
      <c r="AG430" s="1">
        <v>17.0</v>
      </c>
      <c r="AH430" s="1">
        <v>30.0</v>
      </c>
      <c r="AI430" s="1">
        <v>19.0</v>
      </c>
      <c r="AJ430" s="1">
        <v>14.0</v>
      </c>
      <c r="AK430" s="1">
        <v>6.0</v>
      </c>
      <c r="AL430" s="1">
        <v>1.0</v>
      </c>
      <c r="AM430" s="1">
        <v>32.0</v>
      </c>
      <c r="AN430" s="1">
        <v>12.0</v>
      </c>
      <c r="AO430" s="1">
        <v>1.0</v>
      </c>
      <c r="AP430" s="1">
        <v>0.0</v>
      </c>
      <c r="AQ430" s="1">
        <v>8.0</v>
      </c>
      <c r="AR430" s="1">
        <v>4.0</v>
      </c>
      <c r="AS430" s="1">
        <v>1.0</v>
      </c>
    </row>
    <row r="431">
      <c r="A431" s="1">
        <v>46.0</v>
      </c>
      <c r="B431" s="1" t="s">
        <v>4446</v>
      </c>
      <c r="C431" s="1" t="s">
        <v>3136</v>
      </c>
      <c r="D431" s="1" t="s">
        <v>4447</v>
      </c>
      <c r="E431" s="1" t="s">
        <v>43</v>
      </c>
      <c r="F431" s="2">
        <v>22399.0</v>
      </c>
      <c r="G431" s="1">
        <f t="shared" si="1"/>
        <v>65</v>
      </c>
      <c r="H431" s="1" t="s">
        <v>4448</v>
      </c>
      <c r="I431" s="1" t="str">
        <f>IFERROR(__xludf.DUMMYFUNCTION("SPLIT(left(H431,len(H431)-1),""("")"),"Paris 12 ")</f>
        <v>Paris 12 </v>
      </c>
      <c r="J431" s="1" t="str">
        <f>IFERROR(__xludf.DUMMYFUNCTION("""COMPUTED_VALUE"""),"Paris")</f>
        <v>Paris</v>
      </c>
      <c r="K431" s="1" t="str">
        <f>IFERROR(__xludf.DUMMYFUNCTION("IF( COUNTA( IFERROR( FILTER('départements_edition'!$C$2:$C$102 , 'départements_edition'!$C$2:$C$102=J431 ) ) ) , ""Oui"" , ""Non"" )"),"Oui")</f>
        <v>Oui</v>
      </c>
      <c r="L431" s="1" t="str">
        <f t="shared" si="2"/>
        <v>France</v>
      </c>
      <c r="M431" s="1">
        <v>999.0</v>
      </c>
      <c r="N431" s="1" t="s">
        <v>256</v>
      </c>
      <c r="O431" s="1">
        <v>8.0</v>
      </c>
      <c r="P431" s="2">
        <v>42907.0</v>
      </c>
      <c r="R431" s="1">
        <v>0.0</v>
      </c>
      <c r="S431" s="1" t="s">
        <v>46</v>
      </c>
      <c r="T431" s="1" t="s">
        <v>47</v>
      </c>
      <c r="U431" s="1" t="s">
        <v>4449</v>
      </c>
      <c r="X431" s="1" t="s">
        <v>827</v>
      </c>
      <c r="Y431" s="1">
        <v>144.0</v>
      </c>
      <c r="Z431" s="3" t="s">
        <v>4450</v>
      </c>
      <c r="AA431" s="1">
        <v>695100.0</v>
      </c>
      <c r="AB431" s="1" t="s">
        <v>4451</v>
      </c>
      <c r="AC431" s="3" t="s">
        <v>4452</v>
      </c>
      <c r="AD431" s="3" t="s">
        <v>4453</v>
      </c>
      <c r="AE431" s="1">
        <v>1.0</v>
      </c>
      <c r="AF431" s="1" t="s">
        <v>4454</v>
      </c>
      <c r="AG431" s="1">
        <v>17.0</v>
      </c>
      <c r="AH431" s="1">
        <v>11.0</v>
      </c>
      <c r="AI431" s="1">
        <v>11.0</v>
      </c>
      <c r="AJ431" s="1">
        <v>84.0</v>
      </c>
      <c r="AK431" s="1">
        <v>62.0</v>
      </c>
      <c r="AL431" s="1">
        <v>18.0</v>
      </c>
      <c r="AM431" s="1">
        <v>498.0</v>
      </c>
      <c r="AN431" s="1">
        <v>21.0</v>
      </c>
      <c r="AO431" s="1">
        <v>1.0</v>
      </c>
      <c r="AP431" s="1">
        <v>0.0</v>
      </c>
      <c r="AQ431" s="1">
        <v>18.0</v>
      </c>
      <c r="AR431" s="1">
        <v>5.0</v>
      </c>
      <c r="AS431" s="1">
        <v>2.0</v>
      </c>
    </row>
    <row r="432" hidden="1">
      <c r="A432" s="1">
        <v>239.0</v>
      </c>
      <c r="B432" s="1" t="s">
        <v>4455</v>
      </c>
      <c r="C432" s="1" t="s">
        <v>4456</v>
      </c>
      <c r="D432" s="1" t="s">
        <v>810</v>
      </c>
      <c r="E432" s="1" t="s">
        <v>43</v>
      </c>
      <c r="F432" s="2">
        <v>18693.0</v>
      </c>
      <c r="G432" s="1">
        <f t="shared" si="1"/>
        <v>75</v>
      </c>
      <c r="H432" s="1" t="s">
        <v>3027</v>
      </c>
      <c r="I432" s="1" t="str">
        <f>IFERROR(__xludf.DUMMYFUNCTION("SPLIT(left(H432,len(H432)-1),""("")"),"Saint-Mandé ")</f>
        <v>Saint-Mandé </v>
      </c>
      <c r="J432" s="1" t="str">
        <f>IFERROR(__xludf.DUMMYFUNCTION("""COMPUTED_VALUE"""),"Val-de-Marne")</f>
        <v>Val-de-Marne</v>
      </c>
      <c r="K432" s="1" t="str">
        <f>IFERROR(__xludf.DUMMYFUNCTION("IF( COUNTA( IFERROR( FILTER('départements_edition'!$C$2:$C$102 , 'départements_edition'!$C$2:$C$102=J432 ) ) ) , ""Oui"" , ""Non"" )"),"Oui")</f>
        <v>Oui</v>
      </c>
      <c r="L432" s="1" t="str">
        <f t="shared" si="2"/>
        <v>France</v>
      </c>
      <c r="M432" s="1">
        <v>94.0</v>
      </c>
      <c r="N432" s="1" t="s">
        <v>642</v>
      </c>
      <c r="O432" s="1">
        <v>8.0</v>
      </c>
      <c r="P432" s="2">
        <v>42907.0</v>
      </c>
      <c r="R432" s="1">
        <v>0.0</v>
      </c>
      <c r="S432" s="1" t="s">
        <v>61</v>
      </c>
      <c r="T432" s="1" t="s">
        <v>62</v>
      </c>
      <c r="U432" s="3" t="s">
        <v>4457</v>
      </c>
      <c r="X432" s="1" t="s">
        <v>4458</v>
      </c>
      <c r="Y432" s="1">
        <v>11.0</v>
      </c>
      <c r="Z432" s="3" t="s">
        <v>4459</v>
      </c>
      <c r="AA432" s="1">
        <v>1630.0</v>
      </c>
      <c r="AB432" s="1" t="s">
        <v>4460</v>
      </c>
      <c r="AC432" s="3" t="s">
        <v>4461</v>
      </c>
      <c r="AD432" s="3" t="s">
        <v>4462</v>
      </c>
      <c r="AE432" s="1">
        <v>2.0</v>
      </c>
      <c r="AG432" s="1">
        <v>17.0</v>
      </c>
      <c r="AH432" s="1">
        <v>28.0</v>
      </c>
      <c r="AI432" s="1">
        <v>34.0</v>
      </c>
      <c r="AJ432" s="1">
        <v>0.0</v>
      </c>
      <c r="AK432" s="1">
        <v>23.0</v>
      </c>
      <c r="AL432" s="1">
        <v>3.0</v>
      </c>
      <c r="AM432" s="1">
        <v>265.0</v>
      </c>
      <c r="AN432" s="1">
        <v>13.0</v>
      </c>
      <c r="AO432" s="1">
        <v>0.0</v>
      </c>
      <c r="AP432" s="1">
        <v>0.0</v>
      </c>
      <c r="AQ432" s="1">
        <v>49.0</v>
      </c>
      <c r="AR432" s="1">
        <v>5.0</v>
      </c>
      <c r="AS432" s="1">
        <v>0.0</v>
      </c>
    </row>
    <row r="433" hidden="1">
      <c r="A433" s="1">
        <v>225.0</v>
      </c>
      <c r="B433" s="1" t="s">
        <v>4463</v>
      </c>
      <c r="C433" s="1" t="s">
        <v>4464</v>
      </c>
      <c r="D433" s="1" t="s">
        <v>42</v>
      </c>
      <c r="E433" s="1" t="s">
        <v>43</v>
      </c>
      <c r="F433" s="2">
        <v>24880.0</v>
      </c>
      <c r="G433" s="1">
        <f t="shared" si="1"/>
        <v>58</v>
      </c>
      <c r="H433" s="1" t="s">
        <v>4465</v>
      </c>
      <c r="I433" s="1" t="str">
        <f>IFERROR(__xludf.DUMMYFUNCTION("SPLIT(left(H433,len(H433)-1),""("")"),"Mazamet ")</f>
        <v>Mazamet </v>
      </c>
      <c r="J433" s="1" t="str">
        <f>IFERROR(__xludf.DUMMYFUNCTION("""COMPUTED_VALUE"""),"Tarn")</f>
        <v>Tarn</v>
      </c>
      <c r="K433" s="1" t="str">
        <f>IFERROR(__xludf.DUMMYFUNCTION("IF( COUNTA( IFERROR( FILTER('départements_edition'!$C$2:$C$102 , 'départements_edition'!$C$2:$C$102=J433 ) ) ) , ""Oui"" , ""Non"" )"),"Oui")</f>
        <v>Oui</v>
      </c>
      <c r="L433" s="1" t="str">
        <f t="shared" si="2"/>
        <v>France</v>
      </c>
      <c r="M433" s="1">
        <v>34.0</v>
      </c>
      <c r="N433" s="1" t="s">
        <v>1252</v>
      </c>
      <c r="O433" s="1">
        <v>5.0</v>
      </c>
      <c r="P433" s="2">
        <v>42907.0</v>
      </c>
      <c r="R433" s="1">
        <v>0.0</v>
      </c>
      <c r="S433" s="1" t="s">
        <v>75</v>
      </c>
      <c r="T433" s="1" t="s">
        <v>76</v>
      </c>
      <c r="U433" s="1" t="s">
        <v>4466</v>
      </c>
      <c r="X433" s="1" t="s">
        <v>4467</v>
      </c>
      <c r="Y433" s="1">
        <v>395.0</v>
      </c>
      <c r="Z433" s="3" t="s">
        <v>4468</v>
      </c>
      <c r="AA433" s="1">
        <v>719700.0</v>
      </c>
      <c r="AB433" s="1" t="s">
        <v>4469</v>
      </c>
      <c r="AC433" s="3" t="s">
        <v>4470</v>
      </c>
      <c r="AD433" s="3" t="s">
        <v>4471</v>
      </c>
      <c r="AE433" s="1">
        <v>2.0</v>
      </c>
      <c r="AF433" s="1" t="s">
        <v>4472</v>
      </c>
      <c r="AG433" s="1">
        <v>17.0</v>
      </c>
      <c r="AH433" s="1">
        <v>24.0</v>
      </c>
      <c r="AI433" s="1">
        <v>7.0</v>
      </c>
      <c r="AJ433" s="1">
        <v>0.0</v>
      </c>
      <c r="AK433" s="1">
        <v>0.0</v>
      </c>
      <c r="AL433" s="1">
        <v>2.0</v>
      </c>
      <c r="AM433" s="1">
        <v>69.0</v>
      </c>
      <c r="AN433" s="1">
        <v>27.0</v>
      </c>
      <c r="AO433" s="1">
        <v>0.0</v>
      </c>
      <c r="AP433" s="1">
        <v>0.0</v>
      </c>
      <c r="AQ433" s="1">
        <v>6.0</v>
      </c>
      <c r="AR433" s="1">
        <v>11.0</v>
      </c>
      <c r="AS433" s="1">
        <v>0.0</v>
      </c>
    </row>
    <row r="434" hidden="1">
      <c r="A434" s="1">
        <v>524.0</v>
      </c>
      <c r="B434" s="1" t="s">
        <v>4473</v>
      </c>
      <c r="C434" s="1" t="s">
        <v>4474</v>
      </c>
      <c r="D434" s="1" t="s">
        <v>369</v>
      </c>
      <c r="E434" s="1" t="s">
        <v>43</v>
      </c>
      <c r="F434" s="2">
        <v>24165.0</v>
      </c>
      <c r="G434" s="1">
        <f t="shared" si="1"/>
        <v>60</v>
      </c>
      <c r="H434" s="1" t="s">
        <v>4475</v>
      </c>
      <c r="I434" s="1" t="str">
        <f>IFERROR(__xludf.DUMMYFUNCTION("SPLIT(left(H434,len(H434)-1),""("")"),"Boulogne Billancourt ")</f>
        <v>Boulogne Billancourt </v>
      </c>
      <c r="J434" s="1" t="str">
        <f>IFERROR(__xludf.DUMMYFUNCTION("""COMPUTED_VALUE"""),"Hauts-de-Seine")</f>
        <v>Hauts-de-Seine</v>
      </c>
      <c r="K434" s="1" t="str">
        <f>IFERROR(__xludf.DUMMYFUNCTION("IF( COUNTA( IFERROR( FILTER('départements_edition'!$C$2:$C$102 , 'départements_edition'!$C$2:$C$102=J434 ) ) ) , ""Oui"" , ""Non"" )"),"Oui")</f>
        <v>Oui</v>
      </c>
      <c r="L434" s="1" t="str">
        <f t="shared" si="2"/>
        <v>France</v>
      </c>
      <c r="M434" s="1">
        <v>69.0</v>
      </c>
      <c r="N434" s="1" t="s">
        <v>1363</v>
      </c>
      <c r="O434" s="1">
        <v>2.0</v>
      </c>
      <c r="P434" s="2">
        <v>42907.0</v>
      </c>
      <c r="R434" s="1">
        <v>0.0</v>
      </c>
      <c r="S434" s="1" t="s">
        <v>75</v>
      </c>
      <c r="T434" s="1" t="s">
        <v>76</v>
      </c>
      <c r="U434" s="1" t="s">
        <v>4476</v>
      </c>
      <c r="X434" s="1" t="s">
        <v>4477</v>
      </c>
      <c r="Y434" s="1">
        <v>308.0</v>
      </c>
      <c r="Z434" s="3" t="s">
        <v>4478</v>
      </c>
      <c r="AA434" s="1">
        <v>722344.0</v>
      </c>
      <c r="AB434" s="1" t="s">
        <v>4479</v>
      </c>
      <c r="AC434" s="3" t="s">
        <v>4480</v>
      </c>
      <c r="AD434" s="3" t="s">
        <v>4481</v>
      </c>
      <c r="AE434" s="1">
        <v>2.0</v>
      </c>
      <c r="AF434" s="1" t="s">
        <v>4482</v>
      </c>
      <c r="AG434" s="1">
        <v>17.0</v>
      </c>
      <c r="AH434" s="1">
        <v>34.0</v>
      </c>
      <c r="AI434" s="1">
        <v>12.0</v>
      </c>
      <c r="AJ434" s="1">
        <v>6.0</v>
      </c>
      <c r="AK434" s="1">
        <v>0.0</v>
      </c>
      <c r="AL434" s="1">
        <v>0.0</v>
      </c>
      <c r="AM434" s="1">
        <v>33.0</v>
      </c>
      <c r="AN434" s="1">
        <v>11.0</v>
      </c>
      <c r="AO434" s="1">
        <v>1.0</v>
      </c>
      <c r="AP434" s="1">
        <v>0.0</v>
      </c>
      <c r="AQ434" s="1">
        <v>6.0</v>
      </c>
      <c r="AR434" s="1">
        <v>0.0</v>
      </c>
      <c r="AS434" s="1">
        <v>1.0</v>
      </c>
    </row>
    <row r="435" hidden="1">
      <c r="A435" s="1">
        <v>37.0</v>
      </c>
      <c r="B435" s="1" t="s">
        <v>4483</v>
      </c>
      <c r="C435" s="1" t="s">
        <v>4484</v>
      </c>
      <c r="D435" s="1" t="s">
        <v>1421</v>
      </c>
      <c r="E435" s="1" t="s">
        <v>43</v>
      </c>
      <c r="F435" s="2">
        <v>30723.0</v>
      </c>
      <c r="G435" s="1">
        <f t="shared" si="1"/>
        <v>42</v>
      </c>
      <c r="H435" s="1" t="s">
        <v>4485</v>
      </c>
      <c r="I435" s="1" t="str">
        <f>IFERROR(__xludf.DUMMYFUNCTION("SPLIT(left(H435,len(H435)-1),""("")"),"Moulins ")</f>
        <v>Moulins </v>
      </c>
      <c r="J435" s="1" t="str">
        <f>IFERROR(__xludf.DUMMYFUNCTION("""COMPUTED_VALUE"""),"Allier")</f>
        <v>Allier</v>
      </c>
      <c r="K435" s="1" t="str">
        <f>IFERROR(__xludf.DUMMYFUNCTION("IF( COUNTA( IFERROR( FILTER('départements_edition'!$C$2:$C$102 , 'départements_edition'!$C$2:$C$102=J435 ) ) ) , ""Oui"" , ""Non"" )"),"Oui")</f>
        <v>Oui</v>
      </c>
      <c r="L435" s="1" t="str">
        <f t="shared" si="2"/>
        <v>France</v>
      </c>
      <c r="M435" s="1">
        <v>18.0</v>
      </c>
      <c r="N435" s="1" t="s">
        <v>2336</v>
      </c>
      <c r="O435" s="1">
        <v>3.0</v>
      </c>
      <c r="P435" s="2">
        <v>42907.0</v>
      </c>
      <c r="R435" s="1">
        <v>0.0</v>
      </c>
      <c r="S435" s="1" t="s">
        <v>75</v>
      </c>
      <c r="T435" s="1" t="s">
        <v>76</v>
      </c>
      <c r="U435" s="1" t="s">
        <v>4486</v>
      </c>
      <c r="X435" s="1" t="s">
        <v>162</v>
      </c>
      <c r="Y435" s="1">
        <v>388.0</v>
      </c>
      <c r="Z435" s="3" t="s">
        <v>4487</v>
      </c>
      <c r="AA435" s="1">
        <v>719052.0</v>
      </c>
      <c r="AB435" s="1" t="s">
        <v>4488</v>
      </c>
      <c r="AC435" s="3" t="s">
        <v>4489</v>
      </c>
      <c r="AD435" s="3" t="s">
        <v>4490</v>
      </c>
      <c r="AE435" s="1">
        <v>1.0</v>
      </c>
      <c r="AF435" s="1" t="s">
        <v>4491</v>
      </c>
      <c r="AG435" s="1">
        <v>17.0</v>
      </c>
      <c r="AH435" s="1">
        <v>34.0</v>
      </c>
      <c r="AI435" s="1">
        <v>10.0</v>
      </c>
      <c r="AJ435" s="1">
        <v>0.0</v>
      </c>
      <c r="AK435" s="1">
        <v>0.0</v>
      </c>
      <c r="AL435" s="1">
        <v>0.0</v>
      </c>
      <c r="AM435" s="1">
        <v>5.0</v>
      </c>
      <c r="AN435" s="1">
        <v>2.0</v>
      </c>
      <c r="AO435" s="1">
        <v>0.0</v>
      </c>
      <c r="AP435" s="1">
        <v>0.0</v>
      </c>
      <c r="AQ435" s="1">
        <v>5.0</v>
      </c>
      <c r="AR435" s="1">
        <v>11.0</v>
      </c>
      <c r="AS435" s="1">
        <v>0.0</v>
      </c>
    </row>
    <row r="436" hidden="1">
      <c r="A436" s="1">
        <v>265.0</v>
      </c>
      <c r="B436" s="1" t="s">
        <v>4492</v>
      </c>
      <c r="C436" s="1" t="s">
        <v>4493</v>
      </c>
      <c r="D436" s="1" t="s">
        <v>4494</v>
      </c>
      <c r="E436" s="1" t="s">
        <v>58</v>
      </c>
      <c r="F436" s="2">
        <v>17587.0</v>
      </c>
      <c r="G436" s="1">
        <f t="shared" si="1"/>
        <v>78</v>
      </c>
      <c r="H436" s="1" t="s">
        <v>718</v>
      </c>
      <c r="I436" s="1" t="str">
        <f>IFERROR(__xludf.DUMMYFUNCTION("SPLIT(left(H436,len(H436)-1),""("")"),"Marseille ")</f>
        <v>Marseille </v>
      </c>
      <c r="J436" s="1" t="str">
        <f>IFERROR(__xludf.DUMMYFUNCTION("""COMPUTED_VALUE"""),"Bouches-du-Rhône")</f>
        <v>Bouches-du-Rhône</v>
      </c>
      <c r="K436" s="1" t="str">
        <f>IFERROR(__xludf.DUMMYFUNCTION("IF( COUNTA( IFERROR( FILTER('départements_edition'!$C$2:$C$102 , 'départements_edition'!$C$2:$C$102=J436 ) ) ) , ""Oui"" , ""Non"" )"),"Oui")</f>
        <v>Oui</v>
      </c>
      <c r="L436" s="1" t="str">
        <f t="shared" si="2"/>
        <v>France</v>
      </c>
      <c r="M436" s="1">
        <v>83.0</v>
      </c>
      <c r="N436" s="1" t="s">
        <v>1231</v>
      </c>
      <c r="O436" s="1">
        <v>1.0</v>
      </c>
      <c r="P436" s="2">
        <v>42907.0</v>
      </c>
      <c r="R436" s="1">
        <v>0.0</v>
      </c>
      <c r="S436" s="1" t="s">
        <v>61</v>
      </c>
      <c r="T436" s="1" t="s">
        <v>62</v>
      </c>
      <c r="U436" s="1" t="s">
        <v>4495</v>
      </c>
      <c r="X436" s="1" t="s">
        <v>4496</v>
      </c>
      <c r="Y436" s="1">
        <v>87.0</v>
      </c>
      <c r="Z436" s="3" t="s">
        <v>4497</v>
      </c>
      <c r="AA436" s="1">
        <v>267378.0</v>
      </c>
      <c r="AB436" s="1" t="s">
        <v>4498</v>
      </c>
      <c r="AC436" s="3" t="s">
        <v>4499</v>
      </c>
      <c r="AD436" s="3" t="s">
        <v>4500</v>
      </c>
      <c r="AE436" s="1">
        <v>2.0</v>
      </c>
      <c r="AF436" s="1" t="s">
        <v>4501</v>
      </c>
      <c r="AG436" s="1">
        <v>17.0</v>
      </c>
      <c r="AH436" s="1">
        <v>17.0</v>
      </c>
      <c r="AI436" s="1">
        <v>4.0</v>
      </c>
      <c r="AJ436" s="1">
        <v>4.0</v>
      </c>
      <c r="AK436" s="1">
        <v>10.0</v>
      </c>
      <c r="AL436" s="1">
        <v>0.0</v>
      </c>
      <c r="AM436" s="1">
        <v>434.0</v>
      </c>
      <c r="AN436" s="1">
        <v>17.0</v>
      </c>
      <c r="AO436" s="1">
        <v>0.0</v>
      </c>
      <c r="AP436" s="1">
        <v>0.0</v>
      </c>
      <c r="AQ436" s="1">
        <v>24.0</v>
      </c>
      <c r="AR436" s="1">
        <v>5.0</v>
      </c>
      <c r="AS436" s="1">
        <v>2.0</v>
      </c>
    </row>
    <row r="437" hidden="1">
      <c r="A437" s="1">
        <v>531.0</v>
      </c>
      <c r="B437" s="1" t="s">
        <v>4502</v>
      </c>
      <c r="C437" s="1" t="s">
        <v>4503</v>
      </c>
      <c r="D437" s="1" t="s">
        <v>403</v>
      </c>
      <c r="E437" s="1" t="s">
        <v>58</v>
      </c>
      <c r="F437" s="2">
        <v>21806.0</v>
      </c>
      <c r="G437" s="1">
        <f t="shared" si="1"/>
        <v>66</v>
      </c>
      <c r="H437" s="1" t="s">
        <v>4504</v>
      </c>
      <c r="I437" s="1" t="str">
        <f>IFERROR(__xludf.DUMMYFUNCTION("SPLIT(left(H437,len(H437)-1),""("")"),"Montauban ")</f>
        <v>Montauban </v>
      </c>
      <c r="J437" s="1" t="str">
        <f>IFERROR(__xludf.DUMMYFUNCTION("""COMPUTED_VALUE"""),"Tarn-et-Garonne")</f>
        <v>Tarn-et-Garonne</v>
      </c>
      <c r="K437" s="1" t="str">
        <f>IFERROR(__xludf.DUMMYFUNCTION("IF( COUNTA( IFERROR( FILTER('départements_edition'!$C$2:$C$102 , 'départements_edition'!$C$2:$C$102=J437 ) ) ) , ""Oui"" , ""Non"" )"),"Oui")</f>
        <v>Oui</v>
      </c>
      <c r="L437" s="1" t="str">
        <f t="shared" si="2"/>
        <v>France</v>
      </c>
      <c r="M437" s="1">
        <v>33.0</v>
      </c>
      <c r="N437" s="1" t="s">
        <v>348</v>
      </c>
      <c r="O437" s="1">
        <v>9.0</v>
      </c>
      <c r="P437" s="2">
        <v>42907.0</v>
      </c>
      <c r="R437" s="1">
        <v>0.0</v>
      </c>
      <c r="S437" s="1" t="s">
        <v>280</v>
      </c>
      <c r="T437" s="1" t="s">
        <v>281</v>
      </c>
      <c r="U437" s="3" t="s">
        <v>4505</v>
      </c>
      <c r="X437" s="1">
        <v>0.0</v>
      </c>
      <c r="Y437" s="1">
        <v>256.0</v>
      </c>
      <c r="Z437" s="3" t="s">
        <v>4506</v>
      </c>
      <c r="AA437" s="1">
        <v>719640.0</v>
      </c>
      <c r="AB437" s="1" t="s">
        <v>4507</v>
      </c>
      <c r="AC437" s="3" t="s">
        <v>4508</v>
      </c>
      <c r="AD437" s="3" t="s">
        <v>4509</v>
      </c>
      <c r="AE437" s="1">
        <v>2.0</v>
      </c>
      <c r="AF437" s="1" t="s">
        <v>4510</v>
      </c>
      <c r="AG437" s="1">
        <v>17.0</v>
      </c>
      <c r="AH437" s="1">
        <v>38.0</v>
      </c>
      <c r="AI437" s="1">
        <v>20.0</v>
      </c>
      <c r="AJ437" s="1">
        <v>14.0</v>
      </c>
      <c r="AK437" s="1">
        <v>6.0</v>
      </c>
      <c r="AL437" s="1">
        <v>4.0</v>
      </c>
      <c r="AM437" s="1">
        <v>215.0</v>
      </c>
      <c r="AN437" s="1">
        <v>18.0</v>
      </c>
      <c r="AO437" s="1">
        <v>0.0</v>
      </c>
      <c r="AP437" s="1">
        <v>0.0</v>
      </c>
      <c r="AQ437" s="1">
        <v>5.0</v>
      </c>
      <c r="AR437" s="1">
        <v>0.0</v>
      </c>
      <c r="AS437" s="1">
        <v>2.0</v>
      </c>
    </row>
    <row r="438" hidden="1">
      <c r="A438" s="1">
        <v>353.0</v>
      </c>
      <c r="B438" s="1" t="s">
        <v>4511</v>
      </c>
      <c r="C438" s="1" t="s">
        <v>4512</v>
      </c>
      <c r="D438" s="1" t="s">
        <v>4513</v>
      </c>
      <c r="E438" s="1" t="s">
        <v>58</v>
      </c>
      <c r="F438" s="2">
        <v>30224.0</v>
      </c>
      <c r="G438" s="1">
        <f t="shared" si="1"/>
        <v>43</v>
      </c>
      <c r="H438" s="1" t="s">
        <v>3008</v>
      </c>
      <c r="I438" s="1" t="str">
        <f>IFERROR(__xludf.DUMMYFUNCTION("SPLIT(left(H438,len(H438)-1),""("")"),"Échirolles ")</f>
        <v>Échirolles </v>
      </c>
      <c r="J438" s="1" t="str">
        <f>IFERROR(__xludf.DUMMYFUNCTION("""COMPUTED_VALUE"""),"Isère")</f>
        <v>Isère</v>
      </c>
      <c r="K438" s="1" t="str">
        <f>IFERROR(__xludf.DUMMYFUNCTION("IF( COUNTA( IFERROR( FILTER('départements_edition'!$C$2:$C$102 , 'départements_edition'!$C$2:$C$102=J438 ) ) ) , ""Oui"" , ""Non"" )"),"Oui")</f>
        <v>Oui</v>
      </c>
      <c r="L438" s="1" t="str">
        <f t="shared" si="2"/>
        <v>France</v>
      </c>
      <c r="M438" s="1">
        <v>38.0</v>
      </c>
      <c r="N438" s="1" t="s">
        <v>267</v>
      </c>
      <c r="O438" s="1">
        <v>10.0</v>
      </c>
      <c r="P438" s="2">
        <v>42907.0</v>
      </c>
      <c r="R438" s="1">
        <v>0.0</v>
      </c>
      <c r="S438" s="1" t="s">
        <v>75</v>
      </c>
      <c r="T438" s="1" t="s">
        <v>76</v>
      </c>
      <c r="U438" s="1" t="s">
        <v>4514</v>
      </c>
      <c r="X438" s="1" t="s">
        <v>3925</v>
      </c>
      <c r="Y438" s="1">
        <v>279.0</v>
      </c>
      <c r="Z438" s="3" t="s">
        <v>4515</v>
      </c>
      <c r="AA438" s="1">
        <v>719882.0</v>
      </c>
      <c r="AB438" s="1" t="s">
        <v>4516</v>
      </c>
      <c r="AC438" s="3" t="s">
        <v>4517</v>
      </c>
      <c r="AD438" s="3" t="s">
        <v>4518</v>
      </c>
      <c r="AE438" s="1">
        <v>1.0</v>
      </c>
      <c r="AF438" s="1" t="s">
        <v>4519</v>
      </c>
      <c r="AG438" s="1">
        <v>17.0</v>
      </c>
      <c r="AH438" s="1">
        <v>24.0</v>
      </c>
      <c r="AI438" s="1">
        <v>1.0</v>
      </c>
      <c r="AJ438" s="1">
        <v>2.0</v>
      </c>
      <c r="AK438" s="1">
        <v>0.0</v>
      </c>
      <c r="AL438" s="1">
        <v>0.0</v>
      </c>
      <c r="AM438" s="1">
        <v>73.0</v>
      </c>
      <c r="AN438" s="1">
        <v>44.0</v>
      </c>
      <c r="AO438" s="1">
        <v>0.0</v>
      </c>
      <c r="AP438" s="1">
        <v>0.0</v>
      </c>
      <c r="AQ438" s="1">
        <v>5.0</v>
      </c>
      <c r="AR438" s="1">
        <v>0.0</v>
      </c>
      <c r="AS438" s="1">
        <v>1.0</v>
      </c>
    </row>
    <row r="439" hidden="1">
      <c r="A439" s="1">
        <v>105.0</v>
      </c>
      <c r="B439" s="1" t="s">
        <v>4520</v>
      </c>
      <c r="C439" s="1" t="s">
        <v>4521</v>
      </c>
      <c r="D439" s="1" t="s">
        <v>1561</v>
      </c>
      <c r="E439" s="1" t="s">
        <v>43</v>
      </c>
      <c r="F439" s="2">
        <v>32170.0</v>
      </c>
      <c r="G439" s="1">
        <f t="shared" si="1"/>
        <v>38</v>
      </c>
      <c r="H439" s="1" t="s">
        <v>4522</v>
      </c>
      <c r="I439" s="1" t="str">
        <f>IFERROR(__xludf.DUMMYFUNCTION("SPLIT(left(H439,len(H439)-1),""("")"),"Mamers ")</f>
        <v>Mamers </v>
      </c>
      <c r="J439" s="1" t="str">
        <f>IFERROR(__xludf.DUMMYFUNCTION("""COMPUTED_VALUE"""),"Sarthe")</f>
        <v>Sarthe</v>
      </c>
      <c r="K439" s="1" t="str">
        <f>IFERROR(__xludf.DUMMYFUNCTION("IF( COUNTA( IFERROR( FILTER('départements_edition'!$C$2:$C$102 , 'départements_edition'!$C$2:$C$102=J439 ) ) ) , ""Oui"" , ""Non"" )"),"Oui")</f>
        <v>Oui</v>
      </c>
      <c r="L439" s="1" t="str">
        <f t="shared" si="2"/>
        <v>France</v>
      </c>
      <c r="M439" s="1">
        <v>72.0</v>
      </c>
      <c r="N439" s="1" t="s">
        <v>2494</v>
      </c>
      <c r="O439" s="1">
        <v>1.0</v>
      </c>
      <c r="P439" s="2">
        <v>42907.0</v>
      </c>
      <c r="R439" s="1">
        <v>0.0</v>
      </c>
      <c r="S439" s="1" t="s">
        <v>75</v>
      </c>
      <c r="T439" s="1" t="s">
        <v>76</v>
      </c>
      <c r="U439" s="1" t="s">
        <v>4523</v>
      </c>
      <c r="X439" s="1" t="s">
        <v>967</v>
      </c>
      <c r="Y439" s="1">
        <v>303.0</v>
      </c>
      <c r="Z439" s="3" t="s">
        <v>4524</v>
      </c>
      <c r="AA439" s="1">
        <v>721372.0</v>
      </c>
      <c r="AB439" s="1" t="s">
        <v>4525</v>
      </c>
      <c r="AC439" s="3" t="s">
        <v>4526</v>
      </c>
      <c r="AD439" s="3" t="s">
        <v>4527</v>
      </c>
      <c r="AE439" s="1">
        <v>1.0</v>
      </c>
      <c r="AF439" s="1" t="s">
        <v>4528</v>
      </c>
      <c r="AG439" s="1">
        <v>17.0</v>
      </c>
      <c r="AH439" s="1">
        <v>35.0</v>
      </c>
      <c r="AI439" s="1">
        <v>19.0</v>
      </c>
      <c r="AJ439" s="1">
        <v>12.0</v>
      </c>
      <c r="AK439" s="1">
        <v>3.0</v>
      </c>
      <c r="AL439" s="1">
        <v>1.0</v>
      </c>
      <c r="AM439" s="1">
        <v>73.0</v>
      </c>
      <c r="AN439" s="1">
        <v>42.0</v>
      </c>
      <c r="AO439" s="1">
        <v>1.0</v>
      </c>
      <c r="AP439" s="1">
        <v>0.0</v>
      </c>
      <c r="AQ439" s="1">
        <v>6.0</v>
      </c>
      <c r="AR439" s="1">
        <v>9.0</v>
      </c>
      <c r="AS439" s="1">
        <v>1.0</v>
      </c>
    </row>
    <row r="440" hidden="1">
      <c r="A440" s="1">
        <v>160.0</v>
      </c>
      <c r="B440" s="1" t="s">
        <v>4529</v>
      </c>
      <c r="C440" s="1" t="s">
        <v>4530</v>
      </c>
      <c r="D440" s="1" t="s">
        <v>3056</v>
      </c>
      <c r="E440" s="1" t="s">
        <v>43</v>
      </c>
      <c r="F440" s="2">
        <v>24029.0</v>
      </c>
      <c r="G440" s="1">
        <f t="shared" si="1"/>
        <v>60</v>
      </c>
      <c r="H440" s="1" t="s">
        <v>404</v>
      </c>
      <c r="I440" s="1" t="str">
        <f>IFERROR(__xludf.DUMMYFUNCTION("SPLIT(left(H440,len(H440)-1),""("")"),"Toulouse ")</f>
        <v>Toulouse </v>
      </c>
      <c r="J440" s="1" t="str">
        <f>IFERROR(__xludf.DUMMYFUNCTION("""COMPUTED_VALUE"""),"Haute-Garonne")</f>
        <v>Haute-Garonne</v>
      </c>
      <c r="K440" s="1" t="str">
        <f>IFERROR(__xludf.DUMMYFUNCTION("IF( COUNTA( IFERROR( FILTER('départements_edition'!$C$2:$C$102 , 'départements_edition'!$C$2:$C$102=J440 ) ) ) , ""Oui"" , ""Non"" )"),"Oui")</f>
        <v>Oui</v>
      </c>
      <c r="L440" s="1" t="str">
        <f t="shared" si="2"/>
        <v>France</v>
      </c>
      <c r="M440" s="1">
        <v>31.0</v>
      </c>
      <c r="N440" s="1" t="s">
        <v>360</v>
      </c>
      <c r="O440" s="1">
        <v>5.0</v>
      </c>
      <c r="P440" s="2">
        <v>42907.0</v>
      </c>
      <c r="R440" s="1">
        <v>0.0</v>
      </c>
      <c r="S440" s="1" t="s">
        <v>75</v>
      </c>
      <c r="T440" s="1" t="s">
        <v>76</v>
      </c>
      <c r="U440" s="1" t="s">
        <v>4531</v>
      </c>
      <c r="X440" s="1" t="s">
        <v>4532</v>
      </c>
      <c r="Y440" s="1">
        <v>645.0</v>
      </c>
      <c r="Z440" s="3" t="s">
        <v>4533</v>
      </c>
      <c r="AA440" s="1">
        <v>719528.0</v>
      </c>
      <c r="AB440" s="1" t="s">
        <v>4534</v>
      </c>
      <c r="AC440" s="3" t="s">
        <v>4535</v>
      </c>
      <c r="AD440" s="3" t="s">
        <v>4536</v>
      </c>
      <c r="AE440" s="1">
        <v>1.0</v>
      </c>
      <c r="AF440" s="1" t="s">
        <v>4537</v>
      </c>
      <c r="AG440" s="1">
        <v>17.0</v>
      </c>
      <c r="AH440" s="1">
        <v>23.0</v>
      </c>
      <c r="AI440" s="1">
        <v>0.0</v>
      </c>
      <c r="AJ440" s="1">
        <v>0.0</v>
      </c>
      <c r="AK440" s="1">
        <v>0.0</v>
      </c>
      <c r="AL440" s="1">
        <v>0.0</v>
      </c>
      <c r="AM440" s="1">
        <v>29.0</v>
      </c>
      <c r="AN440" s="1">
        <v>7.0</v>
      </c>
      <c r="AO440" s="1">
        <v>0.0</v>
      </c>
      <c r="AP440" s="1">
        <v>0.0</v>
      </c>
      <c r="AQ440" s="1">
        <v>5.0</v>
      </c>
      <c r="AR440" s="1">
        <v>3.0</v>
      </c>
      <c r="AS440" s="1">
        <v>0.0</v>
      </c>
    </row>
    <row r="441" hidden="1">
      <c r="A441" s="1">
        <v>312.0</v>
      </c>
      <c r="B441" s="1" t="s">
        <v>4538</v>
      </c>
      <c r="C441" s="1" t="s">
        <v>4539</v>
      </c>
      <c r="D441" s="1" t="s">
        <v>3047</v>
      </c>
      <c r="E441" s="1" t="s">
        <v>43</v>
      </c>
      <c r="F441" s="2">
        <v>18214.0</v>
      </c>
      <c r="G441" s="1">
        <f t="shared" si="1"/>
        <v>76</v>
      </c>
      <c r="H441" s="1" t="s">
        <v>4540</v>
      </c>
      <c r="I441" s="1" t="str">
        <f>IFERROR(__xludf.DUMMYFUNCTION("SPLIT(left(H441,len(H441)-1),""("")"),"Haguenau ")</f>
        <v>Haguenau </v>
      </c>
      <c r="J441" s="1" t="str">
        <f>IFERROR(__xludf.DUMMYFUNCTION("""COMPUTED_VALUE"""),"Bas-Rhin")</f>
        <v>Bas-Rhin</v>
      </c>
      <c r="K441" s="1" t="str">
        <f>IFERROR(__xludf.DUMMYFUNCTION("IF( COUNTA( IFERROR( FILTER('départements_edition'!$C$2:$C$102 , 'départements_edition'!$C$2:$C$102=J441 ) ) ) , ""Oui"" , ""Non"" )"),"Oui")</f>
        <v>Oui</v>
      </c>
      <c r="L441" s="1" t="str">
        <f t="shared" si="2"/>
        <v>France</v>
      </c>
      <c r="M441" s="1">
        <v>67.0</v>
      </c>
      <c r="N441" s="1" t="s">
        <v>244</v>
      </c>
      <c r="O441" s="1">
        <v>8.0</v>
      </c>
      <c r="P441" s="2">
        <v>42907.0</v>
      </c>
      <c r="R441" s="1">
        <v>0.0</v>
      </c>
      <c r="S441" s="1" t="s">
        <v>61</v>
      </c>
      <c r="T441" s="1" t="s">
        <v>62</v>
      </c>
      <c r="U441" s="3" t="s">
        <v>4541</v>
      </c>
      <c r="X441" s="1" t="s">
        <v>4542</v>
      </c>
      <c r="Y441" s="1">
        <v>77.0</v>
      </c>
      <c r="Z441" s="3" t="s">
        <v>4543</v>
      </c>
      <c r="AA441" s="1">
        <v>266776.0</v>
      </c>
      <c r="AB441" s="1" t="s">
        <v>4544</v>
      </c>
      <c r="AC441" s="3" t="s">
        <v>4545</v>
      </c>
      <c r="AD441" s="3" t="s">
        <v>4546</v>
      </c>
      <c r="AE441" s="1">
        <v>1.0</v>
      </c>
      <c r="AG441" s="1">
        <v>17.0</v>
      </c>
      <c r="AH441" s="1">
        <v>46.0</v>
      </c>
      <c r="AI441" s="1">
        <v>51.0</v>
      </c>
      <c r="AJ441" s="1">
        <v>36.0</v>
      </c>
      <c r="AK441" s="1">
        <v>63.0</v>
      </c>
      <c r="AL441" s="1">
        <v>23.0</v>
      </c>
      <c r="AM441" s="1">
        <v>823.0</v>
      </c>
      <c r="AN441" s="1">
        <v>33.0</v>
      </c>
      <c r="AO441" s="1">
        <v>1.0</v>
      </c>
      <c r="AP441" s="1">
        <v>0.0</v>
      </c>
      <c r="AQ441" s="1">
        <v>31.0</v>
      </c>
      <c r="AR441" s="1">
        <v>9.0</v>
      </c>
      <c r="AS441" s="1">
        <v>1.0</v>
      </c>
    </row>
    <row r="442" hidden="1">
      <c r="A442" s="1">
        <v>148.0</v>
      </c>
      <c r="B442" s="1" t="s">
        <v>4547</v>
      </c>
      <c r="C442" s="1" t="s">
        <v>4548</v>
      </c>
      <c r="D442" s="1" t="s">
        <v>4549</v>
      </c>
      <c r="E442" s="1" t="s">
        <v>58</v>
      </c>
      <c r="F442" s="2">
        <v>28480.0</v>
      </c>
      <c r="G442" s="1">
        <f t="shared" si="1"/>
        <v>48</v>
      </c>
      <c r="H442" s="1" t="s">
        <v>4550</v>
      </c>
      <c r="I442" s="1" t="str">
        <f>IFERROR(__xludf.DUMMYFUNCTION("SPLIT(left(H442,len(H442)-1),""("")"),"Châteauroux ")</f>
        <v>Châteauroux </v>
      </c>
      <c r="J442" s="1" t="str">
        <f>IFERROR(__xludf.DUMMYFUNCTION("""COMPUTED_VALUE"""),"Indre")</f>
        <v>Indre</v>
      </c>
      <c r="K442" s="1" t="str">
        <f>IFERROR(__xludf.DUMMYFUNCTION("IF( COUNTA( IFERROR( FILTER('départements_edition'!$C$2:$C$102 , 'départements_edition'!$C$2:$C$102=J442 ) ) ) , ""Oui"" , ""Non"" )"),"Oui")</f>
        <v>Oui</v>
      </c>
      <c r="L442" s="1" t="str">
        <f t="shared" si="2"/>
        <v>France</v>
      </c>
      <c r="M442" s="1">
        <v>34.0</v>
      </c>
      <c r="N442" s="1" t="s">
        <v>1252</v>
      </c>
      <c r="O442" s="1">
        <v>2.0</v>
      </c>
      <c r="P442" s="2">
        <v>42907.0</v>
      </c>
      <c r="R442" s="1">
        <v>0.0</v>
      </c>
      <c r="S442" s="1" t="s">
        <v>173</v>
      </c>
      <c r="T442" s="1" t="s">
        <v>174</v>
      </c>
      <c r="U442" s="1" t="s">
        <v>4551</v>
      </c>
      <c r="X442" s="1" t="s">
        <v>3601</v>
      </c>
      <c r="Y442" s="1">
        <v>620.0</v>
      </c>
      <c r="Z442" s="3" t="s">
        <v>4552</v>
      </c>
      <c r="AA442" s="1">
        <v>719676.0</v>
      </c>
      <c r="AB442" s="1" t="s">
        <v>4553</v>
      </c>
      <c r="AC442" s="3" t="s">
        <v>4554</v>
      </c>
      <c r="AD442" s="3" t="s">
        <v>4555</v>
      </c>
      <c r="AE442" s="1">
        <v>1.0</v>
      </c>
      <c r="AF442" s="1" t="s">
        <v>4556</v>
      </c>
      <c r="AG442" s="1">
        <v>17.0</v>
      </c>
      <c r="AH442" s="1">
        <v>22.0</v>
      </c>
      <c r="AI442" s="1">
        <v>8.0</v>
      </c>
      <c r="AJ442" s="1">
        <v>27.0</v>
      </c>
      <c r="AK442" s="1">
        <v>32.0</v>
      </c>
      <c r="AL442" s="1">
        <v>133.0</v>
      </c>
      <c r="AM442" s="1">
        <v>2062.0</v>
      </c>
      <c r="AN442" s="1">
        <v>32.0</v>
      </c>
      <c r="AO442" s="1">
        <v>0.0</v>
      </c>
      <c r="AP442" s="1">
        <v>0.0</v>
      </c>
      <c r="AQ442" s="1">
        <v>12.0</v>
      </c>
      <c r="AR442" s="1">
        <v>14.0</v>
      </c>
      <c r="AS442" s="1">
        <v>1.0</v>
      </c>
    </row>
    <row r="443" hidden="1">
      <c r="A443" s="1">
        <v>194.0</v>
      </c>
      <c r="B443" s="1" t="s">
        <v>4557</v>
      </c>
      <c r="C443" s="1" t="s">
        <v>4558</v>
      </c>
      <c r="D443" s="1" t="s">
        <v>4559</v>
      </c>
      <c r="E443" s="1" t="s">
        <v>58</v>
      </c>
      <c r="F443" s="2">
        <v>30820.0</v>
      </c>
      <c r="G443" s="1">
        <f t="shared" si="1"/>
        <v>42</v>
      </c>
      <c r="H443" s="1" t="s">
        <v>1761</v>
      </c>
      <c r="I443" s="1" t="str">
        <f>IFERROR(__xludf.DUMMYFUNCTION("SPLIT(left(H443,len(H443)-1),""("")"),"Toulon ")</f>
        <v>Toulon </v>
      </c>
      <c r="J443" s="1" t="str">
        <f>IFERROR(__xludf.DUMMYFUNCTION("""COMPUTED_VALUE"""),"Var")</f>
        <v>Var</v>
      </c>
      <c r="K443" s="1" t="str">
        <f>IFERROR(__xludf.DUMMYFUNCTION("IF( COUNTA( IFERROR( FILTER('départements_edition'!$C$2:$C$102 , 'départements_edition'!$C$2:$C$102=J443 ) ) ) , ""Oui"" , ""Non"" )"),"Oui")</f>
        <v>Oui</v>
      </c>
      <c r="L443" s="1" t="str">
        <f t="shared" si="2"/>
        <v>France</v>
      </c>
      <c r="M443" s="1">
        <v>92.0</v>
      </c>
      <c r="N443" s="1" t="s">
        <v>781</v>
      </c>
      <c r="O443" s="1">
        <v>11.0</v>
      </c>
      <c r="P443" s="2">
        <v>42907.0</v>
      </c>
      <c r="R443" s="1">
        <v>0.0</v>
      </c>
      <c r="S443" s="1" t="s">
        <v>75</v>
      </c>
      <c r="T443" s="1" t="s">
        <v>76</v>
      </c>
      <c r="U443" s="1" t="s">
        <v>4560</v>
      </c>
      <c r="X443" s="1" t="s">
        <v>2940</v>
      </c>
      <c r="Y443" s="1">
        <v>441.0</v>
      </c>
      <c r="Z443" s="3" t="s">
        <v>4561</v>
      </c>
      <c r="AA443" s="1">
        <v>721600.0</v>
      </c>
      <c r="AB443" s="1" t="s">
        <v>4562</v>
      </c>
      <c r="AC443" s="3" t="s">
        <v>4563</v>
      </c>
      <c r="AD443" s="3" t="s">
        <v>4564</v>
      </c>
      <c r="AE443" s="1">
        <v>1.0</v>
      </c>
      <c r="AF443" s="1" t="s">
        <v>4565</v>
      </c>
      <c r="AG443" s="1">
        <v>17.0</v>
      </c>
      <c r="AH443" s="1">
        <v>18.0</v>
      </c>
      <c r="AI443" s="1">
        <v>28.0</v>
      </c>
      <c r="AJ443" s="1">
        <v>17.0</v>
      </c>
      <c r="AK443" s="1">
        <v>10.0</v>
      </c>
      <c r="AL443" s="1">
        <v>7.0</v>
      </c>
      <c r="AM443" s="1">
        <v>109.0</v>
      </c>
      <c r="AN443" s="1">
        <v>51.0</v>
      </c>
      <c r="AO443" s="1">
        <v>1.0</v>
      </c>
      <c r="AP443" s="1">
        <v>0.0</v>
      </c>
      <c r="AQ443" s="1">
        <v>8.0</v>
      </c>
      <c r="AR443" s="1">
        <v>5.0</v>
      </c>
      <c r="AS443" s="1">
        <v>2.0</v>
      </c>
    </row>
    <row r="444" hidden="1">
      <c r="A444" s="1">
        <v>21.0</v>
      </c>
      <c r="B444" s="1" t="s">
        <v>4576</v>
      </c>
      <c r="C444" s="1" t="s">
        <v>4577</v>
      </c>
      <c r="D444" s="1" t="s">
        <v>2982</v>
      </c>
      <c r="E444" s="1" t="s">
        <v>43</v>
      </c>
      <c r="F444" s="2">
        <v>23870.0</v>
      </c>
      <c r="G444" s="1">
        <f t="shared" si="1"/>
        <v>61</v>
      </c>
      <c r="H444" s="1" t="s">
        <v>4578</v>
      </c>
      <c r="I444" s="1" t="str">
        <f>IFERROR(__xludf.DUMMYFUNCTION("SPLIT(left(H444,len(H444)-1),""("")"),"Cherbourg ")</f>
        <v>Cherbourg </v>
      </c>
      <c r="J444" s="1" t="str">
        <f>IFERROR(__xludf.DUMMYFUNCTION("""COMPUTED_VALUE"""),"Manche")</f>
        <v>Manche</v>
      </c>
      <c r="K444" s="1" t="str">
        <f>IFERROR(__xludf.DUMMYFUNCTION("IF( COUNTA( IFERROR( FILTER('départements_edition'!$C$2:$C$102 , 'départements_edition'!$C$2:$C$102=J444 ) ) ) , ""Oui"" , ""Non"" )"),"Oui")</f>
        <v>Oui</v>
      </c>
      <c r="L444" s="1" t="str">
        <f t="shared" si="2"/>
        <v>France</v>
      </c>
      <c r="M444" s="1">
        <v>50.0</v>
      </c>
      <c r="N444" s="1" t="s">
        <v>2472</v>
      </c>
      <c r="O444" s="1">
        <v>2.0</v>
      </c>
      <c r="P444" s="2">
        <v>42907.0</v>
      </c>
      <c r="R444" s="1">
        <v>0.0</v>
      </c>
      <c r="S444" s="1" t="s">
        <v>75</v>
      </c>
      <c r="T444" s="1" t="s">
        <v>76</v>
      </c>
      <c r="U444" s="1" t="s">
        <v>4579</v>
      </c>
      <c r="X444" s="1" t="s">
        <v>4580</v>
      </c>
      <c r="Y444" s="1">
        <v>559.0</v>
      </c>
      <c r="Z444" s="3" t="s">
        <v>4581</v>
      </c>
      <c r="AA444" s="1">
        <v>720190.0</v>
      </c>
      <c r="AB444" s="1" t="s">
        <v>4582</v>
      </c>
      <c r="AC444" s="3" t="s">
        <v>4583</v>
      </c>
      <c r="AD444" s="3" t="s">
        <v>4584</v>
      </c>
      <c r="AE444" s="1">
        <v>2.0</v>
      </c>
      <c r="AF444" s="1" t="s">
        <v>4585</v>
      </c>
      <c r="AG444" s="1">
        <v>17.0</v>
      </c>
      <c r="AH444" s="1">
        <v>34.0</v>
      </c>
      <c r="AI444" s="1">
        <v>33.0</v>
      </c>
      <c r="AJ444" s="1">
        <v>12.0</v>
      </c>
      <c r="AK444" s="1">
        <v>6.0</v>
      </c>
      <c r="AL444" s="1">
        <v>2.0</v>
      </c>
      <c r="AM444" s="1">
        <v>66.0</v>
      </c>
      <c r="AN444" s="1">
        <v>17.0</v>
      </c>
      <c r="AO444" s="1">
        <v>1.0</v>
      </c>
      <c r="AP444" s="1">
        <v>0.0</v>
      </c>
      <c r="AQ444" s="1">
        <v>6.0</v>
      </c>
      <c r="AR444" s="1">
        <v>21.0</v>
      </c>
      <c r="AS444" s="1">
        <v>3.0</v>
      </c>
    </row>
    <row r="445" hidden="1">
      <c r="A445" s="1">
        <v>381.0</v>
      </c>
      <c r="B445" s="1" t="s">
        <v>4586</v>
      </c>
      <c r="C445" s="1" t="s">
        <v>4587</v>
      </c>
      <c r="D445" s="1" t="s">
        <v>2503</v>
      </c>
      <c r="E445" s="1" t="s">
        <v>58</v>
      </c>
      <c r="F445" s="2">
        <v>22916.0</v>
      </c>
      <c r="G445" s="1">
        <f t="shared" si="1"/>
        <v>63</v>
      </c>
      <c r="H445" s="1" t="s">
        <v>4588</v>
      </c>
      <c r="I445" s="1" t="str">
        <f>IFERROR(__xludf.DUMMYFUNCTION("SPLIT(left(H445,len(H445)-1),""("")"),"Petit-Quevilly ")</f>
        <v>Petit-Quevilly </v>
      </c>
      <c r="J445" s="1" t="str">
        <f>IFERROR(__xludf.DUMMYFUNCTION("""COMPUTED_VALUE"""),"Seine-Maritime")</f>
        <v>Seine-Maritime</v>
      </c>
      <c r="K445" s="1" t="str">
        <f>IFERROR(__xludf.DUMMYFUNCTION("IF( COUNTA( IFERROR( FILTER('départements_edition'!$C$2:$C$102 , 'départements_edition'!$C$2:$C$102=J445 ) ) ) , ""Oui"" , ""Non"" )"),"Oui")</f>
        <v>Oui</v>
      </c>
      <c r="L445" s="1" t="str">
        <f t="shared" si="2"/>
        <v>France</v>
      </c>
      <c r="M445" s="1">
        <v>27.0</v>
      </c>
      <c r="N445" s="1" t="s">
        <v>2698</v>
      </c>
      <c r="O445" s="1">
        <v>3.0</v>
      </c>
      <c r="P445" s="2">
        <v>42907.0</v>
      </c>
      <c r="R445" s="1">
        <v>0.0</v>
      </c>
      <c r="S445" s="1" t="s">
        <v>75</v>
      </c>
      <c r="T445" s="1" t="s">
        <v>76</v>
      </c>
      <c r="U445" s="1" t="s">
        <v>4589</v>
      </c>
      <c r="X445" s="1" t="s">
        <v>151</v>
      </c>
      <c r="Y445" s="1">
        <v>224.0</v>
      </c>
      <c r="Z445" s="3" t="s">
        <v>4590</v>
      </c>
      <c r="AA445" s="1">
        <v>719350.0</v>
      </c>
      <c r="AB445" s="1" t="s">
        <v>4591</v>
      </c>
      <c r="AC445" s="3" t="s">
        <v>4592</v>
      </c>
      <c r="AD445" s="3" t="s">
        <v>4593</v>
      </c>
      <c r="AE445" s="1">
        <v>1.0</v>
      </c>
      <c r="AF445" s="1" t="s">
        <v>4594</v>
      </c>
      <c r="AG445" s="1">
        <v>17.0</v>
      </c>
      <c r="AH445" s="1">
        <v>37.0</v>
      </c>
      <c r="AI445" s="1">
        <v>14.0</v>
      </c>
      <c r="AJ445" s="1">
        <v>5.0</v>
      </c>
      <c r="AK445" s="1">
        <v>0.0</v>
      </c>
      <c r="AL445" s="1">
        <v>0.0</v>
      </c>
      <c r="AM445" s="1">
        <v>62.0</v>
      </c>
      <c r="AN445" s="1">
        <v>25.0</v>
      </c>
      <c r="AO445" s="1">
        <v>1.0</v>
      </c>
      <c r="AP445" s="1">
        <v>0.0</v>
      </c>
      <c r="AQ445" s="1">
        <v>7.0</v>
      </c>
      <c r="AR445" s="1">
        <v>3.0</v>
      </c>
      <c r="AS445" s="1">
        <v>1.0</v>
      </c>
    </row>
    <row r="446" hidden="1">
      <c r="A446" s="1">
        <v>191.0</v>
      </c>
      <c r="B446" s="1" t="s">
        <v>4605</v>
      </c>
      <c r="C446" s="1" t="s">
        <v>4606</v>
      </c>
      <c r="D446" s="1" t="s">
        <v>1540</v>
      </c>
      <c r="E446" s="1" t="s">
        <v>43</v>
      </c>
      <c r="F446" s="2">
        <v>24968.0</v>
      </c>
      <c r="G446" s="1">
        <f t="shared" si="1"/>
        <v>58</v>
      </c>
      <c r="H446" s="1" t="s">
        <v>4607</v>
      </c>
      <c r="I446" s="1" t="str">
        <f>IFERROR(__xludf.DUMMYFUNCTION("SPLIT(left(H446,len(H446)-1),""("")"),"Aulnay-sous-Bois ")</f>
        <v>Aulnay-sous-Bois </v>
      </c>
      <c r="J446" s="1" t="str">
        <f>IFERROR(__xludf.DUMMYFUNCTION("""COMPUTED_VALUE"""),"Seine-Saint-Denis")</f>
        <v>Seine-Saint-Denis</v>
      </c>
      <c r="K446" s="1" t="str">
        <f>IFERROR(__xludf.DUMMYFUNCTION("IF( COUNTA( IFERROR( FILTER('départements_edition'!$C$2:$C$102 , 'départements_edition'!$C$2:$C$102=J446 ) ) ) , ""Oui"" , ""Non"" )"),"Oui")</f>
        <v>Oui</v>
      </c>
      <c r="L446" s="1" t="str">
        <f t="shared" si="2"/>
        <v>France</v>
      </c>
      <c r="M446" s="1">
        <v>93.0</v>
      </c>
      <c r="N446" s="1" t="s">
        <v>196</v>
      </c>
      <c r="O446" s="1">
        <v>12.0</v>
      </c>
      <c r="P446" s="2">
        <v>42907.0</v>
      </c>
      <c r="R446" s="1">
        <v>0.0</v>
      </c>
      <c r="S446" s="1" t="s">
        <v>75</v>
      </c>
      <c r="T446" s="1" t="s">
        <v>76</v>
      </c>
      <c r="U446" s="1" t="s">
        <v>4608</v>
      </c>
      <c r="X446" s="1" t="s">
        <v>4609</v>
      </c>
      <c r="Y446" s="1">
        <v>380.0</v>
      </c>
      <c r="Z446" s="3" t="s">
        <v>4610</v>
      </c>
      <c r="AA446" s="1">
        <v>720854.0</v>
      </c>
      <c r="AB446" s="1" t="s">
        <v>4611</v>
      </c>
      <c r="AC446" s="3" t="s">
        <v>4612</v>
      </c>
      <c r="AD446" s="3" t="s">
        <v>4613</v>
      </c>
      <c r="AE446" s="1">
        <v>1.0</v>
      </c>
      <c r="AG446" s="1">
        <v>17.0</v>
      </c>
      <c r="AH446" s="1">
        <v>35.0</v>
      </c>
      <c r="AI446" s="1">
        <v>21.0</v>
      </c>
      <c r="AJ446" s="1">
        <v>16.0</v>
      </c>
      <c r="AK446" s="1">
        <v>0.0</v>
      </c>
      <c r="AL446" s="1">
        <v>2.0</v>
      </c>
      <c r="AM446" s="1">
        <v>68.0</v>
      </c>
      <c r="AN446" s="1">
        <v>19.0</v>
      </c>
      <c r="AO446" s="1">
        <v>0.0</v>
      </c>
      <c r="AP446" s="1">
        <v>0.0</v>
      </c>
      <c r="AQ446" s="1">
        <v>7.0</v>
      </c>
      <c r="AR446" s="1">
        <v>26.0</v>
      </c>
      <c r="AS446" s="1">
        <v>1.0</v>
      </c>
    </row>
    <row r="447" hidden="1">
      <c r="A447" s="1">
        <v>44.0</v>
      </c>
      <c r="B447" s="1" t="s">
        <v>4624</v>
      </c>
      <c r="C447" s="1" t="s">
        <v>4625</v>
      </c>
      <c r="D447" s="1" t="s">
        <v>866</v>
      </c>
      <c r="E447" s="1" t="s">
        <v>43</v>
      </c>
      <c r="F447" s="2">
        <v>24705.0</v>
      </c>
      <c r="G447" s="1">
        <f t="shared" si="1"/>
        <v>58</v>
      </c>
      <c r="H447" s="1" t="s">
        <v>975</v>
      </c>
      <c r="I447" s="1" t="str">
        <f>IFERROR(__xludf.DUMMYFUNCTION("SPLIT(left(H447,len(H447)-1),""("")"),"Saint-Quentin ")</f>
        <v>Saint-Quentin </v>
      </c>
      <c r="J447" s="1" t="str">
        <f>IFERROR(__xludf.DUMMYFUNCTION("""COMPUTED_VALUE"""),"Aisne")</f>
        <v>Aisne</v>
      </c>
      <c r="K447" s="1" t="str">
        <f>IFERROR(__xludf.DUMMYFUNCTION("IF( COUNTA( IFERROR( FILTER('départements_edition'!$C$2:$C$102 , 'départements_edition'!$C$2:$C$102=J447 ) ) ) , ""Oui"" , ""Non"" )"),"Oui")</f>
        <v>Oui</v>
      </c>
      <c r="L447" s="1" t="str">
        <f t="shared" si="2"/>
        <v>France</v>
      </c>
      <c r="M447" s="1">
        <v>60.0</v>
      </c>
      <c r="N447" s="1" t="s">
        <v>769</v>
      </c>
      <c r="O447" s="1">
        <v>5.0</v>
      </c>
      <c r="P447" s="2">
        <v>42907.0</v>
      </c>
      <c r="R447" s="1">
        <v>0.0</v>
      </c>
      <c r="S447" s="1" t="s">
        <v>61</v>
      </c>
      <c r="T447" s="1" t="s">
        <v>62</v>
      </c>
      <c r="U447" s="3" t="s">
        <v>4626</v>
      </c>
      <c r="X447" s="1" t="s">
        <v>1086</v>
      </c>
      <c r="Y447" s="1">
        <v>31.0</v>
      </c>
      <c r="Z447" s="3" t="s">
        <v>4627</v>
      </c>
      <c r="AA447" s="1">
        <v>720586.0</v>
      </c>
      <c r="AB447" s="1" t="s">
        <v>4628</v>
      </c>
      <c r="AC447" s="3" t="s">
        <v>4629</v>
      </c>
      <c r="AD447" s="3" t="s">
        <v>4630</v>
      </c>
      <c r="AE447" s="1">
        <v>1.0</v>
      </c>
      <c r="AG447" s="1">
        <v>17.0</v>
      </c>
      <c r="AH447" s="1">
        <v>22.0</v>
      </c>
      <c r="AI447" s="1">
        <v>4.0</v>
      </c>
      <c r="AJ447" s="1">
        <v>9.0</v>
      </c>
      <c r="AK447" s="1">
        <v>4.0</v>
      </c>
      <c r="AL447" s="1">
        <v>9.0</v>
      </c>
      <c r="AM447" s="1">
        <v>410.0</v>
      </c>
      <c r="AN447" s="1">
        <v>16.0</v>
      </c>
      <c r="AO447" s="1">
        <v>0.0</v>
      </c>
      <c r="AP447" s="1">
        <v>0.0</v>
      </c>
      <c r="AQ447" s="1">
        <v>35.0</v>
      </c>
      <c r="AR447" s="1">
        <v>15.0</v>
      </c>
      <c r="AS447" s="1">
        <v>1.0</v>
      </c>
    </row>
    <row r="448" hidden="1">
      <c r="A448" s="1">
        <v>133.0</v>
      </c>
      <c r="B448" s="1" t="s">
        <v>4631</v>
      </c>
      <c r="C448" s="1" t="s">
        <v>4632</v>
      </c>
      <c r="D448" s="1" t="s">
        <v>4633</v>
      </c>
      <c r="E448" s="1" t="s">
        <v>58</v>
      </c>
      <c r="F448" s="2">
        <v>27918.0</v>
      </c>
      <c r="G448" s="1">
        <f t="shared" si="1"/>
        <v>50</v>
      </c>
      <c r="H448" s="1" t="s">
        <v>4634</v>
      </c>
      <c r="I448" s="1" t="str">
        <f>IFERROR(__xludf.DUMMYFUNCTION("SPLIT(left(H448,len(H448)-1),""("")"),"Cannes ")</f>
        <v>Cannes </v>
      </c>
      <c r="J448" s="1" t="str">
        <f>IFERROR(__xludf.DUMMYFUNCTION("""COMPUTED_VALUE"""),"Alpes-Maritimes")</f>
        <v>Alpes-Maritimes</v>
      </c>
      <c r="K448" s="1" t="str">
        <f>IFERROR(__xludf.DUMMYFUNCTION("IF( COUNTA( IFERROR( FILTER('départements_edition'!$C$2:$C$102 , 'départements_edition'!$C$2:$C$102=J448 ) ) ) , ""Oui"" , ""Non"" )"),"Oui")</f>
        <v>Oui</v>
      </c>
      <c r="L448" s="1" t="str">
        <f t="shared" si="2"/>
        <v>France</v>
      </c>
      <c r="M448" s="1">
        <v>6.0</v>
      </c>
      <c r="N448" s="1" t="s">
        <v>438</v>
      </c>
      <c r="O448" s="1">
        <v>4.0</v>
      </c>
      <c r="P448" s="2">
        <v>42907.0</v>
      </c>
      <c r="R448" s="1">
        <v>0.0</v>
      </c>
      <c r="S448" s="1" t="s">
        <v>75</v>
      </c>
      <c r="T448" s="1" t="s">
        <v>76</v>
      </c>
      <c r="U448" s="1" t="s">
        <v>4635</v>
      </c>
      <c r="X448" s="1" t="s">
        <v>4636</v>
      </c>
      <c r="Y448" s="1">
        <v>451.0</v>
      </c>
      <c r="Z448" s="3" t="s">
        <v>4637</v>
      </c>
      <c r="AA448" s="1">
        <v>718768.0</v>
      </c>
      <c r="AB448" s="1" t="s">
        <v>4638</v>
      </c>
      <c r="AC448" s="3" t="s">
        <v>4639</v>
      </c>
      <c r="AD448" s="3" t="s">
        <v>4640</v>
      </c>
      <c r="AE448" s="1">
        <v>1.0</v>
      </c>
      <c r="AF448" s="1" t="s">
        <v>4641</v>
      </c>
      <c r="AG448" s="1">
        <v>16.0</v>
      </c>
      <c r="AH448" s="1">
        <v>21.0</v>
      </c>
      <c r="AI448" s="1">
        <v>5.0</v>
      </c>
      <c r="AJ448" s="1">
        <v>2.0</v>
      </c>
      <c r="AK448" s="1">
        <v>2.0</v>
      </c>
      <c r="AL448" s="1">
        <v>4.0</v>
      </c>
      <c r="AM448" s="1">
        <v>28.0</v>
      </c>
      <c r="AN448" s="1">
        <v>1.0</v>
      </c>
      <c r="AO448" s="1">
        <v>0.0</v>
      </c>
      <c r="AP448" s="1">
        <v>0.0</v>
      </c>
      <c r="AQ448" s="1">
        <v>5.0</v>
      </c>
      <c r="AR448" s="1">
        <v>9.0</v>
      </c>
      <c r="AS448" s="1">
        <v>0.0</v>
      </c>
    </row>
    <row r="449" hidden="1">
      <c r="A449" s="1">
        <v>564.0</v>
      </c>
      <c r="B449" s="1" t="s">
        <v>4642</v>
      </c>
      <c r="C449" s="1" t="s">
        <v>4643</v>
      </c>
      <c r="D449" s="1" t="s">
        <v>4644</v>
      </c>
      <c r="E449" s="1" t="s">
        <v>43</v>
      </c>
      <c r="F449" s="2">
        <v>23441.0</v>
      </c>
      <c r="G449" s="1">
        <f t="shared" si="1"/>
        <v>62</v>
      </c>
      <c r="H449" s="1" t="s">
        <v>4645</v>
      </c>
      <c r="I449" s="1" t="str">
        <f>IFERROR(__xludf.DUMMYFUNCTION("SPLIT(left(H449,len(H449)-1),""("")"),"Saintes ")</f>
        <v>Saintes </v>
      </c>
      <c r="J449" s="1" t="str">
        <f>IFERROR(__xludf.DUMMYFUNCTION("""COMPUTED_VALUE"""),"Charente-Maritime")</f>
        <v>Charente-Maritime</v>
      </c>
      <c r="K449" s="1" t="str">
        <f>IFERROR(__xludf.DUMMYFUNCTION("IF( COUNTA( IFERROR( FILTER('départements_edition'!$C$2:$C$102 , 'départements_edition'!$C$2:$C$102=J449 ) ) ) , ""Oui"" , ""Non"" )"),"Oui")</f>
        <v>Oui</v>
      </c>
      <c r="L449" s="1" t="str">
        <f t="shared" si="2"/>
        <v>France</v>
      </c>
      <c r="M449" s="1">
        <v>17.0</v>
      </c>
      <c r="N449" s="1" t="s">
        <v>2055</v>
      </c>
      <c r="O449" s="1">
        <v>3.0</v>
      </c>
      <c r="P449" s="2">
        <v>42907.0</v>
      </c>
      <c r="R449" s="1">
        <v>0.0</v>
      </c>
      <c r="S449" s="1" t="s">
        <v>75</v>
      </c>
      <c r="T449" s="1" t="s">
        <v>76</v>
      </c>
      <c r="U449" s="3" t="s">
        <v>4646</v>
      </c>
      <c r="X449" s="1" t="s">
        <v>2484</v>
      </c>
      <c r="Y449" s="1">
        <v>526.0</v>
      </c>
      <c r="Z449" s="3" t="s">
        <v>4647</v>
      </c>
      <c r="AA449" s="1">
        <v>719100.0</v>
      </c>
      <c r="AB449" s="1" t="s">
        <v>4648</v>
      </c>
      <c r="AC449" s="3" t="s">
        <v>4649</v>
      </c>
      <c r="AD449" s="3" t="s">
        <v>4650</v>
      </c>
      <c r="AE449" s="1">
        <v>1.0</v>
      </c>
      <c r="AG449" s="1">
        <v>16.0</v>
      </c>
      <c r="AH449" s="1">
        <v>22.0</v>
      </c>
      <c r="AI449" s="1">
        <v>3.0</v>
      </c>
      <c r="AJ449" s="1">
        <v>0.0</v>
      </c>
      <c r="AK449" s="1">
        <v>0.0</v>
      </c>
      <c r="AL449" s="1">
        <v>0.0</v>
      </c>
      <c r="AM449" s="1">
        <v>25.0</v>
      </c>
      <c r="AN449" s="1">
        <v>2.0</v>
      </c>
      <c r="AO449" s="1">
        <v>0.0</v>
      </c>
      <c r="AP449" s="1">
        <v>0.0</v>
      </c>
      <c r="AQ449" s="1">
        <v>5.0</v>
      </c>
      <c r="AR449" s="1">
        <v>4.0</v>
      </c>
      <c r="AS449" s="1">
        <v>0.0</v>
      </c>
    </row>
    <row r="450" hidden="1">
      <c r="A450" s="1">
        <v>298.0</v>
      </c>
      <c r="B450" s="1" t="s">
        <v>4651</v>
      </c>
      <c r="C450" s="1" t="s">
        <v>4652</v>
      </c>
      <c r="D450" s="1" t="s">
        <v>905</v>
      </c>
      <c r="E450" s="1" t="s">
        <v>43</v>
      </c>
      <c r="F450" s="2">
        <v>27878.0</v>
      </c>
      <c r="G450" s="1">
        <f t="shared" si="1"/>
        <v>50</v>
      </c>
      <c r="H450" s="1" t="s">
        <v>1273</v>
      </c>
      <c r="I450" s="1" t="str">
        <f>IFERROR(__xludf.DUMMYFUNCTION("SPLIT(left(H450,len(H450)-1),""("")"),"Strasbourg ")</f>
        <v>Strasbourg </v>
      </c>
      <c r="J450" s="1" t="str">
        <f>IFERROR(__xludf.DUMMYFUNCTION("""COMPUTED_VALUE"""),"Bas-Rhin")</f>
        <v>Bas-Rhin</v>
      </c>
      <c r="K450" s="1" t="str">
        <f>IFERROR(__xludf.DUMMYFUNCTION("IF( COUNTA( IFERROR( FILTER('départements_edition'!$C$2:$C$102 , 'départements_edition'!$C$2:$C$102=J450 ) ) ) , ""Oui"" , ""Non"" )"),"Oui")</f>
        <v>Oui</v>
      </c>
      <c r="L450" s="1" t="str">
        <f t="shared" si="2"/>
        <v>France</v>
      </c>
      <c r="M450" s="1">
        <v>68.0</v>
      </c>
      <c r="N450" s="1" t="s">
        <v>1501</v>
      </c>
      <c r="O450" s="1">
        <v>5.0</v>
      </c>
      <c r="P450" s="2">
        <v>42907.0</v>
      </c>
      <c r="R450" s="1">
        <v>0.0</v>
      </c>
      <c r="S450" s="1" t="s">
        <v>46</v>
      </c>
      <c r="T450" s="1" t="s">
        <v>47</v>
      </c>
      <c r="U450" s="1" t="s">
        <v>4653</v>
      </c>
      <c r="X450" s="1" t="s">
        <v>697</v>
      </c>
      <c r="Y450" s="1">
        <v>154.0</v>
      </c>
      <c r="Z450" s="3" t="s">
        <v>4654</v>
      </c>
      <c r="AA450" s="1">
        <v>642935.0</v>
      </c>
      <c r="AB450" s="1" t="s">
        <v>4655</v>
      </c>
      <c r="AC450" s="3" t="s">
        <v>4656</v>
      </c>
      <c r="AD450" s="3" t="s">
        <v>4657</v>
      </c>
      <c r="AE450" s="1">
        <v>2.0</v>
      </c>
      <c r="AF450" s="1" t="s">
        <v>4658</v>
      </c>
      <c r="AG450" s="1">
        <v>16.0</v>
      </c>
      <c r="AH450" s="1">
        <v>20.0</v>
      </c>
      <c r="AI450" s="1">
        <v>5.0</v>
      </c>
      <c r="AJ450" s="1">
        <v>23.0</v>
      </c>
      <c r="AK450" s="1">
        <v>20.0</v>
      </c>
      <c r="AL450" s="1">
        <v>7.0</v>
      </c>
      <c r="AM450" s="1">
        <v>448.0</v>
      </c>
      <c r="AN450" s="1">
        <v>21.0</v>
      </c>
      <c r="AO450" s="1">
        <v>0.0</v>
      </c>
      <c r="AP450" s="1">
        <v>0.0</v>
      </c>
      <c r="AQ450" s="1">
        <v>23.0</v>
      </c>
      <c r="AR450" s="1">
        <v>21.0</v>
      </c>
      <c r="AS450" s="1">
        <v>2.0</v>
      </c>
    </row>
    <row r="451" hidden="1">
      <c r="A451" s="1">
        <v>237.0</v>
      </c>
      <c r="B451" s="1" t="s">
        <v>4668</v>
      </c>
      <c r="C451" s="1" t="s">
        <v>4669</v>
      </c>
      <c r="D451" s="1" t="s">
        <v>522</v>
      </c>
      <c r="E451" s="1" t="s">
        <v>43</v>
      </c>
      <c r="F451" s="2">
        <v>26763.0</v>
      </c>
      <c r="G451" s="1">
        <f t="shared" si="1"/>
        <v>53</v>
      </c>
      <c r="H451" s="1" t="s">
        <v>1136</v>
      </c>
      <c r="I451" s="1" t="str">
        <f>IFERROR(__xludf.DUMMYFUNCTION("SPLIT(left(H451,len(H451)-1),""("")"),"Caen ")</f>
        <v>Caen </v>
      </c>
      <c r="J451" s="1" t="str">
        <f>IFERROR(__xludf.DUMMYFUNCTION("""COMPUTED_VALUE"""),"Calvados")</f>
        <v>Calvados</v>
      </c>
      <c r="K451" s="1" t="str">
        <f>IFERROR(__xludf.DUMMYFUNCTION("IF( COUNTA( IFERROR( FILTER('départements_edition'!$C$2:$C$102 , 'départements_edition'!$C$2:$C$102=J451 ) ) ) , ""Oui"" , ""Non"" )"),"Oui")</f>
        <v>Oui</v>
      </c>
      <c r="L451" s="1" t="str">
        <f t="shared" si="2"/>
        <v>France</v>
      </c>
      <c r="M451" s="1">
        <v>14.0</v>
      </c>
      <c r="N451" s="1" t="s">
        <v>1137</v>
      </c>
      <c r="O451" s="1">
        <v>4.0</v>
      </c>
      <c r="P451" s="2">
        <v>42907.0</v>
      </c>
      <c r="R451" s="1">
        <v>0.0</v>
      </c>
      <c r="S451" s="1" t="s">
        <v>75</v>
      </c>
      <c r="T451" s="1" t="s">
        <v>76</v>
      </c>
      <c r="U451" s="1" t="s">
        <v>4670</v>
      </c>
      <c r="X451" s="1" t="s">
        <v>1465</v>
      </c>
      <c r="Y451" s="1">
        <v>271.0</v>
      </c>
      <c r="Z451" s="3" t="s">
        <v>4671</v>
      </c>
      <c r="AA451" s="1">
        <v>719024.0</v>
      </c>
      <c r="AB451" s="1" t="s">
        <v>4672</v>
      </c>
      <c r="AC451" s="3" t="s">
        <v>4673</v>
      </c>
      <c r="AD451" s="3" t="s">
        <v>4674</v>
      </c>
      <c r="AE451" s="1">
        <v>2.0</v>
      </c>
      <c r="AF451" s="1" t="s">
        <v>4675</v>
      </c>
      <c r="AG451" s="1">
        <v>16.0</v>
      </c>
      <c r="AH451" s="1">
        <v>31.0</v>
      </c>
      <c r="AI451" s="1">
        <v>10.0</v>
      </c>
      <c r="AJ451" s="1">
        <v>8.0</v>
      </c>
      <c r="AK451" s="1">
        <v>2.0</v>
      </c>
      <c r="AL451" s="1">
        <v>14.0</v>
      </c>
      <c r="AM451" s="1">
        <v>49.0</v>
      </c>
      <c r="AN451" s="1">
        <v>2.0</v>
      </c>
      <c r="AO451" s="1">
        <v>0.0</v>
      </c>
      <c r="AP451" s="1">
        <v>0.0</v>
      </c>
      <c r="AQ451" s="1">
        <v>7.0</v>
      </c>
      <c r="AR451" s="1">
        <v>39.0</v>
      </c>
      <c r="AS451" s="1">
        <v>2.0</v>
      </c>
    </row>
    <row r="452" hidden="1">
      <c r="A452" s="1">
        <v>408.0</v>
      </c>
      <c r="B452" s="1" t="s">
        <v>4676</v>
      </c>
      <c r="C452" s="1" t="s">
        <v>4677</v>
      </c>
      <c r="D452" s="1" t="s">
        <v>3837</v>
      </c>
      <c r="E452" s="1" t="s">
        <v>58</v>
      </c>
      <c r="F452" s="2">
        <v>31635.0</v>
      </c>
      <c r="G452" s="1">
        <f t="shared" si="1"/>
        <v>40</v>
      </c>
      <c r="H452" s="1" t="s">
        <v>437</v>
      </c>
      <c r="I452" s="1" t="str">
        <f>IFERROR(__xludf.DUMMYFUNCTION("SPLIT(left(H452,len(H452)-1),""("")"),"Nice ")</f>
        <v>Nice </v>
      </c>
      <c r="J452" s="1" t="str">
        <f>IFERROR(__xludf.DUMMYFUNCTION("""COMPUTED_VALUE"""),"Alpes-Maritimes")</f>
        <v>Alpes-Maritimes</v>
      </c>
      <c r="K452" s="1" t="str">
        <f>IFERROR(__xludf.DUMMYFUNCTION("IF( COUNTA( IFERROR( FILTER('départements_edition'!$C$2:$C$102 , 'départements_edition'!$C$2:$C$102=J452 ) ) ) , ""Oui"" , ""Non"" )"),"Oui")</f>
        <v>Oui</v>
      </c>
      <c r="L452" s="1" t="str">
        <f t="shared" si="2"/>
        <v>France</v>
      </c>
      <c r="M452" s="1">
        <v>6.0</v>
      </c>
      <c r="N452" s="1" t="s">
        <v>438</v>
      </c>
      <c r="O452" s="1">
        <v>5.0</v>
      </c>
      <c r="P452" s="2">
        <v>42907.0</v>
      </c>
      <c r="R452" s="1">
        <v>0.0</v>
      </c>
      <c r="S452" s="1" t="s">
        <v>61</v>
      </c>
      <c r="T452" s="1" t="s">
        <v>62</v>
      </c>
      <c r="U452" s="1" t="s">
        <v>4678</v>
      </c>
      <c r="X452" s="1" t="s">
        <v>936</v>
      </c>
      <c r="Y452" s="1">
        <v>150.0</v>
      </c>
      <c r="Z452" s="3" t="s">
        <v>4679</v>
      </c>
      <c r="AA452" s="1">
        <v>713448.0</v>
      </c>
      <c r="AB452" s="1" t="s">
        <v>4680</v>
      </c>
      <c r="AC452" s="3" t="s">
        <v>4681</v>
      </c>
      <c r="AD452" s="3" t="s">
        <v>4682</v>
      </c>
      <c r="AE452" s="1">
        <v>2.0</v>
      </c>
      <c r="AF452" s="1" t="s">
        <v>4683</v>
      </c>
      <c r="AG452" s="1">
        <v>16.0</v>
      </c>
      <c r="AH452" s="1">
        <v>22.0</v>
      </c>
      <c r="AI452" s="1">
        <v>25.0</v>
      </c>
      <c r="AJ452" s="1">
        <v>26.0</v>
      </c>
      <c r="AK452" s="1">
        <v>3.0</v>
      </c>
      <c r="AL452" s="1">
        <v>103.0</v>
      </c>
      <c r="AM452" s="1">
        <v>384.0</v>
      </c>
      <c r="AN452" s="1">
        <v>14.0</v>
      </c>
      <c r="AO452" s="1">
        <v>0.0</v>
      </c>
      <c r="AP452" s="1">
        <v>11.0</v>
      </c>
      <c r="AQ452" s="1">
        <v>20.0</v>
      </c>
      <c r="AR452" s="1">
        <v>10.0</v>
      </c>
      <c r="AS452" s="1">
        <v>2.0</v>
      </c>
    </row>
    <row r="453" hidden="1">
      <c r="A453" s="1">
        <v>359.0</v>
      </c>
      <c r="B453" s="1" t="s">
        <v>4684</v>
      </c>
      <c r="C453" s="1" t="s">
        <v>4685</v>
      </c>
      <c r="D453" s="1" t="s">
        <v>4686</v>
      </c>
      <c r="E453" s="1" t="s">
        <v>43</v>
      </c>
      <c r="F453" s="2">
        <v>26092.0</v>
      </c>
      <c r="G453" s="1">
        <f t="shared" si="1"/>
        <v>55</v>
      </c>
      <c r="H453" s="1" t="s">
        <v>4687</v>
      </c>
      <c r="I453" s="1" t="str">
        <f>IFERROR(__xludf.DUMMYFUNCTION("SPLIT(left(H453,len(H453)-1),""("")"),"charenton le pont ")</f>
        <v>charenton le pont </v>
      </c>
      <c r="J453" s="1" t="str">
        <f>IFERROR(__xludf.DUMMYFUNCTION("""COMPUTED_VALUE"""),"Val-de-Marne")</f>
        <v>Val-de-Marne</v>
      </c>
      <c r="K453" s="1" t="str">
        <f>IFERROR(__xludf.DUMMYFUNCTION("IF( COUNTA( IFERROR( FILTER('départements_edition'!$C$2:$C$102 , 'départements_edition'!$C$2:$C$102=J453 ) ) ) , ""Oui"" , ""Non"" )"),"Oui")</f>
        <v>Oui</v>
      </c>
      <c r="L453" s="1" t="str">
        <f t="shared" si="2"/>
        <v>France</v>
      </c>
      <c r="M453" s="1">
        <v>94.0</v>
      </c>
      <c r="N453" s="1" t="s">
        <v>642</v>
      </c>
      <c r="O453" s="1">
        <v>9.0</v>
      </c>
      <c r="P453" s="2">
        <v>42907.0</v>
      </c>
      <c r="R453" s="1">
        <v>0.0</v>
      </c>
      <c r="S453" s="1" t="s">
        <v>115</v>
      </c>
      <c r="T453" s="1" t="s">
        <v>116</v>
      </c>
      <c r="U453" s="1" t="s">
        <v>4688</v>
      </c>
      <c r="X453" s="1">
        <v>0.0</v>
      </c>
      <c r="Y453" s="1">
        <v>517.0</v>
      </c>
      <c r="Z453" s="3" t="s">
        <v>4689</v>
      </c>
      <c r="AA453" s="1">
        <v>429893.0</v>
      </c>
      <c r="AB453" s="1" t="s">
        <v>4690</v>
      </c>
      <c r="AC453" s="3" t="s">
        <v>4691</v>
      </c>
      <c r="AD453" s="3" t="s">
        <v>4692</v>
      </c>
      <c r="AE453" s="1">
        <v>2.0</v>
      </c>
      <c r="AF453" s="1" t="s">
        <v>4693</v>
      </c>
      <c r="AG453" s="1">
        <v>16.0</v>
      </c>
      <c r="AH453" s="1">
        <v>14.0</v>
      </c>
      <c r="AI453" s="1">
        <v>5.0</v>
      </c>
      <c r="AJ453" s="1">
        <v>18.0</v>
      </c>
      <c r="AK453" s="1">
        <v>18.0</v>
      </c>
      <c r="AL453" s="1">
        <v>10.0</v>
      </c>
      <c r="AM453" s="1">
        <v>1145.0</v>
      </c>
      <c r="AN453" s="1">
        <v>78.0</v>
      </c>
      <c r="AO453" s="1">
        <v>0.0</v>
      </c>
      <c r="AP453" s="1">
        <v>0.0</v>
      </c>
      <c r="AQ453" s="1">
        <v>5.0</v>
      </c>
      <c r="AR453" s="1">
        <v>17.0</v>
      </c>
      <c r="AS453" s="1">
        <v>2.0</v>
      </c>
    </row>
    <row r="454" hidden="1">
      <c r="A454" s="1">
        <v>340.0</v>
      </c>
      <c r="B454" s="1" t="s">
        <v>4694</v>
      </c>
      <c r="C454" s="1" t="s">
        <v>4695</v>
      </c>
      <c r="D454" s="1" t="s">
        <v>4696</v>
      </c>
      <c r="E454" s="1" t="s">
        <v>43</v>
      </c>
      <c r="F454" s="2">
        <v>17566.0</v>
      </c>
      <c r="G454" s="1">
        <f t="shared" si="1"/>
        <v>78</v>
      </c>
      <c r="H454" s="1" t="s">
        <v>718</v>
      </c>
      <c r="I454" s="1" t="str">
        <f>IFERROR(__xludf.DUMMYFUNCTION("SPLIT(left(H454,len(H454)-1),""("")"),"Marseille ")</f>
        <v>Marseille </v>
      </c>
      <c r="J454" s="1" t="str">
        <f>IFERROR(__xludf.DUMMYFUNCTION("""COMPUTED_VALUE"""),"Bouches-du-Rhône")</f>
        <v>Bouches-du-Rhône</v>
      </c>
      <c r="K454" s="1" t="str">
        <f>IFERROR(__xludf.DUMMYFUNCTION("IF( COUNTA( IFERROR( FILTER('départements_edition'!$C$2:$C$102 , 'départements_edition'!$C$2:$C$102=J454 ) ) ) , ""Oui"" , ""Non"" )"),"Oui")</f>
        <v>Oui</v>
      </c>
      <c r="L454" s="1" t="str">
        <f t="shared" si="2"/>
        <v>France</v>
      </c>
      <c r="M454" s="1">
        <v>30.0</v>
      </c>
      <c r="N454" s="1" t="s">
        <v>1751</v>
      </c>
      <c r="O454" s="1">
        <v>2.0</v>
      </c>
      <c r="P454" s="2">
        <v>42907.0</v>
      </c>
      <c r="R454" s="1">
        <v>0.0</v>
      </c>
      <c r="S454" s="1" t="s">
        <v>814</v>
      </c>
      <c r="T454" s="1" t="s">
        <v>837</v>
      </c>
      <c r="U454" s="1" t="s">
        <v>4697</v>
      </c>
      <c r="X454" s="1" t="s">
        <v>304</v>
      </c>
      <c r="Y454" s="1">
        <v>58.0</v>
      </c>
      <c r="Z454" s="3" t="s">
        <v>4698</v>
      </c>
      <c r="AA454" s="1">
        <v>606212.0</v>
      </c>
      <c r="AB454" s="1" t="s">
        <v>4699</v>
      </c>
      <c r="AC454" s="3" t="s">
        <v>4700</v>
      </c>
      <c r="AD454" s="3" t="s">
        <v>4701</v>
      </c>
      <c r="AE454" s="1">
        <v>1.0</v>
      </c>
      <c r="AF454" s="1" t="s">
        <v>4702</v>
      </c>
      <c r="AG454" s="1">
        <v>16.0</v>
      </c>
      <c r="AH454" s="1">
        <v>11.0</v>
      </c>
      <c r="AI454" s="1">
        <v>2.0</v>
      </c>
      <c r="AJ454" s="1">
        <v>33.0</v>
      </c>
      <c r="AK454" s="1">
        <v>40.0</v>
      </c>
      <c r="AL454" s="1">
        <v>39.0</v>
      </c>
      <c r="AM454" s="1">
        <v>258.0</v>
      </c>
      <c r="AN454" s="1">
        <v>0.0</v>
      </c>
      <c r="AO454" s="1">
        <v>0.0</v>
      </c>
      <c r="AP454" s="1">
        <v>8.0</v>
      </c>
      <c r="AQ454" s="1">
        <v>13.0</v>
      </c>
      <c r="AR454" s="1">
        <v>19.0</v>
      </c>
      <c r="AS454" s="1">
        <v>1.0</v>
      </c>
    </row>
    <row r="455" hidden="1">
      <c r="A455" s="1">
        <v>339.0</v>
      </c>
      <c r="B455" s="1" t="s">
        <v>4703</v>
      </c>
      <c r="C455" s="1" t="s">
        <v>4704</v>
      </c>
      <c r="D455" s="1" t="s">
        <v>4705</v>
      </c>
      <c r="E455" s="1" t="s">
        <v>43</v>
      </c>
      <c r="F455" s="2">
        <v>24701.0</v>
      </c>
      <c r="G455" s="1">
        <f t="shared" si="1"/>
        <v>58</v>
      </c>
      <c r="H455" s="1" t="s">
        <v>811</v>
      </c>
      <c r="I455" s="1" t="str">
        <f>IFERROR(__xludf.DUMMYFUNCTION("SPLIT(left(H455,len(H455)-1),""("")"),"Bastia ")</f>
        <v>Bastia </v>
      </c>
      <c r="J455" s="1" t="str">
        <f>IFERROR(__xludf.DUMMYFUNCTION("""COMPUTED_VALUE"""),"Haute-Corse")</f>
        <v>Haute-Corse</v>
      </c>
      <c r="K455" s="1" t="str">
        <f>IFERROR(__xludf.DUMMYFUNCTION("IF( COUNTA( IFERROR( FILTER('départements_edition'!$C$2:$C$102 , 'départements_edition'!$C$2:$C$102=J455 ) ) ) , ""Oui"" , ""Non"" )"),"Oui")</f>
        <v>Oui</v>
      </c>
      <c r="L455" s="1" t="str">
        <f t="shared" si="2"/>
        <v>France</v>
      </c>
      <c r="M455" s="1" t="s">
        <v>4146</v>
      </c>
      <c r="N455" s="1" t="s">
        <v>4147</v>
      </c>
      <c r="O455" s="1">
        <v>2.0</v>
      </c>
      <c r="P455" s="2">
        <v>42907.0</v>
      </c>
      <c r="R455" s="1">
        <v>0.0</v>
      </c>
      <c r="S455" s="1" t="s">
        <v>814</v>
      </c>
      <c r="T455" s="1" t="s">
        <v>815</v>
      </c>
      <c r="U455" s="3" t="s">
        <v>4706</v>
      </c>
      <c r="X455" s="1" t="s">
        <v>151</v>
      </c>
      <c r="Y455" s="1">
        <v>648.0</v>
      </c>
      <c r="Z455" s="3" t="s">
        <v>4707</v>
      </c>
      <c r="AA455" s="1">
        <v>719286.0</v>
      </c>
      <c r="AB455" s="1" t="s">
        <v>4708</v>
      </c>
      <c r="AC455" s="3" t="s">
        <v>4709</v>
      </c>
      <c r="AD455" s="3" t="s">
        <v>4710</v>
      </c>
      <c r="AE455" s="1">
        <v>1.0</v>
      </c>
      <c r="AF455" s="1" t="s">
        <v>4711</v>
      </c>
      <c r="AG455" s="1">
        <v>16.0</v>
      </c>
      <c r="AH455" s="1">
        <v>18.0</v>
      </c>
      <c r="AI455" s="1">
        <v>4.0</v>
      </c>
      <c r="AJ455" s="1">
        <v>29.0</v>
      </c>
      <c r="AK455" s="1">
        <v>5.0</v>
      </c>
      <c r="AL455" s="1">
        <v>56.0</v>
      </c>
      <c r="AM455" s="1">
        <v>229.0</v>
      </c>
      <c r="AN455" s="1">
        <v>3.0</v>
      </c>
      <c r="AO455" s="1">
        <v>0.0</v>
      </c>
      <c r="AP455" s="1">
        <v>0.0</v>
      </c>
      <c r="AQ455" s="1">
        <v>6.0</v>
      </c>
      <c r="AR455" s="1">
        <v>15.0</v>
      </c>
      <c r="AS455" s="1">
        <v>1.0</v>
      </c>
    </row>
    <row r="456" hidden="1">
      <c r="A456" s="1">
        <v>134.0</v>
      </c>
      <c r="B456" s="1" t="s">
        <v>4712</v>
      </c>
      <c r="C456" s="1" t="s">
        <v>4713</v>
      </c>
      <c r="D456" s="1" t="s">
        <v>1361</v>
      </c>
      <c r="E456" s="1" t="s">
        <v>43</v>
      </c>
      <c r="F456" s="2">
        <v>19648.0</v>
      </c>
      <c r="G456" s="1">
        <f t="shared" si="1"/>
        <v>72</v>
      </c>
      <c r="H456" s="1" t="s">
        <v>4714</v>
      </c>
      <c r="I456" s="1" t="str">
        <f>IFERROR(__xludf.DUMMYFUNCTION("SPLIT(left(H456,len(H456)-1),""("")"),"Paris 6ème ")</f>
        <v>Paris 6ème </v>
      </c>
      <c r="J456" s="1" t="str">
        <f>IFERROR(__xludf.DUMMYFUNCTION("""COMPUTED_VALUE"""),"Paris")</f>
        <v>Paris</v>
      </c>
      <c r="K456" s="1" t="str">
        <f>IFERROR(__xludf.DUMMYFUNCTION("IF( COUNTA( IFERROR( FILTER('départements_edition'!$C$2:$C$102 , 'départements_edition'!$C$2:$C$102=J456 ) ) ) , ""Oui"" , ""Non"" )"),"Oui")</f>
        <v>Oui</v>
      </c>
      <c r="L456" s="1" t="str">
        <f t="shared" si="2"/>
        <v>France</v>
      </c>
      <c r="M456" s="1">
        <v>13.0</v>
      </c>
      <c r="N456" s="1" t="s">
        <v>279</v>
      </c>
      <c r="O456" s="1">
        <v>9.0</v>
      </c>
      <c r="P456" s="2">
        <v>42907.0</v>
      </c>
      <c r="R456" s="1">
        <v>0.0</v>
      </c>
      <c r="S456" s="1" t="s">
        <v>61</v>
      </c>
      <c r="T456" s="1" t="s">
        <v>62</v>
      </c>
      <c r="U456" s="1" t="s">
        <v>4715</v>
      </c>
      <c r="X456" s="1" t="s">
        <v>827</v>
      </c>
      <c r="Y456" s="1">
        <v>88.0</v>
      </c>
      <c r="Z456" s="3" t="s">
        <v>4716</v>
      </c>
      <c r="AA456" s="1">
        <v>1029.0</v>
      </c>
      <c r="AB456" s="1" t="s">
        <v>4717</v>
      </c>
      <c r="AC456" s="3" t="s">
        <v>4718</v>
      </c>
      <c r="AD456" s="3" t="s">
        <v>4719</v>
      </c>
      <c r="AE456" s="1">
        <v>1.0</v>
      </c>
      <c r="AF456" s="1" t="s">
        <v>4720</v>
      </c>
      <c r="AG456" s="1">
        <v>16.0</v>
      </c>
      <c r="AH456" s="1">
        <v>26.0</v>
      </c>
      <c r="AI456" s="1">
        <v>12.0</v>
      </c>
      <c r="AJ456" s="1">
        <v>0.0</v>
      </c>
      <c r="AK456" s="1">
        <v>12.0</v>
      </c>
      <c r="AL456" s="1">
        <v>0.0</v>
      </c>
      <c r="AM456" s="1">
        <v>203.0</v>
      </c>
      <c r="AN456" s="1">
        <v>13.0</v>
      </c>
      <c r="AO456" s="1">
        <v>0.0</v>
      </c>
      <c r="AP456" s="1">
        <v>0.0</v>
      </c>
      <c r="AQ456" s="1">
        <v>51.0</v>
      </c>
      <c r="AR456" s="1">
        <v>3.0</v>
      </c>
      <c r="AS456" s="1">
        <v>0.0</v>
      </c>
    </row>
    <row r="457" hidden="1">
      <c r="A457" s="1">
        <v>165.0</v>
      </c>
      <c r="B457" s="1" t="s">
        <v>4730</v>
      </c>
      <c r="C457" s="1" t="s">
        <v>4731</v>
      </c>
      <c r="D457" s="1" t="s">
        <v>4732</v>
      </c>
      <c r="E457" s="1" t="s">
        <v>43</v>
      </c>
      <c r="F457" s="2">
        <v>16635.0</v>
      </c>
      <c r="G457" s="1">
        <f t="shared" si="1"/>
        <v>81</v>
      </c>
      <c r="H457" s="1" t="s">
        <v>4733</v>
      </c>
      <c r="I457" s="1" t="str">
        <f>IFERROR(__xludf.DUMMYFUNCTION("SPLIT(left(H457,len(H457)-1),""("")"),"Cauchy-à-la-Tour ")</f>
        <v>Cauchy-à-la-Tour </v>
      </c>
      <c r="J457" s="1" t="str">
        <f>IFERROR(__xludf.DUMMYFUNCTION("""COMPUTED_VALUE"""),"Pas-de-Calais")</f>
        <v>Pas-de-Calais</v>
      </c>
      <c r="K457" s="1" t="str">
        <f>IFERROR(__xludf.DUMMYFUNCTION("IF( COUNTA( IFERROR( FILTER('départements_edition'!$C$2:$C$102 , 'départements_edition'!$C$2:$C$102=J457 ) ) ) , ""Oui"" , ""Non"" )"),"Oui")</f>
        <v>Oui</v>
      </c>
      <c r="L457" s="1" t="str">
        <f t="shared" si="2"/>
        <v>France</v>
      </c>
      <c r="M457" s="1">
        <v>62.0</v>
      </c>
      <c r="N457" s="1" t="s">
        <v>427</v>
      </c>
      <c r="O457" s="1">
        <v>3.0</v>
      </c>
      <c r="P457" s="2">
        <v>42907.0</v>
      </c>
      <c r="R457" s="1">
        <v>0.0</v>
      </c>
      <c r="S457" s="1" t="s">
        <v>814</v>
      </c>
      <c r="T457" s="1" t="s">
        <v>4734</v>
      </c>
      <c r="X457" s="1" t="s">
        <v>4351</v>
      </c>
      <c r="Y457" s="1">
        <v>236.0</v>
      </c>
      <c r="Z457" s="3" t="s">
        <v>4735</v>
      </c>
      <c r="AA457" s="1">
        <v>720664.0</v>
      </c>
      <c r="AB457" s="1" t="s">
        <v>4736</v>
      </c>
      <c r="AC457" s="3" t="s">
        <v>4737</v>
      </c>
      <c r="AD457" s="3" t="s">
        <v>4738</v>
      </c>
      <c r="AE457" s="1">
        <v>2.0</v>
      </c>
      <c r="AG457" s="1">
        <v>16.0</v>
      </c>
      <c r="AH457" s="1">
        <v>28.0</v>
      </c>
      <c r="AI457" s="1">
        <v>19.0</v>
      </c>
      <c r="AJ457" s="1">
        <v>13.0</v>
      </c>
      <c r="AK457" s="1">
        <v>15.0</v>
      </c>
      <c r="AL457" s="1">
        <v>5.0</v>
      </c>
      <c r="AM457" s="1">
        <v>190.0</v>
      </c>
      <c r="AN457" s="1">
        <v>0.0</v>
      </c>
      <c r="AO457" s="1">
        <v>0.0</v>
      </c>
      <c r="AP457" s="1">
        <v>0.0</v>
      </c>
      <c r="AQ457" s="1">
        <v>6.0</v>
      </c>
      <c r="AR457" s="1">
        <v>6.0</v>
      </c>
      <c r="AS457" s="1">
        <v>0.0</v>
      </c>
    </row>
    <row r="458" hidden="1">
      <c r="A458" s="1">
        <v>576.0</v>
      </c>
      <c r="B458" s="1" t="s">
        <v>4739</v>
      </c>
      <c r="C458" s="1" t="s">
        <v>4740</v>
      </c>
      <c r="D458" s="1" t="s">
        <v>2707</v>
      </c>
      <c r="E458" s="1" t="s">
        <v>43</v>
      </c>
      <c r="F458" s="2">
        <v>22828.0</v>
      </c>
      <c r="G458" s="1">
        <f t="shared" si="1"/>
        <v>64</v>
      </c>
      <c r="H458" s="1" t="s">
        <v>2442</v>
      </c>
      <c r="I458" s="1" t="str">
        <f>IFERROR(__xludf.DUMMYFUNCTION("SPLIT(left(H458,len(H458)-1),""("")"),"Rodez ")</f>
        <v>Rodez </v>
      </c>
      <c r="J458" s="1" t="str">
        <f>IFERROR(__xludf.DUMMYFUNCTION("""COMPUTED_VALUE"""),"Aveyron")</f>
        <v>Aveyron</v>
      </c>
      <c r="K458" s="1" t="str">
        <f>IFERROR(__xludf.DUMMYFUNCTION("IF( COUNTA( IFERROR( FILTER('départements_edition'!$C$2:$C$102 , 'départements_edition'!$C$2:$C$102=J458 ) ) ) , ""Oui"" , ""Non"" )"),"Oui")</f>
        <v>Oui</v>
      </c>
      <c r="L458" s="1" t="str">
        <f t="shared" si="2"/>
        <v>France</v>
      </c>
      <c r="M458" s="1">
        <v>29.0</v>
      </c>
      <c r="N458" s="1" t="s">
        <v>393</v>
      </c>
      <c r="O458" s="1">
        <v>6.0</v>
      </c>
      <c r="P458" s="2">
        <v>42907.0</v>
      </c>
      <c r="R458" s="1">
        <v>0.0</v>
      </c>
      <c r="S458" s="1" t="s">
        <v>75</v>
      </c>
      <c r="T458" s="1" t="s">
        <v>76</v>
      </c>
      <c r="U458" s="1" t="s">
        <v>4741</v>
      </c>
      <c r="X458" s="1" t="s">
        <v>472</v>
      </c>
      <c r="Y458" s="1">
        <v>422.0</v>
      </c>
      <c r="Z458" s="3" t="s">
        <v>4742</v>
      </c>
      <c r="AA458" s="1">
        <v>606171.0</v>
      </c>
      <c r="AB458" s="1" t="s">
        <v>4743</v>
      </c>
      <c r="AC458" s="3" t="s">
        <v>4744</v>
      </c>
      <c r="AD458" s="3" t="s">
        <v>4745</v>
      </c>
      <c r="AE458" s="1">
        <v>1.0</v>
      </c>
      <c r="AF458" s="1" t="s">
        <v>4746</v>
      </c>
      <c r="AG458" s="1">
        <v>16.0</v>
      </c>
      <c r="AH458" s="1">
        <v>5.0</v>
      </c>
      <c r="AI458" s="1">
        <v>0.0</v>
      </c>
      <c r="AJ458" s="1">
        <v>129.0</v>
      </c>
      <c r="AK458" s="1">
        <v>42.0</v>
      </c>
      <c r="AL458" s="1">
        <v>2.0</v>
      </c>
      <c r="AM458" s="1">
        <v>390.0</v>
      </c>
      <c r="AN458" s="1">
        <v>226.0</v>
      </c>
      <c r="AO458" s="1">
        <v>0.0</v>
      </c>
      <c r="AP458" s="1">
        <v>3.0</v>
      </c>
      <c r="AQ458" s="1">
        <v>7.0</v>
      </c>
      <c r="AR458" s="1">
        <v>14.0</v>
      </c>
      <c r="AS458" s="1">
        <v>2.0</v>
      </c>
    </row>
    <row r="459" hidden="1">
      <c r="A459" s="1">
        <v>54.0</v>
      </c>
      <c r="B459" s="1" t="s">
        <v>4747</v>
      </c>
      <c r="C459" s="1" t="s">
        <v>4748</v>
      </c>
      <c r="D459" s="1" t="s">
        <v>629</v>
      </c>
      <c r="E459" s="1" t="s">
        <v>58</v>
      </c>
      <c r="F459" s="2">
        <v>25400.0</v>
      </c>
      <c r="G459" s="1">
        <f t="shared" si="1"/>
        <v>57</v>
      </c>
      <c r="H459" s="1" t="s">
        <v>266</v>
      </c>
      <c r="I459" s="1" t="str">
        <f>IFERROR(__xludf.DUMMYFUNCTION("SPLIT(left(H459,len(H459)-1),""("")"),"Valenciennes ")</f>
        <v>Valenciennes </v>
      </c>
      <c r="J459" s="1" t="str">
        <f>IFERROR(__xludf.DUMMYFUNCTION("""COMPUTED_VALUE"""),"Nord")</f>
        <v>Nord</v>
      </c>
      <c r="K459" s="1" t="str">
        <f>IFERROR(__xludf.DUMMYFUNCTION("IF( COUNTA( IFERROR( FILTER('départements_edition'!$C$2:$C$102 , 'départements_edition'!$C$2:$C$102=J459 ) ) ) , ""Oui"" , ""Non"" )"),"Oui")</f>
        <v>Oui</v>
      </c>
      <c r="L459" s="1" t="str">
        <f t="shared" si="2"/>
        <v>France</v>
      </c>
      <c r="M459" s="1">
        <v>83.0</v>
      </c>
      <c r="N459" s="1" t="s">
        <v>1231</v>
      </c>
      <c r="O459" s="1">
        <v>6.0</v>
      </c>
      <c r="P459" s="2">
        <v>42907.0</v>
      </c>
      <c r="R459" s="1">
        <v>0.0</v>
      </c>
      <c r="S459" s="1" t="s">
        <v>75</v>
      </c>
      <c r="T459" s="1" t="s">
        <v>76</v>
      </c>
      <c r="U459" s="1" t="s">
        <v>4749</v>
      </c>
      <c r="X459" s="1" t="s">
        <v>549</v>
      </c>
      <c r="Y459" s="1">
        <v>242.0</v>
      </c>
      <c r="Z459" s="3" t="s">
        <v>4750</v>
      </c>
      <c r="AA459" s="1">
        <v>721784.0</v>
      </c>
      <c r="AB459" s="1" t="s">
        <v>4751</v>
      </c>
      <c r="AC459" s="3" t="s">
        <v>4752</v>
      </c>
      <c r="AD459" s="3" t="s">
        <v>4753</v>
      </c>
      <c r="AE459" s="1">
        <v>1.0</v>
      </c>
      <c r="AF459" s="1" t="s">
        <v>4754</v>
      </c>
      <c r="AG459" s="1">
        <v>16.0</v>
      </c>
      <c r="AH459" s="1">
        <v>27.0</v>
      </c>
      <c r="AI459" s="1">
        <v>10.0</v>
      </c>
      <c r="AJ459" s="1">
        <v>7.0</v>
      </c>
      <c r="AK459" s="1">
        <v>0.0</v>
      </c>
      <c r="AL459" s="1">
        <v>0.0</v>
      </c>
      <c r="AM459" s="1">
        <v>48.0</v>
      </c>
      <c r="AN459" s="1">
        <v>13.0</v>
      </c>
      <c r="AO459" s="1">
        <v>1.0</v>
      </c>
      <c r="AP459" s="1">
        <v>0.0</v>
      </c>
      <c r="AQ459" s="1">
        <v>5.0</v>
      </c>
      <c r="AR459" s="1">
        <v>5.0</v>
      </c>
      <c r="AS459" s="1">
        <v>1.0</v>
      </c>
    </row>
    <row r="460" hidden="1">
      <c r="A460" s="1">
        <v>403.0</v>
      </c>
      <c r="B460" s="1" t="s">
        <v>4755</v>
      </c>
      <c r="C460" s="1" t="s">
        <v>4756</v>
      </c>
      <c r="D460" s="1" t="s">
        <v>57</v>
      </c>
      <c r="E460" s="1" t="s">
        <v>58</v>
      </c>
      <c r="F460" s="2">
        <v>30668.0</v>
      </c>
      <c r="G460" s="1">
        <f t="shared" si="1"/>
        <v>42</v>
      </c>
      <c r="H460" s="1" t="s">
        <v>4276</v>
      </c>
      <c r="I460" s="1" t="str">
        <f>IFERROR(__xludf.DUMMYFUNCTION("SPLIT(left(H460,len(H460)-1),""("")"),"Carpentras ")</f>
        <v>Carpentras </v>
      </c>
      <c r="J460" s="1" t="str">
        <f>IFERROR(__xludf.DUMMYFUNCTION("""COMPUTED_VALUE"""),"Vaucluse")</f>
        <v>Vaucluse</v>
      </c>
      <c r="K460" s="1" t="str">
        <f>IFERROR(__xludf.DUMMYFUNCTION("IF( COUNTA( IFERROR( FILTER('départements_edition'!$C$2:$C$102 , 'départements_edition'!$C$2:$C$102=J460 ) ) ) , ""Oui"" , ""Non"" )"),"Oui")</f>
        <v>Oui</v>
      </c>
      <c r="L460" s="1" t="str">
        <f t="shared" si="2"/>
        <v>France</v>
      </c>
      <c r="M460" s="1">
        <v>83.0</v>
      </c>
      <c r="N460" s="1" t="s">
        <v>1231</v>
      </c>
      <c r="O460" s="1">
        <v>7.0</v>
      </c>
      <c r="P460" s="2">
        <v>42907.0</v>
      </c>
      <c r="R460" s="1">
        <v>0.0</v>
      </c>
      <c r="S460" s="1" t="s">
        <v>75</v>
      </c>
      <c r="T460" s="1" t="s">
        <v>76</v>
      </c>
      <c r="U460" s="1" t="s">
        <v>4757</v>
      </c>
      <c r="X460" s="1" t="s">
        <v>4758</v>
      </c>
      <c r="Y460" s="1">
        <v>479.0</v>
      </c>
      <c r="Z460" s="3" t="s">
        <v>4759</v>
      </c>
      <c r="AA460" s="1">
        <v>721792.0</v>
      </c>
      <c r="AB460" s="1" t="s">
        <v>4760</v>
      </c>
      <c r="AC460" s="3" t="s">
        <v>4761</v>
      </c>
      <c r="AD460" s="3" t="s">
        <v>4762</v>
      </c>
      <c r="AE460" s="1">
        <v>1.0</v>
      </c>
      <c r="AF460" s="1" t="s">
        <v>4763</v>
      </c>
      <c r="AG460" s="1">
        <v>16.0</v>
      </c>
      <c r="AH460" s="1">
        <v>19.0</v>
      </c>
      <c r="AI460" s="1">
        <v>7.0</v>
      </c>
      <c r="AJ460" s="1">
        <v>4.0</v>
      </c>
      <c r="AK460" s="1">
        <v>0.0</v>
      </c>
      <c r="AL460" s="1">
        <v>0.0</v>
      </c>
      <c r="AM460" s="1">
        <v>30.0</v>
      </c>
      <c r="AN460" s="1">
        <v>2.0</v>
      </c>
      <c r="AO460" s="1">
        <v>0.0</v>
      </c>
      <c r="AP460" s="1">
        <v>0.0</v>
      </c>
      <c r="AQ460" s="1">
        <v>8.0</v>
      </c>
      <c r="AR460" s="1">
        <v>6.0</v>
      </c>
      <c r="AS460" s="1">
        <v>1.0</v>
      </c>
    </row>
    <row r="461" hidden="1">
      <c r="A461" s="1">
        <v>473.0</v>
      </c>
      <c r="B461" s="1" t="s">
        <v>4773</v>
      </c>
      <c r="C461" s="1" t="s">
        <v>4774</v>
      </c>
      <c r="D461" s="1" t="s">
        <v>866</v>
      </c>
      <c r="E461" s="1" t="s">
        <v>43</v>
      </c>
      <c r="F461" s="2">
        <v>33568.0</v>
      </c>
      <c r="G461" s="1">
        <f t="shared" si="1"/>
        <v>34</v>
      </c>
      <c r="H461" s="1" t="s">
        <v>4349</v>
      </c>
      <c r="I461" s="1" t="str">
        <f>IFERROR(__xludf.DUMMYFUNCTION("SPLIT(left(H461,len(H461)-1),""("")"),"Fontenay-le-Comte ")</f>
        <v>Fontenay-le-Comte </v>
      </c>
      <c r="J461" s="1" t="str">
        <f>IFERROR(__xludf.DUMMYFUNCTION("""COMPUTED_VALUE"""),"Vendée")</f>
        <v>Vendée</v>
      </c>
      <c r="K461" s="1" t="str">
        <f>IFERROR(__xludf.DUMMYFUNCTION("IF( COUNTA( IFERROR( FILTER('départements_edition'!$C$2:$C$102 , 'départements_edition'!$C$2:$C$102=J461 ) ) ) , ""Oui"" , ""Non"" )"),"Oui")</f>
        <v>Oui</v>
      </c>
      <c r="L461" s="1" t="str">
        <f t="shared" si="2"/>
        <v>France</v>
      </c>
      <c r="M461" s="1">
        <v>85.0</v>
      </c>
      <c r="N461" s="1" t="s">
        <v>1853</v>
      </c>
      <c r="O461" s="1">
        <v>5.0</v>
      </c>
      <c r="P461" s="2">
        <v>42907.0</v>
      </c>
      <c r="R461" s="1">
        <v>0.0</v>
      </c>
      <c r="S461" s="1" t="s">
        <v>75</v>
      </c>
      <c r="T461" s="1" t="s">
        <v>76</v>
      </c>
      <c r="U461" s="1" t="s">
        <v>4775</v>
      </c>
      <c r="X461" s="1" t="s">
        <v>269</v>
      </c>
      <c r="Y461" s="1">
        <v>466.0</v>
      </c>
      <c r="Z461" s="3" t="s">
        <v>4776</v>
      </c>
      <c r="AA461" s="1">
        <v>722070.0</v>
      </c>
      <c r="AB461" s="1" t="s">
        <v>4777</v>
      </c>
      <c r="AC461" s="3" t="s">
        <v>4778</v>
      </c>
      <c r="AD461" s="3" t="s">
        <v>4779</v>
      </c>
      <c r="AE461" s="1">
        <v>1.0</v>
      </c>
      <c r="AF461" s="1" t="s">
        <v>4780</v>
      </c>
      <c r="AG461" s="1">
        <v>16.0</v>
      </c>
      <c r="AH461" s="1">
        <v>29.0</v>
      </c>
      <c r="AI461" s="1">
        <v>8.0</v>
      </c>
      <c r="AJ461" s="1">
        <v>8.0</v>
      </c>
      <c r="AK461" s="1">
        <v>1.0</v>
      </c>
      <c r="AL461" s="1">
        <v>0.0</v>
      </c>
      <c r="AM461" s="1">
        <v>41.0</v>
      </c>
      <c r="AN461" s="1">
        <v>12.0</v>
      </c>
      <c r="AO461" s="1">
        <v>1.0</v>
      </c>
      <c r="AP461" s="1">
        <v>0.0</v>
      </c>
      <c r="AQ461" s="1">
        <v>6.0</v>
      </c>
      <c r="AR461" s="1">
        <v>6.0</v>
      </c>
      <c r="AS461" s="1">
        <v>1.0</v>
      </c>
    </row>
    <row r="462" hidden="1">
      <c r="A462" s="1">
        <v>282.0</v>
      </c>
      <c r="B462" s="1" t="s">
        <v>4791</v>
      </c>
      <c r="C462" s="1" t="s">
        <v>4792</v>
      </c>
      <c r="D462" s="1" t="s">
        <v>3874</v>
      </c>
      <c r="E462" s="1" t="s">
        <v>43</v>
      </c>
      <c r="F462" s="2">
        <v>20978.0</v>
      </c>
      <c r="G462" s="1">
        <f t="shared" si="1"/>
        <v>69</v>
      </c>
      <c r="H462" s="1" t="s">
        <v>4793</v>
      </c>
      <c r="I462" s="1" t="str">
        <f>IFERROR(__xludf.DUMMYFUNCTION("SPLIT(left(H462,len(H462)-1),""("")"),"Vincennes ")</f>
        <v>Vincennes </v>
      </c>
      <c r="J462" s="1" t="str">
        <f>IFERROR(__xludf.DUMMYFUNCTION("""COMPUTED_VALUE"""),"Val-de-Marne")</f>
        <v>Val-de-Marne</v>
      </c>
      <c r="K462" s="1" t="str">
        <f>IFERROR(__xludf.DUMMYFUNCTION("IF( COUNTA( IFERROR( FILTER('départements_edition'!$C$2:$C$102 , 'départements_edition'!$C$2:$C$102=J462 ) ) ) , ""Oui"" , ""Non"" )"),"Oui")</f>
        <v>Oui</v>
      </c>
      <c r="L462" s="1" t="str">
        <f t="shared" si="2"/>
        <v>France</v>
      </c>
      <c r="M462" s="1">
        <v>16.0</v>
      </c>
      <c r="N462" s="1" t="s">
        <v>1264</v>
      </c>
      <c r="O462" s="1">
        <v>3.0</v>
      </c>
      <c r="P462" s="2">
        <v>42907.0</v>
      </c>
      <c r="R462" s="1">
        <v>0.0</v>
      </c>
      <c r="S462" s="1" t="s">
        <v>115</v>
      </c>
      <c r="T462" s="1" t="s">
        <v>116</v>
      </c>
      <c r="U462" s="3" t="s">
        <v>4794</v>
      </c>
      <c r="X462" s="1" t="s">
        <v>4795</v>
      </c>
      <c r="Y462" s="1">
        <v>578.0</v>
      </c>
      <c r="Z462" s="3" t="s">
        <v>4796</v>
      </c>
      <c r="AA462" s="1">
        <v>1809.0</v>
      </c>
      <c r="AB462" s="1" t="s">
        <v>4797</v>
      </c>
      <c r="AC462" s="3" t="s">
        <v>4798</v>
      </c>
      <c r="AD462" s="3" t="s">
        <v>4799</v>
      </c>
      <c r="AE462" s="1">
        <v>1.0</v>
      </c>
      <c r="AF462" s="1" t="s">
        <v>4800</v>
      </c>
      <c r="AG462" s="1">
        <v>16.0</v>
      </c>
      <c r="AH462" s="1">
        <v>29.0</v>
      </c>
      <c r="AI462" s="1">
        <v>22.0</v>
      </c>
      <c r="AJ462" s="1">
        <v>2.0</v>
      </c>
      <c r="AK462" s="1">
        <v>16.0</v>
      </c>
      <c r="AL462" s="1">
        <v>0.0</v>
      </c>
      <c r="AM462" s="1">
        <v>1001.0</v>
      </c>
      <c r="AN462" s="1">
        <v>69.0</v>
      </c>
      <c r="AO462" s="1">
        <v>0.0</v>
      </c>
      <c r="AP462" s="1">
        <v>0.0</v>
      </c>
      <c r="AQ462" s="1">
        <v>5.0</v>
      </c>
      <c r="AR462" s="1">
        <v>10.0</v>
      </c>
      <c r="AS462" s="1">
        <v>0.0</v>
      </c>
    </row>
    <row r="463" hidden="1">
      <c r="A463" s="1">
        <v>290.0</v>
      </c>
      <c r="B463" s="1" t="s">
        <v>4801</v>
      </c>
      <c r="C463" s="1" t="s">
        <v>4802</v>
      </c>
      <c r="D463" s="1" t="s">
        <v>4803</v>
      </c>
      <c r="E463" s="1" t="s">
        <v>43</v>
      </c>
      <c r="F463" s="2">
        <v>21583.0</v>
      </c>
      <c r="G463" s="1">
        <f t="shared" si="1"/>
        <v>67</v>
      </c>
      <c r="H463" s="1" t="s">
        <v>207</v>
      </c>
      <c r="I463" s="1" t="str">
        <f>IFERROR(__xludf.DUMMYFUNCTION("SPLIT(left(H463,len(H463)-1),""("")"),"Paris ")</f>
        <v>Paris </v>
      </c>
      <c r="J463" s="1" t="str">
        <f>IFERROR(__xludf.DUMMYFUNCTION("""COMPUTED_VALUE"""),"Paris")</f>
        <v>Paris</v>
      </c>
      <c r="K463" s="1" t="str">
        <f>IFERROR(__xludf.DUMMYFUNCTION("IF( COUNTA( IFERROR( FILTER('départements_edition'!$C$2:$C$102 , 'départements_edition'!$C$2:$C$102=J463 ) ) ) , ""Oui"" , ""Non"" )"),"Oui")</f>
        <v>Oui</v>
      </c>
      <c r="L463" s="1" t="str">
        <f t="shared" si="2"/>
        <v>France</v>
      </c>
      <c r="M463" s="1">
        <v>41.0</v>
      </c>
      <c r="N463" s="1" t="s">
        <v>1741</v>
      </c>
      <c r="O463" s="1">
        <v>3.0</v>
      </c>
      <c r="P463" s="2">
        <v>42907.0</v>
      </c>
      <c r="R463" s="1">
        <v>0.0</v>
      </c>
      <c r="S463" s="1" t="s">
        <v>46</v>
      </c>
      <c r="T463" s="1" t="s">
        <v>47</v>
      </c>
      <c r="U463" s="1" t="s">
        <v>4804</v>
      </c>
      <c r="X463" s="1" t="s">
        <v>4805</v>
      </c>
      <c r="Y463" s="1">
        <v>111.0</v>
      </c>
      <c r="Z463" s="3" t="s">
        <v>4806</v>
      </c>
      <c r="AA463" s="1">
        <v>1960.0</v>
      </c>
      <c r="AB463" s="1" t="s">
        <v>4807</v>
      </c>
      <c r="AC463" s="3" t="s">
        <v>4808</v>
      </c>
      <c r="AD463" s="3" t="s">
        <v>4809</v>
      </c>
      <c r="AE463" s="1">
        <v>1.0</v>
      </c>
      <c r="AF463" s="1" t="s">
        <v>4810</v>
      </c>
      <c r="AG463" s="1">
        <v>16.0</v>
      </c>
      <c r="AH463" s="1">
        <v>24.0</v>
      </c>
      <c r="AI463" s="1">
        <v>12.0</v>
      </c>
      <c r="AJ463" s="1">
        <v>12.0</v>
      </c>
      <c r="AK463" s="1">
        <v>71.0</v>
      </c>
      <c r="AL463" s="1">
        <v>10.0</v>
      </c>
      <c r="AM463" s="1">
        <v>612.0</v>
      </c>
      <c r="AN463" s="1">
        <v>27.0</v>
      </c>
      <c r="AO463" s="1">
        <v>2.0</v>
      </c>
      <c r="AP463" s="1">
        <v>0.0</v>
      </c>
      <c r="AQ463" s="1">
        <v>7.0</v>
      </c>
      <c r="AR463" s="1">
        <v>23.0</v>
      </c>
      <c r="AS463" s="1">
        <v>1.0</v>
      </c>
    </row>
    <row r="464" hidden="1">
      <c r="A464" s="1">
        <v>158.0</v>
      </c>
      <c r="B464" s="1" t="s">
        <v>4811</v>
      </c>
      <c r="C464" s="1" t="s">
        <v>3302</v>
      </c>
      <c r="D464" s="1" t="s">
        <v>3658</v>
      </c>
      <c r="E464" s="1" t="s">
        <v>58</v>
      </c>
      <c r="F464" s="2">
        <v>18031.0</v>
      </c>
      <c r="G464" s="1">
        <f t="shared" si="1"/>
        <v>77</v>
      </c>
      <c r="H464" s="1" t="s">
        <v>4812</v>
      </c>
      <c r="I464" s="1" t="str">
        <f>IFERROR(__xludf.DUMMYFUNCTION("SPLIT(left(H464,len(H464)-1),""("")"),"Estrée-Blanche ")</f>
        <v>Estrée-Blanche </v>
      </c>
      <c r="J464" s="1" t="str">
        <f>IFERROR(__xludf.DUMMYFUNCTION("""COMPUTED_VALUE"""),"Pas-de-Calais")</f>
        <v>Pas-de-Calais</v>
      </c>
      <c r="K464" s="1" t="str">
        <f>IFERROR(__xludf.DUMMYFUNCTION("IF( COUNTA( IFERROR( FILTER('départements_edition'!$C$2:$C$102 , 'départements_edition'!$C$2:$C$102=J464 ) ) ) , ""Oui"" , ""Non"" )"),"Oui")</f>
        <v>Oui</v>
      </c>
      <c r="L464" s="1" t="str">
        <f t="shared" si="2"/>
        <v>France</v>
      </c>
      <c r="M464" s="1">
        <v>62.0</v>
      </c>
      <c r="N464" s="1" t="s">
        <v>427</v>
      </c>
      <c r="O464" s="1">
        <v>2.0</v>
      </c>
      <c r="P464" s="2">
        <v>42907.0</v>
      </c>
      <c r="R464" s="1">
        <v>0.0</v>
      </c>
      <c r="S464" s="1" t="s">
        <v>75</v>
      </c>
      <c r="T464" s="1" t="s">
        <v>76</v>
      </c>
      <c r="U464" s="1" t="s">
        <v>4813</v>
      </c>
      <c r="X464" s="1" t="s">
        <v>4814</v>
      </c>
      <c r="Y464" s="1">
        <v>442.0</v>
      </c>
      <c r="Z464" s="3" t="s">
        <v>4815</v>
      </c>
      <c r="AA464" s="1">
        <v>334116.0</v>
      </c>
      <c r="AB464" s="1" t="s">
        <v>4816</v>
      </c>
      <c r="AC464" s="3" t="s">
        <v>4817</v>
      </c>
      <c r="AD464" s="3" t="s">
        <v>4818</v>
      </c>
      <c r="AE464" s="1">
        <v>1.0</v>
      </c>
      <c r="AF464" s="1" t="s">
        <v>4819</v>
      </c>
      <c r="AG464" s="1">
        <v>16.0</v>
      </c>
      <c r="AH464" s="1">
        <v>26.0</v>
      </c>
      <c r="AI464" s="1">
        <v>2.0</v>
      </c>
      <c r="AJ464" s="1">
        <v>1.0</v>
      </c>
      <c r="AK464" s="1">
        <v>0.0</v>
      </c>
      <c r="AL464" s="1">
        <v>0.0</v>
      </c>
      <c r="AM464" s="1">
        <v>16.0</v>
      </c>
      <c r="AN464" s="1">
        <v>7.0</v>
      </c>
      <c r="AO464" s="1">
        <v>0.0</v>
      </c>
      <c r="AP464" s="1">
        <v>0.0</v>
      </c>
      <c r="AQ464" s="1">
        <v>7.0</v>
      </c>
      <c r="AR464" s="1">
        <v>15.0</v>
      </c>
      <c r="AS464" s="1">
        <v>1.0</v>
      </c>
    </row>
    <row r="465" hidden="1">
      <c r="A465" s="1">
        <v>392.0</v>
      </c>
      <c r="B465" s="1" t="s">
        <v>4820</v>
      </c>
      <c r="C465" s="1" t="s">
        <v>4821</v>
      </c>
      <c r="D465" s="1" t="s">
        <v>651</v>
      </c>
      <c r="E465" s="1" t="s">
        <v>58</v>
      </c>
      <c r="F465" s="2">
        <v>32080.0</v>
      </c>
      <c r="G465" s="1">
        <f t="shared" si="1"/>
        <v>38</v>
      </c>
      <c r="H465" s="1" t="s">
        <v>1761</v>
      </c>
      <c r="I465" s="1" t="str">
        <f>IFERROR(__xludf.DUMMYFUNCTION("SPLIT(left(H465,len(H465)-1),""("")"),"Toulon ")</f>
        <v>Toulon </v>
      </c>
      <c r="J465" s="1" t="str">
        <f>IFERROR(__xludf.DUMMYFUNCTION("""COMPUTED_VALUE"""),"Var")</f>
        <v>Var</v>
      </c>
      <c r="K465" s="1" t="str">
        <f>IFERROR(__xludf.DUMMYFUNCTION("IF( COUNTA( IFERROR( FILTER('départements_edition'!$C$2:$C$102 , 'départements_edition'!$C$2:$C$102=J465 ) ) ) , ""Oui"" , ""Non"" )"),"Oui")</f>
        <v>Oui</v>
      </c>
      <c r="L465" s="1" t="str">
        <f t="shared" si="2"/>
        <v>France</v>
      </c>
      <c r="M465" s="1">
        <v>83.0</v>
      </c>
      <c r="N465" s="1" t="s">
        <v>1231</v>
      </c>
      <c r="O465" s="1">
        <v>2.0</v>
      </c>
      <c r="P465" s="2">
        <v>42907.0</v>
      </c>
      <c r="R465" s="1">
        <v>0.0</v>
      </c>
      <c r="S465" s="1" t="s">
        <v>75</v>
      </c>
      <c r="T465" s="1" t="s">
        <v>76</v>
      </c>
      <c r="U465" s="1" t="s">
        <v>4822</v>
      </c>
      <c r="X465" s="1" t="s">
        <v>4823</v>
      </c>
      <c r="Y465" s="1">
        <v>195.0</v>
      </c>
      <c r="Z465" s="3" t="s">
        <v>4824</v>
      </c>
      <c r="AA465" s="1">
        <v>721656.0</v>
      </c>
      <c r="AB465" s="1" t="s">
        <v>4825</v>
      </c>
      <c r="AC465" s="3" t="s">
        <v>4826</v>
      </c>
      <c r="AD465" s="3" t="s">
        <v>4827</v>
      </c>
      <c r="AE465" s="1">
        <v>1.0</v>
      </c>
      <c r="AF465" s="1" t="s">
        <v>4828</v>
      </c>
      <c r="AG465" s="1">
        <v>16.0</v>
      </c>
      <c r="AH465" s="1">
        <v>21.0</v>
      </c>
      <c r="AI465" s="1">
        <v>4.0</v>
      </c>
      <c r="AJ465" s="1">
        <v>1.0</v>
      </c>
      <c r="AK465" s="1">
        <v>0.0</v>
      </c>
      <c r="AL465" s="1">
        <v>0.0</v>
      </c>
      <c r="AM465" s="1">
        <v>91.0</v>
      </c>
      <c r="AN465" s="1">
        <v>72.0</v>
      </c>
      <c r="AO465" s="1">
        <v>0.0</v>
      </c>
      <c r="AP465" s="1">
        <v>0.0</v>
      </c>
      <c r="AQ465" s="1">
        <v>5.0</v>
      </c>
      <c r="AR465" s="1">
        <v>1.0</v>
      </c>
      <c r="AS465" s="1">
        <v>1.0</v>
      </c>
    </row>
    <row r="466" hidden="1">
      <c r="A466" s="1">
        <v>579.0</v>
      </c>
      <c r="B466" s="1" t="s">
        <v>4829</v>
      </c>
      <c r="C466" s="1" t="s">
        <v>4830</v>
      </c>
      <c r="D466" s="1" t="s">
        <v>738</v>
      </c>
      <c r="E466" s="1" t="s">
        <v>58</v>
      </c>
      <c r="F466" s="2">
        <v>31406.0</v>
      </c>
      <c r="G466" s="1">
        <f t="shared" si="1"/>
        <v>40</v>
      </c>
      <c r="H466" s="1" t="s">
        <v>4831</v>
      </c>
      <c r="I466" s="1" t="str">
        <f>IFERROR(__xludf.DUMMYFUNCTION("SPLIT(left(H466,len(H466)-1),""("")"),"Mont-Saint-Aignan ")</f>
        <v>Mont-Saint-Aignan </v>
      </c>
      <c r="J466" s="1" t="str">
        <f>IFERROR(__xludf.DUMMYFUNCTION("""COMPUTED_VALUE"""),"Seine-Maritime")</f>
        <v>Seine-Maritime</v>
      </c>
      <c r="K466" s="1" t="str">
        <f>IFERROR(__xludf.DUMMYFUNCTION("IF( COUNTA( IFERROR( FILTER('départements_edition'!$C$2:$C$102 , 'départements_edition'!$C$2:$C$102=J466 ) ) ) , ""Oui"" , ""Non"" )"),"Oui")</f>
        <v>Oui</v>
      </c>
      <c r="L466" s="1" t="str">
        <f t="shared" si="2"/>
        <v>France</v>
      </c>
      <c r="M466" s="1">
        <v>75.0</v>
      </c>
      <c r="N466" s="1" t="s">
        <v>232</v>
      </c>
      <c r="O466" s="1">
        <v>16.0</v>
      </c>
      <c r="P466" s="2">
        <v>42938.0</v>
      </c>
      <c r="R466" s="1">
        <v>0.0</v>
      </c>
      <c r="S466" s="1" t="s">
        <v>75</v>
      </c>
      <c r="T466" s="1" t="s">
        <v>76</v>
      </c>
      <c r="U466" s="1" t="s">
        <v>4832</v>
      </c>
      <c r="X466" s="1" t="s">
        <v>2484</v>
      </c>
      <c r="Y466" s="1">
        <v>240.0</v>
      </c>
      <c r="Z466" s="3" t="s">
        <v>4833</v>
      </c>
      <c r="AA466" s="1">
        <v>721956.0</v>
      </c>
      <c r="AB466" s="1" t="s">
        <v>4834</v>
      </c>
      <c r="AC466" s="3" t="s">
        <v>4835</v>
      </c>
      <c r="AD466" s="3" t="s">
        <v>4836</v>
      </c>
      <c r="AE466" s="1">
        <v>1.0</v>
      </c>
      <c r="AF466" s="1" t="s">
        <v>4837</v>
      </c>
      <c r="AG466" s="1">
        <v>16.0</v>
      </c>
      <c r="AH466" s="1">
        <v>30.0</v>
      </c>
      <c r="AI466" s="1">
        <v>5.0</v>
      </c>
      <c r="AJ466" s="1">
        <v>3.0</v>
      </c>
      <c r="AK466" s="1">
        <v>0.0</v>
      </c>
      <c r="AL466" s="1">
        <v>0.0</v>
      </c>
      <c r="AM466" s="1">
        <v>13.0</v>
      </c>
      <c r="AN466" s="1">
        <v>8.0</v>
      </c>
      <c r="AO466" s="1">
        <v>0.0</v>
      </c>
      <c r="AP466" s="1">
        <v>0.0</v>
      </c>
      <c r="AQ466" s="1">
        <v>5.0</v>
      </c>
      <c r="AR466" s="1">
        <v>0.0</v>
      </c>
      <c r="AS466" s="1">
        <v>1.0</v>
      </c>
    </row>
    <row r="467" hidden="1">
      <c r="A467" s="1">
        <v>195.0</v>
      </c>
      <c r="B467" s="1" t="s">
        <v>4838</v>
      </c>
      <c r="C467" s="1" t="s">
        <v>4839</v>
      </c>
      <c r="D467" s="1" t="s">
        <v>323</v>
      </c>
      <c r="E467" s="1" t="s">
        <v>43</v>
      </c>
      <c r="F467" s="2">
        <v>30828.0</v>
      </c>
      <c r="G467" s="1">
        <f t="shared" si="1"/>
        <v>42</v>
      </c>
      <c r="H467" s="1" t="s">
        <v>4072</v>
      </c>
      <c r="I467" s="1" t="str">
        <f>IFERROR(__xludf.DUMMYFUNCTION("SPLIT(left(H467,len(H467)-1),""("")"),"Niort ")</f>
        <v>Niort </v>
      </c>
      <c r="J467" s="1" t="str">
        <f>IFERROR(__xludf.DUMMYFUNCTION("""COMPUTED_VALUE"""),"Deux-Sèvres")</f>
        <v>Deux-Sèvres</v>
      </c>
      <c r="K467" s="1" t="str">
        <f>IFERROR(__xludf.DUMMYFUNCTION("IF( COUNTA( IFERROR( FILTER('départements_edition'!$C$2:$C$102 , 'départements_edition'!$C$2:$C$102=J467 ) ) ) , ""Oui"" , ""Non"" )"),"Oui")</f>
        <v>Oui</v>
      </c>
      <c r="L467" s="1" t="str">
        <f t="shared" si="2"/>
        <v>France</v>
      </c>
      <c r="M467" s="1">
        <v>95.0</v>
      </c>
      <c r="N467" s="1" t="s">
        <v>302</v>
      </c>
      <c r="O467" s="1">
        <v>10.0</v>
      </c>
      <c r="P467" s="2">
        <v>42907.0</v>
      </c>
      <c r="R467" s="1">
        <v>0.0</v>
      </c>
      <c r="S467" s="1" t="s">
        <v>75</v>
      </c>
      <c r="T467" s="1" t="s">
        <v>76</v>
      </c>
      <c r="U467" s="1" t="s">
        <v>4840</v>
      </c>
      <c r="X467" s="1" t="s">
        <v>118</v>
      </c>
      <c r="Y467" s="1">
        <v>412.0</v>
      </c>
      <c r="Z467" s="3" t="s">
        <v>4841</v>
      </c>
      <c r="AA467" s="1">
        <v>720952.0</v>
      </c>
      <c r="AB467" s="1" t="s">
        <v>4842</v>
      </c>
      <c r="AC467" s="3" t="s">
        <v>4843</v>
      </c>
      <c r="AD467" s="3" t="s">
        <v>4844</v>
      </c>
      <c r="AE467" s="1">
        <v>1.0</v>
      </c>
      <c r="AF467" s="1" t="s">
        <v>4845</v>
      </c>
      <c r="AG467" s="1">
        <v>16.0</v>
      </c>
      <c r="AH467" s="1">
        <v>34.0</v>
      </c>
      <c r="AI467" s="1">
        <v>19.0</v>
      </c>
      <c r="AJ467" s="1">
        <v>78.0</v>
      </c>
      <c r="AK467" s="1">
        <v>7.0</v>
      </c>
      <c r="AL467" s="1">
        <v>14.0</v>
      </c>
      <c r="AM467" s="1">
        <v>65.0</v>
      </c>
      <c r="AN467" s="1">
        <v>26.0</v>
      </c>
      <c r="AO467" s="1">
        <v>0.0</v>
      </c>
      <c r="AP467" s="1">
        <v>0.0</v>
      </c>
      <c r="AQ467" s="1">
        <v>5.0</v>
      </c>
      <c r="AR467" s="1">
        <v>2.0</v>
      </c>
      <c r="AS467" s="1">
        <v>1.0</v>
      </c>
    </row>
    <row r="468" hidden="1">
      <c r="A468" s="1">
        <v>540.0</v>
      </c>
      <c r="B468" s="1" t="s">
        <v>4846</v>
      </c>
      <c r="C468" s="1" t="s">
        <v>4847</v>
      </c>
      <c r="D468" s="1" t="s">
        <v>4848</v>
      </c>
      <c r="E468" s="1" t="s">
        <v>58</v>
      </c>
      <c r="F468" s="2">
        <v>31332.0</v>
      </c>
      <c r="G468" s="1">
        <f t="shared" si="1"/>
        <v>40</v>
      </c>
      <c r="H468" s="1" t="s">
        <v>4849</v>
      </c>
      <c r="I468" s="1" t="str">
        <f>IFERROR(__xludf.DUMMYFUNCTION("SPLIT(left(H468,len(H468)-1),""("")"),"Bar-le-Duc ")</f>
        <v>Bar-le-Duc </v>
      </c>
      <c r="J468" s="1" t="str">
        <f>IFERROR(__xludf.DUMMYFUNCTION("""COMPUTED_VALUE"""),"Meuse")</f>
        <v>Meuse</v>
      </c>
      <c r="K468" s="1" t="str">
        <f>IFERROR(__xludf.DUMMYFUNCTION("IF( COUNTA( IFERROR( FILTER('départements_edition'!$C$2:$C$102 , 'départements_edition'!$C$2:$C$102=J468 ) ) ) , ""Oui"" , ""Non"" )"),"Oui")</f>
        <v>Oui</v>
      </c>
      <c r="L468" s="1" t="str">
        <f t="shared" si="2"/>
        <v>France</v>
      </c>
      <c r="M468" s="1">
        <v>26.0</v>
      </c>
      <c r="N468" s="1" t="s">
        <v>1873</v>
      </c>
      <c r="O468" s="1">
        <v>2.0</v>
      </c>
      <c r="P468" s="2">
        <v>42907.0</v>
      </c>
      <c r="R468" s="1">
        <v>0.0</v>
      </c>
      <c r="S468" s="1" t="s">
        <v>75</v>
      </c>
      <c r="T468" s="1" t="s">
        <v>76</v>
      </c>
      <c r="U468" s="1" t="s">
        <v>4850</v>
      </c>
      <c r="X468" s="1" t="s">
        <v>304</v>
      </c>
      <c r="Y468" s="1">
        <v>452.0</v>
      </c>
      <c r="Z468" s="3" t="s">
        <v>4851</v>
      </c>
      <c r="AA468" s="1">
        <v>719302.0</v>
      </c>
      <c r="AB468" s="1" t="s">
        <v>4852</v>
      </c>
      <c r="AC468" s="3" t="s">
        <v>4853</v>
      </c>
      <c r="AD468" s="3" t="s">
        <v>4854</v>
      </c>
      <c r="AE468" s="1">
        <v>1.0</v>
      </c>
      <c r="AF468" s="1" t="s">
        <v>4855</v>
      </c>
      <c r="AG468" s="1">
        <v>16.0</v>
      </c>
      <c r="AH468" s="1">
        <v>31.0</v>
      </c>
      <c r="AI468" s="1">
        <v>7.0</v>
      </c>
      <c r="AJ468" s="1">
        <v>28.0</v>
      </c>
      <c r="AK468" s="1">
        <v>4.0</v>
      </c>
      <c r="AL468" s="1">
        <v>4.0</v>
      </c>
      <c r="AM468" s="1">
        <v>126.0</v>
      </c>
      <c r="AN468" s="1">
        <v>58.0</v>
      </c>
      <c r="AO468" s="1">
        <v>1.0</v>
      </c>
      <c r="AP468" s="1">
        <v>0.0</v>
      </c>
      <c r="AQ468" s="1">
        <v>5.0</v>
      </c>
      <c r="AR468" s="1">
        <v>3.0</v>
      </c>
      <c r="AS468" s="1">
        <v>0.0</v>
      </c>
    </row>
    <row r="469" hidden="1">
      <c r="A469" s="1">
        <v>542.0</v>
      </c>
      <c r="B469" s="1" t="s">
        <v>4856</v>
      </c>
      <c r="C469" s="1" t="s">
        <v>4857</v>
      </c>
      <c r="D469" s="1" t="s">
        <v>810</v>
      </c>
      <c r="E469" s="1" t="s">
        <v>43</v>
      </c>
      <c r="F469" s="2">
        <v>21921.0</v>
      </c>
      <c r="G469" s="1">
        <f t="shared" si="1"/>
        <v>66</v>
      </c>
      <c r="H469" s="1" t="s">
        <v>3677</v>
      </c>
      <c r="I469" s="1" t="str">
        <f>IFERROR(__xludf.DUMMYFUNCTION("SPLIT(left(H469,len(H469)-1),""("")"),"Paris 20ème ")</f>
        <v>Paris 20ème </v>
      </c>
      <c r="J469" s="1" t="str">
        <f>IFERROR(__xludf.DUMMYFUNCTION("""COMPUTED_VALUE"""),"Paris")</f>
        <v>Paris</v>
      </c>
      <c r="K469" s="1" t="str">
        <f>IFERROR(__xludf.DUMMYFUNCTION("IF( COUNTA( IFERROR( FILTER('départements_edition'!$C$2:$C$102 , 'départements_edition'!$C$2:$C$102=J469 ) ) ) , ""Oui"" , ""Non"" )"),"Oui")</f>
        <v>Oui</v>
      </c>
      <c r="L469" s="1" t="str">
        <f t="shared" si="2"/>
        <v>France</v>
      </c>
      <c r="M469" s="1">
        <v>78.0</v>
      </c>
      <c r="N469" s="1" t="s">
        <v>74</v>
      </c>
      <c r="O469" s="1">
        <v>8.0</v>
      </c>
      <c r="P469" s="2">
        <v>42907.0</v>
      </c>
      <c r="R469" s="1">
        <v>0.0</v>
      </c>
      <c r="S469" s="1" t="s">
        <v>61</v>
      </c>
      <c r="T469" s="1" t="s">
        <v>62</v>
      </c>
      <c r="U469" s="1" t="s">
        <v>4858</v>
      </c>
      <c r="X469" s="1" t="s">
        <v>234</v>
      </c>
      <c r="Y469" s="1">
        <v>148.0</v>
      </c>
      <c r="Z469" s="3" t="s">
        <v>4859</v>
      </c>
      <c r="AA469" s="1">
        <v>721968.0</v>
      </c>
      <c r="AB469" s="1" t="s">
        <v>4860</v>
      </c>
      <c r="AC469" s="3" t="s">
        <v>4861</v>
      </c>
      <c r="AD469" s="3" t="s">
        <v>4862</v>
      </c>
      <c r="AE469" s="1">
        <v>2.0</v>
      </c>
      <c r="AF469" s="1" t="s">
        <v>4863</v>
      </c>
      <c r="AG469" s="1">
        <v>16.0</v>
      </c>
      <c r="AH469" s="1">
        <v>22.0</v>
      </c>
      <c r="AI469" s="1">
        <v>1.0</v>
      </c>
      <c r="AJ469" s="1">
        <v>10.0</v>
      </c>
      <c r="AK469" s="1">
        <v>1.0</v>
      </c>
      <c r="AL469" s="1">
        <v>6.0</v>
      </c>
      <c r="AM469" s="1">
        <v>1275.0</v>
      </c>
      <c r="AN469" s="1">
        <v>34.0</v>
      </c>
      <c r="AO469" s="1">
        <v>1.0</v>
      </c>
      <c r="AP469" s="1">
        <v>0.0</v>
      </c>
      <c r="AQ469" s="1">
        <v>80.0</v>
      </c>
      <c r="AR469" s="1">
        <v>2.0</v>
      </c>
      <c r="AS469" s="1">
        <v>1.0</v>
      </c>
    </row>
    <row r="470" hidden="1">
      <c r="A470" s="1">
        <v>535.0</v>
      </c>
      <c r="B470" s="1" t="s">
        <v>4864</v>
      </c>
      <c r="C470" s="1" t="s">
        <v>4865</v>
      </c>
      <c r="D470" s="1" t="s">
        <v>2776</v>
      </c>
      <c r="E470" s="1" t="s">
        <v>43</v>
      </c>
      <c r="F470" s="2">
        <v>26942.0</v>
      </c>
      <c r="G470" s="1">
        <f t="shared" si="1"/>
        <v>52</v>
      </c>
      <c r="H470" s="1" t="s">
        <v>4866</v>
      </c>
      <c r="I470" s="1" t="str">
        <f>IFERROR(__xludf.DUMMYFUNCTION("SPLIT(left(H470,len(H470)-1),""("")"),"Brive ")</f>
        <v>Brive </v>
      </c>
      <c r="J470" s="1" t="str">
        <f>IFERROR(__xludf.DUMMYFUNCTION("""COMPUTED_VALUE"""),"Corrèze")</f>
        <v>Corrèze</v>
      </c>
      <c r="K470" s="1" t="str">
        <f>IFERROR(__xludf.DUMMYFUNCTION("IF( COUNTA( IFERROR( FILTER('départements_edition'!$C$2:$C$102 , 'départements_edition'!$C$2:$C$102=J470 ) ) ) , ""Oui"" , ""Non"" )"),"Oui")</f>
        <v>Oui</v>
      </c>
      <c r="L470" s="1" t="str">
        <f t="shared" si="2"/>
        <v>France</v>
      </c>
      <c r="M470" s="1">
        <v>91.0</v>
      </c>
      <c r="N470" s="1" t="s">
        <v>610</v>
      </c>
      <c r="O470" s="1">
        <v>5.0</v>
      </c>
      <c r="P470" s="2">
        <v>42907.0</v>
      </c>
      <c r="R470" s="1">
        <v>0.0</v>
      </c>
      <c r="S470" s="1" t="s">
        <v>75</v>
      </c>
      <c r="T470" s="1" t="s">
        <v>76</v>
      </c>
      <c r="U470" s="1" t="s">
        <v>4867</v>
      </c>
      <c r="X470" s="1" t="s">
        <v>1592</v>
      </c>
      <c r="Y470" s="1">
        <v>356.0</v>
      </c>
      <c r="Z470" s="3" t="s">
        <v>4868</v>
      </c>
      <c r="AA470" s="1">
        <v>722260.0</v>
      </c>
      <c r="AB470" s="1" t="s">
        <v>4869</v>
      </c>
      <c r="AC470" s="3" t="s">
        <v>4870</v>
      </c>
      <c r="AD470" s="3" t="s">
        <v>4871</v>
      </c>
      <c r="AE470" s="1">
        <v>1.0</v>
      </c>
      <c r="AF470" s="1" t="s">
        <v>4872</v>
      </c>
      <c r="AG470" s="1">
        <v>16.0</v>
      </c>
      <c r="AH470" s="1">
        <v>24.0</v>
      </c>
      <c r="AI470" s="1">
        <v>162.0</v>
      </c>
      <c r="AJ470" s="1">
        <v>12.0</v>
      </c>
      <c r="AK470" s="1">
        <v>2.0</v>
      </c>
      <c r="AL470" s="1">
        <v>4.0</v>
      </c>
      <c r="AM470" s="1">
        <v>68.0</v>
      </c>
      <c r="AN470" s="1">
        <v>28.0</v>
      </c>
      <c r="AO470" s="1">
        <v>0.0</v>
      </c>
      <c r="AP470" s="1">
        <v>0.0</v>
      </c>
      <c r="AQ470" s="1">
        <v>5.0</v>
      </c>
      <c r="AR470" s="1">
        <v>3.0</v>
      </c>
      <c r="AS470" s="1">
        <v>0.0</v>
      </c>
    </row>
    <row r="471" hidden="1">
      <c r="A471" s="1">
        <v>462.0</v>
      </c>
      <c r="B471" s="1" t="s">
        <v>4873</v>
      </c>
      <c r="C471" s="1" t="s">
        <v>4874</v>
      </c>
      <c r="D471" s="1" t="s">
        <v>4875</v>
      </c>
      <c r="E471" s="1" t="s">
        <v>58</v>
      </c>
      <c r="F471" s="2">
        <v>19161.0</v>
      </c>
      <c r="G471" s="1">
        <f t="shared" si="1"/>
        <v>74</v>
      </c>
      <c r="H471" s="1" t="s">
        <v>3350</v>
      </c>
      <c r="I471" s="1" t="str">
        <f>IFERROR(__xludf.DUMMYFUNCTION("SPLIT(left(H471,len(H471)-1),""("")"),"Fleurance ")</f>
        <v>Fleurance </v>
      </c>
      <c r="J471" s="1" t="str">
        <f>IFERROR(__xludf.DUMMYFUNCTION("""COMPUTED_VALUE"""),"Gers")</f>
        <v>Gers</v>
      </c>
      <c r="K471" s="1" t="str">
        <f>IFERROR(__xludf.DUMMYFUNCTION("IF( COUNTA( IFERROR( FILTER('départements_edition'!$C$2:$C$102 , 'départements_edition'!$C$2:$C$102=J471 ) ) ) , ""Oui"" , ""Non"" )"),"Oui")</f>
        <v>Oui</v>
      </c>
      <c r="L471" s="1" t="str">
        <f t="shared" si="2"/>
        <v>France</v>
      </c>
      <c r="M471" s="1">
        <v>32.0</v>
      </c>
      <c r="N471" s="1" t="s">
        <v>825</v>
      </c>
      <c r="O471" s="1">
        <v>2.0</v>
      </c>
      <c r="P471" s="2">
        <v>42907.0</v>
      </c>
      <c r="R471" s="1">
        <v>0.0</v>
      </c>
      <c r="S471" s="1" t="s">
        <v>115</v>
      </c>
      <c r="T471" s="1" t="s">
        <v>116</v>
      </c>
      <c r="U471" s="1" t="s">
        <v>4876</v>
      </c>
      <c r="X471" s="1" t="s">
        <v>2679</v>
      </c>
      <c r="Y471" s="1">
        <v>515.0</v>
      </c>
      <c r="Z471" s="3" t="s">
        <v>4877</v>
      </c>
      <c r="AA471" s="1">
        <v>508.0</v>
      </c>
      <c r="AB471" s="1" t="s">
        <v>4878</v>
      </c>
      <c r="AC471" s="3" t="s">
        <v>4879</v>
      </c>
      <c r="AD471" s="3" t="s">
        <v>4880</v>
      </c>
      <c r="AE471" s="1">
        <v>1.0</v>
      </c>
      <c r="AF471" s="1" t="s">
        <v>4881</v>
      </c>
      <c r="AG471" s="1">
        <v>15.0</v>
      </c>
      <c r="AH471" s="1">
        <v>24.0</v>
      </c>
      <c r="AI471" s="1">
        <v>20.0</v>
      </c>
      <c r="AJ471" s="1">
        <v>35.0</v>
      </c>
      <c r="AK471" s="1">
        <v>7.0</v>
      </c>
      <c r="AL471" s="1">
        <v>12.0</v>
      </c>
      <c r="AM471" s="1">
        <v>1102.0</v>
      </c>
      <c r="AN471" s="1">
        <v>66.0</v>
      </c>
      <c r="AO471" s="1">
        <v>0.0</v>
      </c>
      <c r="AP471" s="1">
        <v>0.0</v>
      </c>
      <c r="AQ471" s="1">
        <v>5.0</v>
      </c>
      <c r="AR471" s="1">
        <v>19.0</v>
      </c>
      <c r="AS471" s="1">
        <v>5.0</v>
      </c>
    </row>
    <row r="472" hidden="1">
      <c r="A472" s="1">
        <v>303.0</v>
      </c>
      <c r="B472" s="1" t="s">
        <v>4882</v>
      </c>
      <c r="C472" s="1" t="s">
        <v>4883</v>
      </c>
      <c r="D472" s="1" t="s">
        <v>1540</v>
      </c>
      <c r="E472" s="1" t="s">
        <v>43</v>
      </c>
      <c r="F472" s="2">
        <v>23188.0</v>
      </c>
      <c r="G472" s="1">
        <f t="shared" si="1"/>
        <v>63</v>
      </c>
      <c r="H472" s="1" t="s">
        <v>4884</v>
      </c>
      <c r="I472" s="1" t="str">
        <f>IFERROR(__xludf.DUMMYFUNCTION("SPLIT(left(H472,len(H472)-1),""("")"),"Albert ")</f>
        <v>Albert </v>
      </c>
      <c r="J472" s="1" t="str">
        <f>IFERROR(__xludf.DUMMYFUNCTION("""COMPUTED_VALUE"""),"Somme")</f>
        <v>Somme</v>
      </c>
      <c r="K472" s="1" t="str">
        <f>IFERROR(__xludf.DUMMYFUNCTION("IF( COUNTA( IFERROR( FILTER('départements_edition'!$C$2:$C$102 , 'départements_edition'!$C$2:$C$102=J472 ) ) ) , ""Oui"" , ""Non"" )"),"Oui")</f>
        <v>Oui</v>
      </c>
      <c r="L472" s="1" t="str">
        <f t="shared" si="2"/>
        <v>France</v>
      </c>
      <c r="M472" s="1">
        <v>80.0</v>
      </c>
      <c r="N472" s="1" t="s">
        <v>1148</v>
      </c>
      <c r="O472" s="1">
        <v>5.0</v>
      </c>
      <c r="P472" s="2">
        <v>42907.0</v>
      </c>
      <c r="R472" s="1">
        <v>0.0</v>
      </c>
      <c r="S472" s="1" t="s">
        <v>46</v>
      </c>
      <c r="T472" s="1" t="s">
        <v>47</v>
      </c>
      <c r="U472" s="1" t="s">
        <v>4885</v>
      </c>
      <c r="X472" s="1" t="s">
        <v>4886</v>
      </c>
      <c r="Y472" s="1">
        <v>125.0</v>
      </c>
      <c r="Z472" s="3" t="s">
        <v>4887</v>
      </c>
      <c r="AA472" s="1">
        <v>267241.0</v>
      </c>
      <c r="AB472" s="1" t="s">
        <v>4888</v>
      </c>
      <c r="AC472" s="3" t="s">
        <v>4889</v>
      </c>
      <c r="AD472" s="3" t="s">
        <v>4890</v>
      </c>
      <c r="AE472" s="1">
        <v>2.0</v>
      </c>
      <c r="AG472" s="1">
        <v>15.0</v>
      </c>
      <c r="AH472" s="1">
        <v>18.0</v>
      </c>
      <c r="AI472" s="1">
        <v>10.0</v>
      </c>
      <c r="AJ472" s="1">
        <v>22.0</v>
      </c>
      <c r="AK472" s="1">
        <v>2.0</v>
      </c>
      <c r="AL472" s="1">
        <v>1.0</v>
      </c>
      <c r="AM472" s="1">
        <v>477.0</v>
      </c>
      <c r="AN472" s="1">
        <v>31.0</v>
      </c>
      <c r="AO472" s="1">
        <v>0.0</v>
      </c>
      <c r="AP472" s="1">
        <v>0.0</v>
      </c>
      <c r="AQ472" s="1">
        <v>15.0</v>
      </c>
      <c r="AR472" s="1">
        <v>19.0</v>
      </c>
      <c r="AS472" s="1">
        <v>4.0</v>
      </c>
    </row>
    <row r="473" hidden="1">
      <c r="A473" s="1">
        <v>60.0</v>
      </c>
      <c r="B473" s="1" t="s">
        <v>4891</v>
      </c>
      <c r="C473" s="1" t="s">
        <v>3657</v>
      </c>
      <c r="D473" s="1" t="s">
        <v>4892</v>
      </c>
      <c r="E473" s="1" t="s">
        <v>58</v>
      </c>
      <c r="F473" s="2">
        <v>21171.0</v>
      </c>
      <c r="G473" s="1">
        <f t="shared" si="1"/>
        <v>68</v>
      </c>
      <c r="H473" s="1" t="s">
        <v>4893</v>
      </c>
      <c r="I473" s="1" t="str">
        <f>IFERROR(__xludf.DUMMYFUNCTION("SPLIT(left(H473,len(H473)-1),""("")"),"Corbeil-Essonnes ")</f>
        <v>Corbeil-Essonnes </v>
      </c>
      <c r="J473" s="1" t="str">
        <f>IFERROR(__xludf.DUMMYFUNCTION("""COMPUTED_VALUE"""),"Essonne")</f>
        <v>Essonne</v>
      </c>
      <c r="K473" s="1" t="str">
        <f>IFERROR(__xludf.DUMMYFUNCTION("IF( COUNTA( IFERROR( FILTER('départements_edition'!$C$2:$C$102 , 'départements_edition'!$C$2:$C$102=J473 ) ) ) , ""Oui"" , ""Non"" )"),"Oui")</f>
        <v>Oui</v>
      </c>
      <c r="L473" s="1" t="str">
        <f t="shared" si="2"/>
        <v>France</v>
      </c>
      <c r="M473" s="1">
        <v>45.0</v>
      </c>
      <c r="N473" s="1" t="s">
        <v>2531</v>
      </c>
      <c r="O473" s="1">
        <v>5.0</v>
      </c>
      <c r="P473" s="2">
        <v>42907.0</v>
      </c>
      <c r="R473" s="1">
        <v>0.0</v>
      </c>
      <c r="S473" s="1" t="s">
        <v>61</v>
      </c>
      <c r="T473" s="1" t="s">
        <v>62</v>
      </c>
      <c r="U473" s="1" t="s">
        <v>4894</v>
      </c>
      <c r="X473" s="1">
        <v>0.0</v>
      </c>
      <c r="Y473" s="1">
        <v>20.0</v>
      </c>
      <c r="Z473" s="3" t="s">
        <v>4895</v>
      </c>
      <c r="AA473" s="1">
        <v>342935.0</v>
      </c>
      <c r="AB473" s="1" t="s">
        <v>4896</v>
      </c>
      <c r="AC473" s="3" t="s">
        <v>4897</v>
      </c>
      <c r="AD473" s="3" t="s">
        <v>4898</v>
      </c>
      <c r="AE473" s="1">
        <v>1.0</v>
      </c>
      <c r="AF473" s="1" t="s">
        <v>4899</v>
      </c>
      <c r="AG473" s="1">
        <v>15.0</v>
      </c>
      <c r="AH473" s="1">
        <v>32.0</v>
      </c>
      <c r="AI473" s="1">
        <v>19.0</v>
      </c>
      <c r="AJ473" s="1">
        <v>2.0</v>
      </c>
      <c r="AK473" s="1">
        <v>0.0</v>
      </c>
      <c r="AL473" s="1">
        <v>1.0</v>
      </c>
      <c r="AM473" s="1">
        <v>490.0</v>
      </c>
      <c r="AN473" s="1">
        <v>18.0</v>
      </c>
      <c r="AO473" s="1">
        <v>0.0</v>
      </c>
      <c r="AP473" s="1">
        <v>0.0</v>
      </c>
      <c r="AQ473" s="1">
        <v>41.0</v>
      </c>
      <c r="AR473" s="1">
        <v>8.0</v>
      </c>
      <c r="AS473" s="1">
        <v>0.0</v>
      </c>
    </row>
    <row r="474" hidden="1">
      <c r="A474" s="1">
        <v>440.0</v>
      </c>
      <c r="B474" s="1" t="s">
        <v>4900</v>
      </c>
      <c r="C474" s="1" t="s">
        <v>3676</v>
      </c>
      <c r="D474" s="1" t="s">
        <v>4901</v>
      </c>
      <c r="E474" s="1" t="s">
        <v>58</v>
      </c>
      <c r="F474" s="2">
        <v>22018.0</v>
      </c>
      <c r="G474" s="1">
        <f t="shared" si="1"/>
        <v>66</v>
      </c>
      <c r="H474" s="1" t="s">
        <v>4902</v>
      </c>
      <c r="I474" s="1" t="str">
        <f>IFERROR(__xludf.DUMMYFUNCTION("SPLIT(left(H474,len(H474)-1),""("")"),"Alès ")</f>
        <v>Alès </v>
      </c>
      <c r="J474" s="1" t="str">
        <f>IFERROR(__xludf.DUMMYFUNCTION("""COMPUTED_VALUE"""),"Gard")</f>
        <v>Gard</v>
      </c>
      <c r="K474" s="1" t="str">
        <f>IFERROR(__xludf.DUMMYFUNCTION("IF( COUNTA( IFERROR( FILTER('départements_edition'!$C$2:$C$102 , 'départements_edition'!$C$2:$C$102=J474 ) ) ) , ""Oui"" , ""Non"" )"),"Oui")</f>
        <v>Oui</v>
      </c>
      <c r="L474" s="1" t="str">
        <f t="shared" si="2"/>
        <v>France</v>
      </c>
      <c r="M474" s="1">
        <v>30.0</v>
      </c>
      <c r="N474" s="1" t="s">
        <v>1751</v>
      </c>
      <c r="O474" s="1">
        <v>1.0</v>
      </c>
      <c r="P474" s="2">
        <v>42907.0</v>
      </c>
      <c r="R474" s="1">
        <v>0.0</v>
      </c>
      <c r="S474" s="1" t="s">
        <v>75</v>
      </c>
      <c r="T474" s="1" t="s">
        <v>76</v>
      </c>
      <c r="U474" s="1" t="s">
        <v>4903</v>
      </c>
      <c r="X474" s="1" t="s">
        <v>4904</v>
      </c>
      <c r="Y474" s="1">
        <v>413.0</v>
      </c>
      <c r="Z474" s="3" t="s">
        <v>4905</v>
      </c>
      <c r="AA474" s="1">
        <v>606202.0</v>
      </c>
      <c r="AB474" s="1" t="s">
        <v>4906</v>
      </c>
      <c r="AC474" s="3" t="s">
        <v>4907</v>
      </c>
      <c r="AD474" s="3" t="s">
        <v>4908</v>
      </c>
      <c r="AE474" s="1">
        <v>2.0</v>
      </c>
      <c r="AF474" s="1" t="s">
        <v>4909</v>
      </c>
      <c r="AG474" s="1">
        <v>15.0</v>
      </c>
      <c r="AH474" s="1">
        <v>34.0</v>
      </c>
      <c r="AI474" s="1">
        <v>12.0</v>
      </c>
      <c r="AJ474" s="1">
        <v>5.0</v>
      </c>
      <c r="AK474" s="1">
        <v>4.0</v>
      </c>
      <c r="AL474" s="1">
        <v>0.0</v>
      </c>
      <c r="AM474" s="1">
        <v>22.0</v>
      </c>
      <c r="AN474" s="1">
        <v>2.0</v>
      </c>
      <c r="AO474" s="1">
        <v>0.0</v>
      </c>
      <c r="AP474" s="1">
        <v>0.0</v>
      </c>
      <c r="AQ474" s="1">
        <v>6.0</v>
      </c>
      <c r="AR474" s="1">
        <v>12.0</v>
      </c>
      <c r="AS474" s="1">
        <v>2.0</v>
      </c>
    </row>
    <row r="475" hidden="1">
      <c r="A475" s="1">
        <v>481.0</v>
      </c>
      <c r="B475" s="1" t="s">
        <v>4910</v>
      </c>
      <c r="C475" s="1" t="s">
        <v>478</v>
      </c>
      <c r="D475" s="1" t="s">
        <v>694</v>
      </c>
      <c r="E475" s="1" t="s">
        <v>58</v>
      </c>
      <c r="F475" s="2">
        <v>21338.0</v>
      </c>
      <c r="G475" s="1">
        <f t="shared" si="1"/>
        <v>68</v>
      </c>
      <c r="H475" s="1" t="s">
        <v>4793</v>
      </c>
      <c r="I475" s="1" t="str">
        <f>IFERROR(__xludf.DUMMYFUNCTION("SPLIT(left(H475,len(H475)-1),""("")"),"Vincennes ")</f>
        <v>Vincennes </v>
      </c>
      <c r="J475" s="1" t="str">
        <f>IFERROR(__xludf.DUMMYFUNCTION("""COMPUTED_VALUE"""),"Val-de-Marne")</f>
        <v>Val-de-Marne</v>
      </c>
      <c r="K475" s="1" t="str">
        <f>IFERROR(__xludf.DUMMYFUNCTION("IF( COUNTA( IFERROR( FILTER('départements_edition'!$C$2:$C$102 , 'départements_edition'!$C$2:$C$102=J475 ) ) ) , ""Oui"" , ""Non"" )"),"Oui")</f>
        <v>Oui</v>
      </c>
      <c r="L475" s="1" t="str">
        <f t="shared" si="2"/>
        <v>France</v>
      </c>
      <c r="M475" s="1">
        <v>14.0</v>
      </c>
      <c r="N475" s="1" t="s">
        <v>1137</v>
      </c>
      <c r="O475" s="1">
        <v>2.0</v>
      </c>
      <c r="P475" s="2">
        <v>42907.0</v>
      </c>
      <c r="R475" s="1">
        <v>0.0</v>
      </c>
      <c r="S475" s="1" t="s">
        <v>115</v>
      </c>
      <c r="T475" s="1" t="s">
        <v>116</v>
      </c>
      <c r="U475" s="1" t="s">
        <v>4911</v>
      </c>
      <c r="X475" s="1" t="s">
        <v>4912</v>
      </c>
      <c r="Y475" s="1">
        <v>509.0</v>
      </c>
      <c r="Z475" s="3" t="s">
        <v>4913</v>
      </c>
      <c r="AA475" s="1">
        <v>1198.0</v>
      </c>
      <c r="AB475" s="1" t="s">
        <v>4914</v>
      </c>
      <c r="AC475" s="3" t="s">
        <v>4915</v>
      </c>
      <c r="AD475" s="3" t="s">
        <v>4916</v>
      </c>
      <c r="AE475" s="1">
        <v>1.0</v>
      </c>
      <c r="AF475" s="1" t="s">
        <v>4917</v>
      </c>
      <c r="AG475" s="1">
        <v>15.0</v>
      </c>
      <c r="AH475" s="1">
        <v>19.0</v>
      </c>
      <c r="AI475" s="1">
        <v>9.0</v>
      </c>
      <c r="AJ475" s="1">
        <v>16.0</v>
      </c>
      <c r="AK475" s="1">
        <v>52.0</v>
      </c>
      <c r="AL475" s="1">
        <v>2.0</v>
      </c>
      <c r="AM475" s="1">
        <v>1095.0</v>
      </c>
      <c r="AN475" s="1">
        <v>72.0</v>
      </c>
      <c r="AO475" s="1">
        <v>1.0</v>
      </c>
      <c r="AP475" s="1">
        <v>0.0</v>
      </c>
      <c r="AQ475" s="1">
        <v>5.0</v>
      </c>
      <c r="AR475" s="1">
        <v>1.0</v>
      </c>
      <c r="AS475" s="1">
        <v>3.0</v>
      </c>
    </row>
    <row r="476" hidden="1">
      <c r="A476" s="1">
        <v>377.0</v>
      </c>
      <c r="B476" s="1" t="s">
        <v>4918</v>
      </c>
      <c r="C476" s="1" t="s">
        <v>4919</v>
      </c>
      <c r="D476" s="1" t="s">
        <v>2374</v>
      </c>
      <c r="E476" s="1" t="s">
        <v>43</v>
      </c>
      <c r="F476" s="2">
        <v>22347.0</v>
      </c>
      <c r="G476" s="1">
        <f t="shared" si="1"/>
        <v>65</v>
      </c>
      <c r="H476" s="1" t="s">
        <v>207</v>
      </c>
      <c r="I476" s="1" t="str">
        <f>IFERROR(__xludf.DUMMYFUNCTION("SPLIT(left(H476,len(H476)-1),""("")"),"Paris ")</f>
        <v>Paris </v>
      </c>
      <c r="J476" s="1" t="str">
        <f>IFERROR(__xludf.DUMMYFUNCTION("""COMPUTED_VALUE"""),"Paris")</f>
        <v>Paris</v>
      </c>
      <c r="K476" s="1" t="str">
        <f>IFERROR(__xludf.DUMMYFUNCTION("IF( COUNTA( IFERROR( FILTER('départements_edition'!$C$2:$C$102 , 'départements_edition'!$C$2:$C$102=J476 ) ) ) , ""Oui"" , ""Non"" )"),"Oui")</f>
        <v>Oui</v>
      </c>
      <c r="L476" s="1" t="str">
        <f t="shared" si="2"/>
        <v>France</v>
      </c>
      <c r="M476" s="1">
        <v>91.0</v>
      </c>
      <c r="N476" s="1" t="s">
        <v>610</v>
      </c>
      <c r="O476" s="1">
        <v>8.0</v>
      </c>
      <c r="P476" s="2">
        <v>42907.0</v>
      </c>
      <c r="R476" s="1">
        <v>0.0</v>
      </c>
      <c r="S476" s="1" t="s">
        <v>814</v>
      </c>
      <c r="T476" s="1" t="s">
        <v>4920</v>
      </c>
      <c r="U476" s="1" t="s">
        <v>4921</v>
      </c>
      <c r="X476" s="1" t="s">
        <v>4922</v>
      </c>
      <c r="Y476" s="1">
        <v>237.0</v>
      </c>
      <c r="Z476" s="3" t="s">
        <v>4923</v>
      </c>
      <c r="AA476" s="1">
        <v>1206.0</v>
      </c>
      <c r="AB476" s="1" t="s">
        <v>4924</v>
      </c>
      <c r="AC476" s="3" t="s">
        <v>4925</v>
      </c>
      <c r="AD476" s="3" t="s">
        <v>4926</v>
      </c>
      <c r="AE476" s="1">
        <v>2.0</v>
      </c>
      <c r="AF476" s="1" t="s">
        <v>4927</v>
      </c>
      <c r="AG476" s="1">
        <v>15.0</v>
      </c>
      <c r="AH476" s="1">
        <v>15.0</v>
      </c>
      <c r="AI476" s="1">
        <v>7.0</v>
      </c>
      <c r="AJ476" s="1">
        <v>25.0</v>
      </c>
      <c r="AK476" s="1">
        <v>69.0</v>
      </c>
      <c r="AL476" s="1">
        <v>4.0</v>
      </c>
      <c r="AM476" s="1">
        <v>4.0</v>
      </c>
      <c r="AN476" s="1">
        <v>0.0</v>
      </c>
      <c r="AO476" s="1">
        <v>0.0</v>
      </c>
      <c r="AP476" s="1">
        <v>4.0</v>
      </c>
      <c r="AQ476" s="1">
        <v>6.0</v>
      </c>
      <c r="AR476" s="1">
        <v>22.0</v>
      </c>
      <c r="AS476" s="1">
        <v>0.0</v>
      </c>
    </row>
    <row r="477" hidden="1">
      <c r="A477" s="1">
        <v>583.0</v>
      </c>
      <c r="B477" s="1" t="s">
        <v>4928</v>
      </c>
      <c r="C477" s="1" t="s">
        <v>4929</v>
      </c>
      <c r="D477" s="1" t="s">
        <v>2927</v>
      </c>
      <c r="E477" s="1" t="s">
        <v>43</v>
      </c>
      <c r="F477" s="2">
        <v>26685.0</v>
      </c>
      <c r="G477" s="1">
        <f t="shared" si="1"/>
        <v>53</v>
      </c>
      <c r="H477" s="1" t="s">
        <v>3481</v>
      </c>
      <c r="I477" s="1" t="str">
        <f>IFERROR(__xludf.DUMMYFUNCTION("SPLIT(left(H477,len(H477)-1),""("")"),"Coutances ")</f>
        <v>Coutances </v>
      </c>
      <c r="J477" s="1" t="str">
        <f>IFERROR(__xludf.DUMMYFUNCTION("""COMPUTED_VALUE"""),"Manche")</f>
        <v>Manche</v>
      </c>
      <c r="K477" s="1" t="str">
        <f>IFERROR(__xludf.DUMMYFUNCTION("IF( COUNTA( IFERROR( FILTER('départements_edition'!$C$2:$C$102 , 'départements_edition'!$C$2:$C$102=J477 ) ) ) , ""Oui"" , ""Non"" )"),"Oui")</f>
        <v>Oui</v>
      </c>
      <c r="L477" s="1" t="str">
        <f t="shared" si="2"/>
        <v>France</v>
      </c>
      <c r="M477" s="1">
        <v>50.0</v>
      </c>
      <c r="N477" s="1" t="s">
        <v>2472</v>
      </c>
      <c r="O477" s="1">
        <v>3.0</v>
      </c>
      <c r="P477" s="2">
        <v>42938.0</v>
      </c>
      <c r="R477" s="1">
        <v>0.0</v>
      </c>
      <c r="S477" s="1" t="s">
        <v>75</v>
      </c>
      <c r="T477" s="1" t="s">
        <v>76</v>
      </c>
      <c r="X477" s="1" t="s">
        <v>538</v>
      </c>
      <c r="Y477" s="1">
        <v>226.0</v>
      </c>
      <c r="Z477" s="3" t="s">
        <v>4930</v>
      </c>
      <c r="AA477" s="1">
        <v>720198.0</v>
      </c>
      <c r="AB477" s="1" t="s">
        <v>4931</v>
      </c>
      <c r="AC477" s="3" t="s">
        <v>4932</v>
      </c>
      <c r="AD477" s="3" t="s">
        <v>4933</v>
      </c>
      <c r="AE477" s="1">
        <v>1.0</v>
      </c>
      <c r="AG477" s="1">
        <v>15.0</v>
      </c>
      <c r="AH477" s="1">
        <v>29.0</v>
      </c>
      <c r="AI477" s="1">
        <v>9.0</v>
      </c>
      <c r="AJ477" s="1">
        <v>7.0</v>
      </c>
      <c r="AK477" s="1">
        <v>2.0</v>
      </c>
      <c r="AL477" s="1">
        <v>13.0</v>
      </c>
      <c r="AM477" s="1">
        <v>55.0</v>
      </c>
      <c r="AN477" s="1">
        <v>14.0</v>
      </c>
      <c r="AO477" s="1">
        <v>0.0</v>
      </c>
      <c r="AP477" s="1">
        <v>0.0</v>
      </c>
      <c r="AQ477" s="1">
        <v>5.0</v>
      </c>
      <c r="AR477" s="1">
        <v>8.0</v>
      </c>
      <c r="AS477" s="1">
        <v>1.0</v>
      </c>
    </row>
    <row r="478" hidden="1">
      <c r="A478" s="1">
        <v>224.0</v>
      </c>
      <c r="B478" s="1" t="s">
        <v>4934</v>
      </c>
      <c r="C478" s="1" t="s">
        <v>4935</v>
      </c>
      <c r="D478" s="1" t="s">
        <v>3340</v>
      </c>
      <c r="E478" s="1" t="s">
        <v>58</v>
      </c>
      <c r="F478" s="2">
        <v>27656.0</v>
      </c>
      <c r="G478" s="1">
        <f t="shared" si="1"/>
        <v>50</v>
      </c>
      <c r="H478" s="1" t="s">
        <v>4936</v>
      </c>
      <c r="I478" s="1" t="str">
        <f>IFERROR(__xludf.DUMMYFUNCTION("SPLIT(left(H478,len(H478)-1),""("")"),"Guérande ")</f>
        <v>Guérande </v>
      </c>
      <c r="J478" s="1" t="str">
        <f>IFERROR(__xludf.DUMMYFUNCTION("""COMPUTED_VALUE"""),"Loire-Atlantique")</f>
        <v>Loire-Atlantique</v>
      </c>
      <c r="K478" s="1" t="str">
        <f>IFERROR(__xludf.DUMMYFUNCTION("IF( COUNTA( IFERROR( FILTER('départements_edition'!$C$2:$C$102 , 'départements_edition'!$C$2:$C$102=J478 ) ) ) , ""Oui"" , ""Non"" )"),"Oui")</f>
        <v>Oui</v>
      </c>
      <c r="L478" s="1" t="str">
        <f t="shared" si="2"/>
        <v>France</v>
      </c>
      <c r="M478" s="1">
        <v>44.0</v>
      </c>
      <c r="N478" s="1" t="s">
        <v>492</v>
      </c>
      <c r="O478" s="1">
        <v>7.0</v>
      </c>
      <c r="P478" s="2">
        <v>42907.0</v>
      </c>
      <c r="R478" s="1">
        <v>0.0</v>
      </c>
      <c r="S478" s="1" t="s">
        <v>75</v>
      </c>
      <c r="T478" s="1" t="s">
        <v>76</v>
      </c>
      <c r="U478" s="1" t="s">
        <v>4937</v>
      </c>
      <c r="X478" s="1" t="s">
        <v>293</v>
      </c>
      <c r="Y478" s="1">
        <v>324.0</v>
      </c>
      <c r="Z478" s="3" t="s">
        <v>4938</v>
      </c>
      <c r="AA478" s="1">
        <v>720038.0</v>
      </c>
      <c r="AB478" s="1" t="s">
        <v>4939</v>
      </c>
      <c r="AC478" s="3" t="s">
        <v>4940</v>
      </c>
      <c r="AD478" s="3" t="s">
        <v>4941</v>
      </c>
      <c r="AE478" s="1">
        <v>1.0</v>
      </c>
      <c r="AF478" s="1" t="s">
        <v>4942</v>
      </c>
      <c r="AG478" s="1">
        <v>15.0</v>
      </c>
      <c r="AH478" s="1">
        <v>32.0</v>
      </c>
      <c r="AI478" s="1">
        <v>2.0</v>
      </c>
      <c r="AJ478" s="1">
        <v>4.0</v>
      </c>
      <c r="AK478" s="1">
        <v>0.0</v>
      </c>
      <c r="AL478" s="1">
        <v>0.0</v>
      </c>
      <c r="AM478" s="1">
        <v>97.0</v>
      </c>
      <c r="AN478" s="1">
        <v>44.0</v>
      </c>
      <c r="AO478" s="1">
        <v>0.0</v>
      </c>
      <c r="AP478" s="1">
        <v>0.0</v>
      </c>
      <c r="AQ478" s="1">
        <v>5.0</v>
      </c>
      <c r="AR478" s="1">
        <v>5.0</v>
      </c>
      <c r="AS478" s="1">
        <v>2.0</v>
      </c>
    </row>
    <row r="479" hidden="1">
      <c r="A479" s="1">
        <v>12.0</v>
      </c>
      <c r="B479" s="1" t="s">
        <v>4952</v>
      </c>
      <c r="C479" s="1" t="s">
        <v>4953</v>
      </c>
      <c r="D479" s="1" t="s">
        <v>4954</v>
      </c>
      <c r="E479" s="1" t="s">
        <v>58</v>
      </c>
      <c r="F479" s="2">
        <v>22503.0</v>
      </c>
      <c r="G479" s="1">
        <f t="shared" si="1"/>
        <v>65</v>
      </c>
      <c r="H479" s="1" t="s">
        <v>4955</v>
      </c>
      <c r="I479" s="1" t="str">
        <f>IFERROR(__xludf.DUMMYFUNCTION("SPLIT(left(H479,len(H479)-1),""("")"),"Mont-de-Marsan ")</f>
        <v>Mont-de-Marsan </v>
      </c>
      <c r="J479" s="1" t="str">
        <f>IFERROR(__xludf.DUMMYFUNCTION("""COMPUTED_VALUE"""),"Landes")</f>
        <v>Landes</v>
      </c>
      <c r="K479" s="1" t="str">
        <f>IFERROR(__xludf.DUMMYFUNCTION("IF( COUNTA( IFERROR( FILTER('départements_edition'!$C$2:$C$102 , 'départements_edition'!$C$2:$C$102=J479 ) ) ) , ""Oui"" , ""Non"" )"),"Oui")</f>
        <v>Oui</v>
      </c>
      <c r="L479" s="1" t="str">
        <f t="shared" si="2"/>
        <v>France</v>
      </c>
      <c r="M479" s="1">
        <v>75.0</v>
      </c>
      <c r="N479" s="1" t="s">
        <v>232</v>
      </c>
      <c r="O479" s="1">
        <v>10.0</v>
      </c>
      <c r="P479" s="2">
        <v>42907.0</v>
      </c>
      <c r="R479" s="1">
        <v>0.0</v>
      </c>
      <c r="S479" s="1" t="s">
        <v>75</v>
      </c>
      <c r="T479" s="1" t="s">
        <v>76</v>
      </c>
      <c r="U479" s="1" t="s">
        <v>4956</v>
      </c>
      <c r="X479" s="1" t="s">
        <v>90</v>
      </c>
      <c r="Y479" s="1">
        <v>282.0</v>
      </c>
      <c r="Z479" s="3" t="s">
        <v>4957</v>
      </c>
      <c r="AA479" s="1">
        <v>643205.0</v>
      </c>
      <c r="AB479" s="1" t="s">
        <v>4958</v>
      </c>
      <c r="AC479" s="3" t="s">
        <v>4959</v>
      </c>
      <c r="AD479" s="3" t="s">
        <v>4960</v>
      </c>
      <c r="AE479" s="1">
        <v>2.0</v>
      </c>
      <c r="AF479" s="1" t="s">
        <v>4961</v>
      </c>
      <c r="AG479" s="1">
        <v>15.0</v>
      </c>
      <c r="AH479" s="1">
        <v>19.0</v>
      </c>
      <c r="AI479" s="1">
        <v>9.0</v>
      </c>
      <c r="AJ479" s="1">
        <v>20.0</v>
      </c>
      <c r="AK479" s="1">
        <v>11.0</v>
      </c>
      <c r="AL479" s="1">
        <v>5.0</v>
      </c>
      <c r="AM479" s="1">
        <v>42.0</v>
      </c>
      <c r="AN479" s="1">
        <v>13.0</v>
      </c>
      <c r="AO479" s="1">
        <v>1.0</v>
      </c>
      <c r="AP479" s="1">
        <v>0.0</v>
      </c>
      <c r="AQ479" s="1">
        <v>5.0</v>
      </c>
      <c r="AR479" s="1">
        <v>1.0</v>
      </c>
      <c r="AS479" s="1">
        <v>3.0</v>
      </c>
    </row>
    <row r="480" hidden="1">
      <c r="A480" s="1">
        <v>257.0</v>
      </c>
      <c r="B480" s="1" t="s">
        <v>4962</v>
      </c>
      <c r="C480" s="1" t="s">
        <v>4963</v>
      </c>
      <c r="D480" s="1" t="s">
        <v>242</v>
      </c>
      <c r="E480" s="1" t="s">
        <v>43</v>
      </c>
      <c r="F480" s="2">
        <v>26153.0</v>
      </c>
      <c r="G480" s="1">
        <f t="shared" si="1"/>
        <v>55</v>
      </c>
      <c r="H480" s="1" t="s">
        <v>59</v>
      </c>
      <c r="I480" s="1" t="str">
        <f>IFERROR(__xludf.DUMMYFUNCTION("SPLIT(left(H480,len(H480)-1),""("")"),"Chambéry ")</f>
        <v>Chambéry </v>
      </c>
      <c r="J480" s="1" t="str">
        <f>IFERROR(__xludf.DUMMYFUNCTION("""COMPUTED_VALUE"""),"Savoie")</f>
        <v>Savoie</v>
      </c>
      <c r="K480" s="1" t="str">
        <f>IFERROR(__xludf.DUMMYFUNCTION("IF( COUNTA( IFERROR( FILTER('départements_edition'!$C$2:$C$102 , 'départements_edition'!$C$2:$C$102=J480 ) ) ) , ""Oui"" , ""Non"" )"),"Oui")</f>
        <v>Oui</v>
      </c>
      <c r="L480" s="1" t="str">
        <f t="shared" si="2"/>
        <v>France</v>
      </c>
      <c r="M480" s="1">
        <v>73.0</v>
      </c>
      <c r="N480" s="1" t="s">
        <v>60</v>
      </c>
      <c r="O480" s="1">
        <v>4.0</v>
      </c>
      <c r="P480" s="2">
        <v>42907.0</v>
      </c>
      <c r="R480" s="1">
        <v>0.0</v>
      </c>
      <c r="S480" s="1" t="s">
        <v>280</v>
      </c>
      <c r="T480" s="1" t="s">
        <v>281</v>
      </c>
      <c r="U480" s="1" t="s">
        <v>4964</v>
      </c>
      <c r="X480" s="1" t="s">
        <v>198</v>
      </c>
      <c r="Y480" s="1">
        <v>248.0</v>
      </c>
      <c r="Z480" s="3" t="s">
        <v>4965</v>
      </c>
      <c r="AA480" s="1">
        <v>721418.0</v>
      </c>
      <c r="AB480" s="1" t="s">
        <v>4966</v>
      </c>
      <c r="AC480" s="3" t="s">
        <v>4967</v>
      </c>
      <c r="AD480" s="3" t="s">
        <v>4968</v>
      </c>
      <c r="AE480" s="1">
        <v>1.0</v>
      </c>
      <c r="AF480" s="1" t="s">
        <v>4969</v>
      </c>
      <c r="AG480" s="1">
        <v>15.0</v>
      </c>
      <c r="AH480" s="1">
        <v>18.0</v>
      </c>
      <c r="AI480" s="1">
        <v>9.0</v>
      </c>
      <c r="AJ480" s="1">
        <v>69.0</v>
      </c>
      <c r="AK480" s="1">
        <v>23.0</v>
      </c>
      <c r="AL480" s="1">
        <v>13.0</v>
      </c>
      <c r="AM480" s="1">
        <v>282.0</v>
      </c>
      <c r="AN480" s="1">
        <v>39.0</v>
      </c>
      <c r="AO480" s="1">
        <v>1.0</v>
      </c>
      <c r="AP480" s="1">
        <v>1.0</v>
      </c>
      <c r="AQ480" s="1">
        <v>5.0</v>
      </c>
      <c r="AR480" s="1">
        <v>9.0</v>
      </c>
      <c r="AS480" s="1">
        <v>0.0</v>
      </c>
    </row>
    <row r="481" hidden="1">
      <c r="A481" s="1">
        <v>360.0</v>
      </c>
      <c r="B481" s="1" t="s">
        <v>4970</v>
      </c>
      <c r="C481" s="1" t="s">
        <v>4971</v>
      </c>
      <c r="D481" s="1" t="s">
        <v>4972</v>
      </c>
      <c r="E481" s="1" t="s">
        <v>58</v>
      </c>
      <c r="F481" s="2">
        <v>19737.0</v>
      </c>
      <c r="G481" s="1">
        <f t="shared" si="1"/>
        <v>72</v>
      </c>
      <c r="H481" s="1" t="s">
        <v>4973</v>
      </c>
      <c r="I481" s="1" t="str">
        <f>IFERROR(__xludf.DUMMYFUNCTION("SPLIT(left(H481,len(H481)-1),""("")"),"Paris 4ème ")</f>
        <v>Paris 4ème </v>
      </c>
      <c r="J481" s="1" t="str">
        <f>IFERROR(__xludf.DUMMYFUNCTION("""COMPUTED_VALUE"""),"Paris")</f>
        <v>Paris</v>
      </c>
      <c r="K481" s="1" t="str">
        <f>IFERROR(__xludf.DUMMYFUNCTION("IF( COUNTA( IFERROR( FILTER('départements_edition'!$C$2:$C$102 , 'départements_edition'!$C$2:$C$102=J481 ) ) ) , ""Oui"" , ""Non"" )"),"Oui")</f>
        <v>Oui</v>
      </c>
      <c r="L481" s="1" t="str">
        <f t="shared" si="2"/>
        <v>France</v>
      </c>
      <c r="M481" s="1">
        <v>64.0</v>
      </c>
      <c r="N481" s="1" t="s">
        <v>579</v>
      </c>
      <c r="O481" s="1">
        <v>1.0</v>
      </c>
      <c r="P481" s="2">
        <v>42907.0</v>
      </c>
      <c r="R481" s="1">
        <v>0.0</v>
      </c>
      <c r="S481" s="1" t="s">
        <v>280</v>
      </c>
      <c r="T481" s="1" t="s">
        <v>281</v>
      </c>
      <c r="U481" s="3" t="s">
        <v>4974</v>
      </c>
      <c r="X481" s="1" t="s">
        <v>4975</v>
      </c>
      <c r="Y481" s="1">
        <v>263.0</v>
      </c>
      <c r="Z481" s="3" t="s">
        <v>4976</v>
      </c>
      <c r="AA481" s="1">
        <v>720720.0</v>
      </c>
      <c r="AB481" s="1" t="s">
        <v>4977</v>
      </c>
      <c r="AC481" s="3" t="s">
        <v>4978</v>
      </c>
      <c r="AD481" s="3" t="s">
        <v>4979</v>
      </c>
      <c r="AE481" s="1">
        <v>2.0</v>
      </c>
      <c r="AF481" s="1" t="s">
        <v>4980</v>
      </c>
      <c r="AG481" s="1">
        <v>15.0</v>
      </c>
      <c r="AH481" s="1">
        <v>30.0</v>
      </c>
      <c r="AI481" s="1">
        <v>4.0</v>
      </c>
      <c r="AJ481" s="1">
        <v>5.0</v>
      </c>
      <c r="AK481" s="1">
        <v>1.0</v>
      </c>
      <c r="AL481" s="1">
        <v>0.0</v>
      </c>
      <c r="AM481" s="1">
        <v>218.0</v>
      </c>
      <c r="AN481" s="1">
        <v>19.0</v>
      </c>
      <c r="AO481" s="1">
        <v>0.0</v>
      </c>
      <c r="AP481" s="1">
        <v>0.0</v>
      </c>
      <c r="AQ481" s="1">
        <v>5.0</v>
      </c>
      <c r="AR481" s="1">
        <v>0.0</v>
      </c>
      <c r="AS481" s="1">
        <v>2.0</v>
      </c>
    </row>
    <row r="482" hidden="1">
      <c r="A482" s="1">
        <v>81.0</v>
      </c>
      <c r="B482" s="1" t="s">
        <v>4981</v>
      </c>
      <c r="C482" s="1" t="s">
        <v>4982</v>
      </c>
      <c r="D482" s="1" t="s">
        <v>4983</v>
      </c>
      <c r="E482" s="1" t="s">
        <v>43</v>
      </c>
      <c r="F482" s="2">
        <v>27032.0</v>
      </c>
      <c r="G482" s="1">
        <f t="shared" si="1"/>
        <v>52</v>
      </c>
      <c r="H482" s="1" t="s">
        <v>231</v>
      </c>
      <c r="I482" s="1" t="str">
        <f>IFERROR(__xludf.DUMMYFUNCTION("SPLIT(left(H482,len(H482)-1),""("")"),"Paris 15ème ")</f>
        <v>Paris 15ème </v>
      </c>
      <c r="J482" s="1" t="str">
        <f>IFERROR(__xludf.DUMMYFUNCTION("""COMPUTED_VALUE"""),"Paris")</f>
        <v>Paris</v>
      </c>
      <c r="K482" s="1" t="str">
        <f>IFERROR(__xludf.DUMMYFUNCTION("IF( COUNTA( IFERROR( FILTER('départements_edition'!$C$2:$C$102 , 'départements_edition'!$C$2:$C$102=J482 ) ) ) , ""Oui"" , ""Non"" )"),"Oui")</f>
        <v>Oui</v>
      </c>
      <c r="L482" s="1" t="str">
        <f t="shared" si="2"/>
        <v>France</v>
      </c>
      <c r="M482" s="1">
        <v>77.0</v>
      </c>
      <c r="N482" s="1" t="s">
        <v>503</v>
      </c>
      <c r="O482" s="1">
        <v>5.0</v>
      </c>
      <c r="P482" s="2">
        <v>42907.0</v>
      </c>
      <c r="R482" s="1">
        <v>0.0</v>
      </c>
      <c r="S482" s="1" t="s">
        <v>46</v>
      </c>
      <c r="T482" s="1" t="s">
        <v>47</v>
      </c>
      <c r="U482" s="1" t="s">
        <v>4984</v>
      </c>
      <c r="X482" s="1" t="s">
        <v>2484</v>
      </c>
      <c r="Y482" s="1">
        <v>124.0</v>
      </c>
      <c r="Z482" s="3" t="s">
        <v>4985</v>
      </c>
      <c r="AA482" s="1">
        <v>335758.0</v>
      </c>
      <c r="AB482" s="1" t="s">
        <v>4986</v>
      </c>
      <c r="AC482" s="3" t="s">
        <v>4987</v>
      </c>
      <c r="AD482" s="3" t="s">
        <v>4988</v>
      </c>
      <c r="AE482" s="1">
        <v>2.0</v>
      </c>
      <c r="AF482" s="1" t="s">
        <v>4989</v>
      </c>
      <c r="AG482" s="1">
        <v>15.0</v>
      </c>
      <c r="AH482" s="1">
        <v>5.0</v>
      </c>
      <c r="AI482" s="1">
        <v>1.0</v>
      </c>
      <c r="AJ482" s="1">
        <v>20.0</v>
      </c>
      <c r="AK482" s="1">
        <v>21.0</v>
      </c>
      <c r="AL482" s="1">
        <v>0.0</v>
      </c>
      <c r="AM482" s="1">
        <v>245.0</v>
      </c>
      <c r="AN482" s="1">
        <v>14.0</v>
      </c>
      <c r="AO482" s="1">
        <v>0.0</v>
      </c>
      <c r="AP482" s="1">
        <v>0.0</v>
      </c>
      <c r="AQ482" s="1">
        <v>9.0</v>
      </c>
      <c r="AR482" s="1">
        <v>0.0</v>
      </c>
      <c r="AS482" s="1">
        <v>1.0</v>
      </c>
    </row>
    <row r="483" hidden="1">
      <c r="A483" s="1">
        <v>438.0</v>
      </c>
      <c r="B483" s="1" t="s">
        <v>4990</v>
      </c>
      <c r="C483" s="1" t="s">
        <v>4991</v>
      </c>
      <c r="D483" s="1" t="s">
        <v>4992</v>
      </c>
      <c r="E483" s="1" t="s">
        <v>43</v>
      </c>
      <c r="F483" s="2">
        <v>27870.0</v>
      </c>
      <c r="G483" s="1">
        <f t="shared" si="1"/>
        <v>50</v>
      </c>
      <c r="H483" s="1" t="s">
        <v>1903</v>
      </c>
      <c r="I483" s="1" t="str">
        <f>IFERROR(__xludf.DUMMYFUNCTION("SPLIT(left(H483,len(H483)-1),""("")"),"Pontivy ")</f>
        <v>Pontivy </v>
      </c>
      <c r="J483" s="1" t="str">
        <f>IFERROR(__xludf.DUMMYFUNCTION("""COMPUTED_VALUE"""),"Morbihan")</f>
        <v>Morbihan</v>
      </c>
      <c r="K483" s="1" t="str">
        <f>IFERROR(__xludf.DUMMYFUNCTION("IF( COUNTA( IFERROR( FILTER('départements_edition'!$C$2:$C$102 , 'départements_edition'!$C$2:$C$102=J483 ) ) ) , ""Oui"" , ""Non"" )"),"Oui")</f>
        <v>Oui</v>
      </c>
      <c r="L483" s="1" t="str">
        <f t="shared" si="2"/>
        <v>France</v>
      </c>
      <c r="M483" s="1">
        <v>56.0</v>
      </c>
      <c r="N483" s="1" t="s">
        <v>1343</v>
      </c>
      <c r="O483" s="1">
        <v>5.0</v>
      </c>
      <c r="P483" s="2">
        <v>42907.0</v>
      </c>
      <c r="R483" s="1">
        <v>0.0</v>
      </c>
      <c r="S483" s="1" t="s">
        <v>75</v>
      </c>
      <c r="T483" s="1" t="s">
        <v>76</v>
      </c>
      <c r="U483" s="1" t="s">
        <v>4993</v>
      </c>
      <c r="X483" s="1" t="s">
        <v>4994</v>
      </c>
      <c r="Y483" s="1">
        <v>354.0</v>
      </c>
      <c r="Z483" s="3" t="s">
        <v>4995</v>
      </c>
      <c r="AA483" s="1">
        <v>343493.0</v>
      </c>
      <c r="AB483" s="1" t="s">
        <v>4996</v>
      </c>
      <c r="AC483" s="3" t="s">
        <v>4997</v>
      </c>
      <c r="AD483" s="3" t="s">
        <v>4998</v>
      </c>
      <c r="AE483" s="1">
        <v>1.0</v>
      </c>
      <c r="AF483" s="1" t="s">
        <v>4999</v>
      </c>
      <c r="AG483" s="1">
        <v>15.0</v>
      </c>
      <c r="AH483" s="1">
        <v>30.0</v>
      </c>
      <c r="AI483" s="1">
        <v>5.0</v>
      </c>
      <c r="AJ483" s="1">
        <v>0.0</v>
      </c>
      <c r="AK483" s="1">
        <v>0.0</v>
      </c>
      <c r="AL483" s="1">
        <v>0.0</v>
      </c>
      <c r="AM483" s="1">
        <v>6.0</v>
      </c>
      <c r="AN483" s="1">
        <v>1.0</v>
      </c>
      <c r="AO483" s="1">
        <v>0.0</v>
      </c>
      <c r="AP483" s="1">
        <v>0.0</v>
      </c>
      <c r="AQ483" s="1">
        <v>5.0</v>
      </c>
      <c r="AR483" s="1">
        <v>9.0</v>
      </c>
      <c r="AS483" s="1">
        <v>0.0</v>
      </c>
    </row>
    <row r="484" hidden="1">
      <c r="A484" s="1">
        <v>448.0</v>
      </c>
      <c r="B484" s="1" t="s">
        <v>5000</v>
      </c>
      <c r="C484" s="1" t="s">
        <v>5001</v>
      </c>
      <c r="D484" s="1" t="s">
        <v>856</v>
      </c>
      <c r="E484" s="1" t="s">
        <v>43</v>
      </c>
      <c r="F484" s="2">
        <v>19557.0</v>
      </c>
      <c r="G484" s="1">
        <f t="shared" si="1"/>
        <v>73</v>
      </c>
      <c r="H484" s="1" t="s">
        <v>5002</v>
      </c>
      <c r="I484" s="1" t="str">
        <f>IFERROR(__xludf.DUMMYFUNCTION("SPLIT(left(H484,len(H484)-1),""("")"),"Dreux ")</f>
        <v>Dreux </v>
      </c>
      <c r="J484" s="1" t="str">
        <f>IFERROR(__xludf.DUMMYFUNCTION("""COMPUTED_VALUE"""),"Eure-et-Loir")</f>
        <v>Eure-et-Loir</v>
      </c>
      <c r="K484" s="1" t="str">
        <f>IFERROR(__xludf.DUMMYFUNCTION("IF( COUNTA( IFERROR( FILTER('départements_edition'!$C$2:$C$102 , 'départements_edition'!$C$2:$C$102=J484 ) ) ) , ""Oui"" , ""Non"" )"),"Oui")</f>
        <v>Oui</v>
      </c>
      <c r="L484" s="1" t="str">
        <f t="shared" si="2"/>
        <v>France</v>
      </c>
      <c r="M484" s="1">
        <v>49.0</v>
      </c>
      <c r="N484" s="1" t="s">
        <v>220</v>
      </c>
      <c r="O484" s="1">
        <v>3.0</v>
      </c>
      <c r="P484" s="2">
        <v>42907.0</v>
      </c>
      <c r="R484" s="1">
        <v>0.0</v>
      </c>
      <c r="S484" s="1" t="s">
        <v>61</v>
      </c>
      <c r="T484" s="1" t="s">
        <v>62</v>
      </c>
      <c r="U484" s="1" t="s">
        <v>5003</v>
      </c>
      <c r="X484" s="1" t="s">
        <v>2484</v>
      </c>
      <c r="Y484" s="1">
        <v>36.0</v>
      </c>
      <c r="Z484" s="3" t="s">
        <v>5004</v>
      </c>
      <c r="AA484" s="1">
        <v>2792.0</v>
      </c>
      <c r="AB484" s="1" t="s">
        <v>5005</v>
      </c>
      <c r="AC484" s="3" t="s">
        <v>5006</v>
      </c>
      <c r="AD484" s="3" t="s">
        <v>5007</v>
      </c>
      <c r="AE484" s="1">
        <v>2.0</v>
      </c>
      <c r="AF484" s="1" t="s">
        <v>5008</v>
      </c>
      <c r="AG484" s="1">
        <v>15.0</v>
      </c>
      <c r="AH484" s="1">
        <v>21.0</v>
      </c>
      <c r="AI484" s="1">
        <v>16.0</v>
      </c>
      <c r="AJ484" s="1">
        <v>39.0</v>
      </c>
      <c r="AK484" s="1">
        <v>17.0</v>
      </c>
      <c r="AL484" s="1">
        <v>19.0</v>
      </c>
      <c r="AM484" s="1">
        <v>413.0</v>
      </c>
      <c r="AN484" s="1">
        <v>16.0</v>
      </c>
      <c r="AO484" s="1">
        <v>0.0</v>
      </c>
      <c r="AP484" s="1">
        <v>0.0</v>
      </c>
      <c r="AQ484" s="1">
        <v>38.0</v>
      </c>
      <c r="AR484" s="1">
        <v>7.0</v>
      </c>
      <c r="AS484" s="1">
        <v>1.0</v>
      </c>
    </row>
    <row r="485" hidden="1">
      <c r="A485" s="1">
        <v>496.0</v>
      </c>
      <c r="B485" s="1" t="s">
        <v>5009</v>
      </c>
      <c r="C485" s="1" t="s">
        <v>5010</v>
      </c>
      <c r="D485" s="1" t="s">
        <v>86</v>
      </c>
      <c r="E485" s="1" t="s">
        <v>43</v>
      </c>
      <c r="F485" s="2">
        <v>28120.0</v>
      </c>
      <c r="G485" s="1">
        <f t="shared" si="1"/>
        <v>49</v>
      </c>
      <c r="H485" s="1" t="s">
        <v>5011</v>
      </c>
      <c r="I485" s="1" t="str">
        <f>IFERROR(__xludf.DUMMYFUNCTION("SPLIT(left(H485,len(H485)-1),""("")"),"Créteil ")</f>
        <v>Créteil </v>
      </c>
      <c r="J485" s="1" t="str">
        <f>IFERROR(__xludf.DUMMYFUNCTION("""COMPUTED_VALUE"""),"Val-de-Marne")</f>
        <v>Val-de-Marne</v>
      </c>
      <c r="K485" s="1" t="str">
        <f>IFERROR(__xludf.DUMMYFUNCTION("IF( COUNTA( IFERROR( FILTER('départements_edition'!$C$2:$C$102 , 'départements_edition'!$C$2:$C$102=J485 ) ) ) , ""Oui"" , ""Non"" )"),"Oui")</f>
        <v>Oui</v>
      </c>
      <c r="L485" s="1" t="str">
        <f t="shared" si="2"/>
        <v>France</v>
      </c>
      <c r="M485" s="1">
        <v>76.0</v>
      </c>
      <c r="N485" s="1" t="s">
        <v>371</v>
      </c>
      <c r="O485" s="1">
        <v>10.0</v>
      </c>
      <c r="P485" s="2">
        <v>42907.0</v>
      </c>
      <c r="R485" s="1">
        <v>0.0</v>
      </c>
      <c r="S485" s="1" t="s">
        <v>75</v>
      </c>
      <c r="T485" s="1" t="s">
        <v>76</v>
      </c>
      <c r="U485" s="1" t="s">
        <v>5012</v>
      </c>
      <c r="X485" s="1" t="s">
        <v>162</v>
      </c>
      <c r="Y485" s="1">
        <v>625.0</v>
      </c>
      <c r="Z485" s="3" t="s">
        <v>5013</v>
      </c>
      <c r="AA485" s="1">
        <v>721522.0</v>
      </c>
      <c r="AB485" s="1" t="s">
        <v>5014</v>
      </c>
      <c r="AC485" s="3" t="s">
        <v>5015</v>
      </c>
      <c r="AD485" s="3" t="s">
        <v>5016</v>
      </c>
      <c r="AE485" s="1">
        <v>1.0</v>
      </c>
      <c r="AF485" s="1" t="s">
        <v>5017</v>
      </c>
      <c r="AG485" s="1">
        <v>14.0</v>
      </c>
      <c r="AH485" s="1">
        <v>28.0</v>
      </c>
      <c r="AI485" s="1">
        <v>2.0</v>
      </c>
      <c r="AJ485" s="1">
        <v>6.0</v>
      </c>
      <c r="AK485" s="1">
        <v>0.0</v>
      </c>
      <c r="AL485" s="1">
        <v>0.0</v>
      </c>
      <c r="AM485" s="1">
        <v>44.0</v>
      </c>
      <c r="AN485" s="1">
        <v>3.0</v>
      </c>
      <c r="AO485" s="1">
        <v>0.0</v>
      </c>
      <c r="AP485" s="1">
        <v>0.0</v>
      </c>
      <c r="AQ485" s="1">
        <v>6.0</v>
      </c>
      <c r="AR485" s="1">
        <v>4.0</v>
      </c>
      <c r="AS485" s="1">
        <v>2.0</v>
      </c>
    </row>
    <row r="486" hidden="1">
      <c r="A486" s="1">
        <v>337.0</v>
      </c>
      <c r="B486" s="1" t="s">
        <v>5018</v>
      </c>
      <c r="C486" s="1" t="s">
        <v>5019</v>
      </c>
      <c r="D486" s="1" t="s">
        <v>5020</v>
      </c>
      <c r="E486" s="1" t="s">
        <v>58</v>
      </c>
      <c r="F486" s="2">
        <v>22809.0</v>
      </c>
      <c r="G486" s="1">
        <f t="shared" si="1"/>
        <v>64</v>
      </c>
      <c r="H486" s="1" t="s">
        <v>5021</v>
      </c>
      <c r="I486" s="1" t="str">
        <f>IFERROR(__xludf.DUMMYFUNCTION("SPLIT(left(H486,len(H486)-1),""("")"),"Saint-Maur des Fossés ")</f>
        <v>Saint-Maur des Fossés </v>
      </c>
      <c r="J486" s="1" t="str">
        <f>IFERROR(__xludf.DUMMYFUNCTION("""COMPUTED_VALUE"""),"Val-de-Marne")</f>
        <v>Val-de-Marne</v>
      </c>
      <c r="K486" s="1" t="str">
        <f>IFERROR(__xludf.DUMMYFUNCTION("IF( COUNTA( IFERROR( FILTER('départements_edition'!$C$2:$C$102 , 'départements_edition'!$C$2:$C$102=J486 ) ) ) , ""Oui"" , ""Non"" )"),"Oui")</f>
        <v>Oui</v>
      </c>
      <c r="L486" s="1" t="str">
        <f t="shared" si="2"/>
        <v>France</v>
      </c>
      <c r="M486" s="1">
        <v>44.0</v>
      </c>
      <c r="N486" s="1" t="s">
        <v>492</v>
      </c>
      <c r="O486" s="1">
        <v>3.0</v>
      </c>
      <c r="P486" s="2">
        <v>42907.0</v>
      </c>
      <c r="R486" s="1">
        <v>0.0</v>
      </c>
      <c r="S486" s="1" t="s">
        <v>75</v>
      </c>
      <c r="T486" s="1" t="s">
        <v>76</v>
      </c>
      <c r="U486" s="1" t="s">
        <v>5022</v>
      </c>
      <c r="X486" s="1" t="s">
        <v>2484</v>
      </c>
      <c r="Y486" s="1">
        <v>550.0</v>
      </c>
      <c r="Z486" s="3" t="s">
        <v>5023</v>
      </c>
      <c r="AA486" s="1">
        <v>720116.0</v>
      </c>
      <c r="AB486" s="1" t="s">
        <v>5024</v>
      </c>
      <c r="AC486" s="3" t="s">
        <v>5025</v>
      </c>
      <c r="AD486" s="3" t="s">
        <v>5026</v>
      </c>
      <c r="AE486" s="1">
        <v>1.0</v>
      </c>
      <c r="AF486" s="1" t="s">
        <v>5027</v>
      </c>
      <c r="AG486" s="1">
        <v>14.0</v>
      </c>
      <c r="AH486" s="1">
        <v>29.0</v>
      </c>
      <c r="AI486" s="1">
        <v>7.0</v>
      </c>
      <c r="AJ486" s="1">
        <v>4.0</v>
      </c>
      <c r="AK486" s="1">
        <v>0.0</v>
      </c>
      <c r="AL486" s="1">
        <v>0.0</v>
      </c>
      <c r="AM486" s="1">
        <v>9.0</v>
      </c>
      <c r="AN486" s="1">
        <v>1.0</v>
      </c>
      <c r="AO486" s="1">
        <v>0.0</v>
      </c>
      <c r="AP486" s="1">
        <v>0.0</v>
      </c>
      <c r="AQ486" s="1">
        <v>5.0</v>
      </c>
      <c r="AR486" s="1">
        <v>1.0</v>
      </c>
      <c r="AS486" s="1">
        <v>1.0</v>
      </c>
    </row>
    <row r="487">
      <c r="A487" s="1">
        <v>346.0</v>
      </c>
      <c r="B487" s="1" t="s">
        <v>5028</v>
      </c>
      <c r="C487" s="1" t="s">
        <v>5029</v>
      </c>
      <c r="D487" s="1" t="s">
        <v>5030</v>
      </c>
      <c r="E487" s="1" t="s">
        <v>43</v>
      </c>
      <c r="F487" s="2">
        <v>30431.0</v>
      </c>
      <c r="G487" s="1">
        <f t="shared" si="1"/>
        <v>43</v>
      </c>
      <c r="H487" s="1" t="s">
        <v>1663</v>
      </c>
      <c r="I487" s="1" t="str">
        <f>IFERROR(__xludf.DUMMYFUNCTION("SPLIT(left(H487,len(H487)-1),""("")"),"Aurillac ")</f>
        <v>Aurillac </v>
      </c>
      <c r="J487" s="1" t="str">
        <f>IFERROR(__xludf.DUMMYFUNCTION("""COMPUTED_VALUE"""),"Cantal")</f>
        <v>Cantal</v>
      </c>
      <c r="K487" s="1" t="str">
        <f>IFERROR(__xludf.DUMMYFUNCTION("IF( COUNTA( IFERROR( FILTER('départements_edition'!$C$2:$C$102 , 'départements_edition'!$C$2:$C$102=J487 ) ) ) , ""Oui"" , ""Non"" )"),"Oui")</f>
        <v>Oui</v>
      </c>
      <c r="L487" s="1" t="str">
        <f t="shared" si="2"/>
        <v>France</v>
      </c>
      <c r="M487" s="1">
        <v>999.0</v>
      </c>
      <c r="N487" s="1" t="s">
        <v>256</v>
      </c>
      <c r="O487" s="1">
        <v>9.0</v>
      </c>
      <c r="P487" s="2">
        <v>42907.0</v>
      </c>
      <c r="R487" s="1">
        <v>0.0</v>
      </c>
      <c r="S487" s="1" t="s">
        <v>814</v>
      </c>
      <c r="T487" s="1" t="s">
        <v>2397</v>
      </c>
      <c r="U487" s="1" t="s">
        <v>5031</v>
      </c>
      <c r="X487" s="1" t="s">
        <v>162</v>
      </c>
      <c r="Y487" s="1">
        <v>640.0</v>
      </c>
      <c r="Z487" s="3" t="s">
        <v>5032</v>
      </c>
      <c r="AA487" s="1">
        <v>720996.0</v>
      </c>
      <c r="AB487" s="1" t="s">
        <v>5033</v>
      </c>
      <c r="AC487" s="3" t="s">
        <v>5034</v>
      </c>
      <c r="AD487" s="3" t="s">
        <v>5035</v>
      </c>
      <c r="AE487" s="1">
        <v>1.0</v>
      </c>
      <c r="AF487" s="1" t="s">
        <v>5036</v>
      </c>
      <c r="AG487" s="1">
        <v>14.0</v>
      </c>
      <c r="AH487" s="1">
        <v>16.0</v>
      </c>
      <c r="AI487" s="1">
        <v>5.0</v>
      </c>
      <c r="AJ487" s="1">
        <v>8.0</v>
      </c>
      <c r="AK487" s="1">
        <v>11.0</v>
      </c>
      <c r="AL487" s="1">
        <v>11.0</v>
      </c>
      <c r="AM487" s="1">
        <v>13.0</v>
      </c>
      <c r="AN487" s="1">
        <v>0.0</v>
      </c>
      <c r="AO487" s="1">
        <v>0.0</v>
      </c>
      <c r="AP487" s="1">
        <v>0.0</v>
      </c>
      <c r="AQ487" s="1">
        <v>2.0</v>
      </c>
      <c r="AR487" s="1">
        <v>30.0</v>
      </c>
      <c r="AS487" s="1">
        <v>1.0</v>
      </c>
    </row>
    <row r="488" hidden="1">
      <c r="A488" s="1">
        <v>389.0</v>
      </c>
      <c r="B488" s="1" t="s">
        <v>5037</v>
      </c>
      <c r="C488" s="1" t="s">
        <v>5038</v>
      </c>
      <c r="D488" s="1" t="s">
        <v>254</v>
      </c>
      <c r="E488" s="1" t="s">
        <v>43</v>
      </c>
      <c r="F488" s="2">
        <v>28992.0</v>
      </c>
      <c r="G488" s="1">
        <f t="shared" si="1"/>
        <v>47</v>
      </c>
      <c r="H488" s="1" t="s">
        <v>5039</v>
      </c>
      <c r="I488" s="1" t="str">
        <f>IFERROR(__xludf.DUMMYFUNCTION("SPLIT(left(H488,len(H488)-1),""("")"),"Marmande ")</f>
        <v>Marmande </v>
      </c>
      <c r="J488" s="1" t="str">
        <f>IFERROR(__xludf.DUMMYFUNCTION("""COMPUTED_VALUE"""),"Lot-et-Garonne")</f>
        <v>Lot-et-Garonne</v>
      </c>
      <c r="K488" s="1" t="str">
        <f>IFERROR(__xludf.DUMMYFUNCTION("IF( COUNTA( IFERROR( FILTER('départements_edition'!$C$2:$C$102 , 'départements_edition'!$C$2:$C$102=J488 ) ) ) , ""Oui"" , ""Non"" )"),"Oui")</f>
        <v>Oui</v>
      </c>
      <c r="L488" s="1" t="str">
        <f t="shared" si="2"/>
        <v>France</v>
      </c>
      <c r="M488" s="1">
        <v>47.0</v>
      </c>
      <c r="N488" s="1" t="s">
        <v>907</v>
      </c>
      <c r="O488" s="1">
        <v>2.0</v>
      </c>
      <c r="P488" s="2">
        <v>42907.0</v>
      </c>
      <c r="R488" s="1">
        <v>0.0</v>
      </c>
      <c r="S488" s="1" t="s">
        <v>75</v>
      </c>
      <c r="T488" s="1" t="s">
        <v>76</v>
      </c>
      <c r="U488" s="1" t="s">
        <v>5040</v>
      </c>
      <c r="X488" s="1" t="s">
        <v>5041</v>
      </c>
      <c r="Y488" s="1">
        <v>474.0</v>
      </c>
      <c r="Z488" s="3" t="s">
        <v>5042</v>
      </c>
      <c r="AA488" s="1">
        <v>720030.0</v>
      </c>
      <c r="AB488" s="1" t="s">
        <v>5043</v>
      </c>
      <c r="AC488" s="3" t="s">
        <v>5044</v>
      </c>
      <c r="AD488" s="3" t="s">
        <v>5045</v>
      </c>
      <c r="AE488" s="1">
        <v>1.0</v>
      </c>
      <c r="AF488" s="1" t="s">
        <v>5046</v>
      </c>
      <c r="AG488" s="1">
        <v>14.0</v>
      </c>
      <c r="AH488" s="1">
        <v>34.0</v>
      </c>
      <c r="AI488" s="1">
        <v>19.0</v>
      </c>
      <c r="AJ488" s="1">
        <v>4.0</v>
      </c>
      <c r="AK488" s="1">
        <v>0.0</v>
      </c>
      <c r="AL488" s="1">
        <v>0.0</v>
      </c>
      <c r="AM488" s="1">
        <v>51.0</v>
      </c>
      <c r="AN488" s="1">
        <v>14.0</v>
      </c>
      <c r="AO488" s="1">
        <v>0.0</v>
      </c>
      <c r="AP488" s="1">
        <v>0.0</v>
      </c>
      <c r="AQ488" s="1">
        <v>5.0</v>
      </c>
      <c r="AR488" s="1">
        <v>4.0</v>
      </c>
      <c r="AS488" s="1">
        <v>0.0</v>
      </c>
    </row>
    <row r="489" hidden="1">
      <c r="A489" s="1">
        <v>77.0</v>
      </c>
      <c r="B489" s="1" t="s">
        <v>5059</v>
      </c>
      <c r="C489" s="1" t="s">
        <v>5060</v>
      </c>
      <c r="D489" s="1" t="s">
        <v>1652</v>
      </c>
      <c r="E489" s="1" t="s">
        <v>43</v>
      </c>
      <c r="F489" s="2">
        <v>22388.0</v>
      </c>
      <c r="G489" s="1">
        <f t="shared" si="1"/>
        <v>65</v>
      </c>
      <c r="H489" s="1" t="s">
        <v>2918</v>
      </c>
      <c r="I489" s="1" t="str">
        <f>IFERROR(__xludf.DUMMYFUNCTION("SPLIT(left(H489,len(H489)-1),""("")"),"Besançon ")</f>
        <v>Besançon </v>
      </c>
      <c r="J489" s="1" t="str">
        <f>IFERROR(__xludf.DUMMYFUNCTION("""COMPUTED_VALUE"""),"Doubs")</f>
        <v>Doubs</v>
      </c>
      <c r="K489" s="1" t="str">
        <f>IFERROR(__xludf.DUMMYFUNCTION("IF( COUNTA( IFERROR( FILTER('départements_edition'!$C$2:$C$102 , 'départements_edition'!$C$2:$C$102=J489 ) ) ) , ""Oui"" , ""Non"" )"),"Oui")</f>
        <v>Oui</v>
      </c>
      <c r="L489" s="1" t="str">
        <f t="shared" si="2"/>
        <v>France</v>
      </c>
      <c r="M489" s="1">
        <v>77.0</v>
      </c>
      <c r="N489" s="1" t="s">
        <v>503</v>
      </c>
      <c r="O489" s="1">
        <v>3.0</v>
      </c>
      <c r="P489" s="2">
        <v>42907.0</v>
      </c>
      <c r="R489" s="1">
        <v>0.0</v>
      </c>
      <c r="S489" s="1" t="s">
        <v>46</v>
      </c>
      <c r="T489" s="1" t="s">
        <v>47</v>
      </c>
      <c r="U489" s="1" t="s">
        <v>5061</v>
      </c>
      <c r="X489" s="1" t="s">
        <v>304</v>
      </c>
      <c r="Y489" s="1">
        <v>132.0</v>
      </c>
      <c r="Z489" s="3" t="s">
        <v>5062</v>
      </c>
      <c r="AA489" s="1">
        <v>267801.0</v>
      </c>
      <c r="AB489" s="1" t="s">
        <v>5063</v>
      </c>
      <c r="AC489" s="3" t="s">
        <v>5064</v>
      </c>
      <c r="AD489" s="3" t="s">
        <v>5065</v>
      </c>
      <c r="AE489" s="1">
        <v>1.0</v>
      </c>
      <c r="AF489" s="1" t="s">
        <v>5066</v>
      </c>
      <c r="AG489" s="1">
        <v>14.0</v>
      </c>
      <c r="AH489" s="1">
        <v>13.0</v>
      </c>
      <c r="AI489" s="1">
        <v>6.0</v>
      </c>
      <c r="AJ489" s="1">
        <v>39.0</v>
      </c>
      <c r="AK489" s="1">
        <v>5.0</v>
      </c>
      <c r="AL489" s="1">
        <v>4.0</v>
      </c>
      <c r="AM489" s="1">
        <v>229.0</v>
      </c>
      <c r="AN489" s="1">
        <v>14.0</v>
      </c>
      <c r="AO489" s="1">
        <v>0.0</v>
      </c>
      <c r="AP489" s="1">
        <v>0.0</v>
      </c>
      <c r="AQ489" s="1">
        <v>4.0</v>
      </c>
      <c r="AR489" s="1">
        <v>11.0</v>
      </c>
      <c r="AS489" s="1">
        <v>3.0</v>
      </c>
    </row>
    <row r="490" hidden="1">
      <c r="A490" s="1">
        <v>235.0</v>
      </c>
      <c r="B490" s="1" t="s">
        <v>5078</v>
      </c>
      <c r="C490" s="1" t="s">
        <v>5079</v>
      </c>
      <c r="D490" s="1" t="s">
        <v>5080</v>
      </c>
      <c r="E490" s="1" t="s">
        <v>43</v>
      </c>
      <c r="F490" s="2">
        <v>24769.0</v>
      </c>
      <c r="G490" s="1">
        <f t="shared" si="1"/>
        <v>58</v>
      </c>
      <c r="H490" s="1" t="s">
        <v>3975</v>
      </c>
      <c r="I490" s="1" t="str">
        <f>IFERROR(__xludf.DUMMYFUNCTION("SPLIT(left(H490,len(H490)-1),""("")"),"Châtellerault ")</f>
        <v>Châtellerault </v>
      </c>
      <c r="J490" s="1" t="str">
        <f>IFERROR(__xludf.DUMMYFUNCTION("""COMPUTED_VALUE"""),"Vienne")</f>
        <v>Vienne</v>
      </c>
      <c r="K490" s="1" t="str">
        <f>IFERROR(__xludf.DUMMYFUNCTION("IF( COUNTA( IFERROR( FILTER('départements_edition'!$C$2:$C$102 , 'départements_edition'!$C$2:$C$102=J490 ) ) ) , ""Oui"" , ""Non"" )"),"Oui")</f>
        <v>Oui</v>
      </c>
      <c r="L490" s="1" t="str">
        <f t="shared" si="2"/>
        <v>France</v>
      </c>
      <c r="M490" s="1">
        <v>93.0</v>
      </c>
      <c r="N490" s="1" t="s">
        <v>196</v>
      </c>
      <c r="O490" s="1">
        <v>5.0</v>
      </c>
      <c r="P490" s="2">
        <v>42907.0</v>
      </c>
      <c r="R490" s="1">
        <v>0.0</v>
      </c>
      <c r="S490" s="1" t="s">
        <v>46</v>
      </c>
      <c r="T490" s="1" t="s">
        <v>47</v>
      </c>
      <c r="U490" s="1" t="s">
        <v>5081</v>
      </c>
      <c r="X490" s="1" t="s">
        <v>5082</v>
      </c>
      <c r="Y490" s="1">
        <v>135.0</v>
      </c>
      <c r="Z490" s="3" t="s">
        <v>5083</v>
      </c>
      <c r="AA490" s="1">
        <v>268019.0</v>
      </c>
      <c r="AB490" s="1" t="s">
        <v>5084</v>
      </c>
      <c r="AC490" s="3" t="s">
        <v>5085</v>
      </c>
      <c r="AD490" s="3" t="s">
        <v>5086</v>
      </c>
      <c r="AE490" s="1">
        <v>2.0</v>
      </c>
      <c r="AF490" s="1" t="s">
        <v>5087</v>
      </c>
      <c r="AG490" s="1">
        <v>14.0</v>
      </c>
      <c r="AH490" s="1">
        <v>15.0</v>
      </c>
      <c r="AI490" s="1">
        <v>24.0</v>
      </c>
      <c r="AJ490" s="1">
        <v>34.0</v>
      </c>
      <c r="AK490" s="1">
        <v>34.0</v>
      </c>
      <c r="AL490" s="1">
        <v>31.0</v>
      </c>
      <c r="AM490" s="1">
        <v>487.0</v>
      </c>
      <c r="AN490" s="1">
        <v>34.0</v>
      </c>
      <c r="AO490" s="1">
        <v>0.0</v>
      </c>
      <c r="AP490" s="1">
        <v>0.0</v>
      </c>
      <c r="AQ490" s="1">
        <v>15.0</v>
      </c>
      <c r="AR490" s="1">
        <v>5.0</v>
      </c>
      <c r="AS490" s="1">
        <v>3.0</v>
      </c>
    </row>
    <row r="491" hidden="1">
      <c r="A491" s="1">
        <v>322.0</v>
      </c>
      <c r="B491" s="1" t="s">
        <v>5088</v>
      </c>
      <c r="C491" s="1" t="s">
        <v>5089</v>
      </c>
      <c r="D491" s="1" t="s">
        <v>856</v>
      </c>
      <c r="E491" s="1" t="s">
        <v>43</v>
      </c>
      <c r="F491" s="2">
        <v>30705.0</v>
      </c>
      <c r="G491" s="1">
        <f t="shared" si="1"/>
        <v>42</v>
      </c>
      <c r="H491" s="1" t="s">
        <v>2609</v>
      </c>
      <c r="I491" s="1" t="str">
        <f>IFERROR(__xludf.DUMMYFUNCTION("SPLIT(left(H491,len(H491)-1),""("")"),"Brest ")</f>
        <v>Brest </v>
      </c>
      <c r="J491" s="1" t="str">
        <f>IFERROR(__xludf.DUMMYFUNCTION("""COMPUTED_VALUE"""),"Finistère")</f>
        <v>Finistère</v>
      </c>
      <c r="K491" s="1" t="str">
        <f>IFERROR(__xludf.DUMMYFUNCTION("IF( COUNTA( IFERROR( FILTER('départements_edition'!$C$2:$C$102 , 'départements_edition'!$C$2:$C$102=J491 ) ) ) , ""Oui"" , ""Non"" )"),"Oui")</f>
        <v>Oui</v>
      </c>
      <c r="L491" s="1" t="str">
        <f t="shared" si="2"/>
        <v>France</v>
      </c>
      <c r="M491" s="1">
        <v>29.0</v>
      </c>
      <c r="N491" s="1" t="s">
        <v>393</v>
      </c>
      <c r="O491" s="1">
        <v>2.0</v>
      </c>
      <c r="P491" s="2">
        <v>42907.0</v>
      </c>
      <c r="R491" s="1">
        <v>0.0</v>
      </c>
      <c r="S491" s="1" t="s">
        <v>75</v>
      </c>
      <c r="T491" s="1" t="s">
        <v>76</v>
      </c>
      <c r="U491" s="1" t="s">
        <v>5090</v>
      </c>
      <c r="X491" s="1" t="s">
        <v>5091</v>
      </c>
      <c r="Y491" s="1">
        <v>568.0</v>
      </c>
      <c r="Z491" s="3" t="s">
        <v>5092</v>
      </c>
      <c r="AA491" s="1">
        <v>719396.0</v>
      </c>
      <c r="AB491" s="1" t="s">
        <v>5093</v>
      </c>
      <c r="AC491" s="3" t="s">
        <v>5094</v>
      </c>
      <c r="AD491" s="3" t="s">
        <v>5095</v>
      </c>
      <c r="AE491" s="1">
        <v>1.0</v>
      </c>
      <c r="AF491" s="1" t="s">
        <v>5096</v>
      </c>
      <c r="AG491" s="1">
        <v>14.0</v>
      </c>
      <c r="AH491" s="1">
        <v>27.0</v>
      </c>
      <c r="AI491" s="1">
        <v>22.0</v>
      </c>
      <c r="AJ491" s="1">
        <v>8.0</v>
      </c>
      <c r="AK491" s="1">
        <v>1.0</v>
      </c>
      <c r="AL491" s="1">
        <v>2.0</v>
      </c>
      <c r="AM491" s="1">
        <v>10.0</v>
      </c>
      <c r="AN491" s="1">
        <v>2.0</v>
      </c>
      <c r="AO491" s="1">
        <v>1.0</v>
      </c>
      <c r="AP491" s="1">
        <v>0.0</v>
      </c>
      <c r="AQ491" s="1">
        <v>5.0</v>
      </c>
      <c r="AR491" s="1">
        <v>10.0</v>
      </c>
      <c r="AS491" s="1">
        <v>0.0</v>
      </c>
    </row>
    <row r="492" hidden="1">
      <c r="A492" s="1">
        <v>586.0</v>
      </c>
      <c r="B492" s="1" t="s">
        <v>5097</v>
      </c>
      <c r="C492" s="1" t="s">
        <v>5098</v>
      </c>
      <c r="D492" s="1" t="s">
        <v>5099</v>
      </c>
      <c r="E492" s="1" t="s">
        <v>58</v>
      </c>
      <c r="F492" s="2">
        <v>23726.0</v>
      </c>
      <c r="G492" s="1">
        <f t="shared" si="1"/>
        <v>61</v>
      </c>
      <c r="H492" s="1" t="s">
        <v>1500</v>
      </c>
      <c r="I492" s="1" t="str">
        <f>IFERROR(__xludf.DUMMYFUNCTION("SPLIT(left(H492,len(H492)-1),""("")"),"Colmar ")</f>
        <v>Colmar </v>
      </c>
      <c r="J492" s="1" t="str">
        <f>IFERROR(__xludf.DUMMYFUNCTION("""COMPUTED_VALUE"""),"Haut-Rhin")</f>
        <v>Haut-Rhin</v>
      </c>
      <c r="K492" s="1" t="str">
        <f>IFERROR(__xludf.DUMMYFUNCTION("IF( COUNTA( IFERROR( FILTER('départements_edition'!$C$2:$C$102 , 'départements_edition'!$C$2:$C$102=J492 ) ) ) , ""Oui"" , ""Non"" )"),"Oui")</f>
        <v>Oui</v>
      </c>
      <c r="L492" s="1" t="str">
        <f t="shared" si="2"/>
        <v>France</v>
      </c>
      <c r="M492" s="1">
        <v>84.0</v>
      </c>
      <c r="N492" s="1" t="s">
        <v>719</v>
      </c>
      <c r="O492" s="1">
        <v>4.0</v>
      </c>
      <c r="P492" s="2">
        <v>42969.0</v>
      </c>
      <c r="R492" s="1">
        <v>0.0</v>
      </c>
      <c r="S492" s="1" t="s">
        <v>814</v>
      </c>
      <c r="T492" s="1" t="s">
        <v>4734</v>
      </c>
      <c r="U492" s="1" t="s">
        <v>5100</v>
      </c>
      <c r="X492" s="1" t="s">
        <v>5101</v>
      </c>
      <c r="Y492" s="1">
        <v>67.0</v>
      </c>
      <c r="Z492" s="3" t="s">
        <v>5102</v>
      </c>
      <c r="AA492" s="1">
        <v>721932.0</v>
      </c>
      <c r="AB492" s="1" t="s">
        <v>5103</v>
      </c>
      <c r="AC492" s="3" t="s">
        <v>5104</v>
      </c>
      <c r="AD492" s="3" t="s">
        <v>5105</v>
      </c>
      <c r="AE492" s="1">
        <v>2.0</v>
      </c>
      <c r="AF492" s="1" t="s">
        <v>5106</v>
      </c>
      <c r="AG492" s="1">
        <v>14.0</v>
      </c>
      <c r="AH492" s="1">
        <v>20.0</v>
      </c>
      <c r="AI492" s="1">
        <v>23.0</v>
      </c>
      <c r="AJ492" s="1">
        <v>65.0</v>
      </c>
      <c r="AK492" s="1">
        <v>7.0</v>
      </c>
      <c r="AL492" s="1">
        <v>189.0</v>
      </c>
      <c r="AM492" s="1">
        <v>208.0</v>
      </c>
      <c r="AN492" s="1">
        <v>0.0</v>
      </c>
      <c r="AO492" s="1">
        <v>0.0</v>
      </c>
      <c r="AP492" s="1">
        <v>4.0</v>
      </c>
      <c r="AQ492" s="1">
        <v>9.0</v>
      </c>
      <c r="AR492" s="1">
        <v>22.0</v>
      </c>
      <c r="AS492" s="1">
        <v>2.0</v>
      </c>
    </row>
    <row r="493" hidden="1">
      <c r="A493" s="1">
        <v>463.0</v>
      </c>
      <c r="B493" s="1" t="s">
        <v>5107</v>
      </c>
      <c r="C493" s="1" t="s">
        <v>5108</v>
      </c>
      <c r="D493" s="1" t="s">
        <v>5109</v>
      </c>
      <c r="E493" s="1" t="s">
        <v>58</v>
      </c>
      <c r="F493" s="2">
        <v>18338.0</v>
      </c>
      <c r="G493" s="1">
        <f t="shared" si="1"/>
        <v>76</v>
      </c>
      <c r="H493" s="1" t="s">
        <v>5110</v>
      </c>
      <c r="I493" s="1" t="str">
        <f>IFERROR(__xludf.DUMMYFUNCTION("SPLIT(left(H493,len(H493)-1),""("")"),"Lamentin ")</f>
        <v>Lamentin </v>
      </c>
      <c r="J493" s="1" t="str">
        <f>IFERROR(__xludf.DUMMYFUNCTION("""COMPUTED_VALUE"""),"Martinique")</f>
        <v>Martinique</v>
      </c>
      <c r="K493" s="1" t="str">
        <f>IFERROR(__xludf.DUMMYFUNCTION("IF( COUNTA( IFERROR( FILTER('départements_edition'!$C$2:$C$102 , 'départements_edition'!$C$2:$C$102=J493 ) ) ) , ""Oui"" , ""Non"" )"),"Oui")</f>
        <v>Oui</v>
      </c>
      <c r="L493" s="1" t="str">
        <f t="shared" si="2"/>
        <v>France</v>
      </c>
      <c r="M493" s="1">
        <v>972.0</v>
      </c>
      <c r="N493" s="1" t="s">
        <v>5111</v>
      </c>
      <c r="O493" s="1">
        <v>1.0</v>
      </c>
      <c r="P493" s="2">
        <v>42907.0</v>
      </c>
      <c r="R493" s="1">
        <v>0.0</v>
      </c>
      <c r="S493" s="1" t="s">
        <v>115</v>
      </c>
      <c r="T493" s="1" t="s">
        <v>5112</v>
      </c>
      <c r="X493" s="1" t="s">
        <v>957</v>
      </c>
      <c r="Y493" s="1">
        <v>581.0</v>
      </c>
      <c r="Z493" s="3" t="s">
        <v>5113</v>
      </c>
      <c r="AA493" s="1">
        <v>720988.0</v>
      </c>
      <c r="AB493" s="1" t="s">
        <v>5114</v>
      </c>
      <c r="AC493" s="3" t="s">
        <v>5115</v>
      </c>
      <c r="AD493" s="3" t="s">
        <v>5116</v>
      </c>
      <c r="AE493" s="1">
        <v>1.0</v>
      </c>
      <c r="AG493" s="1">
        <v>14.0</v>
      </c>
      <c r="AH493" s="1">
        <v>22.0</v>
      </c>
      <c r="AI493" s="1">
        <v>3.0</v>
      </c>
      <c r="AJ493" s="1">
        <v>12.0</v>
      </c>
      <c r="AK493" s="1">
        <v>3.0</v>
      </c>
      <c r="AL493" s="1">
        <v>4.0</v>
      </c>
      <c r="AM493" s="1">
        <v>1120.0</v>
      </c>
      <c r="AN493" s="1">
        <v>75.0</v>
      </c>
      <c r="AO493" s="1">
        <v>0.0</v>
      </c>
      <c r="AP493" s="1">
        <v>0.0</v>
      </c>
      <c r="AQ493" s="1">
        <v>5.0</v>
      </c>
      <c r="AR493" s="1">
        <v>6.0</v>
      </c>
      <c r="AS493" s="1">
        <v>3.0</v>
      </c>
    </row>
    <row r="494" hidden="1">
      <c r="A494" s="1">
        <v>269.0</v>
      </c>
      <c r="B494" s="1" t="s">
        <v>5117</v>
      </c>
      <c r="C494" s="1" t="s">
        <v>5118</v>
      </c>
      <c r="D494" s="1" t="s">
        <v>3101</v>
      </c>
      <c r="E494" s="1" t="s">
        <v>58</v>
      </c>
      <c r="F494" s="2">
        <v>24706.0</v>
      </c>
      <c r="G494" s="1">
        <f t="shared" si="1"/>
        <v>58</v>
      </c>
      <c r="H494" s="1" t="s">
        <v>857</v>
      </c>
      <c r="I494" s="1" t="str">
        <f>IFERROR(__xludf.DUMMYFUNCTION("SPLIT(left(H494,len(H494)-1),""("")"),"Montpellier ")</f>
        <v>Montpellier </v>
      </c>
      <c r="J494" s="1" t="str">
        <f>IFERROR(__xludf.DUMMYFUNCTION("""COMPUTED_VALUE"""),"Hérault")</f>
        <v>Hérault</v>
      </c>
      <c r="K494" s="1" t="str">
        <f>IFERROR(__xludf.DUMMYFUNCTION("IF( COUNTA( IFERROR( FILTER('départements_edition'!$C$2:$C$102 , 'départements_edition'!$C$2:$C$102=J494 ) ) ) , ""Oui"" , ""Non"" )"),"Oui")</f>
        <v>Oui</v>
      </c>
      <c r="L494" s="1" t="str">
        <f t="shared" si="2"/>
        <v>France</v>
      </c>
      <c r="M494" s="1">
        <v>34.0</v>
      </c>
      <c r="N494" s="1" t="s">
        <v>1252</v>
      </c>
      <c r="O494" s="1">
        <v>1.0</v>
      </c>
      <c r="P494" s="2">
        <v>42907.0</v>
      </c>
      <c r="R494" s="1">
        <v>0.0</v>
      </c>
      <c r="S494" s="1" t="s">
        <v>75</v>
      </c>
      <c r="T494" s="1" t="s">
        <v>76</v>
      </c>
      <c r="U494" s="1" t="s">
        <v>5119</v>
      </c>
      <c r="X494" s="1" t="s">
        <v>5120</v>
      </c>
      <c r="Y494" s="1">
        <v>492.0</v>
      </c>
      <c r="Z494" s="3" t="s">
        <v>5121</v>
      </c>
      <c r="AA494" s="1">
        <v>719668.0</v>
      </c>
      <c r="AB494" s="1" t="s">
        <v>5122</v>
      </c>
      <c r="AC494" s="3" t="s">
        <v>5123</v>
      </c>
      <c r="AD494" s="3" t="s">
        <v>5124</v>
      </c>
      <c r="AE494" s="1">
        <v>2.0</v>
      </c>
      <c r="AF494" s="1" t="s">
        <v>5125</v>
      </c>
      <c r="AG494" s="1">
        <v>14.0</v>
      </c>
      <c r="AH494" s="1">
        <v>17.0</v>
      </c>
      <c r="AI494" s="1">
        <v>7.0</v>
      </c>
      <c r="AJ494" s="1">
        <v>1.0</v>
      </c>
      <c r="AK494" s="1">
        <v>9.0</v>
      </c>
      <c r="AL494" s="1">
        <v>0.0</v>
      </c>
      <c r="AM494" s="1">
        <v>10.0</v>
      </c>
      <c r="AN494" s="1">
        <v>1.0</v>
      </c>
      <c r="AO494" s="1">
        <v>0.0</v>
      </c>
      <c r="AP494" s="1">
        <v>0.0</v>
      </c>
      <c r="AQ494" s="1">
        <v>5.0</v>
      </c>
      <c r="AR494" s="1">
        <v>6.0</v>
      </c>
      <c r="AS494" s="1">
        <v>1.0</v>
      </c>
    </row>
    <row r="495" hidden="1">
      <c r="A495" s="1">
        <v>103.0</v>
      </c>
      <c r="B495" s="1" t="s">
        <v>5149</v>
      </c>
      <c r="C495" s="1" t="s">
        <v>5150</v>
      </c>
      <c r="D495" s="1" t="s">
        <v>1540</v>
      </c>
      <c r="E495" s="1" t="s">
        <v>43</v>
      </c>
      <c r="F495" s="2">
        <v>30286.0</v>
      </c>
      <c r="G495" s="1">
        <f t="shared" si="1"/>
        <v>43</v>
      </c>
      <c r="H495" s="1" t="s">
        <v>5151</v>
      </c>
      <c r="I495" s="1" t="str">
        <f>IFERROR(__xludf.DUMMYFUNCTION("SPLIT(left(H495,len(H495)-1),""("")"),"Bourg en Bresse ")</f>
        <v>Bourg en Bresse </v>
      </c>
      <c r="J495" s="1" t="str">
        <f>IFERROR(__xludf.DUMMYFUNCTION("""COMPUTED_VALUE"""),"Ain")</f>
        <v>Ain</v>
      </c>
      <c r="K495" s="1" t="str">
        <f>IFERROR(__xludf.DUMMYFUNCTION("IF( COUNTA( IFERROR( FILTER('départements_edition'!$C$2:$C$102 , 'départements_edition'!$C$2:$C$102=J495 ) ) ) , ""Oui"" , ""Non"" )"),"Oui")</f>
        <v>Oui</v>
      </c>
      <c r="L495" s="1" t="str">
        <f t="shared" si="2"/>
        <v>France</v>
      </c>
      <c r="M495" s="1">
        <v>1.0</v>
      </c>
      <c r="N495" s="1" t="s">
        <v>88</v>
      </c>
      <c r="O495" s="1">
        <v>4.0</v>
      </c>
      <c r="P495" s="2">
        <v>42907.0</v>
      </c>
      <c r="R495" s="1">
        <v>0.0</v>
      </c>
      <c r="S495" s="1" t="s">
        <v>75</v>
      </c>
      <c r="T495" s="1" t="s">
        <v>76</v>
      </c>
      <c r="U495" s="3" t="s">
        <v>5152</v>
      </c>
      <c r="X495" s="1" t="s">
        <v>5153</v>
      </c>
      <c r="Y495" s="1">
        <v>544.0</v>
      </c>
      <c r="Z495" s="3" t="s">
        <v>5154</v>
      </c>
      <c r="AA495" s="1">
        <v>718682.0</v>
      </c>
      <c r="AB495" s="1" t="s">
        <v>5155</v>
      </c>
      <c r="AC495" s="3" t="s">
        <v>5156</v>
      </c>
      <c r="AD495" s="3" t="s">
        <v>5157</v>
      </c>
      <c r="AE495" s="1">
        <v>1.0</v>
      </c>
      <c r="AF495" s="1" t="s">
        <v>5158</v>
      </c>
      <c r="AG495" s="1">
        <v>14.0</v>
      </c>
      <c r="AH495" s="1">
        <v>28.0</v>
      </c>
      <c r="AI495" s="1">
        <v>6.0</v>
      </c>
      <c r="AJ495" s="1">
        <v>5.0</v>
      </c>
      <c r="AK495" s="1">
        <v>4.0</v>
      </c>
      <c r="AL495" s="1">
        <v>27.0</v>
      </c>
      <c r="AM495" s="1">
        <v>75.0</v>
      </c>
      <c r="AN495" s="1">
        <v>15.0</v>
      </c>
      <c r="AO495" s="1">
        <v>0.0</v>
      </c>
      <c r="AP495" s="1">
        <v>0.0</v>
      </c>
      <c r="AQ495" s="1">
        <v>6.0</v>
      </c>
      <c r="AR495" s="1">
        <v>3.0</v>
      </c>
      <c r="AS495" s="1">
        <v>0.0</v>
      </c>
    </row>
    <row r="496" hidden="1">
      <c r="A496" s="1">
        <v>293.0</v>
      </c>
      <c r="B496" s="1" t="s">
        <v>5159</v>
      </c>
      <c r="C496" s="1" t="s">
        <v>5160</v>
      </c>
      <c r="D496" s="1" t="s">
        <v>242</v>
      </c>
      <c r="E496" s="1" t="s">
        <v>43</v>
      </c>
      <c r="F496" s="2">
        <v>21207.0</v>
      </c>
      <c r="G496" s="1">
        <f t="shared" si="1"/>
        <v>68</v>
      </c>
      <c r="H496" s="1" t="s">
        <v>857</v>
      </c>
      <c r="I496" s="1" t="str">
        <f>IFERROR(__xludf.DUMMYFUNCTION("SPLIT(left(H496,len(H496)-1),""("")"),"Montpellier ")</f>
        <v>Montpellier </v>
      </c>
      <c r="J496" s="1" t="str">
        <f>IFERROR(__xludf.DUMMYFUNCTION("""COMPUTED_VALUE"""),"Hérault")</f>
        <v>Hérault</v>
      </c>
      <c r="K496" s="1" t="str">
        <f>IFERROR(__xludf.DUMMYFUNCTION("IF( COUNTA( IFERROR( FILTER('départements_edition'!$C$2:$C$102 , 'départements_edition'!$C$2:$C$102=J496 ) ) ) , ""Oui"" , ""Non"" )"),"Oui")</f>
        <v>Oui</v>
      </c>
      <c r="L496" s="1" t="str">
        <f t="shared" si="2"/>
        <v>France</v>
      </c>
      <c r="M496" s="1">
        <v>34.0</v>
      </c>
      <c r="N496" s="1" t="s">
        <v>1252</v>
      </c>
      <c r="O496" s="1">
        <v>9.0</v>
      </c>
      <c r="P496" s="2">
        <v>42907.0</v>
      </c>
      <c r="R496" s="1">
        <v>0.0</v>
      </c>
      <c r="S496" s="1" t="s">
        <v>75</v>
      </c>
      <c r="T496" s="1" t="s">
        <v>76</v>
      </c>
      <c r="U496" s="1" t="s">
        <v>5161</v>
      </c>
      <c r="X496" s="1" t="s">
        <v>198</v>
      </c>
      <c r="Y496" s="1">
        <v>389.0</v>
      </c>
      <c r="Z496" s="3" t="s">
        <v>5162</v>
      </c>
      <c r="AA496" s="1">
        <v>606639.0</v>
      </c>
      <c r="AB496" s="1" t="s">
        <v>5163</v>
      </c>
      <c r="AC496" s="3" t="s">
        <v>5164</v>
      </c>
      <c r="AD496" s="3" t="s">
        <v>5165</v>
      </c>
      <c r="AE496" s="1">
        <v>1.0</v>
      </c>
      <c r="AF496" s="1" t="s">
        <v>5166</v>
      </c>
      <c r="AG496" s="1">
        <v>14.0</v>
      </c>
      <c r="AH496" s="1">
        <v>35.0</v>
      </c>
      <c r="AI496" s="1">
        <v>15.0</v>
      </c>
      <c r="AJ496" s="1">
        <v>1.0</v>
      </c>
      <c r="AK496" s="1">
        <v>2.0</v>
      </c>
      <c r="AL496" s="1">
        <v>1.0</v>
      </c>
      <c r="AM496" s="1">
        <v>64.0</v>
      </c>
      <c r="AN496" s="1">
        <v>13.0</v>
      </c>
      <c r="AO496" s="1">
        <v>0.0</v>
      </c>
      <c r="AP496" s="1">
        <v>0.0</v>
      </c>
      <c r="AQ496" s="1">
        <v>6.0</v>
      </c>
      <c r="AR496" s="1">
        <v>19.0</v>
      </c>
      <c r="AS496" s="1">
        <v>0.0</v>
      </c>
    </row>
    <row r="497" hidden="1">
      <c r="A497" s="1">
        <v>15.0</v>
      </c>
      <c r="B497" s="1" t="s">
        <v>5167</v>
      </c>
      <c r="C497" s="1" t="s">
        <v>5168</v>
      </c>
      <c r="D497" s="1" t="s">
        <v>2355</v>
      </c>
      <c r="E497" s="1" t="s">
        <v>58</v>
      </c>
      <c r="F497" s="2">
        <v>28055.0</v>
      </c>
      <c r="G497" s="1">
        <f t="shared" si="1"/>
        <v>49</v>
      </c>
      <c r="H497" s="1" t="s">
        <v>5169</v>
      </c>
      <c r="I497" s="1" t="str">
        <f>IFERROR(__xludf.DUMMYFUNCTION("SPLIT(left(H497,len(H497)-1),""("")"),"Chaumont ")</f>
        <v>Chaumont </v>
      </c>
      <c r="J497" s="1" t="str">
        <f>IFERROR(__xludf.DUMMYFUNCTION("""COMPUTED_VALUE"""),"Haute-Marne")</f>
        <v>Haute-Marne</v>
      </c>
      <c r="K497" s="1" t="str">
        <f>IFERROR(__xludf.DUMMYFUNCTION("IF( COUNTA( IFERROR( FILTER('départements_edition'!$C$2:$C$102 , 'départements_edition'!$C$2:$C$102=J497 ) ) ) , ""Oui"" , ""Non"" )"),"Oui")</f>
        <v>Oui</v>
      </c>
      <c r="L497" s="1" t="str">
        <f t="shared" si="2"/>
        <v>France</v>
      </c>
      <c r="M497" s="1">
        <v>52.0</v>
      </c>
      <c r="N497" s="1" t="s">
        <v>3028</v>
      </c>
      <c r="O497" s="1">
        <v>1.0</v>
      </c>
      <c r="P497" s="2">
        <v>42907.0</v>
      </c>
      <c r="R497" s="1">
        <v>0.0</v>
      </c>
      <c r="S497" s="1" t="s">
        <v>75</v>
      </c>
      <c r="T497" s="1" t="s">
        <v>76</v>
      </c>
      <c r="U497" s="1" t="s">
        <v>5170</v>
      </c>
      <c r="X497" s="1" t="s">
        <v>5171</v>
      </c>
      <c r="Y497" s="1">
        <v>600.0</v>
      </c>
      <c r="Z497" s="3" t="s">
        <v>5172</v>
      </c>
      <c r="AA497" s="1">
        <v>720242.0</v>
      </c>
      <c r="AB497" s="1" t="s">
        <v>5173</v>
      </c>
      <c r="AC497" s="3" t="s">
        <v>5174</v>
      </c>
      <c r="AD497" s="3" t="s">
        <v>5175</v>
      </c>
      <c r="AE497" s="1">
        <v>1.0</v>
      </c>
      <c r="AF497" s="1" t="s">
        <v>5176</v>
      </c>
      <c r="AG497" s="1">
        <v>13.0</v>
      </c>
      <c r="AH497" s="1">
        <v>20.0</v>
      </c>
      <c r="AI497" s="1">
        <v>6.0</v>
      </c>
      <c r="AJ497" s="1">
        <v>5.0</v>
      </c>
      <c r="AK497" s="1">
        <v>2.0</v>
      </c>
      <c r="AL497" s="1">
        <v>0.0</v>
      </c>
      <c r="AM497" s="1">
        <v>106.0</v>
      </c>
      <c r="AN497" s="1">
        <v>45.0</v>
      </c>
      <c r="AO497" s="1">
        <v>0.0</v>
      </c>
      <c r="AP497" s="1">
        <v>0.0</v>
      </c>
      <c r="AQ497" s="1">
        <v>6.0</v>
      </c>
      <c r="AR497" s="1">
        <v>1.0</v>
      </c>
      <c r="AS497" s="1">
        <v>0.0</v>
      </c>
    </row>
    <row r="498" hidden="1">
      <c r="A498" s="1">
        <v>121.0</v>
      </c>
      <c r="B498" s="1" t="s">
        <v>5177</v>
      </c>
      <c r="C498" s="1" t="s">
        <v>5178</v>
      </c>
      <c r="D498" s="1" t="s">
        <v>5179</v>
      </c>
      <c r="E498" s="1" t="s">
        <v>43</v>
      </c>
      <c r="F498" s="2">
        <v>28950.0</v>
      </c>
      <c r="G498" s="1">
        <f t="shared" si="1"/>
        <v>47</v>
      </c>
      <c r="H498" s="1" t="s">
        <v>5180</v>
      </c>
      <c r="I498" s="1" t="str">
        <f>IFERROR(__xludf.DUMMYFUNCTION("SPLIT(left(H498,len(H498)-1),""("")"),"Thionville ")</f>
        <v>Thionville </v>
      </c>
      <c r="J498" s="1" t="str">
        <f>IFERROR(__xludf.DUMMYFUNCTION("""COMPUTED_VALUE"""),"Moselle")</f>
        <v>Moselle</v>
      </c>
      <c r="K498" s="1" t="str">
        <f>IFERROR(__xludf.DUMMYFUNCTION("IF( COUNTA( IFERROR( FILTER('départements_edition'!$C$2:$C$102 , 'départements_edition'!$C$2:$C$102=J498 ) ) ) , ""Oui"" , ""Non"" )"),"Oui")</f>
        <v>Oui</v>
      </c>
      <c r="L498" s="1" t="str">
        <f t="shared" si="2"/>
        <v>France</v>
      </c>
      <c r="M498" s="1">
        <v>35.0</v>
      </c>
      <c r="N498" s="1" t="s">
        <v>415</v>
      </c>
      <c r="O498" s="1">
        <v>8.0</v>
      </c>
      <c r="P498" s="2">
        <v>42907.0</v>
      </c>
      <c r="R498" s="1">
        <v>0.0</v>
      </c>
      <c r="S498" s="1" t="s">
        <v>75</v>
      </c>
      <c r="T498" s="1" t="s">
        <v>76</v>
      </c>
      <c r="U498" s="1" t="s">
        <v>5181</v>
      </c>
      <c r="X498" s="1" t="s">
        <v>304</v>
      </c>
      <c r="Y498" s="1">
        <v>419.0</v>
      </c>
      <c r="Z498" s="3" t="s">
        <v>5182</v>
      </c>
      <c r="AA498" s="1">
        <v>719770.0</v>
      </c>
      <c r="AB498" s="1" t="s">
        <v>5183</v>
      </c>
      <c r="AC498" s="3" t="s">
        <v>5184</v>
      </c>
      <c r="AD498" s="3" t="s">
        <v>5185</v>
      </c>
      <c r="AE498" s="1">
        <v>1.0</v>
      </c>
      <c r="AF498" s="1" t="s">
        <v>5186</v>
      </c>
      <c r="AG498" s="1">
        <v>13.0</v>
      </c>
      <c r="AH498" s="1">
        <v>12.0</v>
      </c>
      <c r="AI498" s="1">
        <v>1.0</v>
      </c>
      <c r="AJ498" s="1">
        <v>3.0</v>
      </c>
      <c r="AK498" s="1">
        <v>12.0</v>
      </c>
      <c r="AL498" s="1">
        <v>0.0</v>
      </c>
      <c r="AM498" s="1">
        <v>5.0</v>
      </c>
      <c r="AN498" s="1">
        <v>1.0</v>
      </c>
      <c r="AO498" s="1">
        <v>0.0</v>
      </c>
      <c r="AP498" s="1">
        <v>0.0</v>
      </c>
      <c r="AQ498" s="1">
        <v>5.0</v>
      </c>
      <c r="AR498" s="1">
        <v>0.0</v>
      </c>
      <c r="AS498" s="1">
        <v>1.0</v>
      </c>
    </row>
    <row r="499" hidden="1">
      <c r="A499" s="1">
        <v>450.0</v>
      </c>
      <c r="B499" s="1" t="s">
        <v>5187</v>
      </c>
      <c r="C499" s="1" t="s">
        <v>5188</v>
      </c>
      <c r="D499" s="1" t="s">
        <v>5189</v>
      </c>
      <c r="E499" s="1" t="s">
        <v>43</v>
      </c>
      <c r="F499" s="2">
        <v>20279.0</v>
      </c>
      <c r="G499" s="1">
        <f t="shared" si="1"/>
        <v>71</v>
      </c>
      <c r="H499" s="1" t="s">
        <v>5190</v>
      </c>
      <c r="I499" s="1" t="str">
        <f>IFERROR(__xludf.DUMMYFUNCTION("SPLIT(left(H499,len(H499)-1),""("")"),"Firminy ")</f>
        <v>Firminy </v>
      </c>
      <c r="J499" s="1" t="str">
        <f>IFERROR(__xludf.DUMMYFUNCTION("""COMPUTED_VALUE"""),"Loire")</f>
        <v>Loire</v>
      </c>
      <c r="K499" s="1" t="str">
        <f>IFERROR(__xludf.DUMMYFUNCTION("IF( COUNTA( IFERROR( FILTER('départements_edition'!$C$2:$C$102 , 'départements_edition'!$C$2:$C$102=J499 ) ) ) , ""Oui"" , ""Non"" )"),"Oui")</f>
        <v>Oui</v>
      </c>
      <c r="L499" s="1" t="str">
        <f t="shared" si="2"/>
        <v>France</v>
      </c>
      <c r="M499" s="1">
        <v>42.0</v>
      </c>
      <c r="N499" s="1" t="s">
        <v>536</v>
      </c>
      <c r="O499" s="1">
        <v>4.0</v>
      </c>
      <c r="P499" s="2">
        <v>42907.0</v>
      </c>
      <c r="R499" s="1">
        <v>0.0</v>
      </c>
      <c r="S499" s="1" t="s">
        <v>61</v>
      </c>
      <c r="T499" s="1" t="s">
        <v>62</v>
      </c>
      <c r="U499" s="1" t="s">
        <v>5191</v>
      </c>
      <c r="X499" s="1" t="s">
        <v>5192</v>
      </c>
      <c r="Y499" s="1">
        <v>64.0</v>
      </c>
      <c r="Z499" s="3" t="s">
        <v>5193</v>
      </c>
      <c r="AA499" s="1">
        <v>267429.0</v>
      </c>
      <c r="AB499" s="1" t="s">
        <v>5194</v>
      </c>
      <c r="AC499" s="3" t="s">
        <v>5195</v>
      </c>
      <c r="AD499" s="3" t="s">
        <v>5196</v>
      </c>
      <c r="AE499" s="1">
        <v>1.0</v>
      </c>
      <c r="AF499" s="1" t="s">
        <v>5197</v>
      </c>
      <c r="AG499" s="1">
        <v>13.0</v>
      </c>
      <c r="AH499" s="1">
        <v>38.0</v>
      </c>
      <c r="AI499" s="1">
        <v>14.0</v>
      </c>
      <c r="AJ499" s="1">
        <v>20.0</v>
      </c>
      <c r="AK499" s="1">
        <v>22.0</v>
      </c>
      <c r="AL499" s="1">
        <v>91.0</v>
      </c>
      <c r="AM499" s="1">
        <v>1938.0</v>
      </c>
      <c r="AN499" s="1">
        <v>55.0</v>
      </c>
      <c r="AO499" s="1">
        <v>0.0</v>
      </c>
      <c r="AP499" s="1">
        <v>4.0</v>
      </c>
      <c r="AQ499" s="1">
        <v>65.0</v>
      </c>
      <c r="AR499" s="1">
        <v>19.0</v>
      </c>
      <c r="AS499" s="1">
        <v>2.0</v>
      </c>
    </row>
    <row r="500" hidden="1">
      <c r="A500" s="1">
        <v>347.0</v>
      </c>
      <c r="B500" s="1" t="s">
        <v>5198</v>
      </c>
      <c r="C500" s="1" t="s">
        <v>5199</v>
      </c>
      <c r="D500" s="1" t="s">
        <v>501</v>
      </c>
      <c r="E500" s="1" t="s">
        <v>43</v>
      </c>
      <c r="F500" s="2">
        <v>20028.0</v>
      </c>
      <c r="G500" s="1">
        <f t="shared" si="1"/>
        <v>71</v>
      </c>
      <c r="H500" s="1" t="s">
        <v>5200</v>
      </c>
      <c r="I500" s="1" t="str">
        <f>IFERROR(__xludf.DUMMYFUNCTION("SPLIT(left(H500,len(H500)-1),""("")"),"Mauprevoir ")</f>
        <v>Mauprevoir </v>
      </c>
      <c r="J500" s="1" t="str">
        <f>IFERROR(__xludf.DUMMYFUNCTION("""COMPUTED_VALUE"""),"Vienne")</f>
        <v>Vienne</v>
      </c>
      <c r="K500" s="1" t="str">
        <f>IFERROR(__xludf.DUMMYFUNCTION("IF( COUNTA( IFERROR( FILTER('départements_edition'!$C$2:$C$102 , 'départements_edition'!$C$2:$C$102=J500 ) ) ) , ""Oui"" , ""Non"" )"),"Oui")</f>
        <v>Oui</v>
      </c>
      <c r="L500" s="1" t="str">
        <f t="shared" si="2"/>
        <v>France</v>
      </c>
      <c r="M500" s="1">
        <v>86.0</v>
      </c>
      <c r="N500" s="1" t="s">
        <v>513</v>
      </c>
      <c r="O500" s="1">
        <v>3.0</v>
      </c>
      <c r="P500" s="2">
        <v>42907.0</v>
      </c>
      <c r="R500" s="1">
        <v>0.0</v>
      </c>
      <c r="S500" s="1" t="s">
        <v>75</v>
      </c>
      <c r="T500" s="1" t="s">
        <v>76</v>
      </c>
      <c r="U500" s="1" t="s">
        <v>5201</v>
      </c>
      <c r="X500" s="1" t="s">
        <v>304</v>
      </c>
      <c r="Y500" s="1">
        <v>417.0</v>
      </c>
      <c r="Z500" s="3" t="s">
        <v>5202</v>
      </c>
      <c r="AA500" s="1">
        <v>336439.0</v>
      </c>
      <c r="AB500" s="1" t="s">
        <v>5203</v>
      </c>
      <c r="AC500" s="3" t="s">
        <v>5204</v>
      </c>
      <c r="AD500" s="3" t="s">
        <v>5205</v>
      </c>
      <c r="AE500" s="1">
        <v>1.0</v>
      </c>
      <c r="AF500" s="1" t="s">
        <v>5206</v>
      </c>
      <c r="AG500" s="1">
        <v>13.0</v>
      </c>
      <c r="AH500" s="1">
        <v>17.0</v>
      </c>
      <c r="AI500" s="1">
        <v>4.0</v>
      </c>
      <c r="AJ500" s="1">
        <v>2.0</v>
      </c>
      <c r="AK500" s="1">
        <v>0.0</v>
      </c>
      <c r="AL500" s="1">
        <v>0.0</v>
      </c>
      <c r="AM500" s="1">
        <v>59.0</v>
      </c>
      <c r="AN500" s="1">
        <v>25.0</v>
      </c>
      <c r="AO500" s="1">
        <v>0.0</v>
      </c>
      <c r="AP500" s="1">
        <v>0.0</v>
      </c>
      <c r="AQ500" s="1">
        <v>5.0</v>
      </c>
      <c r="AR500" s="1">
        <v>9.0</v>
      </c>
      <c r="AS500" s="1">
        <v>1.0</v>
      </c>
    </row>
    <row r="501" hidden="1">
      <c r="A501" s="1">
        <v>580.0</v>
      </c>
      <c r="B501" s="1" t="s">
        <v>5207</v>
      </c>
      <c r="C501" s="1" t="s">
        <v>5208</v>
      </c>
      <c r="D501" s="1" t="s">
        <v>469</v>
      </c>
      <c r="E501" s="1" t="s">
        <v>43</v>
      </c>
      <c r="F501" s="2">
        <v>27865.0</v>
      </c>
      <c r="G501" s="1">
        <f t="shared" si="1"/>
        <v>50</v>
      </c>
      <c r="H501" s="1" t="s">
        <v>5209</v>
      </c>
      <c r="I501" s="1" t="str">
        <f>IFERROR(__xludf.DUMMYFUNCTION("SPLIT(left(H501,len(H501)-1),""("")"),"Arcachon ")</f>
        <v>Arcachon </v>
      </c>
      <c r="J501" s="1" t="str">
        <f>IFERROR(__xludf.DUMMYFUNCTION("""COMPUTED_VALUE"""),"Gironde")</f>
        <v>Gironde</v>
      </c>
      <c r="K501" s="1" t="str">
        <f>IFERROR(__xludf.DUMMYFUNCTION("IF( COUNTA( IFERROR( FILTER('départements_edition'!$C$2:$C$102 , 'départements_edition'!$C$2:$C$102=J501 ) ) ) , ""Oui"" , ""Non"" )"),"Oui")</f>
        <v>Oui</v>
      </c>
      <c r="L501" s="1" t="str">
        <f t="shared" si="2"/>
        <v>France</v>
      </c>
      <c r="M501" s="1">
        <v>40.0</v>
      </c>
      <c r="N501" s="1" t="s">
        <v>664</v>
      </c>
      <c r="O501" s="1">
        <v>1.0</v>
      </c>
      <c r="P501" s="2">
        <v>42938.0</v>
      </c>
      <c r="R501" s="1">
        <v>0.0</v>
      </c>
      <c r="S501" s="1" t="s">
        <v>280</v>
      </c>
      <c r="T501" s="1" t="s">
        <v>281</v>
      </c>
      <c r="X501" s="1" t="s">
        <v>5210</v>
      </c>
      <c r="Y501" s="1">
        <v>249.0</v>
      </c>
      <c r="Z501" s="3" t="s">
        <v>5211</v>
      </c>
      <c r="AA501" s="1">
        <v>719918.0</v>
      </c>
      <c r="AB501" s="1" t="s">
        <v>5212</v>
      </c>
      <c r="AC501" s="3" t="s">
        <v>5213</v>
      </c>
      <c r="AD501" s="3" t="s">
        <v>5214</v>
      </c>
      <c r="AE501" s="1">
        <v>2.0</v>
      </c>
      <c r="AG501" s="1">
        <v>13.0</v>
      </c>
      <c r="AH501" s="1">
        <v>23.0</v>
      </c>
      <c r="AI501" s="1">
        <v>10.0</v>
      </c>
      <c r="AJ501" s="1">
        <v>1.0</v>
      </c>
      <c r="AK501" s="1">
        <v>0.0</v>
      </c>
      <c r="AL501" s="1">
        <v>0.0</v>
      </c>
      <c r="AM501" s="1">
        <v>189.0</v>
      </c>
      <c r="AN501" s="1">
        <v>15.0</v>
      </c>
      <c r="AO501" s="1">
        <v>0.0</v>
      </c>
      <c r="AP501" s="1">
        <v>0.0</v>
      </c>
      <c r="AQ501" s="1">
        <v>5.0</v>
      </c>
      <c r="AR501" s="1">
        <v>0.0</v>
      </c>
      <c r="AS501" s="1">
        <v>0.0</v>
      </c>
    </row>
    <row r="502" hidden="1">
      <c r="A502" s="1">
        <v>93.0</v>
      </c>
      <c r="B502" s="1" t="s">
        <v>5215</v>
      </c>
      <c r="C502" s="1" t="s">
        <v>5216</v>
      </c>
      <c r="D502" s="1" t="s">
        <v>3249</v>
      </c>
      <c r="E502" s="1" t="s">
        <v>58</v>
      </c>
      <c r="F502" s="2">
        <v>22258.0</v>
      </c>
      <c r="G502" s="1">
        <f t="shared" si="1"/>
        <v>65</v>
      </c>
      <c r="H502" s="1" t="s">
        <v>207</v>
      </c>
      <c r="I502" s="1" t="str">
        <f>IFERROR(__xludf.DUMMYFUNCTION("SPLIT(left(H502,len(H502)-1),""("")"),"Paris ")</f>
        <v>Paris </v>
      </c>
      <c r="J502" s="1" t="str">
        <f>IFERROR(__xludf.DUMMYFUNCTION("""COMPUTED_VALUE"""),"Paris")</f>
        <v>Paris</v>
      </c>
      <c r="K502" s="1" t="str">
        <f>IFERROR(__xludf.DUMMYFUNCTION("IF( COUNTA( IFERROR( FILTER('départements_edition'!$C$2:$C$102 , 'départements_edition'!$C$2:$C$102=J502 ) ) ) , ""Oui"" , ""Non"" )"),"Oui")</f>
        <v>Oui</v>
      </c>
      <c r="L502" s="1" t="str">
        <f t="shared" si="2"/>
        <v>France</v>
      </c>
      <c r="M502" s="1">
        <v>19.0</v>
      </c>
      <c r="N502" s="1" t="s">
        <v>524</v>
      </c>
      <c r="O502" s="1">
        <v>2.0</v>
      </c>
      <c r="P502" s="2">
        <v>42907.0</v>
      </c>
      <c r="R502" s="1">
        <v>0.0</v>
      </c>
      <c r="S502" s="1" t="s">
        <v>61</v>
      </c>
      <c r="T502" s="1" t="s">
        <v>62</v>
      </c>
      <c r="U502" s="3" t="s">
        <v>5217</v>
      </c>
      <c r="X502" s="1" t="s">
        <v>78</v>
      </c>
      <c r="Y502" s="1">
        <v>5.0</v>
      </c>
      <c r="Z502" s="3" t="s">
        <v>5218</v>
      </c>
      <c r="AA502" s="1">
        <v>719272.0</v>
      </c>
      <c r="AB502" s="1" t="s">
        <v>5219</v>
      </c>
      <c r="AC502" s="3" t="s">
        <v>5220</v>
      </c>
      <c r="AD502" s="3" t="s">
        <v>5221</v>
      </c>
      <c r="AE502" s="1">
        <v>2.0</v>
      </c>
      <c r="AF502" s="1" t="s">
        <v>5222</v>
      </c>
      <c r="AG502" s="1">
        <v>13.0</v>
      </c>
      <c r="AH502" s="1">
        <v>23.0</v>
      </c>
      <c r="AI502" s="1">
        <v>4.0</v>
      </c>
      <c r="AJ502" s="1">
        <v>4.0</v>
      </c>
      <c r="AK502" s="1">
        <v>3.0</v>
      </c>
      <c r="AL502" s="1">
        <v>0.0</v>
      </c>
      <c r="AM502" s="1">
        <v>491.0</v>
      </c>
      <c r="AN502" s="1">
        <v>20.0</v>
      </c>
      <c r="AO502" s="1">
        <v>0.0</v>
      </c>
      <c r="AP502" s="1">
        <v>0.0</v>
      </c>
      <c r="AQ502" s="1">
        <v>31.0</v>
      </c>
      <c r="AR502" s="1">
        <v>25.0</v>
      </c>
      <c r="AS502" s="1">
        <v>1.0</v>
      </c>
    </row>
    <row r="503" hidden="1">
      <c r="A503" s="1">
        <v>396.0</v>
      </c>
      <c r="B503" s="1" t="s">
        <v>5223</v>
      </c>
      <c r="C503" s="1" t="s">
        <v>5224</v>
      </c>
      <c r="D503" s="1" t="s">
        <v>1822</v>
      </c>
      <c r="E503" s="1" t="s">
        <v>43</v>
      </c>
      <c r="F503" s="2">
        <v>27999.0</v>
      </c>
      <c r="G503" s="1">
        <f t="shared" si="1"/>
        <v>49</v>
      </c>
      <c r="H503" s="1" t="s">
        <v>1852</v>
      </c>
      <c r="I503" s="1" t="str">
        <f>IFERROR(__xludf.DUMMYFUNCTION("SPLIT(left(H503,len(H503)-1),""("")"),"Paris 14 ")</f>
        <v>Paris 14 </v>
      </c>
      <c r="J503" s="1" t="str">
        <f>IFERROR(__xludf.DUMMYFUNCTION("""COMPUTED_VALUE"""),"Paris")</f>
        <v>Paris</v>
      </c>
      <c r="K503" s="1" t="str">
        <f>IFERROR(__xludf.DUMMYFUNCTION("IF( COUNTA( IFERROR( FILTER('départements_edition'!$C$2:$C$102 , 'départements_edition'!$C$2:$C$102=J503 ) ) ) , ""Oui"" , ""Non"" )"),"Oui")</f>
        <v>Oui</v>
      </c>
      <c r="L503" s="1" t="str">
        <f t="shared" si="2"/>
        <v>France</v>
      </c>
      <c r="M503" s="1">
        <v>41.0</v>
      </c>
      <c r="N503" s="1" t="s">
        <v>1741</v>
      </c>
      <c r="O503" s="1">
        <v>2.0</v>
      </c>
      <c r="P503" s="2">
        <v>42907.0</v>
      </c>
      <c r="R503" s="1">
        <v>0.0</v>
      </c>
      <c r="S503" s="1" t="s">
        <v>61</v>
      </c>
      <c r="T503" s="1" t="s">
        <v>62</v>
      </c>
      <c r="U503" s="1" t="s">
        <v>5225</v>
      </c>
      <c r="X503" s="1" t="s">
        <v>162</v>
      </c>
      <c r="Y503" s="1">
        <v>139.0</v>
      </c>
      <c r="Z503" s="3" t="s">
        <v>5226</v>
      </c>
      <c r="AA503" s="1">
        <v>719946.0</v>
      </c>
      <c r="AB503" s="1" t="s">
        <v>5227</v>
      </c>
      <c r="AC503" s="3" t="s">
        <v>5228</v>
      </c>
      <c r="AD503" s="3" t="s">
        <v>5229</v>
      </c>
      <c r="AE503" s="1">
        <v>1.0</v>
      </c>
      <c r="AF503" s="1" t="s">
        <v>5230</v>
      </c>
      <c r="AG503" s="1">
        <v>13.0</v>
      </c>
      <c r="AH503" s="1">
        <v>11.0</v>
      </c>
      <c r="AI503" s="1">
        <v>2.0</v>
      </c>
      <c r="AJ503" s="1">
        <v>10.0</v>
      </c>
      <c r="AK503" s="1">
        <v>4.0</v>
      </c>
      <c r="AL503" s="1">
        <v>6.0</v>
      </c>
      <c r="AM503" s="1">
        <v>795.0</v>
      </c>
      <c r="AN503" s="1">
        <v>36.0</v>
      </c>
      <c r="AO503" s="1">
        <v>0.0</v>
      </c>
      <c r="AP503" s="1">
        <v>8.0</v>
      </c>
      <c r="AQ503" s="1">
        <v>57.0</v>
      </c>
      <c r="AR503" s="1">
        <v>22.0</v>
      </c>
      <c r="AS503" s="1">
        <v>1.0</v>
      </c>
    </row>
    <row r="504" hidden="1">
      <c r="A504" s="1">
        <v>107.0</v>
      </c>
      <c r="B504" s="1" t="s">
        <v>5238</v>
      </c>
      <c r="C504" s="1" t="s">
        <v>5239</v>
      </c>
      <c r="D504" s="1" t="s">
        <v>905</v>
      </c>
      <c r="E504" s="1" t="s">
        <v>43</v>
      </c>
      <c r="F504" s="2">
        <v>27201.0</v>
      </c>
      <c r="G504" s="1">
        <f t="shared" si="1"/>
        <v>52</v>
      </c>
      <c r="H504" s="1" t="s">
        <v>1914</v>
      </c>
      <c r="I504" s="1" t="str">
        <f>IFERROR(__xludf.DUMMYFUNCTION("SPLIT(left(H504,len(H504)-1),""("")"),"Pointe-à-Pitre ")</f>
        <v>Pointe-à-Pitre </v>
      </c>
      <c r="J504" s="1" t="str">
        <f>IFERROR(__xludf.DUMMYFUNCTION("""COMPUTED_VALUE"""),"Guadeloupe")</f>
        <v>Guadeloupe</v>
      </c>
      <c r="K504" s="1" t="str">
        <f>IFERROR(__xludf.DUMMYFUNCTION("IF( COUNTA( IFERROR( FILTER('départements_edition'!$C$2:$C$102 , 'départements_edition'!$C$2:$C$102=J504 ) ) ) , ""Oui"" , ""Non"" )"),"Oui")</f>
        <v>Oui</v>
      </c>
      <c r="L504" s="1" t="str">
        <f t="shared" si="2"/>
        <v>France</v>
      </c>
      <c r="M504" s="1">
        <v>971.0</v>
      </c>
      <c r="N504" s="1" t="s">
        <v>5240</v>
      </c>
      <c r="O504" s="1">
        <v>1.0</v>
      </c>
      <c r="P504" s="2">
        <v>42907.0</v>
      </c>
      <c r="R504" s="1">
        <v>0.0</v>
      </c>
      <c r="S504" s="1" t="s">
        <v>75</v>
      </c>
      <c r="T504" s="1" t="s">
        <v>76</v>
      </c>
      <c r="U504" s="1" t="s">
        <v>5241</v>
      </c>
      <c r="X504" s="1" t="s">
        <v>5242</v>
      </c>
      <c r="Y504" s="1">
        <v>311.0</v>
      </c>
      <c r="Z504" s="3" t="s">
        <v>5243</v>
      </c>
      <c r="AA504" s="1">
        <v>720960.0</v>
      </c>
      <c r="AB504" s="1" t="s">
        <v>5244</v>
      </c>
      <c r="AC504" s="3" t="s">
        <v>5245</v>
      </c>
      <c r="AD504" s="3" t="s">
        <v>5246</v>
      </c>
      <c r="AE504" s="1">
        <v>1.0</v>
      </c>
      <c r="AF504" s="1" t="s">
        <v>5247</v>
      </c>
      <c r="AG504" s="1">
        <v>13.0</v>
      </c>
      <c r="AH504" s="1">
        <v>30.0</v>
      </c>
      <c r="AI504" s="1">
        <v>17.0</v>
      </c>
      <c r="AJ504" s="1">
        <v>39.0</v>
      </c>
      <c r="AK504" s="1">
        <v>5.0</v>
      </c>
      <c r="AL504" s="1">
        <v>39.0</v>
      </c>
      <c r="AM504" s="1">
        <v>280.0</v>
      </c>
      <c r="AN504" s="1">
        <v>146.0</v>
      </c>
      <c r="AO504" s="1">
        <v>1.0</v>
      </c>
      <c r="AP504" s="1">
        <v>0.0</v>
      </c>
      <c r="AQ504" s="1">
        <v>5.0</v>
      </c>
      <c r="AR504" s="1">
        <v>2.0</v>
      </c>
      <c r="AS504" s="1">
        <v>1.0</v>
      </c>
    </row>
    <row r="505" hidden="1">
      <c r="A505" s="1">
        <v>22.0</v>
      </c>
      <c r="B505" s="1" t="s">
        <v>5248</v>
      </c>
      <c r="C505" s="1" t="s">
        <v>5249</v>
      </c>
      <c r="D505" s="1" t="s">
        <v>2889</v>
      </c>
      <c r="E505" s="1" t="s">
        <v>43</v>
      </c>
      <c r="F505" s="2">
        <v>21820.0</v>
      </c>
      <c r="G505" s="1">
        <f t="shared" si="1"/>
        <v>66</v>
      </c>
      <c r="H505" s="1" t="s">
        <v>5250</v>
      </c>
      <c r="I505" s="1" t="str">
        <f>IFERROR(__xludf.DUMMYFUNCTION("SPLIT(left(H505,len(H505)-1),""("")"),"Cayenne ")</f>
        <v>Cayenne </v>
      </c>
      <c r="J505" s="1" t="str">
        <f>IFERROR(__xludf.DUMMYFUNCTION("""COMPUTED_VALUE"""),"Guyane")</f>
        <v>Guyane</v>
      </c>
      <c r="K505" s="1" t="str">
        <f>IFERROR(__xludf.DUMMYFUNCTION("IF( COUNTA( IFERROR( FILTER('départements_edition'!$C$2:$C$102 , 'départements_edition'!$C$2:$C$102=J505 ) ) ) , ""Oui"" , ""Non"" )"),"Oui")</f>
        <v>Oui</v>
      </c>
      <c r="L505" s="1" t="str">
        <f t="shared" si="2"/>
        <v>France</v>
      </c>
      <c r="M505" s="1">
        <v>973.0</v>
      </c>
      <c r="N505" s="1" t="s">
        <v>5251</v>
      </c>
      <c r="O505" s="1">
        <v>1.0</v>
      </c>
      <c r="P505" s="2">
        <v>42907.0</v>
      </c>
      <c r="R505" s="1">
        <v>0.0</v>
      </c>
      <c r="S505" s="1" t="s">
        <v>101</v>
      </c>
      <c r="T505" s="1" t="s">
        <v>5112</v>
      </c>
      <c r="U505" s="1" t="s">
        <v>5252</v>
      </c>
      <c r="X505" s="1" t="s">
        <v>5253</v>
      </c>
      <c r="Y505" s="1">
        <v>597.0</v>
      </c>
      <c r="Z505" s="3" t="s">
        <v>5254</v>
      </c>
      <c r="AA505" s="1">
        <v>610667.0</v>
      </c>
      <c r="AB505" s="1" t="s">
        <v>5255</v>
      </c>
      <c r="AC505" s="3" t="s">
        <v>5256</v>
      </c>
      <c r="AD505" s="3" t="s">
        <v>5257</v>
      </c>
      <c r="AE505" s="1">
        <v>2.0</v>
      </c>
      <c r="AF505" s="1" t="s">
        <v>5258</v>
      </c>
      <c r="AG505" s="1">
        <v>13.0</v>
      </c>
      <c r="AH505" s="1">
        <v>33.0</v>
      </c>
      <c r="AI505" s="1">
        <v>23.0</v>
      </c>
      <c r="AJ505" s="1">
        <v>26.0</v>
      </c>
      <c r="AK505" s="1">
        <v>0.0</v>
      </c>
      <c r="AL505" s="1">
        <v>11.0</v>
      </c>
      <c r="AM505" s="1">
        <v>679.0</v>
      </c>
      <c r="AN505" s="1">
        <v>33.0</v>
      </c>
      <c r="AO505" s="1">
        <v>0.0</v>
      </c>
      <c r="AP505" s="1">
        <v>0.0</v>
      </c>
      <c r="AQ505" s="1">
        <v>9.0</v>
      </c>
      <c r="AR505" s="1">
        <v>23.0</v>
      </c>
      <c r="AS505" s="1">
        <v>4.0</v>
      </c>
    </row>
    <row r="506" hidden="1">
      <c r="A506" s="1">
        <v>354.0</v>
      </c>
      <c r="B506" s="1" t="s">
        <v>5267</v>
      </c>
      <c r="C506" s="1" t="s">
        <v>5268</v>
      </c>
      <c r="D506" s="1" t="s">
        <v>1146</v>
      </c>
      <c r="E506" s="1" t="s">
        <v>43</v>
      </c>
      <c r="F506" s="2">
        <v>20942.0</v>
      </c>
      <c r="G506" s="1">
        <f t="shared" si="1"/>
        <v>69</v>
      </c>
      <c r="H506" s="1" t="s">
        <v>5269</v>
      </c>
      <c r="I506" s="1" t="str">
        <f>IFERROR(__xludf.DUMMYFUNCTION("SPLIT(left(H506,len(H506)-1),""("")"),"Cavaillon ")</f>
        <v>Cavaillon </v>
      </c>
      <c r="J506" s="1" t="str">
        <f>IFERROR(__xludf.DUMMYFUNCTION("""COMPUTED_VALUE"""),"Vaucluse")</f>
        <v>Vaucluse</v>
      </c>
      <c r="K506" s="1" t="str">
        <f>IFERROR(__xludf.DUMMYFUNCTION("IF( COUNTA( IFERROR( FILTER('départements_edition'!$C$2:$C$102 , 'départements_edition'!$C$2:$C$102=J506 ) ) ) , ""Oui"" , ""Non"" )"),"Oui")</f>
        <v>Oui</v>
      </c>
      <c r="L506" s="1" t="str">
        <f t="shared" si="2"/>
        <v>France</v>
      </c>
      <c r="M506" s="1">
        <v>84.0</v>
      </c>
      <c r="N506" s="1" t="s">
        <v>719</v>
      </c>
      <c r="O506" s="1">
        <v>2.0</v>
      </c>
      <c r="P506" s="2">
        <v>42907.0</v>
      </c>
      <c r="R506" s="1">
        <v>0.0</v>
      </c>
      <c r="S506" s="1" t="s">
        <v>61</v>
      </c>
      <c r="T506" s="1" t="s">
        <v>62</v>
      </c>
      <c r="U506" s="1" t="s">
        <v>5270</v>
      </c>
      <c r="X506" s="1" t="s">
        <v>5271</v>
      </c>
      <c r="Y506" s="1">
        <v>52.0</v>
      </c>
      <c r="Z506" s="3" t="s">
        <v>5272</v>
      </c>
      <c r="AA506" s="1">
        <v>336316.0</v>
      </c>
      <c r="AB506" s="1" t="s">
        <v>5273</v>
      </c>
      <c r="AC506" s="3" t="s">
        <v>5274</v>
      </c>
      <c r="AD506" s="3" t="s">
        <v>5275</v>
      </c>
      <c r="AE506" s="1">
        <v>2.0</v>
      </c>
      <c r="AF506" s="1" t="s">
        <v>5276</v>
      </c>
      <c r="AG506" s="1">
        <v>12.0</v>
      </c>
      <c r="AH506" s="1">
        <v>18.0</v>
      </c>
      <c r="AI506" s="1">
        <v>15.0</v>
      </c>
      <c r="AJ506" s="1">
        <v>1.0</v>
      </c>
      <c r="AK506" s="1">
        <v>1.0</v>
      </c>
      <c r="AL506" s="1">
        <v>0.0</v>
      </c>
      <c r="AM506" s="1">
        <v>484.0</v>
      </c>
      <c r="AN506" s="1">
        <v>17.0</v>
      </c>
      <c r="AO506" s="1">
        <v>0.0</v>
      </c>
      <c r="AP506" s="1">
        <v>1.0</v>
      </c>
      <c r="AQ506" s="1">
        <v>58.0</v>
      </c>
      <c r="AR506" s="1">
        <v>14.0</v>
      </c>
      <c r="AS506" s="1">
        <v>0.0</v>
      </c>
    </row>
    <row r="507" hidden="1">
      <c r="A507" s="1">
        <v>120.0</v>
      </c>
      <c r="B507" s="1" t="s">
        <v>5285</v>
      </c>
      <c r="C507" s="1" t="s">
        <v>5286</v>
      </c>
      <c r="D507" s="1" t="s">
        <v>4045</v>
      </c>
      <c r="E507" s="1" t="s">
        <v>43</v>
      </c>
      <c r="F507" s="2">
        <v>23205.0</v>
      </c>
      <c r="G507" s="1">
        <f t="shared" si="1"/>
        <v>63</v>
      </c>
      <c r="H507" s="1" t="s">
        <v>1541</v>
      </c>
      <c r="I507" s="1" t="str">
        <f>IFERROR(__xludf.DUMMYFUNCTION("SPLIT(left(H507,len(H507)-1),""("")"),"Épinal ")</f>
        <v>Épinal </v>
      </c>
      <c r="J507" s="1" t="str">
        <f>IFERROR(__xludf.DUMMYFUNCTION("""COMPUTED_VALUE"""),"Vosges")</f>
        <v>Vosges</v>
      </c>
      <c r="K507" s="1" t="str">
        <f>IFERROR(__xludf.DUMMYFUNCTION("IF( COUNTA( IFERROR( FILTER('départements_edition'!$C$2:$C$102 , 'départements_edition'!$C$2:$C$102=J507 ) ) ) , ""Oui"" , ""Non"" )"),"Oui")</f>
        <v>Oui</v>
      </c>
      <c r="L507" s="1" t="str">
        <f t="shared" si="2"/>
        <v>France</v>
      </c>
      <c r="M507" s="1">
        <v>88.0</v>
      </c>
      <c r="N507" s="1" t="s">
        <v>1542</v>
      </c>
      <c r="O507" s="1">
        <v>4.0</v>
      </c>
      <c r="P507" s="2">
        <v>42907.0</v>
      </c>
      <c r="R507" s="1">
        <v>0.0</v>
      </c>
      <c r="S507" s="1" t="s">
        <v>61</v>
      </c>
      <c r="T507" s="1" t="s">
        <v>62</v>
      </c>
      <c r="U507" s="1" t="s">
        <v>5287</v>
      </c>
      <c r="X507" s="1" t="s">
        <v>5288</v>
      </c>
      <c r="Y507" s="1">
        <v>127.0</v>
      </c>
      <c r="Z507" s="3" t="s">
        <v>5289</v>
      </c>
      <c r="AA507" s="1">
        <v>267324.0</v>
      </c>
      <c r="AB507" s="1" t="s">
        <v>5290</v>
      </c>
      <c r="AC507" s="3" t="s">
        <v>5291</v>
      </c>
      <c r="AD507" s="3" t="s">
        <v>5292</v>
      </c>
      <c r="AE507" s="1">
        <v>2.0</v>
      </c>
      <c r="AF507" s="1" t="s">
        <v>5293</v>
      </c>
      <c r="AG507" s="1">
        <v>12.0</v>
      </c>
      <c r="AH507" s="1">
        <v>24.0</v>
      </c>
      <c r="AI507" s="1">
        <v>5.0</v>
      </c>
      <c r="AJ507" s="1">
        <v>3.0</v>
      </c>
      <c r="AK507" s="1">
        <v>0.0</v>
      </c>
      <c r="AL507" s="1">
        <v>17.0</v>
      </c>
      <c r="AM507" s="1">
        <v>299.0</v>
      </c>
      <c r="AN507" s="1">
        <v>13.0</v>
      </c>
      <c r="AO507" s="1">
        <v>0.0</v>
      </c>
      <c r="AP507" s="1">
        <v>1.0</v>
      </c>
      <c r="AQ507" s="1">
        <v>31.0</v>
      </c>
      <c r="AR507" s="1">
        <v>34.0</v>
      </c>
      <c r="AS507" s="1">
        <v>1.0</v>
      </c>
    </row>
    <row r="508" hidden="1">
      <c r="A508" s="1">
        <v>410.0</v>
      </c>
      <c r="B508" s="1" t="s">
        <v>5294</v>
      </c>
      <c r="C508" s="1" t="s">
        <v>5295</v>
      </c>
      <c r="D508" s="1" t="s">
        <v>5296</v>
      </c>
      <c r="E508" s="1" t="s">
        <v>43</v>
      </c>
      <c r="F508" s="2">
        <v>19372.0</v>
      </c>
      <c r="G508" s="1">
        <f t="shared" si="1"/>
        <v>73</v>
      </c>
      <c r="H508" s="1" t="s">
        <v>5297</v>
      </c>
      <c r="I508" s="1" t="str">
        <f>IFERROR(__xludf.DUMMYFUNCTION("SPLIT(left(H508,len(H508)-1),""("")"),"Gros Morne ")</f>
        <v>Gros Morne </v>
      </c>
      <c r="J508" s="1" t="str">
        <f>IFERROR(__xludf.DUMMYFUNCTION("""COMPUTED_VALUE"""),"Martinique")</f>
        <v>Martinique</v>
      </c>
      <c r="K508" s="1" t="str">
        <f>IFERROR(__xludf.DUMMYFUNCTION("IF( COUNTA( IFERROR( FILTER('départements_edition'!$C$2:$C$102 , 'départements_edition'!$C$2:$C$102=J508 ) ) ) , ""Oui"" , ""Non"" )"),"Oui")</f>
        <v>Oui</v>
      </c>
      <c r="L508" s="1" t="str">
        <f t="shared" si="2"/>
        <v>France</v>
      </c>
      <c r="M508" s="1">
        <v>972.0</v>
      </c>
      <c r="N508" s="1" t="s">
        <v>5111</v>
      </c>
      <c r="O508" s="1">
        <v>3.0</v>
      </c>
      <c r="P508" s="2">
        <v>42907.0</v>
      </c>
      <c r="R508" s="1">
        <v>0.0</v>
      </c>
      <c r="S508" s="1" t="s">
        <v>115</v>
      </c>
      <c r="T508" s="1" t="s">
        <v>5112</v>
      </c>
      <c r="U508" s="1" t="s">
        <v>5298</v>
      </c>
      <c r="X508" s="1" t="s">
        <v>5299</v>
      </c>
      <c r="Y508" s="1">
        <v>501.0</v>
      </c>
      <c r="Z508" s="3" t="s">
        <v>5300</v>
      </c>
      <c r="AA508" s="1">
        <v>337483.0</v>
      </c>
      <c r="AB508" s="1" t="s">
        <v>5301</v>
      </c>
      <c r="AC508" s="3" t="s">
        <v>5302</v>
      </c>
      <c r="AD508" s="3" t="s">
        <v>5303</v>
      </c>
      <c r="AE508" s="1">
        <v>1.0</v>
      </c>
      <c r="AF508" s="1" t="s">
        <v>5304</v>
      </c>
      <c r="AG508" s="1">
        <v>12.0</v>
      </c>
      <c r="AH508" s="1">
        <v>15.0</v>
      </c>
      <c r="AI508" s="1">
        <v>31.0</v>
      </c>
      <c r="AJ508" s="1">
        <v>61.0</v>
      </c>
      <c r="AK508" s="1">
        <v>37.0</v>
      </c>
      <c r="AL508" s="1">
        <v>37.0</v>
      </c>
      <c r="AM508" s="1">
        <v>1150.0</v>
      </c>
      <c r="AN508" s="1">
        <v>88.0</v>
      </c>
      <c r="AO508" s="1">
        <v>2.0</v>
      </c>
      <c r="AP508" s="1">
        <v>0.0</v>
      </c>
      <c r="AQ508" s="1">
        <v>6.0</v>
      </c>
      <c r="AR508" s="1">
        <v>0.0</v>
      </c>
      <c r="AS508" s="1">
        <v>2.0</v>
      </c>
    </row>
    <row r="509" hidden="1">
      <c r="A509" s="1">
        <v>156.0</v>
      </c>
      <c r="B509" s="1" t="s">
        <v>5305</v>
      </c>
      <c r="C509" s="1" t="s">
        <v>5306</v>
      </c>
      <c r="D509" s="1" t="s">
        <v>2991</v>
      </c>
      <c r="E509" s="1" t="s">
        <v>43</v>
      </c>
      <c r="F509" s="2">
        <v>16531.0</v>
      </c>
      <c r="G509" s="1">
        <f t="shared" si="1"/>
        <v>81</v>
      </c>
      <c r="H509" s="1" t="s">
        <v>718</v>
      </c>
      <c r="I509" s="1" t="str">
        <f>IFERROR(__xludf.DUMMYFUNCTION("SPLIT(left(H509,len(H509)-1),""("")"),"Marseille ")</f>
        <v>Marseille </v>
      </c>
      <c r="J509" s="1" t="str">
        <f>IFERROR(__xludf.DUMMYFUNCTION("""COMPUTED_VALUE"""),"Bouches-du-Rhône")</f>
        <v>Bouches-du-Rhône</v>
      </c>
      <c r="K509" s="1" t="str">
        <f>IFERROR(__xludf.DUMMYFUNCTION("IF( COUNTA( IFERROR( FILTER('départements_edition'!$C$2:$C$102 , 'départements_edition'!$C$2:$C$102=J509 ) ) ) , ""Oui"" , ""Non"" )"),"Oui")</f>
        <v>Oui</v>
      </c>
      <c r="L509" s="1" t="str">
        <f t="shared" si="2"/>
        <v>France</v>
      </c>
      <c r="M509" s="1">
        <v>13.0</v>
      </c>
      <c r="N509" s="1" t="s">
        <v>279</v>
      </c>
      <c r="O509" s="1">
        <v>6.0</v>
      </c>
      <c r="P509" s="2">
        <v>42907.0</v>
      </c>
      <c r="R509" s="1">
        <v>0.0</v>
      </c>
      <c r="S509" s="1" t="s">
        <v>61</v>
      </c>
      <c r="T509" s="1" t="s">
        <v>62</v>
      </c>
      <c r="U509" s="1" t="s">
        <v>5307</v>
      </c>
      <c r="X509" s="1" t="s">
        <v>5308</v>
      </c>
      <c r="Y509" s="1">
        <v>84.0</v>
      </c>
      <c r="Z509" s="3" t="s">
        <v>5309</v>
      </c>
      <c r="AA509" s="1">
        <v>2796.0</v>
      </c>
      <c r="AB509" s="1" t="s">
        <v>5310</v>
      </c>
      <c r="AC509" s="3" t="s">
        <v>5311</v>
      </c>
      <c r="AD509" s="3" t="s">
        <v>5312</v>
      </c>
      <c r="AE509" s="1">
        <v>3.0</v>
      </c>
      <c r="AF509" s="1" t="s">
        <v>5313</v>
      </c>
      <c r="AG509" s="1">
        <v>12.0</v>
      </c>
      <c r="AH509" s="1">
        <v>8.0</v>
      </c>
      <c r="AI509" s="1">
        <v>9.0</v>
      </c>
      <c r="AJ509" s="1">
        <v>3.0</v>
      </c>
      <c r="AK509" s="1">
        <v>29.0</v>
      </c>
      <c r="AL509" s="1">
        <v>4.0</v>
      </c>
      <c r="AM509" s="1">
        <v>257.0</v>
      </c>
      <c r="AN509" s="1">
        <v>14.0</v>
      </c>
      <c r="AO509" s="1">
        <v>1.0</v>
      </c>
      <c r="AP509" s="1">
        <v>2.0</v>
      </c>
      <c r="AQ509" s="1">
        <v>37.0</v>
      </c>
      <c r="AR509" s="1">
        <v>14.0</v>
      </c>
      <c r="AS509" s="1">
        <v>2.0</v>
      </c>
    </row>
    <row r="510" hidden="1">
      <c r="A510" s="1">
        <v>491.0</v>
      </c>
      <c r="B510" s="1" t="s">
        <v>5314</v>
      </c>
      <c r="C510" s="1" t="s">
        <v>5315</v>
      </c>
      <c r="D510" s="1" t="s">
        <v>1551</v>
      </c>
      <c r="E510" s="1" t="s">
        <v>58</v>
      </c>
      <c r="F510" s="2">
        <v>20581.0</v>
      </c>
      <c r="G510" s="1">
        <f t="shared" si="1"/>
        <v>70</v>
      </c>
      <c r="H510" s="1" t="s">
        <v>5316</v>
      </c>
      <c r="I510" s="1" t="str">
        <f>IFERROR(__xludf.DUMMYFUNCTION("SPLIT(left(H510,len(H510)-1),""("")"),"Trois-Rivières ")</f>
        <v>Trois-Rivières </v>
      </c>
      <c r="J510" s="1" t="str">
        <f>IFERROR(__xludf.DUMMYFUNCTION("""COMPUTED_VALUE"""),"Guadeloupe")</f>
        <v>Guadeloupe</v>
      </c>
      <c r="K510" s="1" t="str">
        <f>IFERROR(__xludf.DUMMYFUNCTION("IF( COUNTA( IFERROR( FILTER('départements_edition'!$C$2:$C$102 , 'départements_edition'!$C$2:$C$102=J510 ) ) ) , ""Oui"" , ""Non"" )"),"Oui")</f>
        <v>Oui</v>
      </c>
      <c r="L510" s="1" t="str">
        <f t="shared" si="2"/>
        <v>France</v>
      </c>
      <c r="M510" s="1">
        <v>971.0</v>
      </c>
      <c r="N510" s="1" t="s">
        <v>5240</v>
      </c>
      <c r="O510" s="1">
        <v>4.0</v>
      </c>
      <c r="P510" s="2">
        <v>42907.0</v>
      </c>
      <c r="R510" s="1">
        <v>0.0</v>
      </c>
      <c r="S510" s="1" t="s">
        <v>115</v>
      </c>
      <c r="T510" s="1" t="s">
        <v>5112</v>
      </c>
      <c r="U510" s="3" t="s">
        <v>5317</v>
      </c>
      <c r="X510" s="1" t="s">
        <v>2348</v>
      </c>
      <c r="Y510" s="1">
        <v>496.0</v>
      </c>
      <c r="Z510" s="3" t="s">
        <v>5318</v>
      </c>
      <c r="AA510" s="1">
        <v>643145.0</v>
      </c>
      <c r="AB510" s="1" t="s">
        <v>5319</v>
      </c>
      <c r="AC510" s="3" t="s">
        <v>5320</v>
      </c>
      <c r="AD510" s="3" t="s">
        <v>5321</v>
      </c>
      <c r="AE510" s="1">
        <v>2.0</v>
      </c>
      <c r="AF510" s="1" t="s">
        <v>5322</v>
      </c>
      <c r="AG510" s="1">
        <v>12.0</v>
      </c>
      <c r="AH510" s="1">
        <v>20.0</v>
      </c>
      <c r="AI510" s="1">
        <v>9.0</v>
      </c>
      <c r="AJ510" s="1">
        <v>10.0</v>
      </c>
      <c r="AK510" s="1">
        <v>7.0</v>
      </c>
      <c r="AL510" s="1">
        <v>26.0</v>
      </c>
      <c r="AM510" s="1">
        <v>1172.0</v>
      </c>
      <c r="AN510" s="1">
        <v>80.0</v>
      </c>
      <c r="AO510" s="1">
        <v>0.0</v>
      </c>
      <c r="AP510" s="1">
        <v>0.0</v>
      </c>
      <c r="AQ510" s="1">
        <v>5.0</v>
      </c>
      <c r="AR510" s="1">
        <v>0.0</v>
      </c>
      <c r="AS510" s="1">
        <v>1.0</v>
      </c>
    </row>
    <row r="511" hidden="1">
      <c r="A511" s="1">
        <v>126.0</v>
      </c>
      <c r="B511" s="1" t="s">
        <v>5342</v>
      </c>
      <c r="C511" s="1" t="s">
        <v>5343</v>
      </c>
      <c r="D511" s="1" t="s">
        <v>42</v>
      </c>
      <c r="E511" s="1" t="s">
        <v>43</v>
      </c>
      <c r="F511" s="2">
        <v>23206.0</v>
      </c>
      <c r="G511" s="1">
        <f t="shared" si="1"/>
        <v>63</v>
      </c>
      <c r="H511" s="1" t="s">
        <v>672</v>
      </c>
      <c r="I511" s="1" t="str">
        <f>IFERROR(__xludf.DUMMYFUNCTION("SPLIT(left(H511,len(H511)-1),""("")"),"Albi ")</f>
        <v>Albi </v>
      </c>
      <c r="J511" s="1" t="str">
        <f>IFERROR(__xludf.DUMMYFUNCTION("""COMPUTED_VALUE"""),"Tarn")</f>
        <v>Tarn</v>
      </c>
      <c r="K511" s="1" t="str">
        <f>IFERROR(__xludf.DUMMYFUNCTION("IF( COUNTA( IFERROR( FILTER('départements_edition'!$C$2:$C$102 , 'départements_edition'!$C$2:$C$102=J511 ) ) ) , ""Oui"" , ""Non"" )"),"Oui")</f>
        <v>Oui</v>
      </c>
      <c r="L511" s="1" t="str">
        <f t="shared" si="2"/>
        <v>France</v>
      </c>
      <c r="M511" s="1">
        <v>81.0</v>
      </c>
      <c r="N511" s="1" t="s">
        <v>673</v>
      </c>
      <c r="O511" s="1">
        <v>1.0</v>
      </c>
      <c r="P511" s="2">
        <v>42907.0</v>
      </c>
      <c r="R511" s="1">
        <v>0.0</v>
      </c>
      <c r="S511" s="1" t="s">
        <v>75</v>
      </c>
      <c r="T511" s="1" t="s">
        <v>76</v>
      </c>
      <c r="U511" s="1" t="s">
        <v>5344</v>
      </c>
      <c r="X511" s="1" t="s">
        <v>5345</v>
      </c>
      <c r="Y511" s="1">
        <v>469.0</v>
      </c>
      <c r="Z511" s="3" t="s">
        <v>5346</v>
      </c>
      <c r="AA511" s="1">
        <v>267673.0</v>
      </c>
      <c r="AB511" s="1" t="s">
        <v>5347</v>
      </c>
      <c r="AC511" s="3" t="s">
        <v>5348</v>
      </c>
      <c r="AD511" s="3" t="s">
        <v>5349</v>
      </c>
      <c r="AE511" s="1">
        <v>2.0</v>
      </c>
      <c r="AF511" s="1" t="s">
        <v>5350</v>
      </c>
      <c r="AG511" s="1">
        <v>11.0</v>
      </c>
      <c r="AH511" s="1">
        <v>16.0</v>
      </c>
      <c r="AI511" s="1">
        <v>7.0</v>
      </c>
      <c r="AJ511" s="1">
        <v>19.0</v>
      </c>
      <c r="AK511" s="1">
        <v>4.0</v>
      </c>
      <c r="AL511" s="1">
        <v>8.0</v>
      </c>
      <c r="AM511" s="1">
        <v>15.0</v>
      </c>
      <c r="AN511" s="1">
        <v>1.0</v>
      </c>
      <c r="AO511" s="1">
        <v>0.0</v>
      </c>
      <c r="AP511" s="1">
        <v>2.0</v>
      </c>
      <c r="AQ511" s="1">
        <v>7.0</v>
      </c>
      <c r="AR511" s="1">
        <v>12.0</v>
      </c>
      <c r="AS511" s="1">
        <v>1.0</v>
      </c>
    </row>
    <row r="512" hidden="1">
      <c r="A512" s="1">
        <v>300.0</v>
      </c>
      <c r="B512" s="1" t="s">
        <v>5351</v>
      </c>
      <c r="C512" s="1" t="s">
        <v>5352</v>
      </c>
      <c r="D512" s="1" t="s">
        <v>3905</v>
      </c>
      <c r="E512" s="1" t="s">
        <v>58</v>
      </c>
      <c r="F512" s="2">
        <v>18186.0</v>
      </c>
      <c r="G512" s="1">
        <f t="shared" si="1"/>
        <v>76</v>
      </c>
      <c r="H512" s="1" t="s">
        <v>5353</v>
      </c>
      <c r="I512" s="1" t="str">
        <f>IFERROR(__xludf.DUMMYFUNCTION("SPLIT(left(H512,len(H512)-1),""("")"),"Epinay-sur-Seine ")</f>
        <v>Epinay-sur-Seine </v>
      </c>
      <c r="J512" s="1" t="str">
        <f>IFERROR(__xludf.DUMMYFUNCTION("""COMPUTED_VALUE"""),"Seine-Saint-Denis")</f>
        <v>Seine-Saint-Denis</v>
      </c>
      <c r="K512" s="1" t="str">
        <f>IFERROR(__xludf.DUMMYFUNCTION("IF( COUNTA( IFERROR( FILTER('départements_edition'!$C$2:$C$102 , 'départements_edition'!$C$2:$C$102=J512 ) ) ) , ""Oui"" , ""Non"" )"),"Oui")</f>
        <v>Oui</v>
      </c>
      <c r="L512" s="1" t="str">
        <f t="shared" si="2"/>
        <v>France</v>
      </c>
      <c r="M512" s="1">
        <v>27.0</v>
      </c>
      <c r="N512" s="1" t="s">
        <v>2698</v>
      </c>
      <c r="O512" s="1">
        <v>5.0</v>
      </c>
      <c r="P512" s="2">
        <v>42907.0</v>
      </c>
      <c r="R512" s="1">
        <v>0.0</v>
      </c>
      <c r="S512" s="1" t="s">
        <v>75</v>
      </c>
      <c r="T512" s="1" t="s">
        <v>76</v>
      </c>
      <c r="U512" s="3" t="s">
        <v>5354</v>
      </c>
      <c r="X512" s="1" t="s">
        <v>5355</v>
      </c>
      <c r="Y512" s="1">
        <v>304.0</v>
      </c>
      <c r="Z512" s="3" t="s">
        <v>5356</v>
      </c>
      <c r="AA512" s="1">
        <v>719364.0</v>
      </c>
      <c r="AB512" s="1" t="s">
        <v>5357</v>
      </c>
      <c r="AC512" s="3" t="s">
        <v>5358</v>
      </c>
      <c r="AD512" s="3" t="s">
        <v>5359</v>
      </c>
      <c r="AE512" s="1">
        <v>1.0</v>
      </c>
      <c r="AG512" s="1">
        <v>11.0</v>
      </c>
      <c r="AH512" s="1">
        <v>13.0</v>
      </c>
      <c r="AI512" s="1">
        <v>2.0</v>
      </c>
      <c r="AJ512" s="1">
        <v>3.0</v>
      </c>
      <c r="AK512" s="1">
        <v>0.0</v>
      </c>
      <c r="AL512" s="1">
        <v>0.0</v>
      </c>
      <c r="AM512" s="1">
        <v>56.0</v>
      </c>
      <c r="AN512" s="1">
        <v>13.0</v>
      </c>
      <c r="AO512" s="1">
        <v>0.0</v>
      </c>
      <c r="AP512" s="1">
        <v>0.0</v>
      </c>
      <c r="AQ512" s="1">
        <v>6.0</v>
      </c>
      <c r="AR512" s="1">
        <v>29.0</v>
      </c>
      <c r="AS512" s="1">
        <v>2.0</v>
      </c>
    </row>
    <row r="513" hidden="1">
      <c r="A513" s="1">
        <v>470.0</v>
      </c>
      <c r="B513" s="1" t="s">
        <v>5360</v>
      </c>
      <c r="C513" s="1" t="s">
        <v>5361</v>
      </c>
      <c r="D513" s="1" t="s">
        <v>413</v>
      </c>
      <c r="E513" s="1" t="s">
        <v>43</v>
      </c>
      <c r="F513" s="2">
        <v>26162.0</v>
      </c>
      <c r="G513" s="1">
        <f t="shared" si="1"/>
        <v>54</v>
      </c>
      <c r="H513" s="1" t="s">
        <v>1291</v>
      </c>
      <c r="I513" s="1" t="str">
        <f>IFERROR(__xludf.DUMMYFUNCTION("SPLIT(left(H513,len(H513)-1),""("")"),"Nantes ")</f>
        <v>Nantes </v>
      </c>
      <c r="J513" s="1" t="str">
        <f>IFERROR(__xludf.DUMMYFUNCTION("""COMPUTED_VALUE"""),"Loire-Atlantique")</f>
        <v>Loire-Atlantique</v>
      </c>
      <c r="K513" s="1" t="str">
        <f>IFERROR(__xludf.DUMMYFUNCTION("IF( COUNTA( IFERROR( FILTER('départements_edition'!$C$2:$C$102 , 'départements_edition'!$C$2:$C$102=J513 ) ) ) , ""Oui"" , ""Non"" )"),"Oui")</f>
        <v>Oui</v>
      </c>
      <c r="L513" s="1" t="str">
        <f t="shared" si="2"/>
        <v>France</v>
      </c>
      <c r="M513" s="1">
        <v>92.0</v>
      </c>
      <c r="N513" s="1" t="s">
        <v>781</v>
      </c>
      <c r="O513" s="1">
        <v>9.0</v>
      </c>
      <c r="P513" s="2">
        <v>42907.0</v>
      </c>
      <c r="R513" s="1">
        <v>0.0</v>
      </c>
      <c r="S513" s="1" t="s">
        <v>75</v>
      </c>
      <c r="T513" s="1" t="s">
        <v>76</v>
      </c>
      <c r="U513" s="1" t="s">
        <v>5362</v>
      </c>
      <c r="X513" s="1" t="s">
        <v>4458</v>
      </c>
      <c r="Y513" s="1">
        <v>381.0</v>
      </c>
      <c r="Z513" s="3" t="s">
        <v>5363</v>
      </c>
      <c r="AA513" s="1">
        <v>346876.0</v>
      </c>
      <c r="AB513" s="1" t="s">
        <v>5364</v>
      </c>
      <c r="AC513" s="3" t="s">
        <v>5365</v>
      </c>
      <c r="AD513" s="3" t="s">
        <v>5366</v>
      </c>
      <c r="AE513" s="1">
        <v>1.0</v>
      </c>
      <c r="AF513" s="1" t="s">
        <v>5367</v>
      </c>
      <c r="AG513" s="1">
        <v>11.0</v>
      </c>
      <c r="AH513" s="1">
        <v>5.0</v>
      </c>
      <c r="AI513" s="1">
        <v>0.0</v>
      </c>
      <c r="AJ513" s="1">
        <v>3.0</v>
      </c>
      <c r="AK513" s="1">
        <v>13.0</v>
      </c>
      <c r="AL513" s="1">
        <v>0.0</v>
      </c>
      <c r="AM513" s="1">
        <v>189.0</v>
      </c>
      <c r="AN513" s="1">
        <v>11.0</v>
      </c>
      <c r="AO513" s="1">
        <v>0.0</v>
      </c>
      <c r="AP513" s="1">
        <v>0.0</v>
      </c>
      <c r="AQ513" s="1">
        <v>9.0</v>
      </c>
      <c r="AR513" s="1">
        <v>7.0</v>
      </c>
      <c r="AS513" s="1">
        <v>0.0</v>
      </c>
    </row>
    <row r="514" hidden="1">
      <c r="A514" s="1">
        <v>91.0</v>
      </c>
      <c r="B514" s="1" t="s">
        <v>5368</v>
      </c>
      <c r="C514" s="1" t="s">
        <v>5369</v>
      </c>
      <c r="D514" s="1" t="s">
        <v>5370</v>
      </c>
      <c r="E514" s="1" t="s">
        <v>58</v>
      </c>
      <c r="F514" s="2">
        <v>29294.0</v>
      </c>
      <c r="G514" s="1">
        <f t="shared" si="1"/>
        <v>46</v>
      </c>
      <c r="H514" s="1" t="s">
        <v>370</v>
      </c>
      <c r="I514" s="1" t="str">
        <f>IFERROR(__xludf.DUMMYFUNCTION("SPLIT(left(H514,len(H514)-1),""("")"),"Rouen ")</f>
        <v>Rouen </v>
      </c>
      <c r="J514" s="1" t="str">
        <f>IFERROR(__xludf.DUMMYFUNCTION("""COMPUTED_VALUE"""),"Seine-Maritime")</f>
        <v>Seine-Maritime</v>
      </c>
      <c r="K514" s="1" t="str">
        <f>IFERROR(__xludf.DUMMYFUNCTION("IF( COUNTA( IFERROR( FILTER('départements_edition'!$C$2:$C$102 , 'départements_edition'!$C$2:$C$102=J514 ) ) ) , ""Oui"" , ""Non"" )"),"Oui")</f>
        <v>Oui</v>
      </c>
      <c r="L514" s="1" t="str">
        <f t="shared" si="2"/>
        <v>France</v>
      </c>
      <c r="M514" s="1">
        <v>76.0</v>
      </c>
      <c r="N514" s="1" t="s">
        <v>371</v>
      </c>
      <c r="O514" s="1">
        <v>4.0</v>
      </c>
      <c r="P514" s="2">
        <v>42907.0</v>
      </c>
      <c r="R514" s="1">
        <v>0.0</v>
      </c>
      <c r="S514" s="1" t="s">
        <v>75</v>
      </c>
      <c r="T514" s="1" t="s">
        <v>76</v>
      </c>
      <c r="U514" s="3" t="s">
        <v>5371</v>
      </c>
      <c r="X514" s="1" t="s">
        <v>78</v>
      </c>
      <c r="Y514" s="1">
        <v>291.0</v>
      </c>
      <c r="Z514" s="3" t="s">
        <v>5372</v>
      </c>
      <c r="AA514" s="1">
        <v>722118.0</v>
      </c>
      <c r="AB514" s="1" t="s">
        <v>5373</v>
      </c>
      <c r="AC514" s="3" t="s">
        <v>5374</v>
      </c>
      <c r="AD514" s="3" t="s">
        <v>5375</v>
      </c>
      <c r="AE514" s="1">
        <v>1.0</v>
      </c>
      <c r="AF514" s="1" t="s">
        <v>5376</v>
      </c>
      <c r="AG514" s="1">
        <v>11.0</v>
      </c>
      <c r="AH514" s="1">
        <v>16.0</v>
      </c>
      <c r="AI514" s="1">
        <v>2.0</v>
      </c>
      <c r="AJ514" s="1">
        <v>15.0</v>
      </c>
      <c r="AK514" s="1">
        <v>8.0</v>
      </c>
      <c r="AL514" s="1">
        <v>2.0</v>
      </c>
      <c r="AM514" s="1">
        <v>94.0</v>
      </c>
      <c r="AN514" s="1">
        <v>39.0</v>
      </c>
      <c r="AO514" s="1">
        <v>1.0</v>
      </c>
      <c r="AP514" s="1">
        <v>0.0</v>
      </c>
      <c r="AQ514" s="1">
        <v>5.0</v>
      </c>
      <c r="AR514" s="1">
        <v>3.0</v>
      </c>
      <c r="AS514" s="1">
        <v>0.0</v>
      </c>
    </row>
    <row r="515" hidden="1">
      <c r="A515" s="1">
        <v>466.0</v>
      </c>
      <c r="B515" s="1" t="s">
        <v>5377</v>
      </c>
      <c r="C515" s="1" t="s">
        <v>5378</v>
      </c>
      <c r="D515" s="1" t="s">
        <v>5379</v>
      </c>
      <c r="E515" s="1" t="s">
        <v>43</v>
      </c>
      <c r="F515" s="2">
        <v>21632.0</v>
      </c>
      <c r="G515" s="1">
        <f t="shared" si="1"/>
        <v>67</v>
      </c>
      <c r="H515" s="1" t="s">
        <v>5380</v>
      </c>
      <c r="I515" s="1" t="str">
        <f>IFERROR(__xludf.DUMMYFUNCTION("SPLIT(left(H515,len(H515)-1),""("")"),"Sada ")</f>
        <v>Sada </v>
      </c>
      <c r="J515" s="1" t="str">
        <f>IFERROR(__xludf.DUMMYFUNCTION("""COMPUTED_VALUE"""),"Mayotte")</f>
        <v>Mayotte</v>
      </c>
      <c r="K515" s="1" t="str">
        <f>IFERROR(__xludf.DUMMYFUNCTION("IF( COUNTA( IFERROR( FILTER('départements_edition'!$C$2:$C$102 , 'départements_edition'!$C$2:$C$102=J515 ) ) ) , ""Oui"" , ""Non"" )"),"Oui")</f>
        <v>Oui</v>
      </c>
      <c r="L515" s="1" t="str">
        <f t="shared" si="2"/>
        <v>France</v>
      </c>
      <c r="M515" s="1">
        <v>976.0</v>
      </c>
      <c r="N515" s="1" t="s">
        <v>5381</v>
      </c>
      <c r="O515" s="1">
        <v>2.0</v>
      </c>
      <c r="P515" s="2">
        <v>42907.0</v>
      </c>
      <c r="R515" s="1">
        <v>0.0</v>
      </c>
      <c r="S515" s="1" t="s">
        <v>61</v>
      </c>
      <c r="T515" s="1" t="s">
        <v>62</v>
      </c>
      <c r="U515" s="1" t="s">
        <v>5382</v>
      </c>
      <c r="X515" s="1" t="s">
        <v>304</v>
      </c>
      <c r="Y515" s="1">
        <v>98.0</v>
      </c>
      <c r="Z515" s="3" t="s">
        <v>5383</v>
      </c>
      <c r="AA515" s="1">
        <v>267901.0</v>
      </c>
      <c r="AB515" s="1" t="s">
        <v>5384</v>
      </c>
      <c r="AC515" s="3" t="s">
        <v>5385</v>
      </c>
      <c r="AD515" s="3" t="s">
        <v>5386</v>
      </c>
      <c r="AE515" s="1">
        <v>1.0</v>
      </c>
      <c r="AG515" s="1">
        <v>10.0</v>
      </c>
      <c r="AH515" s="1">
        <v>15.0</v>
      </c>
      <c r="AI515" s="1">
        <v>10.0</v>
      </c>
      <c r="AJ515" s="1">
        <v>20.0</v>
      </c>
      <c r="AK515" s="1">
        <v>2.0</v>
      </c>
      <c r="AL515" s="1">
        <v>6.0</v>
      </c>
      <c r="AM515" s="1">
        <v>288.0</v>
      </c>
      <c r="AN515" s="1">
        <v>22.0</v>
      </c>
      <c r="AO515" s="1">
        <v>0.0</v>
      </c>
      <c r="AP515" s="1">
        <v>0.0</v>
      </c>
      <c r="AQ515" s="1">
        <v>9.0</v>
      </c>
      <c r="AR515" s="1">
        <v>6.0</v>
      </c>
      <c r="AS515" s="1">
        <v>2.0</v>
      </c>
    </row>
    <row r="516" hidden="1">
      <c r="A516" s="1">
        <v>536.0</v>
      </c>
      <c r="B516" s="1" t="s">
        <v>5414</v>
      </c>
      <c r="C516" s="1" t="s">
        <v>5415</v>
      </c>
      <c r="D516" s="1" t="s">
        <v>5416</v>
      </c>
      <c r="E516" s="1" t="s">
        <v>58</v>
      </c>
      <c r="F516" s="2">
        <v>27465.0</v>
      </c>
      <c r="G516" s="1">
        <f t="shared" si="1"/>
        <v>51</v>
      </c>
      <c r="H516" s="1" t="s">
        <v>5417</v>
      </c>
      <c r="I516" s="1" t="str">
        <f>IFERROR(__xludf.DUMMYFUNCTION("SPLIT(left(H516,len(H516)-1),""("")"),"Abymes ")</f>
        <v>Abymes </v>
      </c>
      <c r="J516" s="1" t="str">
        <f>IFERROR(__xludf.DUMMYFUNCTION("""COMPUTED_VALUE"""),"Guadeloupe")</f>
        <v>Guadeloupe</v>
      </c>
      <c r="K516" s="1" t="str">
        <f>IFERROR(__xludf.DUMMYFUNCTION("IF( COUNTA( IFERROR( FILTER('départements_edition'!$C$2:$C$102 , 'départements_edition'!$C$2:$C$102=J516 ) ) ) , ""Oui"" , ""Non"" )"),"Oui")</f>
        <v>Oui</v>
      </c>
      <c r="L516" s="1" t="str">
        <f t="shared" si="2"/>
        <v>France</v>
      </c>
      <c r="M516" s="1">
        <v>971.0</v>
      </c>
      <c r="N516" s="1" t="s">
        <v>5240</v>
      </c>
      <c r="O516" s="1">
        <v>2.0</v>
      </c>
      <c r="P516" s="2">
        <v>42907.0</v>
      </c>
      <c r="R516" s="1">
        <v>0.0</v>
      </c>
      <c r="S516" s="1" t="s">
        <v>280</v>
      </c>
      <c r="T516" s="1" t="s">
        <v>281</v>
      </c>
      <c r="U516" s="3" t="s">
        <v>5418</v>
      </c>
      <c r="X516" s="1" t="s">
        <v>429</v>
      </c>
      <c r="Y516" s="1">
        <v>189.0</v>
      </c>
      <c r="Z516" s="3" t="s">
        <v>5419</v>
      </c>
      <c r="AA516" s="1">
        <v>720968.0</v>
      </c>
      <c r="AB516" s="1" t="s">
        <v>5420</v>
      </c>
      <c r="AC516" s="3" t="s">
        <v>5421</v>
      </c>
      <c r="AD516" s="3" t="s">
        <v>5422</v>
      </c>
      <c r="AE516" s="1">
        <v>1.0</v>
      </c>
      <c r="AG516" s="1">
        <v>9.0</v>
      </c>
      <c r="AH516" s="1">
        <v>23.0</v>
      </c>
      <c r="AI516" s="1">
        <v>11.0</v>
      </c>
      <c r="AJ516" s="1">
        <v>6.0</v>
      </c>
      <c r="AK516" s="1">
        <v>1.0</v>
      </c>
      <c r="AL516" s="1">
        <v>0.0</v>
      </c>
      <c r="AM516" s="1">
        <v>292.0</v>
      </c>
      <c r="AN516" s="1">
        <v>30.0</v>
      </c>
      <c r="AO516" s="1">
        <v>0.0</v>
      </c>
      <c r="AP516" s="1">
        <v>0.0</v>
      </c>
      <c r="AQ516" s="1">
        <v>5.0</v>
      </c>
      <c r="AR516" s="1">
        <v>3.0</v>
      </c>
      <c r="AS516" s="1">
        <v>3.0</v>
      </c>
    </row>
    <row r="517" hidden="1">
      <c r="A517" s="1">
        <v>455.0</v>
      </c>
      <c r="B517" s="1" t="s">
        <v>5430</v>
      </c>
      <c r="C517" s="1" t="s">
        <v>5431</v>
      </c>
      <c r="D517" s="1" t="s">
        <v>5432</v>
      </c>
      <c r="E517" s="1" t="s">
        <v>43</v>
      </c>
      <c r="F517" s="2">
        <v>20509.0</v>
      </c>
      <c r="G517" s="1">
        <f t="shared" si="1"/>
        <v>70</v>
      </c>
      <c r="H517" s="1" t="s">
        <v>5433</v>
      </c>
      <c r="I517" s="1" t="str">
        <f>IFERROR(__xludf.DUMMYFUNCTION("SPLIT(left(H517,len(H517)-1),""("")"),"Deshaies ")</f>
        <v>Deshaies </v>
      </c>
      <c r="J517" s="1" t="str">
        <f>IFERROR(__xludf.DUMMYFUNCTION("""COMPUTED_VALUE"""),"Guadeloupe")</f>
        <v>Guadeloupe</v>
      </c>
      <c r="K517" s="1" t="str">
        <f>IFERROR(__xludf.DUMMYFUNCTION("IF( COUNTA( IFERROR( FILTER('départements_edition'!$C$2:$C$102 , 'départements_edition'!$C$2:$C$102=J517 ) ) ) , ""Oui"" , ""Non"" )"),"Oui")</f>
        <v>Oui</v>
      </c>
      <c r="L517" s="1" t="str">
        <f t="shared" si="2"/>
        <v>France</v>
      </c>
      <c r="M517" s="1">
        <v>971.0</v>
      </c>
      <c r="N517" s="1" t="s">
        <v>5240</v>
      </c>
      <c r="O517" s="1">
        <v>3.0</v>
      </c>
      <c r="P517" s="2">
        <v>42907.0</v>
      </c>
      <c r="R517" s="1">
        <v>0.0</v>
      </c>
      <c r="S517" s="1" t="s">
        <v>280</v>
      </c>
      <c r="T517" s="1" t="s">
        <v>281</v>
      </c>
      <c r="U517" s="3" t="s">
        <v>5434</v>
      </c>
      <c r="X517" s="1" t="s">
        <v>5435</v>
      </c>
      <c r="Y517" s="1">
        <v>188.0</v>
      </c>
      <c r="Z517" s="3" t="s">
        <v>5436</v>
      </c>
      <c r="AA517" s="1">
        <v>720976.0</v>
      </c>
      <c r="AB517" s="1" t="s">
        <v>5437</v>
      </c>
      <c r="AC517" s="3" t="s">
        <v>5438</v>
      </c>
      <c r="AD517" s="3" t="s">
        <v>5439</v>
      </c>
      <c r="AE517" s="1">
        <v>1.0</v>
      </c>
      <c r="AF517" s="1" t="s">
        <v>5440</v>
      </c>
      <c r="AG517" s="1">
        <v>9.0</v>
      </c>
      <c r="AH517" s="1">
        <v>22.0</v>
      </c>
      <c r="AI517" s="1">
        <v>13.0</v>
      </c>
      <c r="AJ517" s="1">
        <v>8.0</v>
      </c>
      <c r="AK517" s="1">
        <v>1.0</v>
      </c>
      <c r="AL517" s="1">
        <v>6.0</v>
      </c>
      <c r="AM517" s="1">
        <v>220.0</v>
      </c>
      <c r="AN517" s="1">
        <v>21.0</v>
      </c>
      <c r="AO517" s="1">
        <v>0.0</v>
      </c>
      <c r="AP517" s="1">
        <v>0.0</v>
      </c>
      <c r="AQ517" s="1">
        <v>6.0</v>
      </c>
      <c r="AR517" s="1">
        <v>8.0</v>
      </c>
      <c r="AS517" s="1">
        <v>2.0</v>
      </c>
    </row>
    <row r="518" hidden="1">
      <c r="A518" s="1">
        <v>14.0</v>
      </c>
      <c r="B518" s="1" t="s">
        <v>5459</v>
      </c>
      <c r="C518" s="1" t="s">
        <v>5460</v>
      </c>
      <c r="D518" s="1" t="s">
        <v>905</v>
      </c>
      <c r="E518" s="1" t="s">
        <v>43</v>
      </c>
      <c r="F518" s="2">
        <v>18780.0</v>
      </c>
      <c r="G518" s="1">
        <f t="shared" si="1"/>
        <v>75</v>
      </c>
      <c r="H518" s="1" t="s">
        <v>695</v>
      </c>
      <c r="I518" s="1" t="str">
        <f>IFERROR(__xludf.DUMMYFUNCTION("SPLIT(left(H518,len(H518)-1),""("")"),"Boulogne-Billancourt ")</f>
        <v>Boulogne-Billancourt </v>
      </c>
      <c r="J518" s="1" t="str">
        <f>IFERROR(__xludf.DUMMYFUNCTION("""COMPUTED_VALUE"""),"Hauts-de-Seine")</f>
        <v>Hauts-de-Seine</v>
      </c>
      <c r="K518" s="1" t="str">
        <f>IFERROR(__xludf.DUMMYFUNCTION("IF( COUNTA( IFERROR( FILTER('départements_edition'!$C$2:$C$102 , 'départements_edition'!$C$2:$C$102=J518 ) ) ) , ""Oui"" , ""Non"" )"),"Oui")</f>
        <v>Oui</v>
      </c>
      <c r="L518" s="1" t="str">
        <f t="shared" si="2"/>
        <v>France</v>
      </c>
      <c r="M518" s="1">
        <v>60.0</v>
      </c>
      <c r="N518" s="1" t="s">
        <v>769</v>
      </c>
      <c r="O518" s="1">
        <v>1.0</v>
      </c>
      <c r="P518" s="2">
        <v>42907.0</v>
      </c>
      <c r="R518" s="1">
        <v>0.0</v>
      </c>
      <c r="S518" s="1" t="s">
        <v>61</v>
      </c>
      <c r="T518" s="1" t="s">
        <v>62</v>
      </c>
      <c r="U518" s="1" t="s">
        <v>5461</v>
      </c>
      <c r="X518" s="1" t="s">
        <v>5462</v>
      </c>
      <c r="Y518" s="1">
        <v>100.0</v>
      </c>
      <c r="Z518" s="3" t="s">
        <v>5463</v>
      </c>
      <c r="AA518" s="1">
        <v>998.0</v>
      </c>
      <c r="AB518" s="1" t="s">
        <v>5464</v>
      </c>
      <c r="AC518" s="3" t="s">
        <v>5465</v>
      </c>
      <c r="AD518" s="3" t="s">
        <v>5466</v>
      </c>
      <c r="AE518" s="1">
        <v>1.0</v>
      </c>
      <c r="AF518" s="1" t="s">
        <v>5467</v>
      </c>
      <c r="AG518" s="1">
        <v>8.0</v>
      </c>
      <c r="AH518" s="1">
        <v>9.0</v>
      </c>
      <c r="AI518" s="1">
        <v>1.0</v>
      </c>
      <c r="AJ518" s="1">
        <v>4.0</v>
      </c>
      <c r="AK518" s="1">
        <v>2.0</v>
      </c>
      <c r="AL518" s="1">
        <v>0.0</v>
      </c>
      <c r="AM518" s="1">
        <v>423.0</v>
      </c>
      <c r="AN518" s="1">
        <v>17.0</v>
      </c>
      <c r="AO518" s="1">
        <v>0.0</v>
      </c>
      <c r="AP518" s="1">
        <v>3.0</v>
      </c>
      <c r="AQ518" s="1">
        <v>43.0</v>
      </c>
      <c r="AR518" s="1">
        <v>33.0</v>
      </c>
      <c r="AS518" s="1">
        <v>1.0</v>
      </c>
    </row>
    <row r="519" hidden="1">
      <c r="A519" s="1">
        <v>513.0</v>
      </c>
      <c r="B519" s="1" t="s">
        <v>5468</v>
      </c>
      <c r="C519" s="1" t="s">
        <v>5469</v>
      </c>
      <c r="D519" s="1" t="s">
        <v>4644</v>
      </c>
      <c r="E519" s="1" t="s">
        <v>43</v>
      </c>
      <c r="F519" s="2">
        <v>23877.0</v>
      </c>
      <c r="G519" s="1">
        <f t="shared" si="1"/>
        <v>61</v>
      </c>
      <c r="H519" s="1" t="s">
        <v>5470</v>
      </c>
      <c r="I519" s="1" t="str">
        <f>IFERROR(__xludf.DUMMYFUNCTION("SPLIT(left(H519,len(H519)-1),""("")"),"Fort-de-France ")</f>
        <v>Fort-de-France </v>
      </c>
      <c r="J519" s="1" t="str">
        <f>IFERROR(__xludf.DUMMYFUNCTION("""COMPUTED_VALUE"""),"Martinique")</f>
        <v>Martinique</v>
      </c>
      <c r="K519" s="1" t="str">
        <f>IFERROR(__xludf.DUMMYFUNCTION("IF( COUNTA( IFERROR( FILTER('départements_edition'!$C$2:$C$102 , 'départements_edition'!$C$2:$C$102=J519 ) ) ) , ""Oui"" , ""Non"" )"),"Oui")</f>
        <v>Oui</v>
      </c>
      <c r="L519" s="1" t="str">
        <f t="shared" si="2"/>
        <v>France</v>
      </c>
      <c r="M519" s="1">
        <v>972.0</v>
      </c>
      <c r="N519" s="1" t="s">
        <v>5111</v>
      </c>
      <c r="O519" s="1">
        <v>4.0</v>
      </c>
      <c r="P519" s="2">
        <v>42907.0</v>
      </c>
      <c r="R519" s="1">
        <v>0.0</v>
      </c>
      <c r="S519" s="1" t="s">
        <v>101</v>
      </c>
      <c r="T519" s="1" t="s">
        <v>5471</v>
      </c>
      <c r="X519" s="1" t="s">
        <v>482</v>
      </c>
      <c r="Y519" s="1">
        <v>595.0</v>
      </c>
      <c r="Z519" s="3" t="s">
        <v>5472</v>
      </c>
      <c r="AA519" s="1">
        <v>610654.0</v>
      </c>
      <c r="AB519" s="1" t="s">
        <v>5473</v>
      </c>
      <c r="AC519" s="3" t="s">
        <v>5474</v>
      </c>
      <c r="AD519" s="3" t="s">
        <v>5475</v>
      </c>
      <c r="AE519" s="1">
        <v>1.0</v>
      </c>
      <c r="AG519" s="1">
        <v>8.0</v>
      </c>
      <c r="AH519" s="1">
        <v>8.0</v>
      </c>
      <c r="AI519" s="1">
        <v>12.0</v>
      </c>
      <c r="AJ519" s="1">
        <v>45.0</v>
      </c>
      <c r="AK519" s="1">
        <v>13.0</v>
      </c>
      <c r="AL519" s="1">
        <v>42.0</v>
      </c>
      <c r="AM519" s="1">
        <v>675.0</v>
      </c>
      <c r="AN519" s="1">
        <v>27.0</v>
      </c>
      <c r="AO519" s="1">
        <v>0.0</v>
      </c>
      <c r="AP519" s="1">
        <v>0.0</v>
      </c>
      <c r="AQ519" s="1">
        <v>11.0</v>
      </c>
      <c r="AR519" s="1">
        <v>1.0</v>
      </c>
      <c r="AS519" s="1">
        <v>1.0</v>
      </c>
    </row>
    <row r="520" hidden="1">
      <c r="A520" s="1">
        <v>240.0</v>
      </c>
      <c r="B520" s="1" t="s">
        <v>5497</v>
      </c>
      <c r="C520" s="1" t="s">
        <v>5498</v>
      </c>
      <c r="D520" s="1" t="s">
        <v>1361</v>
      </c>
      <c r="E520" s="1" t="s">
        <v>43</v>
      </c>
      <c r="F520" s="2">
        <v>14036.0</v>
      </c>
      <c r="G520" s="1">
        <f t="shared" si="1"/>
        <v>88</v>
      </c>
      <c r="H520" s="1" t="s">
        <v>437</v>
      </c>
      <c r="I520" s="1" t="str">
        <f>IFERROR(__xludf.DUMMYFUNCTION("SPLIT(left(H520,len(H520)-1),""("")"),"Nice ")</f>
        <v>Nice </v>
      </c>
      <c r="J520" s="1" t="str">
        <f>IFERROR(__xludf.DUMMYFUNCTION("""COMPUTED_VALUE"""),"Alpes-Maritimes")</f>
        <v>Alpes-Maritimes</v>
      </c>
      <c r="K520" s="1" t="str">
        <f>IFERROR(__xludf.DUMMYFUNCTION("IF( COUNTA( IFERROR( FILTER('départements_edition'!$C$2:$C$102 , 'départements_edition'!$C$2:$C$102=J520 ) ) ) , ""Oui"" , ""Non"" )"),"Oui")</f>
        <v>Oui</v>
      </c>
      <c r="L520" s="1" t="str">
        <f t="shared" si="2"/>
        <v>France</v>
      </c>
      <c r="M520" s="1">
        <v>6.0</v>
      </c>
      <c r="N520" s="1" t="s">
        <v>438</v>
      </c>
      <c r="O520" s="1">
        <v>8.0</v>
      </c>
      <c r="P520" s="2">
        <v>42907.0</v>
      </c>
      <c r="R520" s="1">
        <v>0.0</v>
      </c>
      <c r="S520" s="1" t="s">
        <v>61</v>
      </c>
      <c r="T520" s="1" t="s">
        <v>62</v>
      </c>
      <c r="X520" s="1" t="s">
        <v>5499</v>
      </c>
      <c r="Y520" s="1">
        <v>83.0</v>
      </c>
      <c r="Z520" s="3" t="s">
        <v>5500</v>
      </c>
      <c r="AA520" s="1">
        <v>223837.0</v>
      </c>
      <c r="AB520" s="1" t="s">
        <v>5501</v>
      </c>
      <c r="AC520" s="3" t="s">
        <v>5502</v>
      </c>
      <c r="AD520" s="3" t="s">
        <v>5503</v>
      </c>
      <c r="AE520" s="1">
        <v>1.0</v>
      </c>
      <c r="AG520" s="1">
        <v>5.0</v>
      </c>
      <c r="AH520" s="1">
        <v>5.0</v>
      </c>
      <c r="AI520" s="1">
        <v>0.0</v>
      </c>
      <c r="AJ520" s="1">
        <v>11.0</v>
      </c>
      <c r="AK520" s="1">
        <v>8.0</v>
      </c>
      <c r="AL520" s="1">
        <v>0.0</v>
      </c>
      <c r="AM520" s="1">
        <v>582.0</v>
      </c>
      <c r="AN520" s="1">
        <v>32.0</v>
      </c>
      <c r="AO520" s="1">
        <v>0.0</v>
      </c>
      <c r="AP520" s="1">
        <v>2.0</v>
      </c>
      <c r="AQ520" s="1">
        <v>61.0</v>
      </c>
      <c r="AR520" s="1">
        <v>13.0</v>
      </c>
      <c r="AS520" s="1">
        <v>0.0</v>
      </c>
    </row>
    <row r="521" hidden="1">
      <c r="A521" s="1">
        <v>211.0</v>
      </c>
      <c r="B521" s="1" t="s">
        <v>5504</v>
      </c>
      <c r="C521" s="1" t="s">
        <v>5505</v>
      </c>
      <c r="D521" s="1" t="s">
        <v>4983</v>
      </c>
      <c r="E521" s="1" t="s">
        <v>43</v>
      </c>
      <c r="F521" s="2">
        <v>23650.0</v>
      </c>
      <c r="G521" s="1">
        <f t="shared" si="1"/>
        <v>61</v>
      </c>
      <c r="H521" s="1" t="s">
        <v>1095</v>
      </c>
      <c r="I521" s="1" t="str">
        <f>IFERROR(__xludf.DUMMYFUNCTION("SPLIT(left(H521,len(H521)-1),""("")"),"Orléans ")</f>
        <v>Orléans </v>
      </c>
      <c r="J521" s="1" t="str">
        <f>IFERROR(__xludf.DUMMYFUNCTION("""COMPUTED_VALUE"""),"Loiret")</f>
        <v>Loiret</v>
      </c>
      <c r="K521" s="1" t="str">
        <f>IFERROR(__xludf.DUMMYFUNCTION("IF( COUNTA( IFERROR( FILTER('départements_edition'!$C$2:$C$102 , 'départements_edition'!$C$2:$C$102=J521 ) ) ) , ""Oui"" , ""Non"" )"),"Oui")</f>
        <v>Oui</v>
      </c>
      <c r="L521" s="1" t="str">
        <f t="shared" si="2"/>
        <v>France</v>
      </c>
      <c r="M521" s="1">
        <v>91.0</v>
      </c>
      <c r="N521" s="1" t="s">
        <v>610</v>
      </c>
      <c r="O521" s="1">
        <v>2.0</v>
      </c>
      <c r="P521" s="2">
        <v>42907.0</v>
      </c>
      <c r="R521" s="1">
        <v>0.0</v>
      </c>
      <c r="S521" s="1" t="s">
        <v>61</v>
      </c>
      <c r="T521" s="1" t="s">
        <v>62</v>
      </c>
      <c r="U521" s="1" t="s">
        <v>5506</v>
      </c>
      <c r="X521" s="1" t="s">
        <v>5507</v>
      </c>
      <c r="Y521" s="1">
        <v>7.0</v>
      </c>
      <c r="Z521" s="3" t="s">
        <v>5508</v>
      </c>
      <c r="AA521" s="1">
        <v>2086.0</v>
      </c>
      <c r="AB521" s="1" t="s">
        <v>5509</v>
      </c>
      <c r="AC521" s="3" t="s">
        <v>5510</v>
      </c>
      <c r="AD521" s="3" t="s">
        <v>5511</v>
      </c>
      <c r="AE521" s="1">
        <v>1.0</v>
      </c>
      <c r="AF521" s="1" t="s">
        <v>5512</v>
      </c>
      <c r="AG521" s="1">
        <v>5.0</v>
      </c>
      <c r="AH521" s="1">
        <v>2.0</v>
      </c>
      <c r="AI521" s="1">
        <v>0.0</v>
      </c>
      <c r="AJ521" s="1">
        <v>1.0</v>
      </c>
      <c r="AK521" s="1">
        <v>7.0</v>
      </c>
      <c r="AL521" s="1">
        <v>8.0</v>
      </c>
      <c r="AM521" s="1">
        <v>812.0</v>
      </c>
      <c r="AN521" s="1">
        <v>32.0</v>
      </c>
      <c r="AO521" s="1">
        <v>0.0</v>
      </c>
      <c r="AP521" s="1">
        <v>0.0</v>
      </c>
      <c r="AQ521" s="1">
        <v>36.0</v>
      </c>
      <c r="AR521" s="1">
        <v>28.0</v>
      </c>
      <c r="AS521" s="1">
        <v>1.0</v>
      </c>
    </row>
    <row r="522" hidden="1">
      <c r="A522" s="1">
        <v>405.0</v>
      </c>
      <c r="B522" s="1" t="s">
        <v>5513</v>
      </c>
      <c r="C522" s="1" t="s">
        <v>5514</v>
      </c>
      <c r="D522" s="1" t="s">
        <v>5515</v>
      </c>
      <c r="E522" s="1" t="s">
        <v>43</v>
      </c>
      <c r="F522" s="2">
        <v>22484.0</v>
      </c>
      <c r="G522" s="1">
        <f t="shared" si="1"/>
        <v>65</v>
      </c>
      <c r="H522" s="1" t="s">
        <v>5516</v>
      </c>
      <c r="I522" s="1" t="str">
        <f>IFERROR(__xludf.DUMMYFUNCTION("SPLIT(left(H522,len(H522)-1),""("")"),"Trinité ")</f>
        <v>Trinité </v>
      </c>
      <c r="J522" s="1" t="str">
        <f>IFERROR(__xludf.DUMMYFUNCTION("""COMPUTED_VALUE"""),"Martinique")</f>
        <v>Martinique</v>
      </c>
      <c r="K522" s="1" t="str">
        <f>IFERROR(__xludf.DUMMYFUNCTION("IF( COUNTA( IFERROR( FILTER('départements_edition'!$C$2:$C$102 , 'départements_edition'!$C$2:$C$102=J522 ) ) ) , ""Oui"" , ""Non"" )"),"Oui")</f>
        <v>Oui</v>
      </c>
      <c r="L522" s="1" t="str">
        <f t="shared" si="2"/>
        <v>France</v>
      </c>
      <c r="M522" s="1">
        <v>972.0</v>
      </c>
      <c r="N522" s="1" t="s">
        <v>5111</v>
      </c>
      <c r="O522" s="1">
        <v>2.0</v>
      </c>
      <c r="P522" s="2">
        <v>42907.0</v>
      </c>
      <c r="R522" s="1">
        <v>0.0</v>
      </c>
      <c r="S522" s="1" t="s">
        <v>101</v>
      </c>
      <c r="T522" s="1" t="s">
        <v>102</v>
      </c>
      <c r="U522" s="1" t="s">
        <v>5517</v>
      </c>
      <c r="X522" s="1" t="s">
        <v>1465</v>
      </c>
      <c r="Y522" s="1">
        <v>596.0</v>
      </c>
      <c r="Z522" s="3" t="s">
        <v>5518</v>
      </c>
      <c r="AA522" s="1">
        <v>610634.0</v>
      </c>
      <c r="AB522" s="1" t="s">
        <v>5519</v>
      </c>
      <c r="AC522" s="3" t="s">
        <v>5520</v>
      </c>
      <c r="AD522" s="3" t="s">
        <v>5521</v>
      </c>
      <c r="AE522" s="1">
        <v>1.0</v>
      </c>
      <c r="AF522" s="1" t="s">
        <v>5522</v>
      </c>
      <c r="AG522" s="1">
        <v>3.0</v>
      </c>
      <c r="AH522" s="1">
        <v>4.0</v>
      </c>
      <c r="AI522" s="1">
        <v>0.0</v>
      </c>
      <c r="AJ522" s="1">
        <v>0.0</v>
      </c>
      <c r="AK522" s="1">
        <v>0.0</v>
      </c>
      <c r="AL522" s="1">
        <v>0.0</v>
      </c>
      <c r="AM522" s="1">
        <v>666.0</v>
      </c>
      <c r="AN522" s="1">
        <v>33.0</v>
      </c>
      <c r="AO522" s="1">
        <v>0.0</v>
      </c>
      <c r="AP522" s="1">
        <v>0.0</v>
      </c>
      <c r="AQ522" s="1">
        <v>9.0</v>
      </c>
      <c r="AR522" s="1">
        <v>17.0</v>
      </c>
      <c r="AS522" s="1">
        <v>0.0</v>
      </c>
    </row>
    <row r="523" hidden="1">
      <c r="A523" s="1">
        <v>588.0</v>
      </c>
      <c r="B523" s="1" t="s">
        <v>5539</v>
      </c>
      <c r="C523" s="1" t="s">
        <v>5540</v>
      </c>
      <c r="D523" s="1" t="s">
        <v>1792</v>
      </c>
      <c r="E523" s="1" t="s">
        <v>43</v>
      </c>
      <c r="F523" s="2">
        <v>27597.0</v>
      </c>
      <c r="G523" s="1">
        <f t="shared" si="1"/>
        <v>51</v>
      </c>
      <c r="H523" s="1" t="s">
        <v>5541</v>
      </c>
      <c r="I523" s="1" t="str">
        <f>IFERROR(__xludf.DUMMYFUNCTION("SPLIT(left(H523,len(H523)-1),""("")"),"Cormeilles-en-Parisis ")</f>
        <v>Cormeilles-en-Parisis </v>
      </c>
      <c r="J523" s="1" t="str">
        <f>IFERROR(__xludf.DUMMYFUNCTION("""COMPUTED_VALUE"""),"Val-d'Oise")</f>
        <v>Val-d'Oise</v>
      </c>
      <c r="K523" s="1" t="str">
        <f>IFERROR(__xludf.DUMMYFUNCTION("IF( COUNTA( IFERROR( FILTER('départements_edition'!$C$2:$C$102 , 'départements_edition'!$C$2:$C$102=J523 ) ) ) , ""Oui"" , ""Non"" )"),"Oui")</f>
        <v>Oui</v>
      </c>
      <c r="L523" s="1" t="str">
        <f t="shared" si="2"/>
        <v>France</v>
      </c>
      <c r="M523" s="1">
        <v>95.0</v>
      </c>
      <c r="N523" s="1" t="s">
        <v>302</v>
      </c>
      <c r="O523" s="1">
        <v>1.0</v>
      </c>
      <c r="P523" s="2">
        <v>43136.0</v>
      </c>
      <c r="R523" s="1">
        <v>0.0</v>
      </c>
      <c r="S523" s="1" t="s">
        <v>61</v>
      </c>
      <c r="X523" s="1" t="s">
        <v>304</v>
      </c>
      <c r="Y523" s="1">
        <v>70.0</v>
      </c>
      <c r="Z523" s="3" t="s">
        <v>5542</v>
      </c>
      <c r="AA523" s="1">
        <v>748954.0</v>
      </c>
      <c r="AB523" s="1" t="s">
        <v>5543</v>
      </c>
      <c r="AC523" s="3" t="s">
        <v>5544</v>
      </c>
      <c r="AD523" s="3" t="s">
        <v>5545</v>
      </c>
      <c r="AE523" s="1">
        <v>1.0</v>
      </c>
      <c r="AG523" s="1">
        <v>0.0</v>
      </c>
      <c r="AH523" s="1">
        <v>0.0</v>
      </c>
      <c r="AI523" s="1">
        <v>0.0</v>
      </c>
      <c r="AJ523" s="1">
        <v>0.0</v>
      </c>
      <c r="AK523" s="1">
        <v>0.0</v>
      </c>
      <c r="AL523" s="1">
        <v>0.0</v>
      </c>
      <c r="AM523" s="1">
        <v>0.0</v>
      </c>
      <c r="AN523" s="1">
        <v>0.0</v>
      </c>
      <c r="AO523" s="1">
        <v>0.0</v>
      </c>
      <c r="AP523" s="1">
        <v>0.0</v>
      </c>
      <c r="AQ523" s="1">
        <v>0.0</v>
      </c>
      <c r="AR523" s="1">
        <v>0.0</v>
      </c>
      <c r="AS523" s="1">
        <v>0.0</v>
      </c>
    </row>
    <row r="524" hidden="1">
      <c r="A524" s="1">
        <v>431.0</v>
      </c>
      <c r="B524" s="1" t="s">
        <v>310</v>
      </c>
      <c r="C524" s="1" t="s">
        <v>311</v>
      </c>
      <c r="D524" s="1" t="s">
        <v>312</v>
      </c>
      <c r="E524" s="1" t="s">
        <v>58</v>
      </c>
      <c r="F524" s="2">
        <v>29414.0</v>
      </c>
      <c r="G524" s="1">
        <f t="shared" si="1"/>
        <v>46</v>
      </c>
      <c r="H524" s="1" t="s">
        <v>313</v>
      </c>
      <c r="I524" s="1" t="str">
        <f>IFERROR(__xludf.DUMMYFUNCTION("SPLIT(left(H524,len(H524)-1),""("")"),"Libreville ")</f>
        <v>Libreville </v>
      </c>
      <c r="J524" s="1" t="str">
        <f>IFERROR(__xludf.DUMMYFUNCTION("""COMPUTED_VALUE"""),"Gabon")</f>
        <v>Gabon</v>
      </c>
      <c r="K524" s="1" t="str">
        <f>IFERROR(__xludf.DUMMYFUNCTION("IF( COUNTA( IFERROR( FILTER('départements_edition'!$C$2:$C$102 , 'départements_edition'!$C$2:$C$102=J524 ) ) ) , ""Oui"" , ""Non"" )"),"Non")</f>
        <v>Non</v>
      </c>
      <c r="L524" s="1" t="str">
        <f t="shared" si="2"/>
        <v>Gabon</v>
      </c>
      <c r="M524" s="1">
        <v>75.0</v>
      </c>
      <c r="N524" s="1" t="s">
        <v>232</v>
      </c>
      <c r="O524" s="1">
        <v>17.0</v>
      </c>
      <c r="P524" s="2">
        <v>42907.0</v>
      </c>
      <c r="R524" s="1">
        <v>0.0</v>
      </c>
      <c r="S524" s="1" t="s">
        <v>173</v>
      </c>
      <c r="T524" s="1" t="s">
        <v>174</v>
      </c>
      <c r="U524" s="3" t="s">
        <v>314</v>
      </c>
      <c r="X524" s="1" t="s">
        <v>315</v>
      </c>
      <c r="Y524" s="1">
        <v>611.0</v>
      </c>
      <c r="Z524" s="3" t="s">
        <v>316</v>
      </c>
      <c r="AA524" s="1">
        <v>721960.0</v>
      </c>
      <c r="AB524" s="1" t="s">
        <v>317</v>
      </c>
      <c r="AC524" s="3" t="s">
        <v>318</v>
      </c>
      <c r="AD524" s="3" t="s">
        <v>319</v>
      </c>
      <c r="AE524" s="1">
        <v>1.0</v>
      </c>
      <c r="AF524" s="1" t="s">
        <v>320</v>
      </c>
      <c r="AG524" s="1">
        <v>25.0</v>
      </c>
      <c r="AH524" s="1">
        <v>59.0</v>
      </c>
      <c r="AI524" s="1">
        <v>161.0</v>
      </c>
      <c r="AJ524" s="1">
        <v>363.0</v>
      </c>
      <c r="AK524" s="1">
        <v>374.0</v>
      </c>
      <c r="AL524" s="1">
        <v>345.0</v>
      </c>
      <c r="AM524" s="1">
        <v>2064.0</v>
      </c>
      <c r="AN524" s="1">
        <v>32.0</v>
      </c>
      <c r="AO524" s="1">
        <v>0.0</v>
      </c>
      <c r="AP524" s="1">
        <v>0.0</v>
      </c>
      <c r="AQ524" s="1">
        <v>14.0</v>
      </c>
      <c r="AR524" s="1">
        <v>6.0</v>
      </c>
      <c r="AS524" s="1">
        <v>3.0</v>
      </c>
    </row>
    <row r="525" hidden="1">
      <c r="A525" s="1">
        <v>51.0</v>
      </c>
      <c r="B525" s="1" t="s">
        <v>2538</v>
      </c>
      <c r="C525" s="1" t="s">
        <v>2539</v>
      </c>
      <c r="D525" s="1" t="s">
        <v>2540</v>
      </c>
      <c r="E525" s="1" t="s">
        <v>58</v>
      </c>
      <c r="F525" s="2">
        <v>23729.0</v>
      </c>
      <c r="G525" s="1">
        <f t="shared" si="1"/>
        <v>61</v>
      </c>
      <c r="H525" s="1" t="s">
        <v>2541</v>
      </c>
      <c r="I525" s="1" t="str">
        <f>IFERROR(__xludf.DUMMYFUNCTION("SPLIT(left(H525,len(H525)-1),""("")"),"Athènes ")</f>
        <v>Athènes </v>
      </c>
      <c r="J525" s="1" t="str">
        <f>IFERROR(__xludf.DUMMYFUNCTION("""COMPUTED_VALUE"""),"Grèce")</f>
        <v>Grèce</v>
      </c>
      <c r="K525" s="1" t="str">
        <f>IFERROR(__xludf.DUMMYFUNCTION("IF( COUNTA( IFERROR( FILTER('départements_edition'!$C$2:$C$102 , 'départements_edition'!$C$2:$C$102=J525 ) ) ) , ""Oui"" , ""Non"" )"),"Non")</f>
        <v>Non</v>
      </c>
      <c r="L525" s="1" t="str">
        <f t="shared" si="2"/>
        <v>Grèce</v>
      </c>
      <c r="M525" s="1">
        <v>72.0</v>
      </c>
      <c r="N525" s="1" t="s">
        <v>2494</v>
      </c>
      <c r="O525" s="1">
        <v>2.0</v>
      </c>
      <c r="P525" s="2">
        <v>42907.0</v>
      </c>
      <c r="R525" s="1">
        <v>0.0</v>
      </c>
      <c r="S525" s="1" t="s">
        <v>115</v>
      </c>
      <c r="T525" s="1" t="s">
        <v>116</v>
      </c>
      <c r="U525" s="1" t="s">
        <v>2542</v>
      </c>
      <c r="X525" s="1" t="s">
        <v>2543</v>
      </c>
      <c r="Y525" s="1">
        <v>502.0</v>
      </c>
      <c r="Z525" s="3" t="s">
        <v>2544</v>
      </c>
      <c r="AA525" s="1">
        <v>335054.0</v>
      </c>
      <c r="AB525" s="1" t="s">
        <v>2545</v>
      </c>
      <c r="AC525" s="3" t="s">
        <v>2546</v>
      </c>
      <c r="AD525" s="3" t="s">
        <v>2547</v>
      </c>
      <c r="AE525" s="1">
        <v>2.0</v>
      </c>
      <c r="AF525" s="1" t="s">
        <v>2548</v>
      </c>
      <c r="AG525" s="1">
        <v>21.0</v>
      </c>
      <c r="AH525" s="1">
        <v>43.0</v>
      </c>
      <c r="AI525" s="1">
        <v>53.0</v>
      </c>
      <c r="AJ525" s="1">
        <v>57.0</v>
      </c>
      <c r="AK525" s="1">
        <v>19.0</v>
      </c>
      <c r="AL525" s="1">
        <v>53.0</v>
      </c>
      <c r="AM525" s="1">
        <v>1162.0</v>
      </c>
      <c r="AN525" s="1">
        <v>80.0</v>
      </c>
      <c r="AO525" s="1">
        <v>0.0</v>
      </c>
      <c r="AP525" s="1">
        <v>0.0</v>
      </c>
      <c r="AQ525" s="1">
        <v>5.0</v>
      </c>
      <c r="AR525" s="1">
        <v>24.0</v>
      </c>
      <c r="AS525" s="1">
        <v>4.0</v>
      </c>
    </row>
    <row r="526" hidden="1">
      <c r="A526" s="1">
        <v>76.0</v>
      </c>
      <c r="B526" s="1" t="s">
        <v>660</v>
      </c>
      <c r="C526" s="1" t="s">
        <v>661</v>
      </c>
      <c r="D526" s="1" t="s">
        <v>662</v>
      </c>
      <c r="E526" s="1" t="s">
        <v>43</v>
      </c>
      <c r="F526" s="2">
        <v>27600.0</v>
      </c>
      <c r="G526" s="1">
        <f t="shared" si="1"/>
        <v>51</v>
      </c>
      <c r="H526" s="1" t="s">
        <v>663</v>
      </c>
      <c r="I526" s="1" t="str">
        <f>IFERROR(__xludf.DUMMYFUNCTION("SPLIT(left(H526,len(H526)-1),""("")"),"Beyrouth ")</f>
        <v>Beyrouth </v>
      </c>
      <c r="J526" s="1" t="str">
        <f>IFERROR(__xludf.DUMMYFUNCTION("""COMPUTED_VALUE"""),"Liban")</f>
        <v>Liban</v>
      </c>
      <c r="K526" s="1" t="str">
        <f>IFERROR(__xludf.DUMMYFUNCTION("IF( COUNTA( IFERROR( FILTER('départements_edition'!$C$2:$C$102 , 'départements_edition'!$C$2:$C$102=J526 ) ) ) , ""Oui"" , ""Non"" )"),"Non")</f>
        <v>Non</v>
      </c>
      <c r="L526" s="1" t="str">
        <f t="shared" si="2"/>
        <v>Liban</v>
      </c>
      <c r="M526" s="1">
        <v>40.0</v>
      </c>
      <c r="N526" s="1" t="s">
        <v>664</v>
      </c>
      <c r="O526" s="1">
        <v>3.0</v>
      </c>
      <c r="P526" s="2">
        <v>42907.0</v>
      </c>
      <c r="R526" s="1">
        <v>0.0</v>
      </c>
      <c r="S526" s="1" t="s">
        <v>115</v>
      </c>
      <c r="T526" s="1" t="s">
        <v>116</v>
      </c>
      <c r="X526" s="1" t="s">
        <v>118</v>
      </c>
      <c r="Y526" s="1">
        <v>504.0</v>
      </c>
      <c r="Z526" s="3" t="s">
        <v>665</v>
      </c>
      <c r="AA526" s="1">
        <v>719930.0</v>
      </c>
      <c r="AB526" s="1" t="s">
        <v>666</v>
      </c>
      <c r="AC526" s="3" t="s">
        <v>667</v>
      </c>
      <c r="AD526" s="3" t="s">
        <v>668</v>
      </c>
      <c r="AE526" s="1">
        <v>1.0</v>
      </c>
      <c r="AG526" s="1">
        <v>24.0</v>
      </c>
      <c r="AH526" s="1">
        <v>54.0</v>
      </c>
      <c r="AI526" s="1">
        <v>151.0</v>
      </c>
      <c r="AJ526" s="1">
        <v>229.0</v>
      </c>
      <c r="AK526" s="1">
        <v>142.0</v>
      </c>
      <c r="AL526" s="1">
        <v>301.0</v>
      </c>
      <c r="AM526" s="1">
        <v>1220.0</v>
      </c>
      <c r="AN526" s="1">
        <v>78.0</v>
      </c>
      <c r="AO526" s="1">
        <v>0.0</v>
      </c>
      <c r="AP526" s="1">
        <v>0.0</v>
      </c>
      <c r="AQ526" s="1">
        <v>5.0</v>
      </c>
      <c r="AR526" s="1">
        <v>16.0</v>
      </c>
      <c r="AS526" s="1">
        <v>2.0</v>
      </c>
    </row>
    <row r="527" hidden="1">
      <c r="A527" s="1">
        <v>36.0</v>
      </c>
      <c r="B527" s="1" t="s">
        <v>275</v>
      </c>
      <c r="C527" s="1" t="s">
        <v>276</v>
      </c>
      <c r="D527" s="1" t="s">
        <v>277</v>
      </c>
      <c r="E527" s="1" t="s">
        <v>43</v>
      </c>
      <c r="F527" s="2">
        <v>21765.0</v>
      </c>
      <c r="G527" s="1">
        <f t="shared" si="1"/>
        <v>67</v>
      </c>
      <c r="H527" s="1" t="s">
        <v>278</v>
      </c>
      <c r="I527" s="1" t="str">
        <f>IFERROR(__xludf.DUMMYFUNCTION("SPLIT(left(H527,len(H527)-1),""("")"),"Oulmès ")</f>
        <v>Oulmès </v>
      </c>
      <c r="J527" s="1" t="str">
        <f>IFERROR(__xludf.DUMMYFUNCTION("""COMPUTED_VALUE"""),"Maroc")</f>
        <v>Maroc</v>
      </c>
      <c r="K527" s="1" t="str">
        <f>IFERROR(__xludf.DUMMYFUNCTION("IF( COUNTA( IFERROR( FILTER('départements_edition'!$C$2:$C$102 , 'départements_edition'!$C$2:$C$102=J527 ) ) ) , ""Oui"" , ""Non"" )"),"Non")</f>
        <v>Non</v>
      </c>
      <c r="L527" s="1" t="str">
        <f t="shared" si="2"/>
        <v>Maroc</v>
      </c>
      <c r="M527" s="1">
        <v>13.0</v>
      </c>
      <c r="N527" s="1" t="s">
        <v>279</v>
      </c>
      <c r="O527" s="1">
        <v>11.0</v>
      </c>
      <c r="P527" s="2">
        <v>42907.0</v>
      </c>
      <c r="R527" s="1">
        <v>0.0</v>
      </c>
      <c r="S527" s="1" t="s">
        <v>280</v>
      </c>
      <c r="T527" s="1" t="s">
        <v>281</v>
      </c>
      <c r="U527" s="1" t="s">
        <v>282</v>
      </c>
      <c r="X527" s="1" t="s">
        <v>283</v>
      </c>
      <c r="Y527" s="1">
        <v>250.0</v>
      </c>
      <c r="Z527" s="3" t="s">
        <v>284</v>
      </c>
      <c r="AA527" s="1">
        <v>718978.0</v>
      </c>
      <c r="AB527" s="1" t="s">
        <v>285</v>
      </c>
      <c r="AC527" s="3" t="s">
        <v>286</v>
      </c>
      <c r="AD527" s="3" t="s">
        <v>287</v>
      </c>
      <c r="AE527" s="1">
        <v>1.0</v>
      </c>
      <c r="AF527" s="1" t="s">
        <v>288</v>
      </c>
      <c r="AG527" s="1">
        <v>25.0</v>
      </c>
      <c r="AH527" s="1">
        <v>73.0</v>
      </c>
      <c r="AI527" s="1">
        <v>101.0</v>
      </c>
      <c r="AJ527" s="1">
        <v>69.0</v>
      </c>
      <c r="AK527" s="1">
        <v>54.0</v>
      </c>
      <c r="AL527" s="1">
        <v>110.0</v>
      </c>
      <c r="AM527" s="1">
        <v>424.0</v>
      </c>
      <c r="AN527" s="1">
        <v>60.0</v>
      </c>
      <c r="AO527" s="1">
        <v>1.0</v>
      </c>
      <c r="AP527" s="1">
        <v>0.0</v>
      </c>
      <c r="AQ527" s="1">
        <v>5.0</v>
      </c>
      <c r="AR527" s="1">
        <v>4.0</v>
      </c>
      <c r="AS527" s="1">
        <v>2.0</v>
      </c>
    </row>
    <row r="528" hidden="1">
      <c r="A528" s="1">
        <v>62.0</v>
      </c>
      <c r="B528" s="1" t="s">
        <v>1238</v>
      </c>
      <c r="C528" s="1" t="s">
        <v>1239</v>
      </c>
      <c r="D528" s="1" t="s">
        <v>705</v>
      </c>
      <c r="E528" s="1" t="s">
        <v>43</v>
      </c>
      <c r="F528" s="2">
        <v>18859.0</v>
      </c>
      <c r="G528" s="1">
        <f t="shared" si="1"/>
        <v>74</v>
      </c>
      <c r="H528" s="1" t="s">
        <v>1240</v>
      </c>
      <c r="I528" s="1" t="str">
        <f>IFERROR(__xludf.DUMMYFUNCTION("SPLIT(left(H528,len(H528)-1),""("")"),"Tanger ")</f>
        <v>Tanger </v>
      </c>
      <c r="J528" s="1" t="str">
        <f>IFERROR(__xludf.DUMMYFUNCTION("""COMPUTED_VALUE"""),"Maroc")</f>
        <v>Maroc</v>
      </c>
      <c r="K528" s="1" t="str">
        <f>IFERROR(__xludf.DUMMYFUNCTION("IF( COUNTA( IFERROR( FILTER('départements_edition'!$C$2:$C$102 , 'départements_edition'!$C$2:$C$102=J528 ) ) ) , ""Oui"" , ""Non"" )"),"Non")</f>
        <v>Non</v>
      </c>
      <c r="L528" s="1" t="str">
        <f t="shared" si="2"/>
        <v>Maroc</v>
      </c>
      <c r="M528" s="1">
        <v>13.0</v>
      </c>
      <c r="N528" s="1" t="s">
        <v>279</v>
      </c>
      <c r="O528" s="1">
        <v>4.0</v>
      </c>
      <c r="P528" s="2">
        <v>42907.0</v>
      </c>
      <c r="R528" s="1">
        <v>0.0</v>
      </c>
      <c r="S528" s="1" t="s">
        <v>173</v>
      </c>
      <c r="T528" s="1" t="s">
        <v>174</v>
      </c>
      <c r="U528" s="1" t="s">
        <v>1241</v>
      </c>
      <c r="X528" s="1" t="s">
        <v>1242</v>
      </c>
      <c r="Y528" s="1">
        <v>601.0</v>
      </c>
      <c r="Z528" s="3" t="s">
        <v>1243</v>
      </c>
      <c r="AA528" s="1">
        <v>2150.0</v>
      </c>
      <c r="AB528" s="1" t="s">
        <v>1244</v>
      </c>
      <c r="AC528" s="3" t="s">
        <v>1245</v>
      </c>
      <c r="AD528" s="3" t="s">
        <v>1246</v>
      </c>
      <c r="AE528" s="1">
        <v>1.0</v>
      </c>
      <c r="AF528" s="1" t="s">
        <v>1247</v>
      </c>
      <c r="AG528" s="1">
        <v>23.0</v>
      </c>
      <c r="AH528" s="1">
        <v>17.0</v>
      </c>
      <c r="AI528" s="1">
        <v>18.0</v>
      </c>
      <c r="AJ528" s="1">
        <v>320.0</v>
      </c>
      <c r="AK528" s="1">
        <v>499.0</v>
      </c>
      <c r="AL528" s="1">
        <v>6.0</v>
      </c>
      <c r="AM528" s="1">
        <v>2061.0</v>
      </c>
      <c r="AN528" s="1">
        <v>32.0</v>
      </c>
      <c r="AO528" s="1">
        <v>0.0</v>
      </c>
      <c r="AP528" s="1">
        <v>1.0</v>
      </c>
      <c r="AQ528" s="1">
        <v>15.0</v>
      </c>
      <c r="AR528" s="1">
        <v>24.0</v>
      </c>
      <c r="AS528" s="1">
        <v>4.0</v>
      </c>
    </row>
    <row r="529" hidden="1">
      <c r="A529" s="1">
        <v>422.0</v>
      </c>
      <c r="B529" s="1" t="s">
        <v>5126</v>
      </c>
      <c r="C529" s="1" t="s">
        <v>5127</v>
      </c>
      <c r="D529" s="1" t="s">
        <v>1361</v>
      </c>
      <c r="E529" s="1" t="s">
        <v>43</v>
      </c>
      <c r="F529" s="2">
        <v>19650.0</v>
      </c>
      <c r="G529" s="1">
        <f t="shared" si="1"/>
        <v>72</v>
      </c>
      <c r="H529" s="1" t="s">
        <v>5128</v>
      </c>
      <c r="I529" s="1" t="str">
        <f>IFERROR(__xludf.DUMMYFUNCTION("SPLIT(left(H529,len(H529)-1),""("")"),"Meknès ")</f>
        <v>Meknès </v>
      </c>
      <c r="J529" s="1" t="str">
        <f>IFERROR(__xludf.DUMMYFUNCTION("""COMPUTED_VALUE"""),"Maroc")</f>
        <v>Maroc</v>
      </c>
      <c r="K529" s="1" t="str">
        <f>IFERROR(__xludf.DUMMYFUNCTION("IF( COUNTA( IFERROR( FILTER('départements_edition'!$C$2:$C$102 , 'départements_edition'!$C$2:$C$102=J529 ) ) ) , ""Oui"" , ""Non"" )"),"Non")</f>
        <v>Non</v>
      </c>
      <c r="L529" s="1" t="str">
        <f t="shared" si="2"/>
        <v>Maroc</v>
      </c>
      <c r="M529" s="1">
        <v>13.0</v>
      </c>
      <c r="N529" s="1" t="s">
        <v>279</v>
      </c>
      <c r="O529" s="1">
        <v>15.0</v>
      </c>
      <c r="P529" s="2">
        <v>42907.0</v>
      </c>
      <c r="R529" s="1">
        <v>0.0</v>
      </c>
      <c r="S529" s="1" t="s">
        <v>61</v>
      </c>
      <c r="T529" s="1" t="s">
        <v>62</v>
      </c>
      <c r="U529" s="1" t="s">
        <v>5129</v>
      </c>
      <c r="X529" s="1" t="s">
        <v>5130</v>
      </c>
      <c r="Y529" s="1">
        <v>101.0</v>
      </c>
      <c r="Z529" s="3" t="s">
        <v>5131</v>
      </c>
      <c r="AA529" s="1">
        <v>330788.0</v>
      </c>
      <c r="AB529" s="1" t="s">
        <v>5132</v>
      </c>
      <c r="AC529" s="3" t="s">
        <v>5133</v>
      </c>
      <c r="AD529" s="3" t="s">
        <v>5134</v>
      </c>
      <c r="AE529" s="1">
        <v>2.0</v>
      </c>
      <c r="AF529" s="1" t="s">
        <v>5135</v>
      </c>
      <c r="AG529" s="1">
        <v>14.0</v>
      </c>
      <c r="AH529" s="1">
        <v>18.0</v>
      </c>
      <c r="AI529" s="1">
        <v>0.0</v>
      </c>
      <c r="AJ529" s="1">
        <v>0.0</v>
      </c>
      <c r="AK529" s="1">
        <v>1.0</v>
      </c>
      <c r="AL529" s="1">
        <v>7.0</v>
      </c>
      <c r="AM529" s="1">
        <v>236.0</v>
      </c>
      <c r="AN529" s="1">
        <v>13.0</v>
      </c>
      <c r="AO529" s="1">
        <v>0.0</v>
      </c>
      <c r="AP529" s="1">
        <v>1.0</v>
      </c>
      <c r="AQ529" s="1">
        <v>16.0</v>
      </c>
      <c r="AR529" s="1">
        <v>0.0</v>
      </c>
      <c r="AS529" s="1">
        <v>0.0</v>
      </c>
    </row>
    <row r="530">
      <c r="A530" s="1">
        <v>111.0</v>
      </c>
      <c r="B530" s="1" t="s">
        <v>5387</v>
      </c>
      <c r="C530" s="1" t="s">
        <v>5388</v>
      </c>
      <c r="D530" s="1" t="s">
        <v>5389</v>
      </c>
      <c r="E530" s="1" t="s">
        <v>58</v>
      </c>
      <c r="F530" s="2">
        <v>28569.0</v>
      </c>
      <c r="G530" s="1">
        <f t="shared" si="1"/>
        <v>48</v>
      </c>
      <c r="H530" s="1" t="s">
        <v>5390</v>
      </c>
      <c r="I530" s="1" t="str">
        <f>IFERROR(__xludf.DUMMYFUNCTION("SPLIT(left(H530,len(H530)-1),""("")"),"Casablanca ")</f>
        <v>Casablanca </v>
      </c>
      <c r="J530" s="1" t="str">
        <f>IFERROR(__xludf.DUMMYFUNCTION("""COMPUTED_VALUE"""),"Maroc")</f>
        <v>Maroc</v>
      </c>
      <c r="K530" s="1" t="str">
        <f>IFERROR(__xludf.DUMMYFUNCTION("IF( COUNTA( IFERROR( FILTER('départements_edition'!$C$2:$C$102 , 'départements_edition'!$C$2:$C$102=J530 ) ) ) , ""Oui"" , ""Non"" )"),"Non")</f>
        <v>Non</v>
      </c>
      <c r="L530" s="1" t="str">
        <f t="shared" si="2"/>
        <v>Maroc</v>
      </c>
      <c r="M530" s="1">
        <v>999.0</v>
      </c>
      <c r="N530" s="1" t="s">
        <v>256</v>
      </c>
      <c r="O530" s="1">
        <v>10.0</v>
      </c>
      <c r="P530" s="2">
        <v>42907.0</v>
      </c>
      <c r="R530" s="1">
        <v>0.0</v>
      </c>
      <c r="S530" s="1" t="s">
        <v>75</v>
      </c>
      <c r="T530" s="1" t="s">
        <v>76</v>
      </c>
      <c r="U530" s="1" t="s">
        <v>5391</v>
      </c>
      <c r="X530" s="1" t="s">
        <v>2484</v>
      </c>
      <c r="Y530" s="1">
        <v>555.0</v>
      </c>
      <c r="Z530" s="3" t="s">
        <v>5392</v>
      </c>
      <c r="AA530" s="1">
        <v>721004.0</v>
      </c>
      <c r="AB530" s="1" t="s">
        <v>5393</v>
      </c>
      <c r="AC530" s="3" t="s">
        <v>5394</v>
      </c>
      <c r="AD530" s="3" t="s">
        <v>5395</v>
      </c>
      <c r="AE530" s="1">
        <v>1.0</v>
      </c>
      <c r="AF530" s="1" t="s">
        <v>5396</v>
      </c>
      <c r="AG530" s="1">
        <v>10.0</v>
      </c>
      <c r="AH530" s="1">
        <v>18.0</v>
      </c>
      <c r="AI530" s="1">
        <v>3.0</v>
      </c>
      <c r="AJ530" s="1">
        <v>0.0</v>
      </c>
      <c r="AK530" s="1">
        <v>0.0</v>
      </c>
      <c r="AL530" s="1">
        <v>3.0</v>
      </c>
      <c r="AM530" s="1">
        <v>34.0</v>
      </c>
      <c r="AN530" s="1">
        <v>11.0</v>
      </c>
      <c r="AO530" s="1">
        <v>0.0</v>
      </c>
      <c r="AP530" s="1">
        <v>0.0</v>
      </c>
      <c r="AQ530" s="1">
        <v>5.0</v>
      </c>
      <c r="AR530" s="1">
        <v>4.0</v>
      </c>
      <c r="AS530" s="1">
        <v>0.0</v>
      </c>
    </row>
    <row r="531" hidden="1">
      <c r="A531" s="1">
        <v>241.0</v>
      </c>
      <c r="B531" s="1" t="s">
        <v>5423</v>
      </c>
      <c r="C531" s="1" t="s">
        <v>5424</v>
      </c>
      <c r="D531" s="1" t="s">
        <v>42</v>
      </c>
      <c r="E531" s="1" t="s">
        <v>43</v>
      </c>
      <c r="F531" s="2">
        <v>24848.0</v>
      </c>
      <c r="G531" s="1">
        <f t="shared" si="1"/>
        <v>58</v>
      </c>
      <c r="H531" s="1" t="s">
        <v>5425</v>
      </c>
      <c r="I531" s="1" t="str">
        <f>IFERROR(__xludf.DUMMYFUNCTION("SPLIT(left(H531,len(H531)-1),""("")"),"Nouméa ")</f>
        <v>Nouméa </v>
      </c>
      <c r="J531" s="1" t="str">
        <f>IFERROR(__xludf.DUMMYFUNCTION("""COMPUTED_VALUE"""),"Nouvelle-Calédonie")</f>
        <v>Nouvelle-Calédonie</v>
      </c>
      <c r="K531" s="1" t="str">
        <f>IFERROR(__xludf.DUMMYFUNCTION("IF( COUNTA( IFERROR( FILTER('départements_edition'!$C$2:$C$102 , 'départements_edition'!$C$2:$C$102=J531 ) ) ) , ""Oui"" , ""Non"" )"),"Non")</f>
        <v>Non</v>
      </c>
      <c r="L531" s="1" t="str">
        <f t="shared" si="2"/>
        <v>Nouvelle-Calédonie</v>
      </c>
      <c r="M531" s="1">
        <v>988.0</v>
      </c>
      <c r="N531" s="1" t="s">
        <v>5050</v>
      </c>
      <c r="O531" s="1">
        <v>1.0</v>
      </c>
      <c r="P531" s="2">
        <v>42907.0</v>
      </c>
      <c r="R531" s="1">
        <v>0.0</v>
      </c>
      <c r="S531" s="1" t="s">
        <v>46</v>
      </c>
      <c r="T531" s="1" t="s">
        <v>5051</v>
      </c>
      <c r="X531" s="1" t="s">
        <v>118</v>
      </c>
      <c r="Y531" s="1">
        <v>120.0</v>
      </c>
      <c r="Z531" s="3" t="s">
        <v>5426</v>
      </c>
      <c r="AA531" s="1">
        <v>721094.0</v>
      </c>
      <c r="AB531" s="1" t="s">
        <v>5427</v>
      </c>
      <c r="AC531" s="3" t="s">
        <v>5428</v>
      </c>
      <c r="AD531" s="3" t="s">
        <v>5429</v>
      </c>
      <c r="AE531" s="1">
        <v>1.0</v>
      </c>
      <c r="AG531" s="1">
        <v>9.0</v>
      </c>
      <c r="AH531" s="1">
        <v>17.0</v>
      </c>
      <c r="AI531" s="1">
        <v>3.0</v>
      </c>
      <c r="AJ531" s="1">
        <v>40.0</v>
      </c>
      <c r="AK531" s="1">
        <v>14.0</v>
      </c>
      <c r="AL531" s="1">
        <v>15.0</v>
      </c>
      <c r="AM531" s="1">
        <v>471.0</v>
      </c>
      <c r="AN531" s="1">
        <v>33.0</v>
      </c>
      <c r="AO531" s="1">
        <v>0.0</v>
      </c>
      <c r="AP531" s="1">
        <v>0.0</v>
      </c>
      <c r="AQ531" s="1">
        <v>6.0</v>
      </c>
      <c r="AR531" s="1">
        <v>3.0</v>
      </c>
      <c r="AS531" s="1">
        <v>1.0</v>
      </c>
    </row>
    <row r="532" hidden="1">
      <c r="A532" s="1">
        <v>299.0</v>
      </c>
      <c r="B532" s="1" t="s">
        <v>5136</v>
      </c>
      <c r="C532" s="1" t="s">
        <v>5137</v>
      </c>
      <c r="D532" s="1" t="s">
        <v>5138</v>
      </c>
      <c r="E532" s="1" t="s">
        <v>58</v>
      </c>
      <c r="F532" s="2">
        <v>27524.0</v>
      </c>
      <c r="G532" s="1">
        <f t="shared" si="1"/>
        <v>51</v>
      </c>
      <c r="H532" s="1" t="s">
        <v>5139</v>
      </c>
      <c r="I532" s="1" t="str">
        <f>IFERROR(__xludf.DUMMYFUNCTION("SPLIT(left(H532,len(H532)-1),""("")"),"Papeete ")</f>
        <v>Papeete </v>
      </c>
      <c r="J532" s="1" t="str">
        <f>IFERROR(__xludf.DUMMYFUNCTION("""COMPUTED_VALUE"""),"Polynésie Française")</f>
        <v>Polynésie Française</v>
      </c>
      <c r="K532" s="1" t="str">
        <f>IFERROR(__xludf.DUMMYFUNCTION("IF( COUNTA( IFERROR( FILTER('départements_edition'!$C$2:$C$102 , 'départements_edition'!$C$2:$C$102=J532 ) ) ) , ""Oui"" , ""Non"" )"),"Non")</f>
        <v>Non</v>
      </c>
      <c r="L532" s="1" t="str">
        <f t="shared" si="2"/>
        <v>Polynésie Française</v>
      </c>
      <c r="M532" s="1">
        <v>987.0</v>
      </c>
      <c r="N532" s="1" t="s">
        <v>5140</v>
      </c>
      <c r="O532" s="1">
        <v>1.0</v>
      </c>
      <c r="P532" s="2">
        <v>42907.0</v>
      </c>
      <c r="R532" s="1">
        <v>0.0</v>
      </c>
      <c r="S532" s="1" t="s">
        <v>46</v>
      </c>
      <c r="T532" s="1" t="s">
        <v>5141</v>
      </c>
      <c r="U532" s="1" t="s">
        <v>5142</v>
      </c>
      <c r="X532" s="1" t="s">
        <v>5143</v>
      </c>
      <c r="Y532" s="1">
        <v>130.0</v>
      </c>
      <c r="Z532" s="3" t="s">
        <v>5144</v>
      </c>
      <c r="AA532" s="1">
        <v>702052.0</v>
      </c>
      <c r="AB532" s="1" t="s">
        <v>5145</v>
      </c>
      <c r="AC532" s="3" t="s">
        <v>5146</v>
      </c>
      <c r="AD532" s="3" t="s">
        <v>5147</v>
      </c>
      <c r="AE532" s="1">
        <v>1.0</v>
      </c>
      <c r="AF532" s="1" t="s">
        <v>5148</v>
      </c>
      <c r="AG532" s="1">
        <v>14.0</v>
      </c>
      <c r="AH532" s="1">
        <v>32.0</v>
      </c>
      <c r="AI532" s="1">
        <v>23.0</v>
      </c>
      <c r="AJ532" s="1">
        <v>28.0</v>
      </c>
      <c r="AK532" s="1">
        <v>16.0</v>
      </c>
      <c r="AL532" s="1">
        <v>12.0</v>
      </c>
      <c r="AM532" s="1">
        <v>445.0</v>
      </c>
      <c r="AN532" s="1">
        <v>26.0</v>
      </c>
      <c r="AO532" s="1">
        <v>0.0</v>
      </c>
      <c r="AP532" s="1">
        <v>0.0</v>
      </c>
      <c r="AQ532" s="1">
        <v>16.0</v>
      </c>
      <c r="AR532" s="1">
        <v>6.0</v>
      </c>
      <c r="AS532" s="1">
        <v>1.0</v>
      </c>
    </row>
    <row r="533" hidden="1">
      <c r="A533" s="1">
        <v>563.0</v>
      </c>
      <c r="B533" s="1" t="s">
        <v>5332</v>
      </c>
      <c r="C533" s="1" t="s">
        <v>5333</v>
      </c>
      <c r="D533" s="1" t="s">
        <v>5334</v>
      </c>
      <c r="E533" s="1" t="s">
        <v>43</v>
      </c>
      <c r="F533" s="2">
        <v>25498.0</v>
      </c>
      <c r="G533" s="1">
        <f t="shared" si="1"/>
        <v>56</v>
      </c>
      <c r="H533" s="1" t="s">
        <v>5139</v>
      </c>
      <c r="I533" s="1" t="str">
        <f>IFERROR(__xludf.DUMMYFUNCTION("SPLIT(left(H533,len(H533)-1),""("")"),"Papeete ")</f>
        <v>Papeete </v>
      </c>
      <c r="J533" s="1" t="str">
        <f>IFERROR(__xludf.DUMMYFUNCTION("""COMPUTED_VALUE"""),"Polynésie Française")</f>
        <v>Polynésie Française</v>
      </c>
      <c r="K533" s="1" t="str">
        <f>IFERROR(__xludf.DUMMYFUNCTION("IF( COUNTA( IFERROR( FILTER('départements_edition'!$C$2:$C$102 , 'départements_edition'!$C$2:$C$102=J533 ) ) ) , ""Oui"" , ""Non"" )"),"Non")</f>
        <v>Non</v>
      </c>
      <c r="L533" s="1" t="str">
        <f t="shared" si="2"/>
        <v>Polynésie Française</v>
      </c>
      <c r="M533" s="1">
        <v>987.0</v>
      </c>
      <c r="N533" s="1" t="s">
        <v>5140</v>
      </c>
      <c r="O533" s="1">
        <v>3.0</v>
      </c>
      <c r="P533" s="2">
        <v>42907.0</v>
      </c>
      <c r="R533" s="1">
        <v>0.0</v>
      </c>
      <c r="S533" s="1" t="s">
        <v>101</v>
      </c>
      <c r="T533" s="1" t="s">
        <v>5335</v>
      </c>
      <c r="U533" s="1" t="s">
        <v>5336</v>
      </c>
      <c r="X533" s="1" t="s">
        <v>440</v>
      </c>
      <c r="Y533" s="1">
        <v>582.0</v>
      </c>
      <c r="Z533" s="3" t="s">
        <v>5337</v>
      </c>
      <c r="AA533" s="1">
        <v>721118.0</v>
      </c>
      <c r="AB533" s="1" t="s">
        <v>5338</v>
      </c>
      <c r="AC533" s="3" t="s">
        <v>5339</v>
      </c>
      <c r="AD533" s="3" t="s">
        <v>5340</v>
      </c>
      <c r="AE533" s="1">
        <v>1.0</v>
      </c>
      <c r="AF533" s="1" t="s">
        <v>5341</v>
      </c>
      <c r="AG533" s="1">
        <v>11.0</v>
      </c>
      <c r="AH533" s="1">
        <v>24.0</v>
      </c>
      <c r="AI533" s="1">
        <v>8.0</v>
      </c>
      <c r="AJ533" s="1">
        <v>11.0</v>
      </c>
      <c r="AK533" s="1">
        <v>5.0</v>
      </c>
      <c r="AL533" s="1">
        <v>0.0</v>
      </c>
      <c r="AM533" s="1">
        <v>640.0</v>
      </c>
      <c r="AN533" s="1">
        <v>28.0</v>
      </c>
      <c r="AO533" s="1">
        <v>0.0</v>
      </c>
      <c r="AP533" s="1">
        <v>0.0</v>
      </c>
      <c r="AQ533" s="1">
        <v>13.0</v>
      </c>
      <c r="AR533" s="1">
        <v>0.0</v>
      </c>
      <c r="AS533" s="1">
        <v>4.0</v>
      </c>
    </row>
    <row r="534" hidden="1">
      <c r="A534" s="1">
        <v>464.0</v>
      </c>
      <c r="B534" s="1" t="s">
        <v>5441</v>
      </c>
      <c r="C534" s="1" t="s">
        <v>5442</v>
      </c>
      <c r="D534" s="1" t="s">
        <v>1902</v>
      </c>
      <c r="E534" s="1" t="s">
        <v>58</v>
      </c>
      <c r="F534" s="2">
        <v>26466.0</v>
      </c>
      <c r="G534" s="1">
        <f t="shared" si="1"/>
        <v>54</v>
      </c>
      <c r="H534" s="1" t="s">
        <v>5443</v>
      </c>
      <c r="I534" s="1" t="str">
        <f>IFERROR(__xludf.DUMMYFUNCTION("SPLIT(left(H534,len(H534)-1),""("")"),"Papeete ")</f>
        <v>Papeete </v>
      </c>
      <c r="J534" s="1" t="str">
        <f>IFERROR(__xludf.DUMMYFUNCTION("""COMPUTED_VALUE"""),"Polynésie française")</f>
        <v>Polynésie française</v>
      </c>
      <c r="K534" s="1" t="str">
        <f>IFERROR(__xludf.DUMMYFUNCTION("IF( COUNTA( IFERROR( FILTER('départements_edition'!$C$2:$C$102 , 'départements_edition'!$C$2:$C$102=J534 ) ) ) , ""Oui"" , ""Non"" )"),"Non")</f>
        <v>Non</v>
      </c>
      <c r="L534" s="1" t="str">
        <f t="shared" si="2"/>
        <v>Polynésie française</v>
      </c>
      <c r="M534" s="1">
        <v>987.0</v>
      </c>
      <c r="N534" s="1" t="s">
        <v>5140</v>
      </c>
      <c r="O534" s="1">
        <v>2.0</v>
      </c>
      <c r="P534" s="2">
        <v>42907.0</v>
      </c>
      <c r="R534" s="1">
        <v>0.0</v>
      </c>
      <c r="S534" s="1" t="s">
        <v>46</v>
      </c>
      <c r="T534" s="1" t="s">
        <v>5141</v>
      </c>
      <c r="U534" s="3" t="s">
        <v>5444</v>
      </c>
      <c r="X534" s="1" t="s">
        <v>269</v>
      </c>
      <c r="Y534" s="1">
        <v>145.0</v>
      </c>
      <c r="Z534" s="3" t="s">
        <v>5445</v>
      </c>
      <c r="AA534" s="1">
        <v>721110.0</v>
      </c>
      <c r="AB534" s="1" t="s">
        <v>5446</v>
      </c>
      <c r="AC534" s="3" t="s">
        <v>5447</v>
      </c>
      <c r="AD534" s="3" t="s">
        <v>5448</v>
      </c>
      <c r="AE534" s="1">
        <v>1.0</v>
      </c>
      <c r="AG534" s="1">
        <v>9.0</v>
      </c>
      <c r="AH534" s="1">
        <v>10.0</v>
      </c>
      <c r="AI534" s="1">
        <v>3.0</v>
      </c>
      <c r="AJ534" s="1">
        <v>21.0</v>
      </c>
      <c r="AK534" s="1">
        <v>13.0</v>
      </c>
      <c r="AL534" s="1">
        <v>4.0</v>
      </c>
      <c r="AM534" s="1">
        <v>462.0</v>
      </c>
      <c r="AN534" s="1">
        <v>30.0</v>
      </c>
      <c r="AO534" s="1">
        <v>0.0</v>
      </c>
      <c r="AP534" s="1">
        <v>0.0</v>
      </c>
      <c r="AQ534" s="1">
        <v>5.0</v>
      </c>
      <c r="AR534" s="1">
        <v>2.0</v>
      </c>
      <c r="AS534" s="1">
        <v>1.0</v>
      </c>
    </row>
    <row r="535" hidden="1">
      <c r="A535" s="1">
        <v>135.0</v>
      </c>
      <c r="B535" s="1" t="s">
        <v>1568</v>
      </c>
      <c r="C535" s="1" t="s">
        <v>1569</v>
      </c>
      <c r="D535" s="1" t="s">
        <v>1570</v>
      </c>
      <c r="E535" s="1" t="s">
        <v>43</v>
      </c>
      <c r="F535" s="2">
        <v>26610.0</v>
      </c>
      <c r="G535" s="1">
        <f t="shared" si="1"/>
        <v>53</v>
      </c>
      <c r="H535" s="1" t="s">
        <v>1571</v>
      </c>
      <c r="I535" s="1" t="str">
        <f>IFERROR(__xludf.DUMMYFUNCTION("SPLIT(left(H535,len(H535)-1),""("")"),"Saint-Denis ")</f>
        <v>Saint-Denis </v>
      </c>
      <c r="J535" s="1" t="str">
        <f>IFERROR(__xludf.DUMMYFUNCTION("""COMPUTED_VALUE"""),"Réunion")</f>
        <v>Réunion</v>
      </c>
      <c r="K535" s="1" t="str">
        <f>IFERROR(__xludf.DUMMYFUNCTION("IF( COUNTA( IFERROR( FILTER('départements_edition'!$C$2:$C$102 , 'départements_edition'!$C$2:$C$102=J535 ) ) ) , ""Oui"" , ""Non"" )"),"Non")</f>
        <v>Non</v>
      </c>
      <c r="L535" s="1" t="str">
        <f t="shared" si="2"/>
        <v>Réunion</v>
      </c>
      <c r="M535" s="1">
        <v>13.0</v>
      </c>
      <c r="N535" s="1" t="s">
        <v>279</v>
      </c>
      <c r="O535" s="1">
        <v>7.0</v>
      </c>
      <c r="P535" s="2">
        <v>42907.0</v>
      </c>
      <c r="R535" s="1">
        <v>0.0</v>
      </c>
      <c r="S535" s="1" t="s">
        <v>75</v>
      </c>
      <c r="T535" s="1" t="s">
        <v>76</v>
      </c>
      <c r="U535" s="1" t="s">
        <v>1572</v>
      </c>
      <c r="X535" s="1" t="s">
        <v>118</v>
      </c>
      <c r="Y535" s="1">
        <v>471.0</v>
      </c>
      <c r="Z535" s="3" t="s">
        <v>1573</v>
      </c>
      <c r="AA535" s="1">
        <v>718954.0</v>
      </c>
      <c r="AB535" s="1" t="s">
        <v>1574</v>
      </c>
      <c r="AC535" s="3" t="s">
        <v>1575</v>
      </c>
      <c r="AD535" s="3" t="s">
        <v>1576</v>
      </c>
      <c r="AE535" s="1">
        <v>1.0</v>
      </c>
      <c r="AF535" s="1" t="s">
        <v>1577</v>
      </c>
      <c r="AG535" s="1">
        <v>22.0</v>
      </c>
      <c r="AH535" s="1">
        <v>51.0</v>
      </c>
      <c r="AI535" s="1">
        <v>17.0</v>
      </c>
      <c r="AJ535" s="1">
        <v>25.0</v>
      </c>
      <c r="AK535" s="1">
        <v>2.0</v>
      </c>
      <c r="AL535" s="1">
        <v>1.0</v>
      </c>
      <c r="AM535" s="1">
        <v>152.0</v>
      </c>
      <c r="AN535" s="1">
        <v>103.0</v>
      </c>
      <c r="AO535" s="1">
        <v>1.0</v>
      </c>
      <c r="AP535" s="1">
        <v>0.0</v>
      </c>
      <c r="AQ535" s="1">
        <v>5.0</v>
      </c>
      <c r="AR535" s="1">
        <v>1.0</v>
      </c>
      <c r="AS535" s="1">
        <v>1.0</v>
      </c>
    </row>
    <row r="536" hidden="1">
      <c r="A536" s="1">
        <v>436.0</v>
      </c>
      <c r="B536" s="1" t="s">
        <v>2713</v>
      </c>
      <c r="C536" s="1" t="s">
        <v>2714</v>
      </c>
      <c r="D536" s="1" t="s">
        <v>2715</v>
      </c>
      <c r="E536" s="1" t="s">
        <v>43</v>
      </c>
      <c r="F536" s="2">
        <v>24648.0</v>
      </c>
      <c r="G536" s="1">
        <f t="shared" si="1"/>
        <v>59</v>
      </c>
      <c r="H536" s="1" t="s">
        <v>2716</v>
      </c>
      <c r="I536" s="1" t="str">
        <f>IFERROR(__xludf.DUMMYFUNCTION("SPLIT(left(H536,len(H536)-1),""("")"),"Saint-Benoît ")</f>
        <v>Saint-Benoît </v>
      </c>
      <c r="J536" s="1" t="str">
        <f>IFERROR(__xludf.DUMMYFUNCTION("""COMPUTED_VALUE"""),"Réunion")</f>
        <v>Réunion</v>
      </c>
      <c r="K536" s="1" t="str">
        <f>IFERROR(__xludf.DUMMYFUNCTION("IF( COUNTA( IFERROR( FILTER('départements_edition'!$C$2:$C$102 , 'départements_edition'!$C$2:$C$102=J536 ) ) ) , ""Oui"" , ""Non"" )"),"Non")</f>
        <v>Non</v>
      </c>
      <c r="L536" s="1" t="str">
        <f t="shared" si="2"/>
        <v>Réunion</v>
      </c>
      <c r="M536" s="1">
        <v>974.0</v>
      </c>
      <c r="N536" s="1" t="s">
        <v>2717</v>
      </c>
      <c r="O536" s="1">
        <v>5.0</v>
      </c>
      <c r="P536" s="2">
        <v>42907.0</v>
      </c>
      <c r="R536" s="1">
        <v>0.0</v>
      </c>
      <c r="S536" s="1" t="s">
        <v>173</v>
      </c>
      <c r="T536" s="1" t="s">
        <v>174</v>
      </c>
      <c r="U536" s="3" t="s">
        <v>2718</v>
      </c>
      <c r="X536" s="1" t="s">
        <v>967</v>
      </c>
      <c r="Y536" s="1">
        <v>619.0</v>
      </c>
      <c r="Z536" s="3" t="s">
        <v>2719</v>
      </c>
      <c r="AA536" s="1">
        <v>721062.0</v>
      </c>
      <c r="AB536" s="1" t="s">
        <v>2720</v>
      </c>
      <c r="AC536" s="3" t="s">
        <v>2721</v>
      </c>
      <c r="AD536" s="3" t="s">
        <v>2722</v>
      </c>
      <c r="AE536" s="1">
        <v>1.0</v>
      </c>
      <c r="AF536" s="1" t="s">
        <v>2723</v>
      </c>
      <c r="AG536" s="1">
        <v>21.0</v>
      </c>
      <c r="AH536" s="1">
        <v>41.0</v>
      </c>
      <c r="AI536" s="1">
        <v>51.0</v>
      </c>
      <c r="AJ536" s="1">
        <v>139.0</v>
      </c>
      <c r="AK536" s="1">
        <v>58.0</v>
      </c>
      <c r="AL536" s="1">
        <v>156.0</v>
      </c>
      <c r="AM536" s="1">
        <v>2065.0</v>
      </c>
      <c r="AN536" s="1">
        <v>32.0</v>
      </c>
      <c r="AO536" s="1">
        <v>0.0</v>
      </c>
      <c r="AP536" s="1">
        <v>0.0</v>
      </c>
      <c r="AQ536" s="1">
        <v>12.0</v>
      </c>
      <c r="AR536" s="1">
        <v>20.0</v>
      </c>
      <c r="AS536" s="1">
        <v>4.0</v>
      </c>
    </row>
    <row r="537" hidden="1">
      <c r="A537" s="1">
        <v>281.0</v>
      </c>
      <c r="B537" s="1" t="s">
        <v>4403</v>
      </c>
      <c r="C537" s="1" t="s">
        <v>4404</v>
      </c>
      <c r="D537" s="1" t="s">
        <v>4405</v>
      </c>
      <c r="E537" s="1" t="s">
        <v>58</v>
      </c>
      <c r="F537" s="2">
        <v>24578.0</v>
      </c>
      <c r="G537" s="1">
        <f t="shared" si="1"/>
        <v>59</v>
      </c>
      <c r="H537" s="1" t="s">
        <v>1571</v>
      </c>
      <c r="I537" s="1" t="str">
        <f>IFERROR(__xludf.DUMMYFUNCTION("SPLIT(left(H537,len(H537)-1),""("")"),"Saint-Denis ")</f>
        <v>Saint-Denis </v>
      </c>
      <c r="J537" s="1" t="str">
        <f>IFERROR(__xludf.DUMMYFUNCTION("""COMPUTED_VALUE"""),"Réunion")</f>
        <v>Réunion</v>
      </c>
      <c r="K537" s="1" t="str">
        <f>IFERROR(__xludf.DUMMYFUNCTION("IF( COUNTA( IFERROR( FILTER('départements_edition'!$C$2:$C$102 , 'départements_edition'!$C$2:$C$102=J537 ) ) ) , ""Oui"" , ""Non"" )"),"Non")</f>
        <v>Non</v>
      </c>
      <c r="L537" s="1" t="str">
        <f t="shared" si="2"/>
        <v>Réunion</v>
      </c>
      <c r="M537" s="1">
        <v>974.0</v>
      </c>
      <c r="N537" s="1" t="s">
        <v>2717</v>
      </c>
      <c r="O537" s="1">
        <v>1.0</v>
      </c>
      <c r="P537" s="2">
        <v>42907.0</v>
      </c>
      <c r="R537" s="1">
        <v>0.0</v>
      </c>
      <c r="S537" s="1" t="s">
        <v>115</v>
      </c>
      <c r="T537" s="1" t="s">
        <v>116</v>
      </c>
      <c r="U537" s="1" t="s">
        <v>4406</v>
      </c>
      <c r="X537" s="1" t="s">
        <v>90</v>
      </c>
      <c r="Y537" s="1">
        <v>503.0</v>
      </c>
      <c r="Z537" s="3" t="s">
        <v>4407</v>
      </c>
      <c r="AA537" s="1">
        <v>610681.0</v>
      </c>
      <c r="AB537" s="1" t="s">
        <v>4408</v>
      </c>
      <c r="AC537" s="3" t="s">
        <v>4409</v>
      </c>
      <c r="AD537" s="3" t="s">
        <v>4410</v>
      </c>
      <c r="AE537" s="1">
        <v>1.0</v>
      </c>
      <c r="AF537" s="1" t="s">
        <v>4411</v>
      </c>
      <c r="AG537" s="1">
        <v>17.0</v>
      </c>
      <c r="AH537" s="1">
        <v>33.0</v>
      </c>
      <c r="AI537" s="1">
        <v>51.0</v>
      </c>
      <c r="AJ537" s="1">
        <v>61.0</v>
      </c>
      <c r="AK537" s="1">
        <v>31.0</v>
      </c>
      <c r="AL537" s="1">
        <v>67.0</v>
      </c>
      <c r="AM537" s="1">
        <v>1296.0</v>
      </c>
      <c r="AN537" s="1">
        <v>83.0</v>
      </c>
      <c r="AO537" s="1">
        <v>0.0</v>
      </c>
      <c r="AP537" s="1">
        <v>0.0</v>
      </c>
      <c r="AQ537" s="1">
        <v>5.0</v>
      </c>
      <c r="AR537" s="1">
        <v>22.0</v>
      </c>
      <c r="AS537" s="1">
        <v>3.0</v>
      </c>
    </row>
    <row r="538" hidden="1">
      <c r="A538" s="1">
        <v>366.0</v>
      </c>
      <c r="B538" s="1" t="s">
        <v>5231</v>
      </c>
      <c r="C538" s="1" t="s">
        <v>5232</v>
      </c>
      <c r="D538" s="1" t="s">
        <v>1045</v>
      </c>
      <c r="E538" s="1" t="s">
        <v>58</v>
      </c>
      <c r="F538" s="2">
        <v>22418.0</v>
      </c>
      <c r="G538" s="1">
        <f t="shared" si="1"/>
        <v>65</v>
      </c>
      <c r="H538" s="1" t="s">
        <v>5233</v>
      </c>
      <c r="I538" s="1" t="str">
        <f>IFERROR(__xludf.DUMMYFUNCTION("SPLIT(left(H538,len(H538)-1),""("")"),"Sainte-Clotilde ")</f>
        <v>Sainte-Clotilde </v>
      </c>
      <c r="J538" s="1" t="str">
        <f>IFERROR(__xludf.DUMMYFUNCTION("""COMPUTED_VALUE"""),"Réunion")</f>
        <v>Réunion</v>
      </c>
      <c r="K538" s="1" t="str">
        <f>IFERROR(__xludf.DUMMYFUNCTION("IF( COUNTA( IFERROR( FILTER('départements_edition'!$C$2:$C$102 , 'départements_edition'!$C$2:$C$102=J538 ) ) ) , ""Oui"" , ""Non"" )"),"Non")</f>
        <v>Non</v>
      </c>
      <c r="L538" s="1" t="str">
        <f t="shared" si="2"/>
        <v>Réunion</v>
      </c>
      <c r="M538" s="1">
        <v>974.0</v>
      </c>
      <c r="N538" s="1" t="s">
        <v>2717</v>
      </c>
      <c r="O538" s="1">
        <v>6.0</v>
      </c>
      <c r="P538" s="2">
        <v>42907.0</v>
      </c>
      <c r="R538" s="1">
        <v>0.0</v>
      </c>
      <c r="S538" s="1" t="s">
        <v>61</v>
      </c>
      <c r="T538" s="1" t="s">
        <v>62</v>
      </c>
      <c r="X538" s="1" t="s">
        <v>151</v>
      </c>
      <c r="Y538" s="1">
        <v>44.0</v>
      </c>
      <c r="Z538" s="3" t="s">
        <v>5234</v>
      </c>
      <c r="AA538" s="1">
        <v>721070.0</v>
      </c>
      <c r="AB538" s="1" t="s">
        <v>5235</v>
      </c>
      <c r="AC538" s="3" t="s">
        <v>5236</v>
      </c>
      <c r="AD538" s="3" t="s">
        <v>5237</v>
      </c>
      <c r="AE538" s="1">
        <v>2.0</v>
      </c>
      <c r="AG538" s="1">
        <v>13.0</v>
      </c>
      <c r="AH538" s="1">
        <v>18.0</v>
      </c>
      <c r="AI538" s="1">
        <v>5.0</v>
      </c>
      <c r="AJ538" s="1">
        <v>23.0</v>
      </c>
      <c r="AK538" s="1">
        <v>1.0</v>
      </c>
      <c r="AL538" s="1">
        <v>47.0</v>
      </c>
      <c r="AM538" s="1">
        <v>402.0</v>
      </c>
      <c r="AN538" s="1">
        <v>21.0</v>
      </c>
      <c r="AO538" s="1">
        <v>0.0</v>
      </c>
      <c r="AP538" s="1">
        <v>0.0</v>
      </c>
      <c r="AQ538" s="1">
        <v>11.0</v>
      </c>
      <c r="AR538" s="1">
        <v>0.0</v>
      </c>
      <c r="AS538" s="1">
        <v>1.0</v>
      </c>
    </row>
    <row r="539" hidden="1">
      <c r="A539" s="1">
        <v>217.0</v>
      </c>
      <c r="B539" s="1" t="s">
        <v>5323</v>
      </c>
      <c r="C539" s="1" t="s">
        <v>5324</v>
      </c>
      <c r="D539" s="1" t="s">
        <v>1695</v>
      </c>
      <c r="E539" s="1" t="s">
        <v>58</v>
      </c>
      <c r="F539" s="2">
        <v>24859.0</v>
      </c>
      <c r="G539" s="1">
        <f t="shared" si="1"/>
        <v>58</v>
      </c>
      <c r="H539" s="1" t="s">
        <v>5325</v>
      </c>
      <c r="I539" s="1" t="str">
        <f>IFERROR(__xludf.DUMMYFUNCTION("SPLIT(left(H539,len(H539)-1),""("")"),"Saint-Pierre ")</f>
        <v>Saint-Pierre </v>
      </c>
      <c r="J539" s="1" t="str">
        <f>IFERROR(__xludf.DUMMYFUNCTION("""COMPUTED_VALUE"""),"Réunion")</f>
        <v>Réunion</v>
      </c>
      <c r="K539" s="1" t="str">
        <f>IFERROR(__xludf.DUMMYFUNCTION("IF( COUNTA( IFERROR( FILTER('départements_edition'!$C$2:$C$102 , 'départements_edition'!$C$2:$C$102=J539 ) ) ) , ""Oui"" , ""Non"" )"),"Non")</f>
        <v>Non</v>
      </c>
      <c r="L539" s="1" t="str">
        <f t="shared" si="2"/>
        <v>Réunion</v>
      </c>
      <c r="M539" s="1">
        <v>974.0</v>
      </c>
      <c r="N539" s="1" t="s">
        <v>2717</v>
      </c>
      <c r="O539" s="1">
        <v>3.0</v>
      </c>
      <c r="P539" s="2">
        <v>42907.0</v>
      </c>
      <c r="R539" s="1">
        <v>0.0</v>
      </c>
      <c r="S539" s="1" t="s">
        <v>61</v>
      </c>
      <c r="T539" s="1" t="s">
        <v>62</v>
      </c>
      <c r="U539" s="1" t="s">
        <v>5326</v>
      </c>
      <c r="X539" s="1" t="s">
        <v>3558</v>
      </c>
      <c r="Y539" s="1">
        <v>109.0</v>
      </c>
      <c r="Z539" s="3" t="s">
        <v>5327</v>
      </c>
      <c r="AA539" s="1">
        <v>721046.0</v>
      </c>
      <c r="AB539" s="1" t="s">
        <v>5328</v>
      </c>
      <c r="AC539" s="3" t="s">
        <v>5329</v>
      </c>
      <c r="AD539" s="3" t="s">
        <v>5330</v>
      </c>
      <c r="AE539" s="1">
        <v>1.0</v>
      </c>
      <c r="AF539" s="1" t="s">
        <v>5331</v>
      </c>
      <c r="AG539" s="1">
        <v>11.0</v>
      </c>
      <c r="AH539" s="1">
        <v>20.0</v>
      </c>
      <c r="AI539" s="1">
        <v>4.0</v>
      </c>
      <c r="AJ539" s="1">
        <v>8.0</v>
      </c>
      <c r="AK539" s="1">
        <v>5.0</v>
      </c>
      <c r="AL539" s="1">
        <v>3.0</v>
      </c>
      <c r="AM539" s="1">
        <v>656.0</v>
      </c>
      <c r="AN539" s="1">
        <v>30.0</v>
      </c>
      <c r="AO539" s="1">
        <v>0.0</v>
      </c>
      <c r="AP539" s="1">
        <v>0.0</v>
      </c>
      <c r="AQ539" s="1">
        <v>46.0</v>
      </c>
      <c r="AR539" s="1">
        <v>6.0</v>
      </c>
      <c r="AS539" s="1">
        <v>2.0</v>
      </c>
    </row>
    <row r="540" hidden="1">
      <c r="A540" s="1">
        <v>204.0</v>
      </c>
      <c r="B540" s="1" t="s">
        <v>5397</v>
      </c>
      <c r="C540" s="1" t="s">
        <v>5398</v>
      </c>
      <c r="D540" s="1" t="s">
        <v>915</v>
      </c>
      <c r="E540" s="1" t="s">
        <v>43</v>
      </c>
      <c r="F540" s="2">
        <v>23665.0</v>
      </c>
      <c r="G540" s="1">
        <f t="shared" si="1"/>
        <v>61</v>
      </c>
      <c r="H540" s="1" t="s">
        <v>5325</v>
      </c>
      <c r="I540" s="1" t="str">
        <f>IFERROR(__xludf.DUMMYFUNCTION("SPLIT(left(H540,len(H540)-1),""("")"),"Saint-Pierre ")</f>
        <v>Saint-Pierre </v>
      </c>
      <c r="J540" s="1" t="str">
        <f>IFERROR(__xludf.DUMMYFUNCTION("""COMPUTED_VALUE"""),"Réunion")</f>
        <v>Réunion</v>
      </c>
      <c r="K540" s="1" t="str">
        <f>IFERROR(__xludf.DUMMYFUNCTION("IF( COUNTA( IFERROR( FILTER('départements_edition'!$C$2:$C$102 , 'départements_edition'!$C$2:$C$102=J540 ) ) ) , ""Oui"" , ""Non"" )"),"Non")</f>
        <v>Non</v>
      </c>
      <c r="L540" s="1" t="str">
        <f t="shared" si="2"/>
        <v>Réunion</v>
      </c>
      <c r="M540" s="1">
        <v>974.0</v>
      </c>
      <c r="N540" s="1" t="s">
        <v>2717</v>
      </c>
      <c r="O540" s="1">
        <v>4.0</v>
      </c>
      <c r="P540" s="2">
        <v>42907.0</v>
      </c>
      <c r="R540" s="1">
        <v>0.0</v>
      </c>
      <c r="S540" s="1" t="s">
        <v>61</v>
      </c>
      <c r="T540" s="1" t="s">
        <v>62</v>
      </c>
      <c r="U540" s="1" t="s">
        <v>5399</v>
      </c>
      <c r="X540" s="1" t="s">
        <v>5400</v>
      </c>
      <c r="Y540" s="1">
        <v>110.0</v>
      </c>
      <c r="Z540" s="3" t="s">
        <v>5401</v>
      </c>
      <c r="AA540" s="1">
        <v>721054.0</v>
      </c>
      <c r="AB540" s="1" t="s">
        <v>5402</v>
      </c>
      <c r="AC540" s="3" t="s">
        <v>5403</v>
      </c>
      <c r="AD540" s="3" t="s">
        <v>5404</v>
      </c>
      <c r="AE540" s="1">
        <v>2.0</v>
      </c>
      <c r="AF540" s="1" t="s">
        <v>5405</v>
      </c>
      <c r="AG540" s="1">
        <v>10.0</v>
      </c>
      <c r="AH540" s="1">
        <v>26.0</v>
      </c>
      <c r="AI540" s="1">
        <v>13.0</v>
      </c>
      <c r="AJ540" s="1">
        <v>23.0</v>
      </c>
      <c r="AK540" s="1">
        <v>1.0</v>
      </c>
      <c r="AL540" s="1">
        <v>22.0</v>
      </c>
      <c r="AM540" s="1">
        <v>369.0</v>
      </c>
      <c r="AN540" s="1">
        <v>16.0</v>
      </c>
      <c r="AO540" s="1">
        <v>0.0</v>
      </c>
      <c r="AP540" s="1">
        <v>0.0</v>
      </c>
      <c r="AQ540" s="1">
        <v>23.0</v>
      </c>
      <c r="AR540" s="1">
        <v>14.0</v>
      </c>
      <c r="AS540" s="1">
        <v>3.0</v>
      </c>
    </row>
    <row r="541" hidden="1">
      <c r="A541" s="1">
        <v>338.0</v>
      </c>
      <c r="B541" s="1" t="s">
        <v>5406</v>
      </c>
      <c r="C541" s="1" t="s">
        <v>1450</v>
      </c>
      <c r="D541" s="1" t="s">
        <v>413</v>
      </c>
      <c r="E541" s="1" t="s">
        <v>43</v>
      </c>
      <c r="F541" s="2">
        <v>28216.0</v>
      </c>
      <c r="G541" s="1">
        <f t="shared" si="1"/>
        <v>49</v>
      </c>
      <c r="H541" s="1" t="s">
        <v>1571</v>
      </c>
      <c r="I541" s="1" t="str">
        <f>IFERROR(__xludf.DUMMYFUNCTION("SPLIT(left(H541,len(H541)-1),""("")"),"Saint-Denis ")</f>
        <v>Saint-Denis </v>
      </c>
      <c r="J541" s="1" t="str">
        <f>IFERROR(__xludf.DUMMYFUNCTION("""COMPUTED_VALUE"""),"Réunion")</f>
        <v>Réunion</v>
      </c>
      <c r="K541" s="1" t="str">
        <f>IFERROR(__xludf.DUMMYFUNCTION("IF( COUNTA( IFERROR( FILTER('départements_edition'!$C$2:$C$102 , 'départements_edition'!$C$2:$C$102=J541 ) ) ) , ""Oui"" , ""Non"" )"),"Non")</f>
        <v>Non</v>
      </c>
      <c r="L541" s="1" t="str">
        <f t="shared" si="2"/>
        <v>Réunion</v>
      </c>
      <c r="M541" s="1">
        <v>974.0</v>
      </c>
      <c r="N541" s="1" t="s">
        <v>2717</v>
      </c>
      <c r="O541" s="1">
        <v>7.0</v>
      </c>
      <c r="P541" s="2">
        <v>42907.0</v>
      </c>
      <c r="R541" s="1">
        <v>0.0</v>
      </c>
      <c r="S541" s="1" t="s">
        <v>280</v>
      </c>
      <c r="T541" s="1" t="s">
        <v>281</v>
      </c>
      <c r="U541" s="1" t="s">
        <v>5407</v>
      </c>
      <c r="X541" s="1" t="s">
        <v>5408</v>
      </c>
      <c r="Y541" s="1">
        <v>258.0</v>
      </c>
      <c r="Z541" s="3" t="s">
        <v>5409</v>
      </c>
      <c r="AA541" s="1">
        <v>610733.0</v>
      </c>
      <c r="AB541" s="1" t="s">
        <v>5410</v>
      </c>
      <c r="AC541" s="3" t="s">
        <v>5411</v>
      </c>
      <c r="AD541" s="3" t="s">
        <v>5412</v>
      </c>
      <c r="AE541" s="1">
        <v>2.0</v>
      </c>
      <c r="AF541" s="1" t="s">
        <v>5413</v>
      </c>
      <c r="AG541" s="1">
        <v>10.0</v>
      </c>
      <c r="AH541" s="1">
        <v>11.0</v>
      </c>
      <c r="AI541" s="1">
        <v>2.0</v>
      </c>
      <c r="AJ541" s="1">
        <v>4.0</v>
      </c>
      <c r="AK541" s="1">
        <v>1.0</v>
      </c>
      <c r="AL541" s="1">
        <v>0.0</v>
      </c>
      <c r="AM541" s="1">
        <v>231.0</v>
      </c>
      <c r="AN541" s="1">
        <v>26.0</v>
      </c>
      <c r="AO541" s="1">
        <v>0.0</v>
      </c>
      <c r="AP541" s="1">
        <v>0.0</v>
      </c>
      <c r="AQ541" s="1">
        <v>5.0</v>
      </c>
      <c r="AR541" s="1">
        <v>0.0</v>
      </c>
      <c r="AS541" s="1">
        <v>2.0</v>
      </c>
    </row>
    <row r="542" hidden="1">
      <c r="A542" s="1">
        <v>511.0</v>
      </c>
      <c r="B542" s="1" t="s">
        <v>5449</v>
      </c>
      <c r="C542" s="1" t="s">
        <v>5450</v>
      </c>
      <c r="D542" s="1" t="s">
        <v>2119</v>
      </c>
      <c r="E542" s="1" t="s">
        <v>58</v>
      </c>
      <c r="F542" s="2">
        <v>18499.0</v>
      </c>
      <c r="G542" s="1">
        <f t="shared" si="1"/>
        <v>75</v>
      </c>
      <c r="H542" s="1" t="s">
        <v>5451</v>
      </c>
      <c r="I542" s="1" t="str">
        <f>IFERROR(__xludf.DUMMYFUNCTION("SPLIT(left(H542,len(H542)-1),""("")"),"Ravine-des-Cabris ")</f>
        <v>Ravine-des-Cabris </v>
      </c>
      <c r="J542" s="1" t="str">
        <f>IFERROR(__xludf.DUMMYFUNCTION("""COMPUTED_VALUE"""),"Réunion")</f>
        <v>Réunion</v>
      </c>
      <c r="K542" s="1" t="str">
        <f>IFERROR(__xludf.DUMMYFUNCTION("IF( COUNTA( IFERROR( FILTER('départements_edition'!$C$2:$C$102 , 'départements_edition'!$C$2:$C$102=J542 ) ) ) , ""Oui"" , ""Non"" )"),"Non")</f>
        <v>Non</v>
      </c>
      <c r="L542" s="1" t="str">
        <f t="shared" si="2"/>
        <v>Réunion</v>
      </c>
      <c r="M542" s="1">
        <v>974.0</v>
      </c>
      <c r="N542" s="1" t="s">
        <v>2717</v>
      </c>
      <c r="O542" s="1">
        <v>2.0</v>
      </c>
      <c r="P542" s="2">
        <v>42907.0</v>
      </c>
      <c r="R542" s="1">
        <v>0.0</v>
      </c>
      <c r="S542" s="1" t="s">
        <v>101</v>
      </c>
      <c r="T542" s="1" t="s">
        <v>102</v>
      </c>
      <c r="U542" s="1" t="s">
        <v>5452</v>
      </c>
      <c r="X542" s="1" t="s">
        <v>5453</v>
      </c>
      <c r="Y542" s="1">
        <v>594.0</v>
      </c>
      <c r="Z542" s="3" t="s">
        <v>5454</v>
      </c>
      <c r="AA542" s="1">
        <v>441.0</v>
      </c>
      <c r="AB542" s="1" t="s">
        <v>5455</v>
      </c>
      <c r="AC542" s="3" t="s">
        <v>5456</v>
      </c>
      <c r="AD542" s="3" t="s">
        <v>5457</v>
      </c>
      <c r="AE542" s="1">
        <v>1.0</v>
      </c>
      <c r="AF542" s="1" t="s">
        <v>5458</v>
      </c>
      <c r="AG542" s="1">
        <v>8.0</v>
      </c>
      <c r="AH542" s="1">
        <v>8.0</v>
      </c>
      <c r="AI542" s="1">
        <v>8.0</v>
      </c>
      <c r="AJ542" s="1">
        <v>22.0</v>
      </c>
      <c r="AK542" s="1">
        <v>10.0</v>
      </c>
      <c r="AL542" s="1">
        <v>15.0</v>
      </c>
      <c r="AM542" s="1">
        <v>657.0</v>
      </c>
      <c r="AN542" s="1">
        <v>28.0</v>
      </c>
      <c r="AO542" s="1">
        <v>1.0</v>
      </c>
      <c r="AP542" s="1">
        <v>1.0</v>
      </c>
      <c r="AQ542" s="1">
        <v>10.0</v>
      </c>
      <c r="AR542" s="1">
        <v>18.0</v>
      </c>
      <c r="AS542" s="1">
        <v>2.0</v>
      </c>
    </row>
    <row r="543" hidden="1">
      <c r="A543" s="1">
        <v>271.0</v>
      </c>
      <c r="B543" s="1" t="s">
        <v>606</v>
      </c>
      <c r="C543" s="1" t="s">
        <v>607</v>
      </c>
      <c r="D543" s="1" t="s">
        <v>608</v>
      </c>
      <c r="E543" s="1" t="s">
        <v>58</v>
      </c>
      <c r="F543" s="2">
        <v>31217.0</v>
      </c>
      <c r="G543" s="1">
        <f t="shared" si="1"/>
        <v>41</v>
      </c>
      <c r="H543" s="1" t="s">
        <v>609</v>
      </c>
      <c r="I543" s="1" t="str">
        <f>IFERROR(__xludf.DUMMYFUNCTION("SPLIT(left(H543,len(H543)-1),""("")"),"Lyon 08 ")</f>
        <v>Lyon 08 </v>
      </c>
      <c r="J543" s="1" t="str">
        <f>IFERROR(__xludf.DUMMYFUNCTION("""COMPUTED_VALUE"""),"Rhône")</f>
        <v>Rhône</v>
      </c>
      <c r="K543" s="1" t="str">
        <f>IFERROR(__xludf.DUMMYFUNCTION("IF( COUNTA( IFERROR( FILTER('départements_edition'!$C$2:$C$102 , 'départements_edition'!$C$2:$C$102=J543 ) ) ) , ""Oui"" , ""Non"" )"),"Non")</f>
        <v>Non</v>
      </c>
      <c r="L543" s="1" t="str">
        <f t="shared" si="2"/>
        <v>Rhône</v>
      </c>
      <c r="M543" s="1">
        <v>91.0</v>
      </c>
      <c r="N543" s="1" t="s">
        <v>610</v>
      </c>
      <c r="O543" s="1">
        <v>6.0</v>
      </c>
      <c r="P543" s="2">
        <v>42907.0</v>
      </c>
      <c r="R543" s="1">
        <v>0.0</v>
      </c>
      <c r="S543" s="1" t="s">
        <v>75</v>
      </c>
      <c r="T543" s="1" t="s">
        <v>76</v>
      </c>
      <c r="U543" s="1" t="s">
        <v>611</v>
      </c>
      <c r="X543" s="1" t="s">
        <v>234</v>
      </c>
      <c r="Y543" s="1">
        <v>427.0</v>
      </c>
      <c r="Z543" s="3" t="s">
        <v>612</v>
      </c>
      <c r="AA543" s="1">
        <v>721670.0</v>
      </c>
      <c r="AB543" s="1" t="s">
        <v>613</v>
      </c>
      <c r="AC543" s="3" t="s">
        <v>614</v>
      </c>
      <c r="AD543" s="3" t="s">
        <v>615</v>
      </c>
      <c r="AE543" s="1">
        <v>1.0</v>
      </c>
      <c r="AF543" s="1" t="s">
        <v>616</v>
      </c>
      <c r="AG543" s="1">
        <v>24.0</v>
      </c>
      <c r="AH543" s="1">
        <v>73.0</v>
      </c>
      <c r="AI543" s="1">
        <v>175.0</v>
      </c>
      <c r="AJ543" s="1">
        <v>241.0</v>
      </c>
      <c r="AK543" s="1">
        <v>125.0</v>
      </c>
      <c r="AL543" s="1">
        <v>104.0</v>
      </c>
      <c r="AM543" s="1">
        <v>170.0</v>
      </c>
      <c r="AN543" s="1">
        <v>112.0</v>
      </c>
      <c r="AO543" s="1">
        <v>1.0</v>
      </c>
      <c r="AP543" s="1">
        <v>0.0</v>
      </c>
      <c r="AQ543" s="1">
        <v>5.0</v>
      </c>
      <c r="AR543" s="1">
        <v>0.0</v>
      </c>
      <c r="AS543" s="1">
        <v>2.0</v>
      </c>
    </row>
    <row r="544" hidden="1">
      <c r="A544" s="1">
        <v>59.0</v>
      </c>
      <c r="B544" s="1" t="s">
        <v>736</v>
      </c>
      <c r="C544" s="1" t="s">
        <v>737</v>
      </c>
      <c r="D544" s="1" t="s">
        <v>738</v>
      </c>
      <c r="E544" s="1" t="s">
        <v>58</v>
      </c>
      <c r="F544" s="2">
        <v>25577.0</v>
      </c>
      <c r="G544" s="1">
        <f t="shared" si="1"/>
        <v>56</v>
      </c>
      <c r="H544" s="1" t="s">
        <v>739</v>
      </c>
      <c r="I544" s="1" t="str">
        <f>IFERROR(__xludf.DUMMYFUNCTION("SPLIT(left(H544,len(H544)-1),""("")"),"Lyon ")</f>
        <v>Lyon </v>
      </c>
      <c r="J544" s="1" t="str">
        <f>IFERROR(__xludf.DUMMYFUNCTION("""COMPUTED_VALUE"""),"Rhône")</f>
        <v>Rhône</v>
      </c>
      <c r="K544" s="1" t="str">
        <f>IFERROR(__xludf.DUMMYFUNCTION("IF( COUNTA( IFERROR( FILTER('départements_edition'!$C$2:$C$102 , 'départements_edition'!$C$2:$C$102=J544 ) ) ) , ""Oui"" , ""Non"" )"),"Non")</f>
        <v>Non</v>
      </c>
      <c r="L544" s="1" t="str">
        <f t="shared" si="2"/>
        <v>Rhône</v>
      </c>
      <c r="M544" s="1">
        <v>4.0</v>
      </c>
      <c r="N544" s="1" t="s">
        <v>740</v>
      </c>
      <c r="O544" s="1">
        <v>1.0</v>
      </c>
      <c r="P544" s="2">
        <v>42907.0</v>
      </c>
      <c r="R544" s="1">
        <v>0.0</v>
      </c>
      <c r="S544" s="1" t="s">
        <v>75</v>
      </c>
      <c r="T544" s="1" t="s">
        <v>76</v>
      </c>
      <c r="U544" s="1" t="s">
        <v>741</v>
      </c>
      <c r="X544" s="1" t="s">
        <v>151</v>
      </c>
      <c r="Y544" s="1">
        <v>486.0</v>
      </c>
      <c r="Z544" s="3" t="s">
        <v>742</v>
      </c>
      <c r="AA544" s="1">
        <v>718744.0</v>
      </c>
      <c r="AB544" s="1" t="s">
        <v>743</v>
      </c>
      <c r="AC544" s="3" t="s">
        <v>744</v>
      </c>
      <c r="AD544" s="3" t="s">
        <v>745</v>
      </c>
      <c r="AE544" s="1">
        <v>1.0</v>
      </c>
      <c r="AF544" s="1" t="s">
        <v>746</v>
      </c>
      <c r="AG544" s="1">
        <v>23.0</v>
      </c>
      <c r="AH544" s="1">
        <v>52.0</v>
      </c>
      <c r="AI544" s="1">
        <v>18.0</v>
      </c>
      <c r="AJ544" s="1">
        <v>22.0</v>
      </c>
      <c r="AK544" s="1">
        <v>3.0</v>
      </c>
      <c r="AL544" s="1">
        <v>2.0</v>
      </c>
      <c r="AM544" s="1">
        <v>64.0</v>
      </c>
      <c r="AN544" s="1">
        <v>25.0</v>
      </c>
      <c r="AO544" s="1">
        <v>1.0</v>
      </c>
      <c r="AP544" s="1">
        <v>0.0</v>
      </c>
      <c r="AQ544" s="1">
        <v>5.0</v>
      </c>
      <c r="AR544" s="1">
        <v>5.0</v>
      </c>
      <c r="AS544" s="1">
        <v>1.0</v>
      </c>
    </row>
    <row r="545" hidden="1">
      <c r="A545" s="1">
        <v>538.0</v>
      </c>
      <c r="B545" s="1" t="s">
        <v>1359</v>
      </c>
      <c r="C545" s="1" t="s">
        <v>1360</v>
      </c>
      <c r="D545" s="1" t="s">
        <v>1361</v>
      </c>
      <c r="E545" s="1" t="s">
        <v>43</v>
      </c>
      <c r="F545" s="2">
        <v>20844.0</v>
      </c>
      <c r="G545" s="1">
        <f t="shared" si="1"/>
        <v>69</v>
      </c>
      <c r="H545" s="1" t="s">
        <v>1362</v>
      </c>
      <c r="I545" s="1" t="str">
        <f>IFERROR(__xludf.DUMMYFUNCTION("SPLIT(left(H545,len(H545)-1),""("")"),"Villefranche-sur-Saône ")</f>
        <v>Villefranche-sur-Saône </v>
      </c>
      <c r="J545" s="1" t="str">
        <f>IFERROR(__xludf.DUMMYFUNCTION("""COMPUTED_VALUE"""),"Rhône")</f>
        <v>Rhône</v>
      </c>
      <c r="K545" s="1" t="str">
        <f>IFERROR(__xludf.DUMMYFUNCTION("IF( COUNTA( IFERROR( FILTER('départements_edition'!$C$2:$C$102 , 'départements_edition'!$C$2:$C$102=J545 ) ) ) , ""Oui"" , ""Non"" )"),"Non")</f>
        <v>Non</v>
      </c>
      <c r="L545" s="1" t="str">
        <f t="shared" si="2"/>
        <v>Rhône</v>
      </c>
      <c r="M545" s="1">
        <v>69.0</v>
      </c>
      <c r="N545" s="1" t="s">
        <v>1363</v>
      </c>
      <c r="O545" s="1">
        <v>9.0</v>
      </c>
      <c r="P545" s="2">
        <v>42907.0</v>
      </c>
      <c r="R545" s="1">
        <v>0.0</v>
      </c>
      <c r="S545" s="1" t="s">
        <v>61</v>
      </c>
      <c r="T545" s="1" t="s">
        <v>62</v>
      </c>
      <c r="U545" s="1" t="s">
        <v>1364</v>
      </c>
      <c r="X545" s="1" t="s">
        <v>1365</v>
      </c>
      <c r="Y545" s="1">
        <v>108.0</v>
      </c>
      <c r="Z545" s="3" t="s">
        <v>1366</v>
      </c>
      <c r="AA545" s="1">
        <v>2377.0</v>
      </c>
      <c r="AB545" s="1" t="s">
        <v>1367</v>
      </c>
      <c r="AC545" s="3" t="s">
        <v>1368</v>
      </c>
      <c r="AD545" s="3" t="s">
        <v>1369</v>
      </c>
      <c r="AE545" s="1">
        <v>2.0</v>
      </c>
      <c r="AF545" s="1" t="s">
        <v>1370</v>
      </c>
      <c r="AG545" s="1">
        <v>23.0</v>
      </c>
      <c r="AH545" s="1">
        <v>40.0</v>
      </c>
      <c r="AI545" s="1">
        <v>37.0</v>
      </c>
      <c r="AJ545" s="1">
        <v>11.0</v>
      </c>
      <c r="AK545" s="1">
        <v>1.0</v>
      </c>
      <c r="AL545" s="1">
        <v>0.0</v>
      </c>
      <c r="AM545" s="1">
        <v>1036.0</v>
      </c>
      <c r="AN545" s="1">
        <v>37.0</v>
      </c>
      <c r="AO545" s="1">
        <v>0.0</v>
      </c>
      <c r="AP545" s="1">
        <v>1.0</v>
      </c>
      <c r="AQ545" s="1">
        <v>98.0</v>
      </c>
      <c r="AR545" s="1">
        <v>21.0</v>
      </c>
      <c r="AS545" s="1">
        <v>1.0</v>
      </c>
    </row>
    <row r="546" hidden="1">
      <c r="A546" s="1">
        <v>319.0</v>
      </c>
      <c r="B546" s="1" t="s">
        <v>1480</v>
      </c>
      <c r="C546" s="1" t="s">
        <v>1481</v>
      </c>
      <c r="D546" s="1" t="s">
        <v>1262</v>
      </c>
      <c r="E546" s="1" t="s">
        <v>43</v>
      </c>
      <c r="F546" s="2">
        <v>25944.0</v>
      </c>
      <c r="G546" s="1">
        <f t="shared" si="1"/>
        <v>55</v>
      </c>
      <c r="H546" s="1" t="s">
        <v>739</v>
      </c>
      <c r="I546" s="1" t="str">
        <f>IFERROR(__xludf.DUMMYFUNCTION("SPLIT(left(H546,len(H546)-1),""("")"),"Lyon ")</f>
        <v>Lyon </v>
      </c>
      <c r="J546" s="1" t="str">
        <f>IFERROR(__xludf.DUMMYFUNCTION("""COMPUTED_VALUE"""),"Rhône")</f>
        <v>Rhône</v>
      </c>
      <c r="K546" s="1" t="str">
        <f>IFERROR(__xludf.DUMMYFUNCTION("IF( COUNTA( IFERROR( FILTER('départements_edition'!$C$2:$C$102 , 'départements_edition'!$C$2:$C$102=J546 ) ) ) , ""Oui"" , ""Non"" )"),"Non")</f>
        <v>Non</v>
      </c>
      <c r="L546" s="1" t="str">
        <f t="shared" si="2"/>
        <v>Rhône</v>
      </c>
      <c r="M546" s="1">
        <v>69.0</v>
      </c>
      <c r="N546" s="1" t="s">
        <v>1363</v>
      </c>
      <c r="O546" s="1">
        <v>1.0</v>
      </c>
      <c r="P546" s="2">
        <v>42907.0</v>
      </c>
      <c r="R546" s="1">
        <v>0.0</v>
      </c>
      <c r="S546" s="1" t="s">
        <v>75</v>
      </c>
      <c r="T546" s="1" t="s">
        <v>76</v>
      </c>
      <c r="U546" s="1" t="s">
        <v>1482</v>
      </c>
      <c r="X546" s="1">
        <v>0.0</v>
      </c>
      <c r="Y546" s="1">
        <v>546.0</v>
      </c>
      <c r="Z546" s="3" t="s">
        <v>1483</v>
      </c>
      <c r="AA546" s="1">
        <v>722292.0</v>
      </c>
      <c r="AB546" s="1" t="s">
        <v>1484</v>
      </c>
      <c r="AC546" s="3" t="s">
        <v>1485</v>
      </c>
      <c r="AD546" s="3" t="s">
        <v>1486</v>
      </c>
      <c r="AE546" s="1">
        <v>3.0</v>
      </c>
      <c r="AF546" s="1" t="s">
        <v>1487</v>
      </c>
      <c r="AG546" s="1">
        <v>23.0</v>
      </c>
      <c r="AH546" s="1">
        <v>32.0</v>
      </c>
      <c r="AI546" s="1">
        <v>9.0</v>
      </c>
      <c r="AJ546" s="1">
        <v>26.0</v>
      </c>
      <c r="AK546" s="1">
        <v>17.0</v>
      </c>
      <c r="AL546" s="1">
        <v>1.0</v>
      </c>
      <c r="AM546" s="1">
        <v>34.0</v>
      </c>
      <c r="AN546" s="1">
        <v>15.0</v>
      </c>
      <c r="AO546" s="1">
        <v>0.0</v>
      </c>
      <c r="AP546" s="1">
        <v>0.0</v>
      </c>
      <c r="AQ546" s="1">
        <v>6.0</v>
      </c>
      <c r="AR546" s="1">
        <v>4.0</v>
      </c>
      <c r="AS546" s="1">
        <v>1.0</v>
      </c>
    </row>
    <row r="547" hidden="1">
      <c r="A547" s="1">
        <v>518.0</v>
      </c>
      <c r="B547" s="1" t="s">
        <v>2382</v>
      </c>
      <c r="C547" s="1" t="s">
        <v>2383</v>
      </c>
      <c r="D547" s="1" t="s">
        <v>2384</v>
      </c>
      <c r="E547" s="1" t="s">
        <v>43</v>
      </c>
      <c r="F547" s="2">
        <v>28880.0</v>
      </c>
      <c r="G547" s="1">
        <f t="shared" si="1"/>
        <v>47</v>
      </c>
      <c r="H547" s="1" t="s">
        <v>2385</v>
      </c>
      <c r="I547" s="1" t="str">
        <f>IFERROR(__xludf.DUMMYFUNCTION("SPLIT(left(H547,len(H547)-1),""("")"),"Villefranche-sur-Saone ")</f>
        <v>Villefranche-sur-Saone </v>
      </c>
      <c r="J547" s="1" t="str">
        <f>IFERROR(__xludf.DUMMYFUNCTION("""COMPUTED_VALUE"""),"Rhône")</f>
        <v>Rhône</v>
      </c>
      <c r="K547" s="1" t="str">
        <f>IFERROR(__xludf.DUMMYFUNCTION("IF( COUNTA( IFERROR( FILTER('départements_edition'!$C$2:$C$102 , 'départements_edition'!$C$2:$C$102=J547 ) ) ) , ""Oui"" , ""Non"" )"),"Non")</f>
        <v>Non</v>
      </c>
      <c r="L547" s="1" t="str">
        <f t="shared" si="2"/>
        <v>Rhône</v>
      </c>
      <c r="M547" s="1">
        <v>71.0</v>
      </c>
      <c r="N547" s="1" t="s">
        <v>336</v>
      </c>
      <c r="O547" s="1">
        <v>1.0</v>
      </c>
      <c r="P547" s="2">
        <v>42907.0</v>
      </c>
      <c r="R547" s="1">
        <v>0.0</v>
      </c>
      <c r="S547" s="1" t="s">
        <v>75</v>
      </c>
      <c r="T547" s="1" t="s">
        <v>76</v>
      </c>
      <c r="U547" s="3" t="s">
        <v>2386</v>
      </c>
      <c r="X547" s="1" t="s">
        <v>198</v>
      </c>
      <c r="Y547" s="1">
        <v>205.0</v>
      </c>
      <c r="Z547" s="3" t="s">
        <v>2387</v>
      </c>
      <c r="AA547" s="1">
        <v>722382.0</v>
      </c>
      <c r="AB547" s="1" t="s">
        <v>2388</v>
      </c>
      <c r="AC547" s="3" t="s">
        <v>2389</v>
      </c>
      <c r="AD547" s="3" t="s">
        <v>2390</v>
      </c>
      <c r="AE547" s="1">
        <v>1.0</v>
      </c>
      <c r="AF547" s="1" t="s">
        <v>2391</v>
      </c>
      <c r="AG547" s="1">
        <v>21.0</v>
      </c>
      <c r="AH547" s="1">
        <v>36.0</v>
      </c>
      <c r="AI547" s="1">
        <v>2.0</v>
      </c>
      <c r="AJ547" s="1">
        <v>2.0</v>
      </c>
      <c r="AK547" s="1">
        <v>0.0</v>
      </c>
      <c r="AL547" s="1">
        <v>0.0</v>
      </c>
      <c r="AM547" s="1">
        <v>15.0</v>
      </c>
      <c r="AN547" s="1">
        <v>7.0</v>
      </c>
      <c r="AO547" s="1">
        <v>0.0</v>
      </c>
      <c r="AP547" s="1">
        <v>0.0</v>
      </c>
      <c r="AQ547" s="1">
        <v>5.0</v>
      </c>
      <c r="AR547" s="1">
        <v>0.0</v>
      </c>
      <c r="AS547" s="1">
        <v>1.0</v>
      </c>
    </row>
    <row r="548" hidden="1">
      <c r="A548" s="1">
        <v>505.0</v>
      </c>
      <c r="B548" s="1" t="s">
        <v>2955</v>
      </c>
      <c r="C548" s="1" t="s">
        <v>2956</v>
      </c>
      <c r="D548" s="1" t="s">
        <v>1652</v>
      </c>
      <c r="E548" s="1" t="s">
        <v>43</v>
      </c>
      <c r="F548" s="2">
        <v>20009.0</v>
      </c>
      <c r="G548" s="1">
        <f t="shared" si="1"/>
        <v>71</v>
      </c>
      <c r="H548" s="1" t="s">
        <v>739</v>
      </c>
      <c r="I548" s="1" t="str">
        <f>IFERROR(__xludf.DUMMYFUNCTION("SPLIT(left(H548,len(H548)-1),""("")"),"Lyon ")</f>
        <v>Lyon </v>
      </c>
      <c r="J548" s="1" t="str">
        <f>IFERROR(__xludf.DUMMYFUNCTION("""COMPUTED_VALUE"""),"Rhône")</f>
        <v>Rhône</v>
      </c>
      <c r="K548" s="1" t="str">
        <f>IFERROR(__xludf.DUMMYFUNCTION("IF( COUNTA( IFERROR( FILTER('départements_edition'!$C$2:$C$102 , 'départements_edition'!$C$2:$C$102=J548 ) ) ) , ""Oui"" , ""Non"" )"),"Non")</f>
        <v>Non</v>
      </c>
      <c r="L548" s="1" t="str">
        <f t="shared" si="2"/>
        <v>Rhône</v>
      </c>
      <c r="M548" s="1">
        <v>69.0</v>
      </c>
      <c r="N548" s="1" t="s">
        <v>1363</v>
      </c>
      <c r="O548" s="1">
        <v>14.0</v>
      </c>
      <c r="P548" s="2">
        <v>42907.0</v>
      </c>
      <c r="R548" s="1">
        <v>0.0</v>
      </c>
      <c r="S548" s="1" t="s">
        <v>75</v>
      </c>
      <c r="T548" s="1" t="s">
        <v>76</v>
      </c>
      <c r="U548" s="1" t="s">
        <v>2957</v>
      </c>
      <c r="X548" s="1" t="s">
        <v>570</v>
      </c>
      <c r="Y548" s="1">
        <v>421.0</v>
      </c>
      <c r="Z548" s="3" t="s">
        <v>2958</v>
      </c>
      <c r="AA548" s="1">
        <v>608641.0</v>
      </c>
      <c r="AB548" s="1" t="s">
        <v>2959</v>
      </c>
      <c r="AC548" s="3" t="s">
        <v>2960</v>
      </c>
      <c r="AD548" s="3" t="s">
        <v>2961</v>
      </c>
      <c r="AE548" s="1">
        <v>1.0</v>
      </c>
      <c r="AF548" s="1" t="s">
        <v>2962</v>
      </c>
      <c r="AG548" s="1">
        <v>20.0</v>
      </c>
      <c r="AH548" s="1">
        <v>31.0</v>
      </c>
      <c r="AI548" s="1">
        <v>3.0</v>
      </c>
      <c r="AJ548" s="1">
        <v>10.0</v>
      </c>
      <c r="AK548" s="1">
        <v>1.0</v>
      </c>
      <c r="AL548" s="1">
        <v>3.0</v>
      </c>
      <c r="AM548" s="1">
        <v>114.0</v>
      </c>
      <c r="AN548" s="1">
        <v>60.0</v>
      </c>
      <c r="AO548" s="1">
        <v>1.0</v>
      </c>
      <c r="AP548" s="1">
        <v>0.0</v>
      </c>
      <c r="AQ548" s="1">
        <v>6.0</v>
      </c>
      <c r="AR548" s="1">
        <v>6.0</v>
      </c>
      <c r="AS548" s="1">
        <v>1.0</v>
      </c>
    </row>
    <row r="549" hidden="1">
      <c r="A549" s="1">
        <v>6.0</v>
      </c>
      <c r="B549" s="1" t="s">
        <v>3190</v>
      </c>
      <c r="C549" s="1" t="s">
        <v>3191</v>
      </c>
      <c r="D549" s="1" t="s">
        <v>3192</v>
      </c>
      <c r="E549" s="1" t="s">
        <v>43</v>
      </c>
      <c r="F549" s="2">
        <v>21305.0</v>
      </c>
      <c r="G549" s="1">
        <f t="shared" si="1"/>
        <v>68</v>
      </c>
      <c r="H549" s="1" t="s">
        <v>3193</v>
      </c>
      <c r="I549" s="1" t="str">
        <f>IFERROR(__xludf.DUMMYFUNCTION("SPLIT(left(H549,len(H549)-1),""("")"),"Lyon 6 ")</f>
        <v>Lyon 6 </v>
      </c>
      <c r="J549" s="1" t="str">
        <f>IFERROR(__xludf.DUMMYFUNCTION("""COMPUTED_VALUE"""),"Rhône")</f>
        <v>Rhône</v>
      </c>
      <c r="K549" s="1" t="str">
        <f>IFERROR(__xludf.DUMMYFUNCTION("IF( COUNTA( IFERROR( FILTER('départements_edition'!$C$2:$C$102 , 'départements_edition'!$C$2:$C$102=J549 ) ) ) , ""Oui"" , ""Non"" )"),"Non")</f>
        <v>Non</v>
      </c>
      <c r="L549" s="1" t="str">
        <f t="shared" si="2"/>
        <v>Rhône</v>
      </c>
      <c r="M549" s="1">
        <v>69.0</v>
      </c>
      <c r="N549" s="1" t="s">
        <v>1363</v>
      </c>
      <c r="O549" s="1">
        <v>12.0</v>
      </c>
      <c r="P549" s="2">
        <v>42907.0</v>
      </c>
      <c r="R549" s="1">
        <v>0.0</v>
      </c>
      <c r="S549" s="1" t="s">
        <v>280</v>
      </c>
      <c r="T549" s="1" t="s">
        <v>281</v>
      </c>
      <c r="U549" s="1" t="s">
        <v>3194</v>
      </c>
      <c r="X549" s="1" t="s">
        <v>151</v>
      </c>
      <c r="Y549" s="1">
        <v>184.0</v>
      </c>
      <c r="Z549" s="3" t="s">
        <v>3195</v>
      </c>
      <c r="AA549" s="1">
        <v>722374.0</v>
      </c>
      <c r="AB549" s="1" t="s">
        <v>3196</v>
      </c>
      <c r="AC549" s="3" t="s">
        <v>3197</v>
      </c>
      <c r="AD549" s="3" t="s">
        <v>3198</v>
      </c>
      <c r="AE549" s="1">
        <v>1.0</v>
      </c>
      <c r="AF549" s="1" t="s">
        <v>3199</v>
      </c>
      <c r="AG549" s="1">
        <v>20.0</v>
      </c>
      <c r="AH549" s="1">
        <v>32.0</v>
      </c>
      <c r="AI549" s="1">
        <v>16.0</v>
      </c>
      <c r="AJ549" s="1">
        <v>12.0</v>
      </c>
      <c r="AK549" s="1">
        <v>8.0</v>
      </c>
      <c r="AL549" s="1">
        <v>17.0</v>
      </c>
      <c r="AM549" s="1">
        <v>263.0</v>
      </c>
      <c r="AN549" s="1">
        <v>25.0</v>
      </c>
      <c r="AO549" s="1">
        <v>0.0</v>
      </c>
      <c r="AP549" s="1">
        <v>0.0</v>
      </c>
      <c r="AQ549" s="1">
        <v>5.0</v>
      </c>
      <c r="AR549" s="1">
        <v>11.0</v>
      </c>
      <c r="AS549" s="1">
        <v>0.0</v>
      </c>
    </row>
    <row r="550" hidden="1">
      <c r="A550" s="1">
        <v>214.0</v>
      </c>
      <c r="B550" s="1" t="s">
        <v>3745</v>
      </c>
      <c r="C550" s="1" t="s">
        <v>3746</v>
      </c>
      <c r="D550" s="1" t="s">
        <v>1262</v>
      </c>
      <c r="E550" s="1" t="s">
        <v>43</v>
      </c>
      <c r="F550" s="2">
        <v>29727.0</v>
      </c>
      <c r="G550" s="1">
        <f t="shared" si="1"/>
        <v>45</v>
      </c>
      <c r="H550" s="1" t="s">
        <v>3747</v>
      </c>
      <c r="I550" s="1" t="str">
        <f>IFERROR(__xludf.DUMMYFUNCTION("SPLIT(left(H550,len(H550)-1),""("")"),"Saint-Symphorien-sur-Coise ")</f>
        <v>Saint-Symphorien-sur-Coise </v>
      </c>
      <c r="J550" s="1" t="str">
        <f>IFERROR(__xludf.DUMMYFUNCTION("""COMPUTED_VALUE"""),"Rhône")</f>
        <v>Rhône</v>
      </c>
      <c r="K550" s="1" t="str">
        <f>IFERROR(__xludf.DUMMYFUNCTION("IF( COUNTA( IFERROR( FILTER('départements_edition'!$C$2:$C$102 , 'départements_edition'!$C$2:$C$102=J550 ) ) ) , ""Oui"" , ""Non"" )"),"Non")</f>
        <v>Non</v>
      </c>
      <c r="L550" s="1" t="str">
        <f t="shared" si="2"/>
        <v>Rhône</v>
      </c>
      <c r="M550" s="1">
        <v>69.0</v>
      </c>
      <c r="N550" s="1" t="s">
        <v>1363</v>
      </c>
      <c r="O550" s="1">
        <v>10.0</v>
      </c>
      <c r="P550" s="2">
        <v>42907.0</v>
      </c>
      <c r="R550" s="1">
        <v>0.0</v>
      </c>
      <c r="S550" s="1" t="s">
        <v>75</v>
      </c>
      <c r="T550" s="1" t="s">
        <v>76</v>
      </c>
      <c r="U550" s="1" t="s">
        <v>3748</v>
      </c>
      <c r="X550" s="1" t="s">
        <v>198</v>
      </c>
      <c r="Y550" s="1">
        <v>273.0</v>
      </c>
      <c r="Z550" s="3" t="s">
        <v>3749</v>
      </c>
      <c r="AA550" s="1">
        <v>722358.0</v>
      </c>
      <c r="AB550" s="1" t="s">
        <v>3750</v>
      </c>
      <c r="AC550" s="3" t="s">
        <v>3751</v>
      </c>
      <c r="AD550" s="3" t="s">
        <v>3752</v>
      </c>
      <c r="AE550" s="1">
        <v>2.0</v>
      </c>
      <c r="AF550" s="1" t="s">
        <v>3753</v>
      </c>
      <c r="AG550" s="1">
        <v>19.0</v>
      </c>
      <c r="AH550" s="1">
        <v>32.0</v>
      </c>
      <c r="AI550" s="1">
        <v>10.0</v>
      </c>
      <c r="AJ550" s="1">
        <v>1.0</v>
      </c>
      <c r="AK550" s="1">
        <v>0.0</v>
      </c>
      <c r="AL550" s="1">
        <v>0.0</v>
      </c>
      <c r="AM550" s="1">
        <v>4.0</v>
      </c>
      <c r="AN550" s="1">
        <v>1.0</v>
      </c>
      <c r="AO550" s="1">
        <v>1.0</v>
      </c>
      <c r="AP550" s="1">
        <v>0.0</v>
      </c>
      <c r="AQ550" s="1">
        <v>5.0</v>
      </c>
      <c r="AR550" s="1">
        <v>0.0</v>
      </c>
      <c r="AS550" s="1">
        <v>0.0</v>
      </c>
    </row>
    <row r="551" hidden="1">
      <c r="A551" s="1">
        <v>309.0</v>
      </c>
      <c r="B551" s="1" t="s">
        <v>5067</v>
      </c>
      <c r="C551" s="1" t="s">
        <v>5068</v>
      </c>
      <c r="D551" s="1" t="s">
        <v>5069</v>
      </c>
      <c r="E551" s="1" t="s">
        <v>58</v>
      </c>
      <c r="F551" s="2">
        <v>29312.0</v>
      </c>
      <c r="G551" s="1">
        <f t="shared" si="1"/>
        <v>46</v>
      </c>
      <c r="H551" s="1" t="s">
        <v>5070</v>
      </c>
      <c r="I551" s="1" t="str">
        <f>IFERROR(__xludf.DUMMYFUNCTION("SPLIT(left(H551,len(H551)-1),""("")"),"Vénissieux ")</f>
        <v>Vénissieux </v>
      </c>
      <c r="J551" s="1" t="str">
        <f>IFERROR(__xludf.DUMMYFUNCTION("""COMPUTED_VALUE"""),"Rhône")</f>
        <v>Rhône</v>
      </c>
      <c r="K551" s="1" t="str">
        <f>IFERROR(__xludf.DUMMYFUNCTION("IF( COUNTA( IFERROR( FILTER('départements_edition'!$C$2:$C$102 , 'départements_edition'!$C$2:$C$102=J551 ) ) ) , ""Oui"" , ""Non"" )"),"Non")</f>
        <v>Non</v>
      </c>
      <c r="L551" s="1" t="str">
        <f t="shared" si="2"/>
        <v>Rhône</v>
      </c>
      <c r="M551" s="1">
        <v>69.0</v>
      </c>
      <c r="N551" s="1" t="s">
        <v>1363</v>
      </c>
      <c r="O551" s="1">
        <v>7.0</v>
      </c>
      <c r="P551" s="2">
        <v>42907.0</v>
      </c>
      <c r="R551" s="1">
        <v>0.0</v>
      </c>
      <c r="S551" s="1" t="s">
        <v>75</v>
      </c>
      <c r="T551" s="1" t="s">
        <v>76</v>
      </c>
      <c r="U551" s="1" t="s">
        <v>5071</v>
      </c>
      <c r="X551" s="1" t="s">
        <v>5072</v>
      </c>
      <c r="Y551" s="1">
        <v>573.0</v>
      </c>
      <c r="Z551" s="3" t="s">
        <v>5073</v>
      </c>
      <c r="AA551" s="1">
        <v>722300.0</v>
      </c>
      <c r="AB551" s="1" t="s">
        <v>5074</v>
      </c>
      <c r="AC551" s="3" t="s">
        <v>5075</v>
      </c>
      <c r="AD551" s="3" t="s">
        <v>5076</v>
      </c>
      <c r="AE551" s="1">
        <v>1.0</v>
      </c>
      <c r="AF551" s="1" t="s">
        <v>5077</v>
      </c>
      <c r="AG551" s="1">
        <v>14.0</v>
      </c>
      <c r="AH551" s="1">
        <v>28.0</v>
      </c>
      <c r="AI551" s="1">
        <v>6.0</v>
      </c>
      <c r="AJ551" s="1">
        <v>5.0</v>
      </c>
      <c r="AK551" s="1">
        <v>0.0</v>
      </c>
      <c r="AL551" s="1">
        <v>0.0</v>
      </c>
      <c r="AM551" s="1">
        <v>14.0</v>
      </c>
      <c r="AN551" s="1">
        <v>1.0</v>
      </c>
      <c r="AO551" s="1">
        <v>0.0</v>
      </c>
      <c r="AP551" s="1">
        <v>0.0</v>
      </c>
      <c r="AQ551" s="1">
        <v>5.0</v>
      </c>
      <c r="AR551" s="1">
        <v>4.0</v>
      </c>
      <c r="AS551" s="1">
        <v>1.0</v>
      </c>
    </row>
    <row r="552" hidden="1">
      <c r="A552" s="1">
        <v>544.0</v>
      </c>
      <c r="B552" s="1" t="s">
        <v>5277</v>
      </c>
      <c r="C552" s="1" t="s">
        <v>5278</v>
      </c>
      <c r="D552" s="1" t="s">
        <v>312</v>
      </c>
      <c r="E552" s="1" t="s">
        <v>58</v>
      </c>
      <c r="F552" s="2">
        <v>23985.0</v>
      </c>
      <c r="G552" s="1">
        <f t="shared" si="1"/>
        <v>60</v>
      </c>
      <c r="H552" s="1" t="s">
        <v>5279</v>
      </c>
      <c r="I552" s="1" t="str">
        <f>IFERROR(__xludf.DUMMYFUNCTION("SPLIT(left(H552,len(H552)-1),""("")"),"Lyon 7ème ")</f>
        <v>Lyon 7ème </v>
      </c>
      <c r="J552" s="1" t="str">
        <f>IFERROR(__xludf.DUMMYFUNCTION("""COMPUTED_VALUE"""),"Rhône")</f>
        <v>Rhône</v>
      </c>
      <c r="K552" s="1" t="str">
        <f>IFERROR(__xludf.DUMMYFUNCTION("IF( COUNTA( IFERROR( FILTER('départements_edition'!$C$2:$C$102 , 'départements_edition'!$C$2:$C$102=J552 ) ) ) , ""Oui"" , ""Non"" )"),"Non")</f>
        <v>Non</v>
      </c>
      <c r="L552" s="1" t="str">
        <f t="shared" si="2"/>
        <v>Rhône</v>
      </c>
      <c r="M552" s="1">
        <v>69.0</v>
      </c>
      <c r="N552" s="1" t="s">
        <v>1363</v>
      </c>
      <c r="O552" s="1">
        <v>13.0</v>
      </c>
      <c r="P552" s="2">
        <v>42907.0</v>
      </c>
      <c r="R552" s="1">
        <v>0.0</v>
      </c>
      <c r="S552" s="1" t="s">
        <v>75</v>
      </c>
      <c r="T552" s="1" t="s">
        <v>76</v>
      </c>
      <c r="X552" s="1" t="s">
        <v>5280</v>
      </c>
      <c r="Y552" s="1">
        <v>624.0</v>
      </c>
      <c r="Z552" s="3" t="s">
        <v>5281</v>
      </c>
      <c r="AA552" s="1">
        <v>721352.0</v>
      </c>
      <c r="AB552" s="1" t="s">
        <v>5282</v>
      </c>
      <c r="AC552" s="3" t="s">
        <v>5283</v>
      </c>
      <c r="AD552" s="3" t="s">
        <v>5284</v>
      </c>
      <c r="AE552" s="1">
        <v>1.0</v>
      </c>
      <c r="AG552" s="1">
        <v>12.0</v>
      </c>
      <c r="AH552" s="1">
        <v>17.0</v>
      </c>
      <c r="AI552" s="1">
        <v>4.0</v>
      </c>
      <c r="AJ552" s="1">
        <v>3.0</v>
      </c>
      <c r="AK552" s="1">
        <v>2.0</v>
      </c>
      <c r="AL552" s="1">
        <v>0.0</v>
      </c>
      <c r="AM552" s="1">
        <v>53.0</v>
      </c>
      <c r="AN552" s="1">
        <v>14.0</v>
      </c>
      <c r="AO552" s="1">
        <v>0.0</v>
      </c>
      <c r="AP552" s="1">
        <v>0.0</v>
      </c>
      <c r="AQ552" s="1">
        <v>6.0</v>
      </c>
      <c r="AR552" s="1">
        <v>5.0</v>
      </c>
      <c r="AS552" s="1">
        <v>1.0</v>
      </c>
    </row>
    <row r="553" hidden="1">
      <c r="A553" s="1">
        <v>286.0</v>
      </c>
      <c r="B553" s="1" t="s">
        <v>4659</v>
      </c>
      <c r="C553" s="1" t="s">
        <v>4660</v>
      </c>
      <c r="D553" s="1" t="s">
        <v>1341</v>
      </c>
      <c r="E553" s="1" t="s">
        <v>43</v>
      </c>
      <c r="F553" s="2">
        <v>32888.0</v>
      </c>
      <c r="G553" s="1">
        <f t="shared" si="1"/>
        <v>36</v>
      </c>
      <c r="H553" s="1" t="s">
        <v>4661</v>
      </c>
      <c r="I553" s="1" t="str">
        <f>IFERROR(__xludf.DUMMYFUNCTION("SPLIT(left(H553,len(H553)-1),""("")"),"Madanzh-Buhimga ")</f>
        <v>Madanzh-Buhimga </v>
      </c>
      <c r="J553" s="1" t="str">
        <f>IFERROR(__xludf.DUMMYFUNCTION("""COMPUTED_VALUE"""),"Rwanda")</f>
        <v>Rwanda</v>
      </c>
      <c r="K553" s="1" t="str">
        <f>IFERROR(__xludf.DUMMYFUNCTION("IF( COUNTA( IFERROR( FILTER('départements_edition'!$C$2:$C$102 , 'départements_edition'!$C$2:$C$102=J553 ) ) ) , ""Oui"" , ""Non"" )"),"Non")</f>
        <v>Non</v>
      </c>
      <c r="L553" s="1" t="str">
        <f t="shared" si="2"/>
        <v>Rwanda</v>
      </c>
      <c r="M553" s="1">
        <v>22.0</v>
      </c>
      <c r="N553" s="1" t="s">
        <v>1883</v>
      </c>
      <c r="O553" s="1">
        <v>2.0</v>
      </c>
      <c r="P553" s="2">
        <v>42907.0</v>
      </c>
      <c r="R553" s="1">
        <v>0.0</v>
      </c>
      <c r="S553" s="1" t="s">
        <v>75</v>
      </c>
      <c r="T553" s="1" t="s">
        <v>76</v>
      </c>
      <c r="U553" s="1" t="s">
        <v>4662</v>
      </c>
      <c r="X553" s="1" t="s">
        <v>162</v>
      </c>
      <c r="Y553" s="1">
        <v>212.0</v>
      </c>
      <c r="Z553" s="3" t="s">
        <v>4663</v>
      </c>
      <c r="AA553" s="1">
        <v>719218.0</v>
      </c>
      <c r="AB553" s="1" t="s">
        <v>4664</v>
      </c>
      <c r="AC553" s="3" t="s">
        <v>4665</v>
      </c>
      <c r="AD553" s="3" t="s">
        <v>4666</v>
      </c>
      <c r="AE553" s="1">
        <v>1.0</v>
      </c>
      <c r="AF553" s="1" t="s">
        <v>4667</v>
      </c>
      <c r="AG553" s="1">
        <v>16.0</v>
      </c>
      <c r="AH553" s="1">
        <v>29.0</v>
      </c>
      <c r="AI553" s="1">
        <v>12.0</v>
      </c>
      <c r="AJ553" s="1">
        <v>5.0</v>
      </c>
      <c r="AK553" s="1">
        <v>2.0</v>
      </c>
      <c r="AL553" s="1">
        <v>0.0</v>
      </c>
      <c r="AM553" s="1">
        <v>22.0</v>
      </c>
      <c r="AN553" s="1">
        <v>8.0</v>
      </c>
      <c r="AO553" s="1">
        <v>0.0</v>
      </c>
      <c r="AP553" s="1">
        <v>0.0</v>
      </c>
      <c r="AQ553" s="1">
        <v>5.0</v>
      </c>
      <c r="AR553" s="1">
        <v>0.0</v>
      </c>
      <c r="AS553" s="1">
        <v>1.0</v>
      </c>
    </row>
    <row r="554" hidden="1">
      <c r="A554" s="1">
        <v>444.0</v>
      </c>
      <c r="B554" s="1" t="s">
        <v>4764</v>
      </c>
      <c r="C554" s="1" t="s">
        <v>4765</v>
      </c>
      <c r="D554" s="1" t="s">
        <v>3905</v>
      </c>
      <c r="E554" s="1" t="s">
        <v>58</v>
      </c>
      <c r="F554" s="2">
        <v>21069.0</v>
      </c>
      <c r="G554" s="1">
        <f t="shared" si="1"/>
        <v>68</v>
      </c>
      <c r="H554" s="1" t="s">
        <v>4766</v>
      </c>
      <c r="I554" s="1" t="str">
        <f>IFERROR(__xludf.DUMMYFUNCTION("SPLIT(left(H554,len(H554)-1),""("")"),"Saint-Martin ")</f>
        <v>Saint-Martin </v>
      </c>
      <c r="J554" s="1" t="str">
        <f>IFERROR(__xludf.DUMMYFUNCTION("""COMPUTED_VALUE"""),"Saint-Barthélemy et Saint-Martin")</f>
        <v>Saint-Barthélemy et Saint-Martin</v>
      </c>
      <c r="K554" s="1" t="str">
        <f>IFERROR(__xludf.DUMMYFUNCTION("IF( COUNTA( IFERROR( FILTER('départements_edition'!$C$2:$C$102 , 'départements_edition'!$C$2:$C$102=J554 ) ) ) , ""Oui"" , ""Non"" )"),"Non")</f>
        <v>Non</v>
      </c>
      <c r="L554" s="1" t="str">
        <f t="shared" si="2"/>
        <v>Saint-Barthélemy et Saint-Martin</v>
      </c>
      <c r="M554" s="1">
        <v>977.0</v>
      </c>
      <c r="N554" s="1" t="s">
        <v>4767</v>
      </c>
      <c r="O554" s="1">
        <v>1.0</v>
      </c>
      <c r="P554" s="2">
        <v>42907.0</v>
      </c>
      <c r="R554" s="1">
        <v>0.0</v>
      </c>
      <c r="S554" s="1" t="s">
        <v>61</v>
      </c>
      <c r="T554" s="1" t="s">
        <v>62</v>
      </c>
      <c r="X554" s="1" t="s">
        <v>4768</v>
      </c>
      <c r="Y554" s="1">
        <v>40.0</v>
      </c>
      <c r="Z554" s="3" t="s">
        <v>4769</v>
      </c>
      <c r="AA554" s="1">
        <v>721126.0</v>
      </c>
      <c r="AB554" s="1" t="s">
        <v>4770</v>
      </c>
      <c r="AC554" s="3" t="s">
        <v>4771</v>
      </c>
      <c r="AD554" s="3" t="s">
        <v>4772</v>
      </c>
      <c r="AE554" s="1">
        <v>1.0</v>
      </c>
      <c r="AG554" s="1">
        <v>16.0</v>
      </c>
      <c r="AH554" s="1">
        <v>36.0</v>
      </c>
      <c r="AI554" s="1">
        <v>3.0</v>
      </c>
      <c r="AJ554" s="1">
        <v>1.0</v>
      </c>
      <c r="AK554" s="1">
        <v>1.0</v>
      </c>
      <c r="AL554" s="1">
        <v>1.0</v>
      </c>
      <c r="AM554" s="1">
        <v>249.0</v>
      </c>
      <c r="AN554" s="1">
        <v>15.0</v>
      </c>
      <c r="AO554" s="1">
        <v>0.0</v>
      </c>
      <c r="AP554" s="1">
        <v>0.0</v>
      </c>
      <c r="AQ554" s="1">
        <v>3.0</v>
      </c>
      <c r="AR554" s="1">
        <v>0.0</v>
      </c>
      <c r="AS554" s="1">
        <v>1.0</v>
      </c>
    </row>
    <row r="555" hidden="1">
      <c r="A555" s="1">
        <v>582.0</v>
      </c>
      <c r="B555" s="1" t="s">
        <v>5476</v>
      </c>
      <c r="C555" s="1" t="s">
        <v>5477</v>
      </c>
      <c r="D555" s="1" t="s">
        <v>1540</v>
      </c>
      <c r="E555" s="1" t="s">
        <v>43</v>
      </c>
      <c r="F555" s="2">
        <v>23551.0</v>
      </c>
      <c r="G555" s="1">
        <f t="shared" si="1"/>
        <v>62</v>
      </c>
      <c r="H555" s="1" t="s">
        <v>5478</v>
      </c>
      <c r="I555" s="1" t="str">
        <f>IFERROR(__xludf.DUMMYFUNCTION("SPLIT(left(H555,len(H555)-1),""("")"),"Saint-Pierre-et-Miquelon ")</f>
        <v>Saint-Pierre-et-Miquelon </v>
      </c>
      <c r="J555" s="1" t="str">
        <f>IFERROR(__xludf.DUMMYFUNCTION("""COMPUTED_VALUE"""),"Saint-Pierre-et-Miquelon")</f>
        <v>Saint-Pierre-et-Miquelon</v>
      </c>
      <c r="K555" s="1" t="str">
        <f>IFERROR(__xludf.DUMMYFUNCTION("IF( COUNTA( IFERROR( FILTER('départements_edition'!$C$2:$C$102 , 'départements_edition'!$C$2:$C$102=J555 ) ) ) , ""Oui"" , ""Non"" )"),"Non")</f>
        <v>Non</v>
      </c>
      <c r="L555" s="1" t="str">
        <f t="shared" si="2"/>
        <v>Saint-Pierre-et-Miquelon</v>
      </c>
      <c r="M555" s="1">
        <v>975.0</v>
      </c>
      <c r="N555" s="1" t="s">
        <v>5479</v>
      </c>
      <c r="O555" s="1">
        <v>1.0</v>
      </c>
      <c r="P555" s="2">
        <v>42938.0</v>
      </c>
      <c r="R555" s="1">
        <v>0.0</v>
      </c>
      <c r="S555" s="1" t="s">
        <v>75</v>
      </c>
      <c r="T555" s="1" t="s">
        <v>5480</v>
      </c>
      <c r="U555" s="1" t="s">
        <v>5481</v>
      </c>
      <c r="X555" s="1" t="s">
        <v>5482</v>
      </c>
      <c r="Y555" s="1">
        <v>599.0</v>
      </c>
      <c r="Z555" s="3" t="s">
        <v>5483</v>
      </c>
      <c r="AA555" s="1">
        <v>702054.0</v>
      </c>
      <c r="AB555" s="1" t="s">
        <v>5484</v>
      </c>
      <c r="AC555" s="3" t="s">
        <v>5485</v>
      </c>
      <c r="AD555" s="3" t="s">
        <v>5486</v>
      </c>
      <c r="AE555" s="1">
        <v>1.0</v>
      </c>
      <c r="AF555" s="1" t="s">
        <v>5487</v>
      </c>
      <c r="AG555" s="1">
        <v>7.0</v>
      </c>
      <c r="AH555" s="1">
        <v>18.0</v>
      </c>
      <c r="AI555" s="1">
        <v>7.0</v>
      </c>
      <c r="AJ555" s="1">
        <v>6.0</v>
      </c>
      <c r="AK555" s="1">
        <v>0.0</v>
      </c>
      <c r="AL555" s="1">
        <v>0.0</v>
      </c>
      <c r="AM555" s="1">
        <v>67.0</v>
      </c>
      <c r="AN555" s="1">
        <v>18.0</v>
      </c>
      <c r="AO555" s="1">
        <v>0.0</v>
      </c>
      <c r="AP555" s="1">
        <v>0.0</v>
      </c>
      <c r="AQ555" s="1">
        <v>6.0</v>
      </c>
      <c r="AR555" s="1">
        <v>1.0</v>
      </c>
      <c r="AS555" s="1">
        <v>0.0</v>
      </c>
    </row>
    <row r="556" hidden="1">
      <c r="A556" s="1">
        <v>426.0</v>
      </c>
      <c r="B556" s="1" t="s">
        <v>3862</v>
      </c>
      <c r="C556" s="1" t="s">
        <v>3863</v>
      </c>
      <c r="D556" s="1" t="s">
        <v>3864</v>
      </c>
      <c r="E556" s="1" t="s">
        <v>43</v>
      </c>
      <c r="F556" s="2">
        <v>28856.0</v>
      </c>
      <c r="G556" s="1">
        <f t="shared" si="1"/>
        <v>47</v>
      </c>
      <c r="H556" s="1" t="s">
        <v>3865</v>
      </c>
      <c r="I556" s="1" t="str">
        <f>IFERROR(__xludf.DUMMYFUNCTION("SPLIT(left(H556,len(H556)-1),""("")"),"Dakar ")</f>
        <v>Dakar </v>
      </c>
      <c r="J556" s="1" t="str">
        <f>IFERROR(__xludf.DUMMYFUNCTION("""COMPUTED_VALUE"""),"Senegal")</f>
        <v>Senegal</v>
      </c>
      <c r="K556" s="1" t="str">
        <f>IFERROR(__xludf.DUMMYFUNCTION("IF( COUNTA( IFERROR( FILTER('départements_edition'!$C$2:$C$102 , 'départements_edition'!$C$2:$C$102=J556 ) ) ) , ""Oui"" , ""Non"" )"),"Non")</f>
        <v>Non</v>
      </c>
      <c r="L556" s="1" t="str">
        <f t="shared" si="2"/>
        <v>Senegal</v>
      </c>
      <c r="M556" s="1">
        <v>94.0</v>
      </c>
      <c r="N556" s="1" t="s">
        <v>642</v>
      </c>
      <c r="O556" s="1">
        <v>2.0</v>
      </c>
      <c r="P556" s="2">
        <v>42907.0</v>
      </c>
      <c r="R556" s="1">
        <v>0.0</v>
      </c>
      <c r="S556" s="1" t="s">
        <v>75</v>
      </c>
      <c r="T556" s="1" t="s">
        <v>76</v>
      </c>
      <c r="U556" s="1" t="s">
        <v>3866</v>
      </c>
      <c r="X556" s="1" t="s">
        <v>936</v>
      </c>
      <c r="Y556" s="1">
        <v>426.0</v>
      </c>
      <c r="Z556" s="3" t="s">
        <v>3867</v>
      </c>
      <c r="AA556" s="1">
        <v>720870.0</v>
      </c>
      <c r="AB556" s="1" t="s">
        <v>3868</v>
      </c>
      <c r="AC556" s="3" t="s">
        <v>3869</v>
      </c>
      <c r="AD556" s="3" t="s">
        <v>3870</v>
      </c>
      <c r="AE556" s="1">
        <v>1.0</v>
      </c>
      <c r="AF556" s="1" t="s">
        <v>3871</v>
      </c>
      <c r="AG556" s="1">
        <v>19.0</v>
      </c>
      <c r="AH556" s="1">
        <v>32.0</v>
      </c>
      <c r="AI556" s="1">
        <v>9.0</v>
      </c>
      <c r="AJ556" s="1">
        <v>16.0</v>
      </c>
      <c r="AK556" s="1">
        <v>1.0</v>
      </c>
      <c r="AL556" s="1">
        <v>0.0</v>
      </c>
      <c r="AM556" s="1">
        <v>16.0</v>
      </c>
      <c r="AN556" s="1">
        <v>9.0</v>
      </c>
      <c r="AO556" s="1">
        <v>0.0</v>
      </c>
      <c r="AP556" s="1">
        <v>0.0</v>
      </c>
      <c r="AQ556" s="1">
        <v>6.0</v>
      </c>
      <c r="AR556" s="1">
        <v>9.0</v>
      </c>
      <c r="AS556" s="1">
        <v>2.0</v>
      </c>
    </row>
    <row r="557" hidden="1">
      <c r="A557" s="1">
        <v>252.0</v>
      </c>
      <c r="B557" s="1" t="s">
        <v>1880</v>
      </c>
      <c r="C557" s="1" t="s">
        <v>1881</v>
      </c>
      <c r="D557" s="1" t="s">
        <v>944</v>
      </c>
      <c r="E557" s="1" t="s">
        <v>43</v>
      </c>
      <c r="F557" s="2">
        <v>20787.0</v>
      </c>
      <c r="G557" s="1">
        <f t="shared" si="1"/>
        <v>69</v>
      </c>
      <c r="H557" s="1" t="s">
        <v>1882</v>
      </c>
      <c r="I557" s="1" t="str">
        <f>IFERROR(__xludf.DUMMYFUNCTION("SPLIT(left(H557,len(H557)-1),""("")"),"Dakar ")</f>
        <v>Dakar </v>
      </c>
      <c r="J557" s="1" t="str">
        <f>IFERROR(__xludf.DUMMYFUNCTION("""COMPUTED_VALUE"""),"Sénégal")</f>
        <v>Sénégal</v>
      </c>
      <c r="K557" s="1" t="str">
        <f>IFERROR(__xludf.DUMMYFUNCTION("IF( COUNTA( IFERROR( FILTER('départements_edition'!$C$2:$C$102 , 'départements_edition'!$C$2:$C$102=J557 ) ) ) , ""Oui"" , ""Non"" )"),"Non")</f>
        <v>Non</v>
      </c>
      <c r="L557" s="1" t="str">
        <f t="shared" si="2"/>
        <v>Sénégal</v>
      </c>
      <c r="M557" s="1">
        <v>22.0</v>
      </c>
      <c r="N557" s="1" t="s">
        <v>1883</v>
      </c>
      <c r="O557" s="1">
        <v>3.0</v>
      </c>
      <c r="P557" s="2">
        <v>42907.0</v>
      </c>
      <c r="R557" s="1">
        <v>0.0</v>
      </c>
      <c r="S557" s="1" t="s">
        <v>61</v>
      </c>
      <c r="T557" s="1" t="s">
        <v>62</v>
      </c>
      <c r="U557" s="1" t="s">
        <v>1884</v>
      </c>
      <c r="X557" s="1" t="s">
        <v>1885</v>
      </c>
      <c r="Y557" s="1">
        <v>96.0</v>
      </c>
      <c r="Z557" s="3" t="s">
        <v>1886</v>
      </c>
      <c r="AA557" s="1">
        <v>1874.0</v>
      </c>
      <c r="AB557" s="1" t="s">
        <v>1887</v>
      </c>
      <c r="AC557" s="3" t="s">
        <v>1888</v>
      </c>
      <c r="AD557" s="3" t="s">
        <v>1889</v>
      </c>
      <c r="AE557" s="1">
        <v>1.0</v>
      </c>
      <c r="AF557" s="1" t="s">
        <v>1890</v>
      </c>
      <c r="AG557" s="1">
        <v>22.0</v>
      </c>
      <c r="AH557" s="1">
        <v>39.0</v>
      </c>
      <c r="AI557" s="1">
        <v>89.0</v>
      </c>
      <c r="AJ557" s="1">
        <v>638.0</v>
      </c>
      <c r="AK557" s="1">
        <v>2335.0</v>
      </c>
      <c r="AL557" s="1">
        <v>545.0</v>
      </c>
      <c r="AM557" s="1">
        <v>1604.0</v>
      </c>
      <c r="AN557" s="1">
        <v>49.0</v>
      </c>
      <c r="AO557" s="1">
        <v>1.0</v>
      </c>
      <c r="AP557" s="1">
        <v>14.0</v>
      </c>
      <c r="AQ557" s="1">
        <v>81.0</v>
      </c>
      <c r="AR557" s="1">
        <v>9.0</v>
      </c>
      <c r="AS557" s="1">
        <v>1.0</v>
      </c>
    </row>
    <row r="558" hidden="1">
      <c r="A558" s="1">
        <v>546.0</v>
      </c>
      <c r="B558" s="1" t="s">
        <v>2804</v>
      </c>
      <c r="C558" s="1" t="s">
        <v>2805</v>
      </c>
      <c r="D558" s="1" t="s">
        <v>2806</v>
      </c>
      <c r="E558" s="1" t="s">
        <v>58</v>
      </c>
      <c r="F558" s="2">
        <v>24543.0</v>
      </c>
      <c r="G558" s="1">
        <f t="shared" si="1"/>
        <v>59</v>
      </c>
      <c r="H558" s="1" t="s">
        <v>2807</v>
      </c>
      <c r="I558" s="1" t="str">
        <f>IFERROR(__xludf.DUMMYFUNCTION("SPLIT(left(H558,len(H558)-1),""("")"),"Pancevo ")</f>
        <v>Pancevo </v>
      </c>
      <c r="J558" s="1" t="str">
        <f>IFERROR(__xludf.DUMMYFUNCTION("""COMPUTED_VALUE"""),"SERBIE")</f>
        <v>SERBIE</v>
      </c>
      <c r="K558" s="1" t="str">
        <f>IFERROR(__xludf.DUMMYFUNCTION("IF( COUNTA( IFERROR( FILTER('départements_edition'!$C$2:$C$102 , 'départements_edition'!$C$2:$C$102=J558 ) ) ) , ""Oui"" , ""Non"" )"),"Non")</f>
        <v>Non</v>
      </c>
      <c r="L558" s="1" t="str">
        <f t="shared" si="2"/>
        <v>SERBIE</v>
      </c>
      <c r="M558" s="1">
        <v>29.0</v>
      </c>
      <c r="N558" s="1" t="s">
        <v>393</v>
      </c>
      <c r="O558" s="1">
        <v>7.0</v>
      </c>
      <c r="P558" s="2">
        <v>42907.0</v>
      </c>
      <c r="R558" s="1">
        <v>0.0</v>
      </c>
      <c r="S558" s="1" t="s">
        <v>75</v>
      </c>
      <c r="T558" s="1" t="s">
        <v>76</v>
      </c>
      <c r="U558" s="1" t="s">
        <v>2808</v>
      </c>
      <c r="X558" s="1" t="s">
        <v>118</v>
      </c>
      <c r="Y558" s="1">
        <v>398.0</v>
      </c>
      <c r="Z558" s="3" t="s">
        <v>2809</v>
      </c>
      <c r="AA558" s="1">
        <v>719550.0</v>
      </c>
      <c r="AB558" s="1" t="s">
        <v>2810</v>
      </c>
      <c r="AC558" s="3" t="s">
        <v>2811</v>
      </c>
      <c r="AD558" s="3" t="s">
        <v>2812</v>
      </c>
      <c r="AE558" s="1">
        <v>2.0</v>
      </c>
      <c r="AF558" s="1" t="s">
        <v>2813</v>
      </c>
      <c r="AG558" s="1">
        <v>21.0</v>
      </c>
      <c r="AH558" s="1">
        <v>55.0</v>
      </c>
      <c r="AI558" s="1">
        <v>20.0</v>
      </c>
      <c r="AJ558" s="1">
        <v>3.0</v>
      </c>
      <c r="AK558" s="1">
        <v>1.0</v>
      </c>
      <c r="AL558" s="1">
        <v>0.0</v>
      </c>
      <c r="AM558" s="1">
        <v>21.0</v>
      </c>
      <c r="AN558" s="1">
        <v>10.0</v>
      </c>
      <c r="AO558" s="1">
        <v>0.0</v>
      </c>
      <c r="AP558" s="1">
        <v>0.0</v>
      </c>
      <c r="AQ558" s="1">
        <v>5.0</v>
      </c>
      <c r="AR558" s="1">
        <v>2.0</v>
      </c>
      <c r="AS558" s="1">
        <v>0.0</v>
      </c>
    </row>
    <row r="559" hidden="1">
      <c r="A559" s="1">
        <v>478.0</v>
      </c>
      <c r="B559" s="1" t="s">
        <v>4264</v>
      </c>
      <c r="C559" s="1" t="s">
        <v>810</v>
      </c>
      <c r="D559" s="1" t="s">
        <v>4265</v>
      </c>
      <c r="E559" s="1" t="s">
        <v>58</v>
      </c>
      <c r="F559" s="2">
        <v>20195.0</v>
      </c>
      <c r="G559" s="1">
        <f t="shared" si="1"/>
        <v>71</v>
      </c>
      <c r="H559" s="1" t="s">
        <v>4266</v>
      </c>
      <c r="I559" s="1" t="str">
        <f>IFERROR(__xludf.DUMMYFUNCTION("SPLIT(left(H559,len(H559)-1),""("")"),"Victoria ")</f>
        <v>Victoria </v>
      </c>
      <c r="J559" s="1" t="str">
        <f>IFERROR(__xludf.DUMMYFUNCTION("""COMPUTED_VALUE"""),"Seychelles")</f>
        <v>Seychelles</v>
      </c>
      <c r="K559" s="1" t="str">
        <f>IFERROR(__xludf.DUMMYFUNCTION("IF( COUNTA( IFERROR( FILTER('départements_edition'!$C$2:$C$102 , 'départements_edition'!$C$2:$C$102=J559 ) ) ) , ""Oui"" , ""Non"" )"),"Non")</f>
        <v>Non</v>
      </c>
      <c r="L559" s="1" t="str">
        <f t="shared" si="2"/>
        <v>Seychelles</v>
      </c>
      <c r="M559" s="1">
        <v>13.0</v>
      </c>
      <c r="N559" s="1" t="s">
        <v>279</v>
      </c>
      <c r="O559" s="1">
        <v>16.0</v>
      </c>
      <c r="P559" s="2">
        <v>42907.0</v>
      </c>
      <c r="R559" s="1">
        <v>0.0</v>
      </c>
      <c r="S559" s="1" t="s">
        <v>75</v>
      </c>
      <c r="T559" s="1" t="s">
        <v>76</v>
      </c>
      <c r="U559" s="1" t="s">
        <v>4267</v>
      </c>
      <c r="X559" s="1" t="s">
        <v>4268</v>
      </c>
      <c r="Y559" s="1">
        <v>244.0</v>
      </c>
      <c r="Z559" s="3" t="s">
        <v>4269</v>
      </c>
      <c r="AA559" s="1">
        <v>719130.0</v>
      </c>
      <c r="AB559" s="1" t="s">
        <v>4270</v>
      </c>
      <c r="AC559" s="3" t="s">
        <v>4271</v>
      </c>
      <c r="AD559" s="3" t="s">
        <v>4272</v>
      </c>
      <c r="AE559" s="1">
        <v>1.0</v>
      </c>
      <c r="AF559" s="1" t="s">
        <v>4273</v>
      </c>
      <c r="AG559" s="1">
        <v>18.0</v>
      </c>
      <c r="AH559" s="1">
        <v>45.0</v>
      </c>
      <c r="AI559" s="1">
        <v>5.0</v>
      </c>
      <c r="AJ559" s="1">
        <v>2.0</v>
      </c>
      <c r="AK559" s="1">
        <v>0.0</v>
      </c>
      <c r="AL559" s="1">
        <v>1.0</v>
      </c>
      <c r="AM559" s="1">
        <v>108.0</v>
      </c>
      <c r="AN559" s="1">
        <v>41.0</v>
      </c>
      <c r="AO559" s="1">
        <v>1.0</v>
      </c>
      <c r="AP559" s="1">
        <v>0.0</v>
      </c>
      <c r="AQ559" s="1">
        <v>5.0</v>
      </c>
      <c r="AR559" s="1">
        <v>2.0</v>
      </c>
      <c r="AS559" s="1">
        <v>0.0</v>
      </c>
    </row>
    <row r="560">
      <c r="A560" s="1">
        <v>352.0</v>
      </c>
      <c r="B560" s="1" t="s">
        <v>252</v>
      </c>
      <c r="C560" s="1" t="s">
        <v>253</v>
      </c>
      <c r="D560" s="1" t="s">
        <v>254</v>
      </c>
      <c r="E560" s="1" t="s">
        <v>43</v>
      </c>
      <c r="F560" s="2">
        <v>31914.0</v>
      </c>
      <c r="G560" s="1">
        <f t="shared" si="1"/>
        <v>39</v>
      </c>
      <c r="H560" s="1" t="s">
        <v>255</v>
      </c>
      <c r="I560" s="1" t="str">
        <f>IFERROR(__xludf.DUMMYFUNCTION("SPLIT(left(H560,len(H560)-1),""("")"),"Bale ")</f>
        <v>Bale </v>
      </c>
      <c r="J560" s="1" t="str">
        <f>IFERROR(__xludf.DUMMYFUNCTION("""COMPUTED_VALUE"""),"Suisse")</f>
        <v>Suisse</v>
      </c>
      <c r="K560" s="1" t="str">
        <f>IFERROR(__xludf.DUMMYFUNCTION("IF( COUNTA( IFERROR( FILTER('départements_edition'!$C$2:$C$102 , 'départements_edition'!$C$2:$C$102=J560 ) ) ) , ""Oui"" , ""Non"" )"),"Non")</f>
        <v>Non</v>
      </c>
      <c r="L560" s="1" t="str">
        <f t="shared" si="2"/>
        <v>Suisse</v>
      </c>
      <c r="M560" s="1">
        <v>999.0</v>
      </c>
      <c r="N560" s="1" t="s">
        <v>256</v>
      </c>
      <c r="O560" s="1">
        <v>3.0</v>
      </c>
      <c r="P560" s="2">
        <v>42907.0</v>
      </c>
      <c r="R560" s="1">
        <v>0.0</v>
      </c>
      <c r="S560" s="1" t="s">
        <v>75</v>
      </c>
      <c r="T560" s="1" t="s">
        <v>76</v>
      </c>
      <c r="U560" s="1" t="s">
        <v>257</v>
      </c>
      <c r="X560" s="1">
        <v>0.0</v>
      </c>
      <c r="Y560" s="1">
        <v>298.0</v>
      </c>
      <c r="Z560" s="3" t="s">
        <v>258</v>
      </c>
      <c r="AA560" s="1">
        <v>721150.0</v>
      </c>
      <c r="AB560" s="1" t="s">
        <v>259</v>
      </c>
      <c r="AC560" s="3" t="s">
        <v>260</v>
      </c>
      <c r="AD560" s="3" t="s">
        <v>261</v>
      </c>
      <c r="AE560" s="1">
        <v>1.0</v>
      </c>
      <c r="AF560" s="1" t="s">
        <v>262</v>
      </c>
      <c r="AG560" s="1">
        <v>25.0</v>
      </c>
      <c r="AH560" s="1">
        <v>62.0</v>
      </c>
      <c r="AI560" s="1">
        <v>21.0</v>
      </c>
      <c r="AJ560" s="1">
        <v>13.0</v>
      </c>
      <c r="AK560" s="1">
        <v>2.0</v>
      </c>
      <c r="AL560" s="1">
        <v>10.0</v>
      </c>
      <c r="AM560" s="1">
        <v>169.0</v>
      </c>
      <c r="AN560" s="1">
        <v>107.0</v>
      </c>
      <c r="AO560" s="1">
        <v>1.0</v>
      </c>
      <c r="AP560" s="1">
        <v>0.0</v>
      </c>
      <c r="AQ560" s="1">
        <v>5.0</v>
      </c>
      <c r="AR560" s="1">
        <v>5.0</v>
      </c>
      <c r="AS560" s="1">
        <v>1.0</v>
      </c>
    </row>
    <row r="561" hidden="1">
      <c r="A561" s="1">
        <v>329.0</v>
      </c>
      <c r="B561" s="1" t="s">
        <v>3991</v>
      </c>
      <c r="C561" s="1" t="s">
        <v>3992</v>
      </c>
      <c r="D561" s="1" t="s">
        <v>810</v>
      </c>
      <c r="E561" s="1" t="s">
        <v>43</v>
      </c>
      <c r="F561" s="2">
        <v>24128.0</v>
      </c>
      <c r="G561" s="1">
        <f t="shared" si="1"/>
        <v>60</v>
      </c>
      <c r="H561" s="1" t="s">
        <v>3993</v>
      </c>
      <c r="I561" s="1" t="str">
        <f>IFERROR(__xludf.DUMMYFUNCTION("SPLIT(left(H561,len(H561)-1),""("")"),"Belfort ")</f>
        <v>Belfort </v>
      </c>
      <c r="J561" s="1" t="str">
        <f>IFERROR(__xludf.DUMMYFUNCTION("""COMPUTED_VALUE"""),"Territoire de Belfort")</f>
        <v>Territoire de Belfort</v>
      </c>
      <c r="K561" s="1" t="str">
        <f>IFERROR(__xludf.DUMMYFUNCTION("IF( COUNTA( IFERROR( FILTER('départements_edition'!$C$2:$C$102 , 'départements_edition'!$C$2:$C$102=J561 ) ) ) , ""Oui"" , ""Non"" )"),"Non")</f>
        <v>Non</v>
      </c>
      <c r="L561" s="1" t="str">
        <f t="shared" si="2"/>
        <v>Territoire de Belfort</v>
      </c>
      <c r="M561" s="1">
        <v>90.0</v>
      </c>
      <c r="N561" s="1" t="s">
        <v>3994</v>
      </c>
      <c r="O561" s="1">
        <v>2.0</v>
      </c>
      <c r="P561" s="2">
        <v>42907.0</v>
      </c>
      <c r="R561" s="1">
        <v>0.0</v>
      </c>
      <c r="S561" s="1" t="s">
        <v>46</v>
      </c>
      <c r="T561" s="1" t="s">
        <v>47</v>
      </c>
      <c r="U561" s="1" t="s">
        <v>3995</v>
      </c>
      <c r="X561" s="1" t="s">
        <v>222</v>
      </c>
      <c r="Y561" s="1">
        <v>122.0</v>
      </c>
      <c r="Z561" s="3" t="s">
        <v>3996</v>
      </c>
      <c r="AA561" s="1">
        <v>267330.0</v>
      </c>
      <c r="AB561" s="1" t="s">
        <v>3997</v>
      </c>
      <c r="AC561" s="3" t="s">
        <v>3998</v>
      </c>
      <c r="AD561" s="3" t="s">
        <v>3999</v>
      </c>
      <c r="AE561" s="1">
        <v>2.0</v>
      </c>
      <c r="AF561" s="1" t="s">
        <v>4000</v>
      </c>
      <c r="AG561" s="1">
        <v>19.0</v>
      </c>
      <c r="AH561" s="1">
        <v>20.0</v>
      </c>
      <c r="AI561" s="1">
        <v>21.0</v>
      </c>
      <c r="AJ561" s="1">
        <v>59.0</v>
      </c>
      <c r="AK561" s="1">
        <v>30.0</v>
      </c>
      <c r="AL561" s="1">
        <v>22.0</v>
      </c>
      <c r="AM561" s="1">
        <v>628.0</v>
      </c>
      <c r="AN561" s="1">
        <v>35.0</v>
      </c>
      <c r="AO561" s="1">
        <v>1.0</v>
      </c>
      <c r="AP561" s="1">
        <v>1.0</v>
      </c>
      <c r="AQ561" s="1">
        <v>13.0</v>
      </c>
      <c r="AR561" s="1">
        <v>8.0</v>
      </c>
      <c r="AS561" s="1">
        <v>0.0</v>
      </c>
    </row>
    <row r="562" hidden="1">
      <c r="A562" s="1">
        <v>109.0</v>
      </c>
      <c r="B562" s="1" t="s">
        <v>5530</v>
      </c>
      <c r="C562" s="1" t="s">
        <v>5531</v>
      </c>
      <c r="D562" s="1" t="s">
        <v>5532</v>
      </c>
      <c r="E562" s="1" t="s">
        <v>43</v>
      </c>
      <c r="F562" s="2">
        <v>32268.0</v>
      </c>
      <c r="G562" s="1">
        <f t="shared" si="1"/>
        <v>38</v>
      </c>
      <c r="H562" s="1" t="s">
        <v>3993</v>
      </c>
      <c r="I562" s="1" t="str">
        <f>IFERROR(__xludf.DUMMYFUNCTION("SPLIT(left(H562,len(H562)-1),""("")"),"Belfort ")</f>
        <v>Belfort </v>
      </c>
      <c r="J562" s="1" t="str">
        <f>IFERROR(__xludf.DUMMYFUNCTION("""COMPUTED_VALUE"""),"Territoire de Belfort")</f>
        <v>Territoire de Belfort</v>
      </c>
      <c r="K562" s="1" t="str">
        <f>IFERROR(__xludf.DUMMYFUNCTION("IF( COUNTA( IFERROR( FILTER('départements_edition'!$C$2:$C$102 , 'départements_edition'!$C$2:$C$102=J562 ) ) ) , ""Oui"" , ""Non"" )"),"Non")</f>
        <v>Non</v>
      </c>
      <c r="L562" s="1" t="str">
        <f t="shared" si="2"/>
        <v>Territoire de Belfort</v>
      </c>
      <c r="M562" s="1">
        <v>90.0</v>
      </c>
      <c r="N562" s="1" t="s">
        <v>3994</v>
      </c>
      <c r="O562" s="1">
        <v>1.0</v>
      </c>
      <c r="P562" s="2">
        <v>43136.0</v>
      </c>
      <c r="R562" s="1">
        <v>0.0</v>
      </c>
      <c r="S562" s="1" t="s">
        <v>61</v>
      </c>
      <c r="T562" s="1" t="s">
        <v>62</v>
      </c>
      <c r="U562" s="1" t="s">
        <v>5533</v>
      </c>
      <c r="X562" s="1" t="s">
        <v>162</v>
      </c>
      <c r="Y562" s="1">
        <v>39.0</v>
      </c>
      <c r="Z562" s="3" t="s">
        <v>5534</v>
      </c>
      <c r="AA562" s="1">
        <v>721816.0</v>
      </c>
      <c r="AB562" s="1" t="s">
        <v>5535</v>
      </c>
      <c r="AC562" s="3" t="s">
        <v>5536</v>
      </c>
      <c r="AD562" s="3" t="s">
        <v>5537</v>
      </c>
      <c r="AE562" s="1">
        <v>2.0</v>
      </c>
      <c r="AF562" s="1" t="s">
        <v>5538</v>
      </c>
      <c r="AG562" s="1">
        <v>0.0</v>
      </c>
      <c r="AH562" s="1">
        <v>0.0</v>
      </c>
      <c r="AI562" s="1">
        <v>0.0</v>
      </c>
      <c r="AJ562" s="1">
        <v>0.0</v>
      </c>
      <c r="AK562" s="1">
        <v>0.0</v>
      </c>
      <c r="AL562" s="1">
        <v>0.0</v>
      </c>
      <c r="AM562" s="1">
        <v>0.0</v>
      </c>
      <c r="AN562" s="1">
        <v>0.0</v>
      </c>
      <c r="AO562" s="1">
        <v>0.0</v>
      </c>
      <c r="AP562" s="1">
        <v>0.0</v>
      </c>
      <c r="AQ562" s="1">
        <v>0.0</v>
      </c>
      <c r="AR562" s="1">
        <v>0.0</v>
      </c>
      <c r="AS562" s="1">
        <v>0.0</v>
      </c>
    </row>
    <row r="563" hidden="1">
      <c r="A563" s="1">
        <v>382.0</v>
      </c>
      <c r="B563" s="1" t="s">
        <v>2204</v>
      </c>
      <c r="C563" s="1" t="s">
        <v>2205</v>
      </c>
      <c r="D563" s="1" t="s">
        <v>1352</v>
      </c>
      <c r="E563" s="1" t="s">
        <v>43</v>
      </c>
      <c r="F563" s="2">
        <v>27833.0</v>
      </c>
      <c r="G563" s="1">
        <f t="shared" si="1"/>
        <v>50</v>
      </c>
      <c r="H563" s="1" t="s">
        <v>2206</v>
      </c>
      <c r="I563" s="1" t="str">
        <f>IFERROR(__xludf.DUMMYFUNCTION("SPLIT(left(H563,len(H563)-1),""("")"),"Lomé ")</f>
        <v>Lomé </v>
      </c>
      <c r="J563" s="1" t="str">
        <f>IFERROR(__xludf.DUMMYFUNCTION("""COMPUTED_VALUE"""),"Togo")</f>
        <v>Togo</v>
      </c>
      <c r="K563" s="1" t="str">
        <f>IFERROR(__xludf.DUMMYFUNCTION("IF( COUNTA( IFERROR( FILTER('départements_edition'!$C$2:$C$102 , 'départements_edition'!$C$2:$C$102=J563 ) ) ) , ""Oui"" , ""Non"" )"),"Non")</f>
        <v>Non</v>
      </c>
      <c r="L563" s="1" t="str">
        <f t="shared" si="2"/>
        <v>Togo</v>
      </c>
      <c r="M563" s="1">
        <v>93.0</v>
      </c>
      <c r="N563" s="1" t="s">
        <v>196</v>
      </c>
      <c r="O563" s="1">
        <v>3.0</v>
      </c>
      <c r="P563" s="2">
        <v>42907.0</v>
      </c>
      <c r="R563" s="1">
        <v>0.0</v>
      </c>
      <c r="S563" s="1" t="s">
        <v>75</v>
      </c>
      <c r="T563" s="1" t="s">
        <v>76</v>
      </c>
      <c r="U563" s="1" t="s">
        <v>2207</v>
      </c>
      <c r="X563" s="1" t="s">
        <v>2208</v>
      </c>
      <c r="Y563" s="1">
        <v>352.0</v>
      </c>
      <c r="Z563" s="3" t="s">
        <v>2209</v>
      </c>
      <c r="AA563" s="1">
        <v>721278.0</v>
      </c>
      <c r="AB563" s="1" t="s">
        <v>2210</v>
      </c>
      <c r="AC563" s="3" t="s">
        <v>2211</v>
      </c>
      <c r="AD563" s="3" t="s">
        <v>2212</v>
      </c>
      <c r="AE563" s="1">
        <v>1.0</v>
      </c>
      <c r="AF563" s="1" t="s">
        <v>2213</v>
      </c>
      <c r="AG563" s="1">
        <v>21.0</v>
      </c>
      <c r="AH563" s="1">
        <v>44.0</v>
      </c>
      <c r="AI563" s="1">
        <v>20.0</v>
      </c>
      <c r="AJ563" s="1">
        <v>5.0</v>
      </c>
      <c r="AK563" s="1">
        <v>1.0</v>
      </c>
      <c r="AL563" s="1">
        <v>3.0</v>
      </c>
      <c r="AM563" s="1">
        <v>73.0</v>
      </c>
      <c r="AN563" s="1">
        <v>31.0</v>
      </c>
      <c r="AO563" s="1">
        <v>1.0</v>
      </c>
      <c r="AP563" s="1">
        <v>0.0</v>
      </c>
      <c r="AQ563" s="1">
        <v>5.0</v>
      </c>
      <c r="AR563" s="1">
        <v>1.0</v>
      </c>
      <c r="AS563" s="1">
        <v>0.0</v>
      </c>
    </row>
    <row r="564" hidden="1">
      <c r="A564" s="1">
        <v>509.0</v>
      </c>
      <c r="B564" s="1" t="s">
        <v>4183</v>
      </c>
      <c r="C564" s="1" t="s">
        <v>4184</v>
      </c>
      <c r="D564" s="1" t="s">
        <v>589</v>
      </c>
      <c r="E564" s="1" t="s">
        <v>43</v>
      </c>
      <c r="F564" s="2">
        <v>19688.0</v>
      </c>
      <c r="G564" s="1">
        <f t="shared" si="1"/>
        <v>72</v>
      </c>
      <c r="H564" s="1" t="s">
        <v>4185</v>
      </c>
      <c r="I564" s="1" t="str">
        <f>IFERROR(__xludf.DUMMYFUNCTION("SPLIT(left(H564,len(H564)-1),""("")"),"Bizerte ")</f>
        <v>Bizerte </v>
      </c>
      <c r="J564" s="1" t="str">
        <f>IFERROR(__xludf.DUMMYFUNCTION("""COMPUTED_VALUE"""),"Tunisie")</f>
        <v>Tunisie</v>
      </c>
      <c r="K564" s="1" t="str">
        <f>IFERROR(__xludf.DUMMYFUNCTION("IF( COUNTA( IFERROR( FILTER('départements_edition'!$C$2:$C$102 , 'départements_edition'!$C$2:$C$102=J564 ) ) ) , ""Oui"" , ""Non"" )"),"Non")</f>
        <v>Non</v>
      </c>
      <c r="L564" s="1" t="str">
        <f t="shared" si="2"/>
        <v>Tunisie</v>
      </c>
      <c r="M564" s="1">
        <v>22.0</v>
      </c>
      <c r="N564" s="1" t="s">
        <v>1883</v>
      </c>
      <c r="O564" s="1">
        <v>1.0</v>
      </c>
      <c r="P564" s="2">
        <v>42907.0</v>
      </c>
      <c r="R564" s="1">
        <v>0.0</v>
      </c>
      <c r="S564" s="1" t="s">
        <v>280</v>
      </c>
      <c r="T564" s="1" t="s">
        <v>281</v>
      </c>
      <c r="U564" s="1" t="s">
        <v>4186</v>
      </c>
      <c r="X564" s="1" t="s">
        <v>4187</v>
      </c>
      <c r="Y564" s="1">
        <v>179.0</v>
      </c>
      <c r="Z564" s="3" t="s">
        <v>4188</v>
      </c>
      <c r="AA564" s="1">
        <v>719210.0</v>
      </c>
      <c r="AB564" s="1" t="s">
        <v>4189</v>
      </c>
      <c r="AC564" s="3" t="s">
        <v>4190</v>
      </c>
      <c r="AD564" s="3" t="s">
        <v>4191</v>
      </c>
      <c r="AE564" s="1">
        <v>2.0</v>
      </c>
      <c r="AF564" s="1" t="s">
        <v>4192</v>
      </c>
      <c r="AG564" s="1">
        <v>18.0</v>
      </c>
      <c r="AH564" s="1">
        <v>30.0</v>
      </c>
      <c r="AI564" s="1">
        <v>6.0</v>
      </c>
      <c r="AJ564" s="1">
        <v>5.0</v>
      </c>
      <c r="AK564" s="1">
        <v>4.0</v>
      </c>
      <c r="AL564" s="1">
        <v>0.0</v>
      </c>
      <c r="AM564" s="1">
        <v>185.0</v>
      </c>
      <c r="AN564" s="1">
        <v>16.0</v>
      </c>
      <c r="AO564" s="1">
        <v>0.0</v>
      </c>
      <c r="AP564" s="1">
        <v>0.0</v>
      </c>
      <c r="AQ564" s="1">
        <v>5.0</v>
      </c>
      <c r="AR564" s="1">
        <v>0.0</v>
      </c>
      <c r="AS564" s="1">
        <v>2.0</v>
      </c>
    </row>
    <row r="565" hidden="1">
      <c r="A565" s="1">
        <v>270.0</v>
      </c>
      <c r="B565" s="1" t="s">
        <v>4781</v>
      </c>
      <c r="C565" s="1" t="s">
        <v>4782</v>
      </c>
      <c r="D565" s="1" t="s">
        <v>4783</v>
      </c>
      <c r="E565" s="1" t="s">
        <v>58</v>
      </c>
      <c r="F565" s="2">
        <v>30305.0</v>
      </c>
      <c r="G565" s="1">
        <f t="shared" si="1"/>
        <v>43</v>
      </c>
      <c r="H565" s="1" t="s">
        <v>4784</v>
      </c>
      <c r="I565" s="1" t="str">
        <f>IFERROR(__xludf.DUMMYFUNCTION("SPLIT(left(H565,len(H565)-1),""("")"),"Tunis ")</f>
        <v>Tunis </v>
      </c>
      <c r="J565" s="1" t="str">
        <f>IFERROR(__xludf.DUMMYFUNCTION("""COMPUTED_VALUE"""),"Tunisie")</f>
        <v>Tunisie</v>
      </c>
      <c r="K565" s="1" t="str">
        <f>IFERROR(__xludf.DUMMYFUNCTION("IF( COUNTA( IFERROR( FILTER('départements_edition'!$C$2:$C$102 , 'départements_edition'!$C$2:$C$102=J565 ) ) ) , ""Oui"" , ""Non"" )"),"Non")</f>
        <v>Non</v>
      </c>
      <c r="L565" s="1" t="str">
        <f t="shared" si="2"/>
        <v>Tunisie</v>
      </c>
      <c r="M565" s="1">
        <v>50.0</v>
      </c>
      <c r="N565" s="1" t="s">
        <v>2472</v>
      </c>
      <c r="O565" s="1">
        <v>4.0</v>
      </c>
      <c r="P565" s="2">
        <v>42907.0</v>
      </c>
      <c r="R565" s="1">
        <v>0.0</v>
      </c>
      <c r="S565" s="1" t="s">
        <v>75</v>
      </c>
      <c r="T565" s="1" t="s">
        <v>76</v>
      </c>
      <c r="U565" s="1" t="s">
        <v>4785</v>
      </c>
      <c r="X565" s="1" t="s">
        <v>234</v>
      </c>
      <c r="Y565" s="1">
        <v>633.0</v>
      </c>
      <c r="Z565" s="3" t="s">
        <v>4786</v>
      </c>
      <c r="AA565" s="1">
        <v>720202.0</v>
      </c>
      <c r="AB565" s="1" t="s">
        <v>4787</v>
      </c>
      <c r="AC565" s="3" t="s">
        <v>4788</v>
      </c>
      <c r="AD565" s="3" t="s">
        <v>4789</v>
      </c>
      <c r="AE565" s="1">
        <v>1.0</v>
      </c>
      <c r="AF565" s="1" t="s">
        <v>4790</v>
      </c>
      <c r="AG565" s="1">
        <v>16.0</v>
      </c>
      <c r="AH565" s="1">
        <v>44.0</v>
      </c>
      <c r="AI565" s="1">
        <v>15.0</v>
      </c>
      <c r="AJ565" s="1">
        <v>9.0</v>
      </c>
      <c r="AK565" s="1">
        <v>1.0</v>
      </c>
      <c r="AL565" s="1">
        <v>0.0</v>
      </c>
      <c r="AM565" s="1">
        <v>16.0</v>
      </c>
      <c r="AN565" s="1">
        <v>8.0</v>
      </c>
      <c r="AO565" s="1">
        <v>0.0</v>
      </c>
      <c r="AP565" s="1">
        <v>0.0</v>
      </c>
      <c r="AQ565" s="1">
        <v>6.0</v>
      </c>
      <c r="AR565" s="1">
        <v>1.0</v>
      </c>
      <c r="AS565" s="1">
        <v>1.0</v>
      </c>
    </row>
    <row r="566" hidden="1">
      <c r="A566" s="1">
        <v>439.0</v>
      </c>
      <c r="B566" s="1" t="s">
        <v>4123</v>
      </c>
      <c r="C566" s="1" t="s">
        <v>4124</v>
      </c>
      <c r="D566" s="1" t="s">
        <v>4125</v>
      </c>
      <c r="E566" s="1" t="s">
        <v>58</v>
      </c>
      <c r="F566" s="2">
        <v>30927.0</v>
      </c>
      <c r="G566" s="1">
        <f t="shared" si="1"/>
        <v>41</v>
      </c>
      <c r="H566" s="1" t="s">
        <v>4126</v>
      </c>
      <c r="I566" s="1" t="str">
        <f>IFERROR(__xludf.DUMMYFUNCTION("SPLIT(left(H566,len(H566)-1),""("")"),"Kilia ")</f>
        <v>Kilia </v>
      </c>
      <c r="J566" s="1" t="str">
        <f>IFERROR(__xludf.DUMMYFUNCTION("""COMPUTED_VALUE"""),"Ukraine")</f>
        <v>Ukraine</v>
      </c>
      <c r="K566" s="1" t="str">
        <f>IFERROR(__xludf.DUMMYFUNCTION("IF( COUNTA( IFERROR( FILTER('départements_edition'!$C$2:$C$102 , 'départements_edition'!$C$2:$C$102=J566 ) ) ) , ""Oui"" , ""Non"" )"),"Non")</f>
        <v>Non</v>
      </c>
      <c r="L566" s="1" t="str">
        <f t="shared" si="2"/>
        <v>Ukraine</v>
      </c>
      <c r="M566" s="1">
        <v>42.0</v>
      </c>
      <c r="N566" s="1" t="s">
        <v>536</v>
      </c>
      <c r="O566" s="1">
        <v>3.0</v>
      </c>
      <c r="P566" s="2">
        <v>42907.0</v>
      </c>
      <c r="R566" s="1">
        <v>0.0</v>
      </c>
      <c r="S566" s="1" t="s">
        <v>75</v>
      </c>
      <c r="T566" s="1" t="s">
        <v>76</v>
      </c>
      <c r="U566" s="1" t="s">
        <v>4127</v>
      </c>
      <c r="X566" s="1" t="s">
        <v>4128</v>
      </c>
      <c r="Y566" s="1">
        <v>552.0</v>
      </c>
      <c r="Z566" s="3" t="s">
        <v>4129</v>
      </c>
      <c r="AA566" s="1">
        <v>719960.0</v>
      </c>
      <c r="AB566" s="1" t="s">
        <v>4130</v>
      </c>
      <c r="AC566" s="3" t="s">
        <v>4131</v>
      </c>
      <c r="AD566" s="3" t="s">
        <v>4132</v>
      </c>
      <c r="AE566" s="1">
        <v>1.0</v>
      </c>
      <c r="AF566" s="1" t="s">
        <v>4133</v>
      </c>
      <c r="AG566" s="1">
        <v>18.0</v>
      </c>
      <c r="AH566" s="1">
        <v>25.0</v>
      </c>
      <c r="AI566" s="1">
        <v>3.0</v>
      </c>
      <c r="AJ566" s="1">
        <v>0.0</v>
      </c>
      <c r="AK566" s="1">
        <v>0.0</v>
      </c>
      <c r="AL566" s="1">
        <v>2.0</v>
      </c>
      <c r="AM566" s="1">
        <v>51.0</v>
      </c>
      <c r="AN566" s="1">
        <v>28.0</v>
      </c>
      <c r="AO566" s="1">
        <v>0.0</v>
      </c>
      <c r="AP566" s="1">
        <v>0.0</v>
      </c>
      <c r="AQ566" s="1">
        <v>5.0</v>
      </c>
      <c r="AR566" s="1">
        <v>1.0</v>
      </c>
      <c r="AS566" s="1">
        <v>0.0</v>
      </c>
    </row>
    <row r="567" hidden="1">
      <c r="A567" s="1">
        <v>532.0</v>
      </c>
      <c r="B567" s="1" t="s">
        <v>4721</v>
      </c>
      <c r="C567" s="1" t="s">
        <v>4722</v>
      </c>
      <c r="D567" s="1" t="s">
        <v>1094</v>
      </c>
      <c r="E567" s="1" t="s">
        <v>58</v>
      </c>
      <c r="F567" s="2">
        <v>29209.0</v>
      </c>
      <c r="G567" s="1">
        <f t="shared" si="1"/>
        <v>46</v>
      </c>
      <c r="H567" s="1" t="s">
        <v>4723</v>
      </c>
      <c r="I567" s="1" t="str">
        <f>IFERROR(__xludf.DUMMYFUNCTION("SPLIT(left(H567,len(H567)-1),""("")"),"Hô Chi Minh Ville ")</f>
        <v>Hô Chi Minh Ville </v>
      </c>
      <c r="J567" s="1" t="str">
        <f>IFERROR(__xludf.DUMMYFUNCTION("""COMPUTED_VALUE"""),"Vietnam")</f>
        <v>Vietnam</v>
      </c>
      <c r="K567" s="1" t="str">
        <f>IFERROR(__xludf.DUMMYFUNCTION("IF( COUNTA( IFERROR( FILTER('départements_edition'!$C$2:$C$102 , 'départements_edition'!$C$2:$C$102=J567 ) ) ) , ""Oui"" , ""Non"" )"),"Non")</f>
        <v>Non</v>
      </c>
      <c r="L567" s="1" t="str">
        <f t="shared" si="2"/>
        <v>Vietnam</v>
      </c>
      <c r="M567" s="1">
        <v>77.0</v>
      </c>
      <c r="N567" s="1" t="s">
        <v>503</v>
      </c>
      <c r="O567" s="1">
        <v>10.0</v>
      </c>
      <c r="P567" s="2">
        <v>42907.0</v>
      </c>
      <c r="R567" s="1">
        <v>0.0</v>
      </c>
      <c r="S567" s="1" t="s">
        <v>75</v>
      </c>
      <c r="T567" s="1" t="s">
        <v>76</v>
      </c>
      <c r="U567" s="1" t="s">
        <v>4724</v>
      </c>
      <c r="X567" s="1" t="s">
        <v>118</v>
      </c>
      <c r="Y567" s="1">
        <v>341.0</v>
      </c>
      <c r="Z567" s="3" t="s">
        <v>4725</v>
      </c>
      <c r="AA567" s="1">
        <v>721718.0</v>
      </c>
      <c r="AB567" s="1" t="s">
        <v>4726</v>
      </c>
      <c r="AC567" s="3" t="s">
        <v>4727</v>
      </c>
      <c r="AD567" s="3" t="s">
        <v>4728</v>
      </c>
      <c r="AE567" s="1">
        <v>1.0</v>
      </c>
      <c r="AF567" s="1" t="s">
        <v>4729</v>
      </c>
      <c r="AG567" s="1">
        <v>16.0</v>
      </c>
      <c r="AH567" s="1">
        <v>23.0</v>
      </c>
      <c r="AI567" s="1">
        <v>8.0</v>
      </c>
      <c r="AJ567" s="1">
        <v>9.0</v>
      </c>
      <c r="AK567" s="1">
        <v>3.0</v>
      </c>
      <c r="AL567" s="1">
        <v>12.0</v>
      </c>
      <c r="AM567" s="1">
        <v>58.0</v>
      </c>
      <c r="AN567" s="1">
        <v>26.0</v>
      </c>
      <c r="AO567" s="1">
        <v>1.0</v>
      </c>
      <c r="AP567" s="1">
        <v>0.0</v>
      </c>
      <c r="AQ567" s="1">
        <v>5.0</v>
      </c>
      <c r="AR567" s="1">
        <v>10.0</v>
      </c>
      <c r="AS567" s="1">
        <v>1.0</v>
      </c>
    </row>
    <row r="568" hidden="1">
      <c r="A568" s="1">
        <v>137.0</v>
      </c>
      <c r="B568" s="1" t="s">
        <v>488</v>
      </c>
      <c r="C568" s="1" t="s">
        <v>489</v>
      </c>
      <c r="D568" s="1" t="s">
        <v>490</v>
      </c>
      <c r="E568" s="1" t="s">
        <v>58</v>
      </c>
      <c r="F568" s="2">
        <v>32583.0</v>
      </c>
      <c r="G568" s="1">
        <f t="shared" si="1"/>
        <v>37</v>
      </c>
      <c r="H568" s="1" t="s">
        <v>491</v>
      </c>
      <c r="I568" s="1" t="str">
        <f>IFERROR(__xludf.DUMMYFUNCTION("SPLIT(left(H568,len(H568)-1),""("")"),"Loir-et-Cher")</f>
        <v>Loir-et-Cher</v>
      </c>
      <c r="J568" s="1"/>
      <c r="K568" s="1" t="str">
        <f>IFERROR(__xludf.DUMMYFUNCTION("IF( COUNTA( IFERROR( FILTER('départements_edition'!$C$2:$C$102 , 'départements_edition'!$C$2:$C$102=J568 ) ) ) , ""Oui"" , ""Non"" )"),"Non")</f>
        <v>Non</v>
      </c>
      <c r="L568" s="1" t="str">
        <f t="shared" si="2"/>
        <v/>
      </c>
      <c r="M568" s="1">
        <v>44.0</v>
      </c>
      <c r="N568" s="1" t="s">
        <v>492</v>
      </c>
      <c r="O568" s="1">
        <v>5.0</v>
      </c>
      <c r="P568" s="2">
        <v>42907.0</v>
      </c>
      <c r="R568" s="1">
        <v>0.0</v>
      </c>
      <c r="S568" s="1" t="s">
        <v>280</v>
      </c>
      <c r="T568" s="1" t="s">
        <v>281</v>
      </c>
      <c r="U568" s="1" t="s">
        <v>493</v>
      </c>
      <c r="X568" s="1" t="s">
        <v>162</v>
      </c>
      <c r="Y568" s="1">
        <v>172.0</v>
      </c>
      <c r="Z568" s="3" t="s">
        <v>494</v>
      </c>
      <c r="AA568" s="1">
        <v>720002.0</v>
      </c>
      <c r="AB568" s="1" t="s">
        <v>495</v>
      </c>
      <c r="AC568" s="3" t="s">
        <v>496</v>
      </c>
      <c r="AD568" s="3" t="s">
        <v>497</v>
      </c>
      <c r="AE568" s="1">
        <v>1.0</v>
      </c>
      <c r="AF568" s="1" t="s">
        <v>498</v>
      </c>
      <c r="AG568" s="1">
        <v>24.0</v>
      </c>
      <c r="AH568" s="1">
        <v>76.0</v>
      </c>
      <c r="AI568" s="1">
        <v>55.0</v>
      </c>
      <c r="AJ568" s="1">
        <v>70.0</v>
      </c>
      <c r="AK568" s="1">
        <v>20.0</v>
      </c>
      <c r="AL568" s="1">
        <v>21.0</v>
      </c>
      <c r="AM568" s="1">
        <v>284.0</v>
      </c>
      <c r="AN568" s="1">
        <v>40.0</v>
      </c>
      <c r="AO568" s="1">
        <v>1.0</v>
      </c>
      <c r="AP568" s="1">
        <v>0.0</v>
      </c>
      <c r="AQ568" s="1">
        <v>8.0</v>
      </c>
      <c r="AR568" s="1">
        <v>9.0</v>
      </c>
      <c r="AS568" s="1">
        <v>5.0</v>
      </c>
    </row>
    <row r="569" hidden="1">
      <c r="A569" s="1">
        <v>176.0</v>
      </c>
      <c r="B569" s="1" t="s">
        <v>1102</v>
      </c>
      <c r="C569" s="1" t="s">
        <v>1103</v>
      </c>
      <c r="D569" s="1" t="s">
        <v>1104</v>
      </c>
      <c r="E569" s="1" t="s">
        <v>58</v>
      </c>
      <c r="F569" s="2">
        <v>31309.0</v>
      </c>
      <c r="G569" s="1">
        <f t="shared" si="1"/>
        <v>40</v>
      </c>
      <c r="H569" s="1" t="s">
        <v>1105</v>
      </c>
      <c r="I569" s="1" t="str">
        <f>IFERROR(__xludf.DUMMYFUNCTION("SPLIT(left(H569,len(H569)-1),""("")"),"Val-d'Oise")</f>
        <v>Val-d'Oise</v>
      </c>
      <c r="J569" s="1"/>
      <c r="K569" s="1" t="str">
        <f>IFERROR(__xludf.DUMMYFUNCTION("IF( COUNTA( IFERROR( FILTER('départements_edition'!$C$2:$C$102 , 'départements_edition'!$C$2:$C$102=J569 ) ) ) , ""Oui"" , ""Non"" )"),"Non")</f>
        <v>Non</v>
      </c>
      <c r="L569" s="1" t="str">
        <f t="shared" si="2"/>
        <v/>
      </c>
      <c r="M569" s="1">
        <v>95.0</v>
      </c>
      <c r="N569" s="1" t="s">
        <v>302</v>
      </c>
      <c r="O569" s="1">
        <v>5.0</v>
      </c>
      <c r="P569" s="2">
        <v>42907.0</v>
      </c>
      <c r="R569" s="1">
        <v>0.0</v>
      </c>
      <c r="S569" s="1" t="s">
        <v>75</v>
      </c>
      <c r="T569" s="1" t="s">
        <v>76</v>
      </c>
      <c r="U569" s="1" t="s">
        <v>1106</v>
      </c>
      <c r="X569" s="1" t="s">
        <v>1107</v>
      </c>
      <c r="Y569" s="1">
        <v>418.0</v>
      </c>
      <c r="Z569" s="3" t="s">
        <v>1108</v>
      </c>
      <c r="AA569" s="1">
        <v>720916.0</v>
      </c>
      <c r="AB569" s="1" t="s">
        <v>1109</v>
      </c>
      <c r="AC569" s="3" t="s">
        <v>1110</v>
      </c>
      <c r="AD569" s="3" t="s">
        <v>1111</v>
      </c>
      <c r="AE569" s="1">
        <v>1.0</v>
      </c>
      <c r="AF569" s="1" t="s">
        <v>1112</v>
      </c>
      <c r="AG569" s="1">
        <v>23.0</v>
      </c>
      <c r="AH569" s="1">
        <v>48.0</v>
      </c>
      <c r="AI569" s="1">
        <v>23.0</v>
      </c>
      <c r="AJ569" s="1">
        <v>11.0</v>
      </c>
      <c r="AK569" s="1">
        <v>8.0</v>
      </c>
      <c r="AL569" s="1">
        <v>3.0</v>
      </c>
      <c r="AM569" s="1">
        <v>68.0</v>
      </c>
      <c r="AN569" s="1">
        <v>27.0</v>
      </c>
      <c r="AO569" s="1">
        <v>1.0</v>
      </c>
      <c r="AP569" s="1">
        <v>0.0</v>
      </c>
      <c r="AQ569" s="1">
        <v>5.0</v>
      </c>
      <c r="AR569" s="1">
        <v>1.0</v>
      </c>
      <c r="AS569" s="1">
        <v>2.0</v>
      </c>
    </row>
    <row r="570" hidden="1">
      <c r="A570" s="1">
        <v>483.0</v>
      </c>
      <c r="B570" s="1" t="s">
        <v>3948</v>
      </c>
      <c r="C570" s="1" t="s">
        <v>3949</v>
      </c>
      <c r="D570" s="1" t="s">
        <v>183</v>
      </c>
      <c r="E570" s="1" t="s">
        <v>43</v>
      </c>
      <c r="F570" s="2">
        <v>16718.0</v>
      </c>
      <c r="G570" s="1">
        <f t="shared" si="1"/>
        <v>80</v>
      </c>
      <c r="H570" s="1" t="s">
        <v>3950</v>
      </c>
      <c r="I570" s="1" t="str">
        <f>IFERROR(__xludf.DUMMYFUNCTION("SPLIT(left(H570,len(H570)-1),""("")"),"#REF!")</f>
        <v>#REF!</v>
      </c>
      <c r="J570" s="1"/>
      <c r="K570" s="1" t="str">
        <f>IFERROR(__xludf.DUMMYFUNCTION("IF( COUNTA( IFERROR( FILTER('départements_edition'!$C$2:$C$102 , 'départements_edition'!$C$2:$C$102=J570 ) ) ) , ""Oui"" , ""Non"" )"),"Non")</f>
        <v>Non</v>
      </c>
      <c r="L570" s="1" t="str">
        <f t="shared" si="2"/>
        <v/>
      </c>
      <c r="M570" s="1">
        <v>69.0</v>
      </c>
      <c r="N570" s="1" t="s">
        <v>1363</v>
      </c>
      <c r="O570" s="1">
        <v>3.0</v>
      </c>
      <c r="P570" s="2">
        <v>42907.0</v>
      </c>
      <c r="R570" s="1">
        <v>0.0</v>
      </c>
      <c r="S570" s="1" t="s">
        <v>75</v>
      </c>
      <c r="T570" s="1" t="s">
        <v>76</v>
      </c>
      <c r="U570" s="1" t="s">
        <v>3951</v>
      </c>
      <c r="X570" s="1" t="s">
        <v>3952</v>
      </c>
      <c r="Y570" s="1">
        <v>285.0</v>
      </c>
      <c r="Z570" s="3" t="s">
        <v>3953</v>
      </c>
      <c r="AA570" s="1">
        <v>334768.0</v>
      </c>
      <c r="AB570" s="1" t="s">
        <v>3954</v>
      </c>
      <c r="AC570" s="3" t="s">
        <v>3955</v>
      </c>
      <c r="AD570" s="3" t="s">
        <v>3956</v>
      </c>
      <c r="AE570" s="1">
        <v>2.0</v>
      </c>
      <c r="AG570" s="1">
        <v>19.0</v>
      </c>
      <c r="AH570" s="1">
        <v>31.0</v>
      </c>
      <c r="AI570" s="1">
        <v>23.0</v>
      </c>
      <c r="AJ570" s="1">
        <v>7.0</v>
      </c>
      <c r="AK570" s="1">
        <v>1.0</v>
      </c>
      <c r="AL570" s="1">
        <v>0.0</v>
      </c>
      <c r="AM570" s="1">
        <v>55.0</v>
      </c>
      <c r="AN570" s="1">
        <v>26.0</v>
      </c>
      <c r="AO570" s="1">
        <v>0.0</v>
      </c>
      <c r="AP570" s="1">
        <v>1.0</v>
      </c>
      <c r="AQ570" s="1">
        <v>7.0</v>
      </c>
      <c r="AR570" s="1">
        <v>6.0</v>
      </c>
      <c r="AS570" s="1">
        <v>1.0</v>
      </c>
    </row>
    <row r="571" hidden="1">
      <c r="A571" s="1">
        <v>411.0</v>
      </c>
      <c r="B571" s="1" t="s">
        <v>4154</v>
      </c>
      <c r="C571" s="1" t="s">
        <v>4155</v>
      </c>
      <c r="D571" s="1" t="s">
        <v>641</v>
      </c>
      <c r="E571" s="1" t="s">
        <v>43</v>
      </c>
      <c r="F571" s="2">
        <v>25719.0</v>
      </c>
      <c r="G571" s="1">
        <f t="shared" si="1"/>
        <v>56</v>
      </c>
      <c r="H571" s="1" t="s">
        <v>4156</v>
      </c>
      <c r="I571" s="1" t="str">
        <f>IFERROR(__xludf.DUMMYFUNCTION("SPLIT(left(H571,len(H571)-1),""("")"),"#REF!")</f>
        <v>#REF!</v>
      </c>
      <c r="J571" s="1"/>
      <c r="K571" s="1" t="str">
        <f>IFERROR(__xludf.DUMMYFUNCTION("IF( COUNTA( IFERROR( FILTER('départements_edition'!$C$2:$C$102 , 'départements_edition'!$C$2:$C$102=J571 ) ) ) , ""Oui"" , ""Non"" )"),"Non")</f>
        <v>Non</v>
      </c>
      <c r="L571" s="1" t="str">
        <f t="shared" si="2"/>
        <v/>
      </c>
      <c r="M571" s="1">
        <v>54.0</v>
      </c>
      <c r="N571" s="1" t="s">
        <v>160</v>
      </c>
      <c r="O571" s="1">
        <v>2.0</v>
      </c>
      <c r="P571" s="2">
        <v>42907.0</v>
      </c>
      <c r="R571" s="1">
        <v>0.0</v>
      </c>
      <c r="S571" s="1" t="s">
        <v>280</v>
      </c>
      <c r="T571" s="1" t="s">
        <v>281</v>
      </c>
      <c r="U571" s="1" t="s">
        <v>4157</v>
      </c>
      <c r="X571" s="1" t="s">
        <v>827</v>
      </c>
      <c r="Y571" s="1">
        <v>183.0</v>
      </c>
      <c r="Z571" s="3" t="s">
        <v>4158</v>
      </c>
      <c r="AA571" s="1">
        <v>720178.0</v>
      </c>
      <c r="AB571" s="1" t="s">
        <v>4159</v>
      </c>
      <c r="AC571" s="3" t="s">
        <v>4160</v>
      </c>
      <c r="AD571" s="3" t="s">
        <v>4161</v>
      </c>
      <c r="AE571" s="1">
        <v>2.0</v>
      </c>
      <c r="AF571" s="1" t="s">
        <v>4162</v>
      </c>
      <c r="AG571" s="1">
        <v>18.0</v>
      </c>
      <c r="AH571" s="1">
        <v>31.0</v>
      </c>
      <c r="AI571" s="1">
        <v>13.0</v>
      </c>
      <c r="AJ571" s="1">
        <v>3.0</v>
      </c>
      <c r="AK571" s="1">
        <v>1.0</v>
      </c>
      <c r="AL571" s="1">
        <v>5.0</v>
      </c>
      <c r="AM571" s="1">
        <v>221.0</v>
      </c>
      <c r="AN571" s="1">
        <v>18.0</v>
      </c>
      <c r="AO571" s="1">
        <v>0.0</v>
      </c>
      <c r="AP571" s="1">
        <v>2.0</v>
      </c>
      <c r="AQ571" s="1">
        <v>8.0</v>
      </c>
      <c r="AR571" s="1">
        <v>22.0</v>
      </c>
      <c r="AS571" s="1">
        <v>2.0</v>
      </c>
    </row>
    <row r="572" hidden="1">
      <c r="A572" s="1">
        <v>587.0</v>
      </c>
      <c r="B572" s="1" t="s">
        <v>5523</v>
      </c>
      <c r="C572" s="1" t="s">
        <v>5524</v>
      </c>
      <c r="D572" s="1" t="s">
        <v>619</v>
      </c>
      <c r="E572" s="1" t="s">
        <v>58</v>
      </c>
      <c r="F572" s="2">
        <v>21486.0</v>
      </c>
      <c r="G572" s="1">
        <f t="shared" si="1"/>
        <v>67</v>
      </c>
      <c r="H572" s="1">
        <v>0.0</v>
      </c>
      <c r="I572" s="1" t="str">
        <f>IFERROR(__xludf.DUMMYFUNCTION("SPLIT(left(H572,len(H572)-1),""("")"),"#VALUE!")</f>
        <v>#VALUE!</v>
      </c>
      <c r="J572" s="1"/>
      <c r="K572" s="1" t="str">
        <f>IFERROR(__xludf.DUMMYFUNCTION("IF( COUNTA( IFERROR( FILTER('départements_edition'!$C$2:$C$102 , 'départements_edition'!$C$2:$C$102=J572 ) ) ) , ""Oui"" , ""Non"" )"),"Non")</f>
        <v>Non</v>
      </c>
      <c r="L572" s="1" t="str">
        <f t="shared" si="2"/>
        <v/>
      </c>
      <c r="M572" s="1">
        <v>7.0</v>
      </c>
      <c r="N572" s="1" t="s">
        <v>2269</v>
      </c>
      <c r="O572" s="1">
        <v>2.0</v>
      </c>
      <c r="P572" s="2">
        <v>43094.0</v>
      </c>
      <c r="R572" s="1">
        <v>0.0</v>
      </c>
      <c r="S572" s="1" t="s">
        <v>115</v>
      </c>
      <c r="X572" s="1" t="s">
        <v>5525</v>
      </c>
      <c r="Y572" s="1">
        <v>512.0</v>
      </c>
      <c r="Z572" s="3" t="s">
        <v>5526</v>
      </c>
      <c r="AA572" s="1">
        <v>340357.0</v>
      </c>
      <c r="AB572" s="1" t="s">
        <v>5527</v>
      </c>
      <c r="AC572" s="3" t="s">
        <v>5528</v>
      </c>
      <c r="AD572" s="3" t="s">
        <v>5529</v>
      </c>
      <c r="AE572" s="1">
        <v>1.0</v>
      </c>
      <c r="AG572" s="1">
        <v>3.0</v>
      </c>
      <c r="AH572" s="1">
        <v>3.0</v>
      </c>
      <c r="AI572" s="1">
        <v>2.0</v>
      </c>
      <c r="AJ572" s="1">
        <v>2.0</v>
      </c>
      <c r="AK572" s="1">
        <v>0.0</v>
      </c>
      <c r="AL572" s="1">
        <v>0.0</v>
      </c>
      <c r="AM572" s="1">
        <v>27.0</v>
      </c>
      <c r="AN572" s="1">
        <v>1.0</v>
      </c>
      <c r="AO572" s="1">
        <v>0.0</v>
      </c>
      <c r="AP572" s="1">
        <v>0.0</v>
      </c>
      <c r="AQ572" s="1">
        <v>1.0</v>
      </c>
      <c r="AR572" s="1">
        <v>0.0</v>
      </c>
      <c r="AS572" s="1">
        <v>2.0</v>
      </c>
    </row>
    <row r="573" hidden="1">
      <c r="K573" s="1"/>
      <c r="L573" s="1"/>
    </row>
    <row r="574" hidden="1">
      <c r="K574" s="1"/>
      <c r="L574" s="1"/>
    </row>
  </sheetData>
  <autoFilter ref="$M$1:$M$574">
    <filterColumn colId="0">
      <filters>
        <filter val="999"/>
      </filters>
    </filterColumn>
  </autoFilter>
  <conditionalFormatting sqref="A1:AS574">
    <cfRule type="expression" dxfId="1" priority="1">
      <formula>$J1=""</formula>
    </cfRule>
  </conditionalFormatting>
  <hyperlinks>
    <hyperlink r:id="rId1" ref="Z2"/>
    <hyperlink r:id="rId2" ref="AC2"/>
    <hyperlink r:id="rId3" ref="AD2"/>
    <hyperlink r:id="rId4" ref="Z3"/>
    <hyperlink r:id="rId5" ref="AC3"/>
    <hyperlink r:id="rId6" ref="AD3"/>
    <hyperlink r:id="rId7" ref="Z4"/>
    <hyperlink r:id="rId8" ref="AC4"/>
    <hyperlink r:id="rId9" ref="AD4"/>
    <hyperlink r:id="rId10" ref="Z5"/>
    <hyperlink r:id="rId11" ref="AC5"/>
    <hyperlink r:id="rId12" ref="AD5"/>
    <hyperlink r:id="rId13" ref="Z6"/>
    <hyperlink r:id="rId14" ref="AC6"/>
    <hyperlink r:id="rId15" ref="AD6"/>
    <hyperlink r:id="rId16" ref="Z7"/>
    <hyperlink r:id="rId17" ref="AC7"/>
    <hyperlink r:id="rId18" ref="AD7"/>
    <hyperlink r:id="rId19" ref="Z8"/>
    <hyperlink r:id="rId20" ref="AC8"/>
    <hyperlink r:id="rId21" ref="AD8"/>
    <hyperlink r:id="rId22" ref="Z9"/>
    <hyperlink r:id="rId23" ref="AC9"/>
    <hyperlink r:id="rId24" ref="AD9"/>
    <hyperlink r:id="rId25" ref="Z10"/>
    <hyperlink r:id="rId26" ref="AC10"/>
    <hyperlink r:id="rId27" ref="AD10"/>
    <hyperlink r:id="rId28" ref="Z11"/>
    <hyperlink r:id="rId29" ref="AC11"/>
    <hyperlink r:id="rId30" ref="AD11"/>
    <hyperlink r:id="rId31" ref="Z12"/>
    <hyperlink r:id="rId32" ref="AC12"/>
    <hyperlink r:id="rId33" ref="AD12"/>
    <hyperlink r:id="rId34" ref="Z13"/>
    <hyperlink r:id="rId35" ref="AC13"/>
    <hyperlink r:id="rId36" ref="AD13"/>
    <hyperlink r:id="rId37" ref="Z14"/>
    <hyperlink r:id="rId38" ref="AC14"/>
    <hyperlink r:id="rId39" ref="AD14"/>
    <hyperlink r:id="rId40" ref="Z15"/>
    <hyperlink r:id="rId41" ref="AC15"/>
    <hyperlink r:id="rId42" ref="AD15"/>
    <hyperlink r:id="rId43" ref="Z16"/>
    <hyperlink r:id="rId44" ref="AC16"/>
    <hyperlink r:id="rId45" ref="AD16"/>
    <hyperlink r:id="rId46" ref="Z17"/>
    <hyperlink r:id="rId47" ref="AC17"/>
    <hyperlink r:id="rId48" ref="AD17"/>
    <hyperlink r:id="rId49" ref="Z18"/>
    <hyperlink r:id="rId50" ref="AC18"/>
    <hyperlink r:id="rId51" ref="AD18"/>
    <hyperlink r:id="rId52" ref="Z19"/>
    <hyperlink r:id="rId53" ref="AC19"/>
    <hyperlink r:id="rId54" ref="AD19"/>
    <hyperlink r:id="rId55" ref="Z20"/>
    <hyperlink r:id="rId56" ref="AC20"/>
    <hyperlink r:id="rId57" ref="AD20"/>
    <hyperlink r:id="rId58" ref="Z21"/>
    <hyperlink r:id="rId59" ref="AC21"/>
    <hyperlink r:id="rId60" ref="AD21"/>
    <hyperlink r:id="rId61" ref="Z22"/>
    <hyperlink r:id="rId62" ref="AC22"/>
    <hyperlink r:id="rId63" ref="AD22"/>
    <hyperlink r:id="rId64" ref="Z23"/>
    <hyperlink r:id="rId65" ref="AC23"/>
    <hyperlink r:id="rId66" ref="AD23"/>
    <hyperlink r:id="rId67" ref="Z24"/>
    <hyperlink r:id="rId68" ref="AC24"/>
    <hyperlink r:id="rId69" ref="AD24"/>
    <hyperlink r:id="rId70" ref="Z25"/>
    <hyperlink r:id="rId71" ref="AC25"/>
    <hyperlink r:id="rId72" ref="AD25"/>
    <hyperlink r:id="rId73" ref="Z26"/>
    <hyperlink r:id="rId74" ref="AC26"/>
    <hyperlink r:id="rId75" ref="AD26"/>
    <hyperlink r:id="rId76" ref="Z27"/>
    <hyperlink r:id="rId77" ref="AC27"/>
    <hyperlink r:id="rId78" ref="AD27"/>
    <hyperlink r:id="rId79" ref="Z28"/>
    <hyperlink r:id="rId80" ref="AC28"/>
    <hyperlink r:id="rId81" ref="AD28"/>
    <hyperlink r:id="rId82" ref="Z29"/>
    <hyperlink r:id="rId83" ref="AC29"/>
    <hyperlink r:id="rId84" ref="AD29"/>
    <hyperlink r:id="rId85" ref="Z30"/>
    <hyperlink r:id="rId86" ref="AC30"/>
    <hyperlink r:id="rId87" ref="AD30"/>
    <hyperlink r:id="rId88" ref="Z31"/>
    <hyperlink r:id="rId89" ref="AC31"/>
    <hyperlink r:id="rId90" ref="AD31"/>
    <hyperlink r:id="rId91" ref="Z32"/>
    <hyperlink r:id="rId92" ref="AC32"/>
    <hyperlink r:id="rId93" ref="AD32"/>
    <hyperlink r:id="rId94" ref="Z33"/>
    <hyperlink r:id="rId95" ref="AC33"/>
    <hyperlink r:id="rId96" ref="AD33"/>
    <hyperlink r:id="rId97" ref="U34"/>
    <hyperlink r:id="rId98" ref="Z34"/>
    <hyperlink r:id="rId99" ref="AC34"/>
    <hyperlink r:id="rId100" ref="AD34"/>
    <hyperlink r:id="rId101" ref="Z35"/>
    <hyperlink r:id="rId102" ref="AC35"/>
    <hyperlink r:id="rId103" ref="AD35"/>
    <hyperlink r:id="rId104" ref="Z36"/>
    <hyperlink r:id="rId105" ref="AC36"/>
    <hyperlink r:id="rId106" ref="AD36"/>
    <hyperlink r:id="rId107" ref="Z37"/>
    <hyperlink r:id="rId108" ref="AC37"/>
    <hyperlink r:id="rId109" ref="AD37"/>
    <hyperlink r:id="rId110" ref="Z38"/>
    <hyperlink r:id="rId111" ref="AC38"/>
    <hyperlink r:id="rId112" ref="AD38"/>
    <hyperlink r:id="rId113" ref="Z39"/>
    <hyperlink r:id="rId114" ref="AC39"/>
    <hyperlink r:id="rId115" ref="AD39"/>
    <hyperlink r:id="rId116" ref="Z40"/>
    <hyperlink r:id="rId117" ref="AC40"/>
    <hyperlink r:id="rId118" ref="AD40"/>
    <hyperlink r:id="rId119" ref="Z41"/>
    <hyperlink r:id="rId120" ref="AC41"/>
    <hyperlink r:id="rId121" ref="AD41"/>
    <hyperlink r:id="rId122" ref="Z42"/>
    <hyperlink r:id="rId123" ref="AC42"/>
    <hyperlink r:id="rId124" ref="AD42"/>
    <hyperlink r:id="rId125" ref="Z43"/>
    <hyperlink r:id="rId126" ref="AC43"/>
    <hyperlink r:id="rId127" ref="AD43"/>
    <hyperlink r:id="rId128" ref="U44"/>
    <hyperlink r:id="rId129" ref="Z44"/>
    <hyperlink r:id="rId130" ref="AC44"/>
    <hyperlink r:id="rId131" ref="AD44"/>
    <hyperlink r:id="rId132" ref="Z45"/>
    <hyperlink r:id="rId133" ref="AC45"/>
    <hyperlink r:id="rId134" ref="AD45"/>
    <hyperlink r:id="rId135" ref="Z46"/>
    <hyperlink r:id="rId136" ref="AC46"/>
    <hyperlink r:id="rId137" ref="AD46"/>
    <hyperlink r:id="rId138" ref="Z47"/>
    <hyperlink r:id="rId139" ref="AC47"/>
    <hyperlink r:id="rId140" ref="AD47"/>
    <hyperlink r:id="rId141" ref="Z48"/>
    <hyperlink r:id="rId142" ref="AC48"/>
    <hyperlink r:id="rId143" ref="AD48"/>
    <hyperlink r:id="rId144" ref="Z49"/>
    <hyperlink r:id="rId145" ref="AC49"/>
    <hyperlink r:id="rId146" ref="AD49"/>
    <hyperlink r:id="rId147" ref="Z50"/>
    <hyperlink r:id="rId148" ref="AC50"/>
    <hyperlink r:id="rId149" ref="AD50"/>
    <hyperlink r:id="rId150" ref="U51"/>
    <hyperlink r:id="rId151" ref="Z51"/>
    <hyperlink r:id="rId152" ref="AC51"/>
    <hyperlink r:id="rId153" ref="AD51"/>
    <hyperlink r:id="rId154" ref="Z52"/>
    <hyperlink r:id="rId155" ref="AC52"/>
    <hyperlink r:id="rId156" ref="AD52"/>
    <hyperlink r:id="rId157" ref="Z53"/>
    <hyperlink r:id="rId158" ref="AC53"/>
    <hyperlink r:id="rId159" ref="AD53"/>
    <hyperlink r:id="rId160" ref="Z54"/>
    <hyperlink r:id="rId161" ref="AC54"/>
    <hyperlink r:id="rId162" ref="AD54"/>
    <hyperlink r:id="rId163" ref="Z55"/>
    <hyperlink r:id="rId164" ref="AC55"/>
    <hyperlink r:id="rId165" ref="AD55"/>
    <hyperlink r:id="rId166" ref="Z56"/>
    <hyperlink r:id="rId167" ref="AC56"/>
    <hyperlink r:id="rId168" ref="AD56"/>
    <hyperlink r:id="rId169" ref="Z57"/>
    <hyperlink r:id="rId170" ref="AC57"/>
    <hyperlink r:id="rId171" ref="AD57"/>
    <hyperlink r:id="rId172" ref="Z58"/>
    <hyperlink r:id="rId173" ref="AC58"/>
    <hyperlink r:id="rId174" ref="AD58"/>
    <hyperlink r:id="rId175" ref="Z59"/>
    <hyperlink r:id="rId176" ref="AC59"/>
    <hyperlink r:id="rId177" ref="AD59"/>
    <hyperlink r:id="rId178" ref="Z60"/>
    <hyperlink r:id="rId179" ref="AC60"/>
    <hyperlink r:id="rId180" ref="AD60"/>
    <hyperlink r:id="rId181" ref="Z61"/>
    <hyperlink r:id="rId182" ref="AC61"/>
    <hyperlink r:id="rId183" ref="AD61"/>
    <hyperlink r:id="rId184" ref="U62"/>
    <hyperlink r:id="rId185" ref="Z62"/>
    <hyperlink r:id="rId186" ref="AC62"/>
    <hyperlink r:id="rId187" ref="AD62"/>
    <hyperlink r:id="rId188" ref="Z63"/>
    <hyperlink r:id="rId189" ref="AC63"/>
    <hyperlink r:id="rId190" ref="AD63"/>
    <hyperlink r:id="rId191" ref="Z64"/>
    <hyperlink r:id="rId192" ref="AC64"/>
    <hyperlink r:id="rId193" ref="AD64"/>
    <hyperlink r:id="rId194" ref="Z65"/>
    <hyperlink r:id="rId195" ref="AC65"/>
    <hyperlink r:id="rId196" ref="AD65"/>
    <hyperlink r:id="rId197" ref="Z66"/>
    <hyperlink r:id="rId198" ref="AC66"/>
    <hyperlink r:id="rId199" ref="AD66"/>
    <hyperlink r:id="rId200" ref="Z67"/>
    <hyperlink r:id="rId201" ref="AC67"/>
    <hyperlink r:id="rId202" ref="AD67"/>
    <hyperlink r:id="rId203" ref="Z68"/>
    <hyperlink r:id="rId204" ref="AC68"/>
    <hyperlink r:id="rId205" ref="AD68"/>
    <hyperlink r:id="rId206" ref="Z69"/>
    <hyperlink r:id="rId207" ref="AC69"/>
    <hyperlink r:id="rId208" ref="AD69"/>
    <hyperlink r:id="rId209" ref="Z70"/>
    <hyperlink r:id="rId210" ref="AC70"/>
    <hyperlink r:id="rId211" ref="AD70"/>
    <hyperlink r:id="rId212" ref="Z71"/>
    <hyperlink r:id="rId213" ref="AC71"/>
    <hyperlink r:id="rId214" ref="AD71"/>
    <hyperlink r:id="rId215" ref="Z72"/>
    <hyperlink r:id="rId216" ref="AC72"/>
    <hyperlink r:id="rId217" ref="AD72"/>
    <hyperlink r:id="rId218" ref="Z73"/>
    <hyperlink r:id="rId219" ref="AC73"/>
    <hyperlink r:id="rId220" ref="AD73"/>
    <hyperlink r:id="rId221" ref="Z74"/>
    <hyperlink r:id="rId222" ref="AC74"/>
    <hyperlink r:id="rId223" ref="AD74"/>
    <hyperlink r:id="rId224" ref="Z75"/>
    <hyperlink r:id="rId225" ref="AC75"/>
    <hyperlink r:id="rId226" ref="AD75"/>
    <hyperlink r:id="rId227" ref="Z76"/>
    <hyperlink r:id="rId228" ref="AC76"/>
    <hyperlink r:id="rId229" ref="AD76"/>
    <hyperlink r:id="rId230" ref="Z77"/>
    <hyperlink r:id="rId231" ref="AC77"/>
    <hyperlink r:id="rId232" ref="AD77"/>
    <hyperlink r:id="rId233" ref="Z78"/>
    <hyperlink r:id="rId234" ref="AC78"/>
    <hyperlink r:id="rId235" ref="AD78"/>
    <hyperlink r:id="rId236" ref="U79"/>
    <hyperlink r:id="rId237" ref="Z79"/>
    <hyperlink r:id="rId238" ref="AC79"/>
    <hyperlink r:id="rId239" ref="AD79"/>
    <hyperlink r:id="rId240" ref="Z80"/>
    <hyperlink r:id="rId241" ref="AC80"/>
    <hyperlink r:id="rId242" ref="AD80"/>
    <hyperlink r:id="rId243" ref="Z81"/>
    <hyperlink r:id="rId244" ref="AC81"/>
    <hyperlink r:id="rId245" ref="AD81"/>
    <hyperlink r:id="rId246" ref="Z82"/>
    <hyperlink r:id="rId247" ref="AC82"/>
    <hyperlink r:id="rId248" ref="AD82"/>
    <hyperlink r:id="rId249" ref="Z83"/>
    <hyperlink r:id="rId250" ref="AC83"/>
    <hyperlink r:id="rId251" ref="AD83"/>
    <hyperlink r:id="rId252" ref="U84"/>
    <hyperlink r:id="rId253" ref="Z84"/>
    <hyperlink r:id="rId254" ref="AC84"/>
    <hyperlink r:id="rId255" ref="AD84"/>
    <hyperlink r:id="rId256" ref="Z85"/>
    <hyperlink r:id="rId257" ref="AC85"/>
    <hyperlink r:id="rId258" ref="AD85"/>
    <hyperlink r:id="rId259" ref="U86"/>
    <hyperlink r:id="rId260" ref="Z86"/>
    <hyperlink r:id="rId261" ref="AC86"/>
    <hyperlink r:id="rId262" ref="AD86"/>
    <hyperlink r:id="rId263" ref="Z87"/>
    <hyperlink r:id="rId264" ref="AC87"/>
    <hyperlink r:id="rId265" ref="AD87"/>
    <hyperlink r:id="rId266" ref="Z88"/>
    <hyperlink r:id="rId267" ref="AC88"/>
    <hyperlink r:id="rId268" ref="AD88"/>
    <hyperlink r:id="rId269" ref="Z89"/>
    <hyperlink r:id="rId270" ref="AC89"/>
    <hyperlink r:id="rId271" ref="AD89"/>
    <hyperlink r:id="rId272" ref="Z90"/>
    <hyperlink r:id="rId273" ref="AC90"/>
    <hyperlink r:id="rId274" ref="AD90"/>
    <hyperlink r:id="rId275" ref="Z91"/>
    <hyperlink r:id="rId276" ref="AC91"/>
    <hyperlink r:id="rId277" ref="AD91"/>
    <hyperlink r:id="rId278" ref="Z92"/>
    <hyperlink r:id="rId279" ref="AC92"/>
    <hyperlink r:id="rId280" ref="AD92"/>
    <hyperlink r:id="rId281" ref="Z93"/>
    <hyperlink r:id="rId282" ref="AC93"/>
    <hyperlink r:id="rId283" ref="AD93"/>
    <hyperlink r:id="rId284" ref="Z94"/>
    <hyperlink r:id="rId285" ref="AC94"/>
    <hyperlink r:id="rId286" ref="AD94"/>
    <hyperlink r:id="rId287" ref="Z95"/>
    <hyperlink r:id="rId288" ref="AC95"/>
    <hyperlink r:id="rId289" ref="AD95"/>
    <hyperlink r:id="rId290" ref="Z96"/>
    <hyperlink r:id="rId291" ref="AC96"/>
    <hyperlink r:id="rId292" ref="AD96"/>
    <hyperlink r:id="rId293" ref="Z97"/>
    <hyperlink r:id="rId294" ref="AC97"/>
    <hyperlink r:id="rId295" ref="AD97"/>
    <hyperlink r:id="rId296" ref="Z98"/>
    <hyperlink r:id="rId297" ref="AC98"/>
    <hyperlink r:id="rId298" ref="AD98"/>
    <hyperlink r:id="rId299" ref="Z99"/>
    <hyperlink r:id="rId300" ref="AC99"/>
    <hyperlink r:id="rId301" ref="AD99"/>
    <hyperlink r:id="rId302" ref="Z100"/>
    <hyperlink r:id="rId303" ref="AC100"/>
    <hyperlink r:id="rId304" ref="AD100"/>
    <hyperlink r:id="rId305" ref="Z101"/>
    <hyperlink r:id="rId306" ref="AC101"/>
    <hyperlink r:id="rId307" ref="AD101"/>
    <hyperlink r:id="rId308" ref="Z102"/>
    <hyperlink r:id="rId309" ref="AC102"/>
    <hyperlink r:id="rId310" ref="AD102"/>
    <hyperlink r:id="rId311" ref="Z103"/>
    <hyperlink r:id="rId312" ref="AC103"/>
    <hyperlink r:id="rId313" ref="AD103"/>
    <hyperlink r:id="rId314" ref="Z104"/>
    <hyperlink r:id="rId315" ref="AC104"/>
    <hyperlink r:id="rId316" ref="AD104"/>
    <hyperlink r:id="rId317" ref="Z105"/>
    <hyperlink r:id="rId318" ref="AC105"/>
    <hyperlink r:id="rId319" ref="AD105"/>
    <hyperlink r:id="rId320" ref="Z106"/>
    <hyperlink r:id="rId321" ref="AC106"/>
    <hyperlink r:id="rId322" ref="AD106"/>
    <hyperlink r:id="rId323" ref="Z107"/>
    <hyperlink r:id="rId324" ref="AC107"/>
    <hyperlink r:id="rId325" ref="AD107"/>
    <hyperlink r:id="rId326" ref="U108"/>
    <hyperlink r:id="rId327" ref="Z108"/>
    <hyperlink r:id="rId328" ref="AC108"/>
    <hyperlink r:id="rId329" ref="AD108"/>
    <hyperlink r:id="rId330" ref="Z109"/>
    <hyperlink r:id="rId331" ref="AC109"/>
    <hyperlink r:id="rId332" ref="AD109"/>
    <hyperlink r:id="rId333" ref="Z110"/>
    <hyperlink r:id="rId334" ref="AC110"/>
    <hyperlink r:id="rId335" ref="AD110"/>
    <hyperlink r:id="rId336" ref="Z111"/>
    <hyperlink r:id="rId337" ref="AC111"/>
    <hyperlink r:id="rId338" ref="AD111"/>
    <hyperlink r:id="rId339" ref="Z112"/>
    <hyperlink r:id="rId340" ref="AC112"/>
    <hyperlink r:id="rId341" ref="AD112"/>
    <hyperlink r:id="rId342" ref="Z113"/>
    <hyperlink r:id="rId343" ref="AC113"/>
    <hyperlink r:id="rId344" ref="AD113"/>
    <hyperlink r:id="rId345" ref="Z114"/>
    <hyperlink r:id="rId346" ref="AC114"/>
    <hyperlink r:id="rId347" ref="AD114"/>
    <hyperlink r:id="rId348" ref="Z115"/>
    <hyperlink r:id="rId349" ref="AC115"/>
    <hyperlink r:id="rId350" ref="AD115"/>
    <hyperlink r:id="rId351" ref="Z116"/>
    <hyperlink r:id="rId352" ref="AC116"/>
    <hyperlink r:id="rId353" ref="AD116"/>
    <hyperlink r:id="rId354" ref="Z117"/>
    <hyperlink r:id="rId355" ref="AC117"/>
    <hyperlink r:id="rId356" ref="AD117"/>
    <hyperlink r:id="rId357" ref="U118"/>
    <hyperlink r:id="rId358" ref="Z118"/>
    <hyperlink r:id="rId359" ref="AC118"/>
    <hyperlink r:id="rId360" ref="AD118"/>
    <hyperlink r:id="rId361" ref="Z119"/>
    <hyperlink r:id="rId362" ref="AC119"/>
    <hyperlink r:id="rId363" ref="AD119"/>
    <hyperlink r:id="rId364" ref="Z120"/>
    <hyperlink r:id="rId365" ref="AC120"/>
    <hyperlink r:id="rId366" ref="AD120"/>
    <hyperlink r:id="rId367" ref="Z121"/>
    <hyperlink r:id="rId368" ref="AC121"/>
    <hyperlink r:id="rId369" ref="AD121"/>
    <hyperlink r:id="rId370" ref="Z122"/>
    <hyperlink r:id="rId371" ref="AC122"/>
    <hyperlink r:id="rId372" ref="AD122"/>
    <hyperlink r:id="rId373" ref="Z123"/>
    <hyperlink r:id="rId374" ref="AC123"/>
    <hyperlink r:id="rId375" ref="AD123"/>
    <hyperlink r:id="rId376" ref="Z124"/>
    <hyperlink r:id="rId377" ref="AC124"/>
    <hyperlink r:id="rId378" ref="AD124"/>
    <hyperlink r:id="rId379" ref="U125"/>
    <hyperlink r:id="rId380" ref="Z125"/>
    <hyperlink r:id="rId381" ref="AC125"/>
    <hyperlink r:id="rId382" ref="AD125"/>
    <hyperlink r:id="rId383" ref="Z126"/>
    <hyperlink r:id="rId384" ref="AC126"/>
    <hyperlink r:id="rId385" ref="AD126"/>
    <hyperlink r:id="rId386" ref="Z127"/>
    <hyperlink r:id="rId387" ref="AC127"/>
    <hyperlink r:id="rId388" ref="AD127"/>
    <hyperlink r:id="rId389" ref="Z128"/>
    <hyperlink r:id="rId390" ref="AC128"/>
    <hyperlink r:id="rId391" ref="AD128"/>
    <hyperlink r:id="rId392" ref="U129"/>
    <hyperlink r:id="rId393" ref="Z129"/>
    <hyperlink r:id="rId394" ref="AC129"/>
    <hyperlink r:id="rId395" ref="AD129"/>
    <hyperlink r:id="rId396" ref="U130"/>
    <hyperlink r:id="rId397" ref="Z130"/>
    <hyperlink r:id="rId398" ref="AC130"/>
    <hyperlink r:id="rId399" ref="AD130"/>
    <hyperlink r:id="rId400" ref="Z131"/>
    <hyperlink r:id="rId401" ref="AC131"/>
    <hyperlink r:id="rId402" ref="AD131"/>
    <hyperlink r:id="rId403" ref="Z132"/>
    <hyperlink r:id="rId404" ref="AC132"/>
    <hyperlink r:id="rId405" ref="AD132"/>
    <hyperlink r:id="rId406" ref="Z133"/>
    <hyperlink r:id="rId407" ref="AC133"/>
    <hyperlink r:id="rId408" ref="AD133"/>
    <hyperlink r:id="rId409" ref="Z134"/>
    <hyperlink r:id="rId410" ref="AC134"/>
    <hyperlink r:id="rId411" ref="AD134"/>
    <hyperlink r:id="rId412" ref="Z135"/>
    <hyperlink r:id="rId413" ref="AC135"/>
    <hyperlink r:id="rId414" ref="AD135"/>
    <hyperlink r:id="rId415" ref="Z136"/>
    <hyperlink r:id="rId416" ref="AC136"/>
    <hyperlink r:id="rId417" ref="AD136"/>
    <hyperlink r:id="rId418" ref="Z137"/>
    <hyperlink r:id="rId419" ref="AC137"/>
    <hyperlink r:id="rId420" ref="AD137"/>
    <hyperlink r:id="rId421" ref="Z138"/>
    <hyperlink r:id="rId422" ref="AC138"/>
    <hyperlink r:id="rId423" ref="AD138"/>
    <hyperlink r:id="rId424" ref="Z139"/>
    <hyperlink r:id="rId425" ref="AC139"/>
    <hyperlink r:id="rId426" ref="AD139"/>
    <hyperlink r:id="rId427" ref="Z140"/>
    <hyperlink r:id="rId428" ref="AC140"/>
    <hyperlink r:id="rId429" ref="AD140"/>
    <hyperlink r:id="rId430" ref="Z141"/>
    <hyperlink r:id="rId431" ref="AC141"/>
    <hyperlink r:id="rId432" ref="AD141"/>
    <hyperlink r:id="rId433" ref="Z142"/>
    <hyperlink r:id="rId434" ref="AC142"/>
    <hyperlink r:id="rId435" ref="AD142"/>
    <hyperlink r:id="rId436" ref="Z143"/>
    <hyperlink r:id="rId437" ref="AC143"/>
    <hyperlink r:id="rId438" ref="AD143"/>
    <hyperlink r:id="rId439" ref="U144"/>
    <hyperlink r:id="rId440" ref="Z144"/>
    <hyperlink r:id="rId441" ref="AC144"/>
    <hyperlink r:id="rId442" ref="AD144"/>
    <hyperlink r:id="rId443" ref="Z145"/>
    <hyperlink r:id="rId444" ref="AC145"/>
    <hyperlink r:id="rId445" ref="AD145"/>
    <hyperlink r:id="rId446" ref="Z146"/>
    <hyperlink r:id="rId447" ref="AC146"/>
    <hyperlink r:id="rId448" ref="AD146"/>
    <hyperlink r:id="rId449" ref="Z147"/>
    <hyperlink r:id="rId450" ref="AC147"/>
    <hyperlink r:id="rId451" ref="AD147"/>
    <hyperlink r:id="rId452" ref="Z148"/>
    <hyperlink r:id="rId453" ref="AC148"/>
    <hyperlink r:id="rId454" ref="AD148"/>
    <hyperlink r:id="rId455" ref="Z149"/>
    <hyperlink r:id="rId456" ref="AC149"/>
    <hyperlink r:id="rId457" ref="AD149"/>
    <hyperlink r:id="rId458" ref="Z150"/>
    <hyperlink r:id="rId459" ref="AC150"/>
    <hyperlink r:id="rId460" ref="AD150"/>
    <hyperlink r:id="rId461" ref="Z151"/>
    <hyperlink r:id="rId462" ref="AC151"/>
    <hyperlink r:id="rId463" ref="AD151"/>
    <hyperlink r:id="rId464" ref="Z152"/>
    <hyperlink r:id="rId465" ref="AC152"/>
    <hyperlink r:id="rId466" ref="AD152"/>
    <hyperlink r:id="rId467" ref="Z153"/>
    <hyperlink r:id="rId468" ref="AC153"/>
    <hyperlink r:id="rId469" ref="AD153"/>
    <hyperlink r:id="rId470" ref="U154"/>
    <hyperlink r:id="rId471" ref="Z154"/>
    <hyperlink r:id="rId472" ref="AC154"/>
    <hyperlink r:id="rId473" ref="AD154"/>
    <hyperlink r:id="rId474" ref="Z155"/>
    <hyperlink r:id="rId475" ref="AC155"/>
    <hyperlink r:id="rId476" ref="AD155"/>
    <hyperlink r:id="rId477" ref="Z156"/>
    <hyperlink r:id="rId478" ref="AC156"/>
    <hyperlink r:id="rId479" ref="AD156"/>
    <hyperlink r:id="rId480" ref="Z157"/>
    <hyperlink r:id="rId481" ref="AC157"/>
    <hyperlink r:id="rId482" ref="AD157"/>
    <hyperlink r:id="rId483" ref="Z158"/>
    <hyperlink r:id="rId484" ref="AC158"/>
    <hyperlink r:id="rId485" ref="AD158"/>
    <hyperlink r:id="rId486" ref="Z159"/>
    <hyperlink r:id="rId487" ref="AC159"/>
    <hyperlink r:id="rId488" ref="AD159"/>
    <hyperlink r:id="rId489" ref="Z160"/>
    <hyperlink r:id="rId490" ref="AC160"/>
    <hyperlink r:id="rId491" ref="AD160"/>
    <hyperlink r:id="rId492" ref="Z161"/>
    <hyperlink r:id="rId493" ref="AC161"/>
    <hyperlink r:id="rId494" ref="AD161"/>
    <hyperlink r:id="rId495" ref="Z162"/>
    <hyperlink r:id="rId496" ref="AC162"/>
    <hyperlink r:id="rId497" ref="AD162"/>
    <hyperlink r:id="rId498" ref="Z163"/>
    <hyperlink r:id="rId499" ref="AC163"/>
    <hyperlink r:id="rId500" ref="AD163"/>
    <hyperlink r:id="rId501" ref="Z164"/>
    <hyperlink r:id="rId502" ref="AC164"/>
    <hyperlink r:id="rId503" ref="AD164"/>
    <hyperlink r:id="rId504" ref="Z165"/>
    <hyperlink r:id="rId505" ref="AC165"/>
    <hyperlink r:id="rId506" ref="AD165"/>
    <hyperlink r:id="rId507" ref="Z166"/>
    <hyperlink r:id="rId508" ref="AC166"/>
    <hyperlink r:id="rId509" ref="AD166"/>
    <hyperlink r:id="rId510" ref="U167"/>
    <hyperlink r:id="rId511" ref="Z167"/>
    <hyperlink r:id="rId512" ref="AC167"/>
    <hyperlink r:id="rId513" ref="AD167"/>
    <hyperlink r:id="rId514" ref="Z168"/>
    <hyperlink r:id="rId515" ref="AC168"/>
    <hyperlink r:id="rId516" ref="AD168"/>
    <hyperlink r:id="rId517" ref="Z169"/>
    <hyperlink r:id="rId518" ref="AC169"/>
    <hyperlink r:id="rId519" ref="AD169"/>
    <hyperlink r:id="rId520" ref="Z170"/>
    <hyperlink r:id="rId521" ref="AC170"/>
    <hyperlink r:id="rId522" ref="AD170"/>
    <hyperlink r:id="rId523" ref="Z171"/>
    <hyperlink r:id="rId524" ref="AC171"/>
    <hyperlink r:id="rId525" ref="AD171"/>
    <hyperlink r:id="rId526" ref="U172"/>
    <hyperlink r:id="rId527" ref="Z172"/>
    <hyperlink r:id="rId528" ref="AC172"/>
    <hyperlink r:id="rId529" ref="AD172"/>
    <hyperlink r:id="rId530" ref="Z173"/>
    <hyperlink r:id="rId531" ref="AC173"/>
    <hyperlink r:id="rId532" ref="AD173"/>
    <hyperlink r:id="rId533" ref="Z174"/>
    <hyperlink r:id="rId534" ref="AC174"/>
    <hyperlink r:id="rId535" ref="AD174"/>
    <hyperlink r:id="rId536" ref="Z175"/>
    <hyperlink r:id="rId537" ref="AC175"/>
    <hyperlink r:id="rId538" ref="AD175"/>
    <hyperlink r:id="rId539" ref="Z176"/>
    <hyperlink r:id="rId540" ref="AC176"/>
    <hyperlink r:id="rId541" ref="AD176"/>
    <hyperlink r:id="rId542" ref="U177"/>
    <hyperlink r:id="rId543" ref="Z177"/>
    <hyperlink r:id="rId544" ref="AC177"/>
    <hyperlink r:id="rId545" ref="AD177"/>
    <hyperlink r:id="rId546" ref="U178"/>
    <hyperlink r:id="rId547" ref="Z178"/>
    <hyperlink r:id="rId548" ref="AC178"/>
    <hyperlink r:id="rId549" ref="AD178"/>
    <hyperlink r:id="rId550" ref="Z179"/>
    <hyperlink r:id="rId551" ref="AC179"/>
    <hyperlink r:id="rId552" ref="AD179"/>
    <hyperlink r:id="rId553" ref="Z180"/>
    <hyperlink r:id="rId554" ref="AC180"/>
    <hyperlink r:id="rId555" ref="AD180"/>
    <hyperlink r:id="rId556" ref="Z181"/>
    <hyperlink r:id="rId557" ref="AC181"/>
    <hyperlink r:id="rId558" ref="AD181"/>
    <hyperlink r:id="rId559" ref="Z182"/>
    <hyperlink r:id="rId560" ref="AC182"/>
    <hyperlink r:id="rId561" ref="AD182"/>
    <hyperlink r:id="rId562" ref="Z183"/>
    <hyperlink r:id="rId563" ref="AC183"/>
    <hyperlink r:id="rId564" ref="AD183"/>
    <hyperlink r:id="rId565" ref="Z184"/>
    <hyperlink r:id="rId566" ref="AC184"/>
    <hyperlink r:id="rId567" ref="AD184"/>
    <hyperlink r:id="rId568" ref="Z185"/>
    <hyperlink r:id="rId569" ref="AC185"/>
    <hyperlink r:id="rId570" ref="AD185"/>
    <hyperlink r:id="rId571" ref="Z186"/>
    <hyperlink r:id="rId572" ref="AC186"/>
    <hyperlink r:id="rId573" ref="AD186"/>
    <hyperlink r:id="rId574" ref="Z187"/>
    <hyperlink r:id="rId575" ref="AC187"/>
    <hyperlink r:id="rId576" ref="AD187"/>
    <hyperlink r:id="rId577" ref="Z188"/>
    <hyperlink r:id="rId578" ref="AC188"/>
    <hyperlink r:id="rId579" ref="AD188"/>
    <hyperlink r:id="rId580" ref="Z189"/>
    <hyperlink r:id="rId581" ref="AC189"/>
    <hyperlink r:id="rId582" ref="AD189"/>
    <hyperlink r:id="rId583" ref="Z190"/>
    <hyperlink r:id="rId584" ref="AC190"/>
    <hyperlink r:id="rId585" ref="AD190"/>
    <hyperlink r:id="rId586" ref="Z191"/>
    <hyperlink r:id="rId587" ref="AC191"/>
    <hyperlink r:id="rId588" ref="AD191"/>
    <hyperlink r:id="rId589" ref="U192"/>
    <hyperlink r:id="rId590" ref="Z192"/>
    <hyperlink r:id="rId591" ref="AC192"/>
    <hyperlink r:id="rId592" ref="AD192"/>
    <hyperlink r:id="rId593" ref="Z193"/>
    <hyperlink r:id="rId594" ref="AC193"/>
    <hyperlink r:id="rId595" ref="AD193"/>
    <hyperlink r:id="rId596" ref="Z194"/>
    <hyperlink r:id="rId597" ref="AC194"/>
    <hyperlink r:id="rId598" ref="AD194"/>
    <hyperlink r:id="rId599" ref="Z195"/>
    <hyperlink r:id="rId600" ref="AC195"/>
    <hyperlink r:id="rId601" ref="AD195"/>
    <hyperlink r:id="rId602" ref="Z196"/>
    <hyperlink r:id="rId603" ref="AC196"/>
    <hyperlink r:id="rId604" ref="AD196"/>
    <hyperlink r:id="rId605" ref="Z197"/>
    <hyperlink r:id="rId606" ref="AC197"/>
    <hyperlink r:id="rId607" ref="AD197"/>
    <hyperlink r:id="rId608" ref="Z198"/>
    <hyperlink r:id="rId609" ref="AC198"/>
    <hyperlink r:id="rId610" ref="AD198"/>
    <hyperlink r:id="rId611" ref="U199"/>
    <hyperlink r:id="rId612" ref="Z199"/>
    <hyperlink r:id="rId613" ref="AC199"/>
    <hyperlink r:id="rId614" ref="AD199"/>
    <hyperlink r:id="rId615" ref="Z200"/>
    <hyperlink r:id="rId616" ref="AC200"/>
    <hyperlink r:id="rId617" ref="AD200"/>
    <hyperlink r:id="rId618" ref="U201"/>
    <hyperlink r:id="rId619" ref="Z201"/>
    <hyperlink r:id="rId620" ref="AC201"/>
    <hyperlink r:id="rId621" ref="AD201"/>
    <hyperlink r:id="rId622" ref="Z202"/>
    <hyperlink r:id="rId623" ref="AC202"/>
    <hyperlink r:id="rId624" ref="AD202"/>
    <hyperlink r:id="rId625" ref="U203"/>
    <hyperlink r:id="rId626" ref="Z203"/>
    <hyperlink r:id="rId627" ref="AC203"/>
    <hyperlink r:id="rId628" ref="AD203"/>
    <hyperlink r:id="rId629" ref="Z204"/>
    <hyperlink r:id="rId630" ref="AC204"/>
    <hyperlink r:id="rId631" ref="AD204"/>
    <hyperlink r:id="rId632" ref="Z205"/>
    <hyperlink r:id="rId633" ref="AC205"/>
    <hyperlink r:id="rId634" ref="AD205"/>
    <hyperlink r:id="rId635" ref="Z206"/>
    <hyperlink r:id="rId636" ref="AC206"/>
    <hyperlink r:id="rId637" ref="AD206"/>
    <hyperlink r:id="rId638" ref="Z207"/>
    <hyperlink r:id="rId639" ref="AC207"/>
    <hyperlink r:id="rId640" ref="AD207"/>
    <hyperlink r:id="rId641" ref="Z208"/>
    <hyperlink r:id="rId642" ref="AC208"/>
    <hyperlink r:id="rId643" ref="AD208"/>
    <hyperlink r:id="rId644" ref="Z209"/>
    <hyperlink r:id="rId645" ref="AC209"/>
    <hyperlink r:id="rId646" ref="AD209"/>
    <hyperlink r:id="rId647" ref="Z210"/>
    <hyperlink r:id="rId648" ref="AC210"/>
    <hyperlink r:id="rId649" ref="AD210"/>
    <hyperlink r:id="rId650" ref="Z211"/>
    <hyperlink r:id="rId651" ref="AC211"/>
    <hyperlink r:id="rId652" ref="AD211"/>
    <hyperlink r:id="rId653" ref="Z212"/>
    <hyperlink r:id="rId654" ref="AC212"/>
    <hyperlink r:id="rId655" ref="AD212"/>
    <hyperlink r:id="rId656" ref="Z213"/>
    <hyperlink r:id="rId657" ref="AC213"/>
    <hyperlink r:id="rId658" ref="AD213"/>
    <hyperlink r:id="rId659" ref="Z214"/>
    <hyperlink r:id="rId660" ref="AC214"/>
    <hyperlink r:id="rId661" ref="AD214"/>
    <hyperlink r:id="rId662" ref="Z215"/>
    <hyperlink r:id="rId663" ref="AC215"/>
    <hyperlink r:id="rId664" ref="AD215"/>
    <hyperlink r:id="rId665" ref="Z216"/>
    <hyperlink r:id="rId666" ref="AC216"/>
    <hyperlink r:id="rId667" ref="AD216"/>
    <hyperlink r:id="rId668" ref="U217"/>
    <hyperlink r:id="rId669" ref="Z217"/>
    <hyperlink r:id="rId670" ref="AC217"/>
    <hyperlink r:id="rId671" ref="AD217"/>
    <hyperlink r:id="rId672" ref="Z218"/>
    <hyperlink r:id="rId673" ref="AC218"/>
    <hyperlink r:id="rId674" ref="AD218"/>
    <hyperlink r:id="rId675" ref="Z219"/>
    <hyperlink r:id="rId676" ref="AC219"/>
    <hyperlink r:id="rId677" ref="AD219"/>
    <hyperlink r:id="rId678" ref="Z220"/>
    <hyperlink r:id="rId679" ref="AC220"/>
    <hyperlink r:id="rId680" ref="AD220"/>
    <hyperlink r:id="rId681" ref="Z221"/>
    <hyperlink r:id="rId682" ref="AC221"/>
    <hyperlink r:id="rId683" ref="AD221"/>
    <hyperlink r:id="rId684" ref="Z222"/>
    <hyperlink r:id="rId685" ref="AC222"/>
    <hyperlink r:id="rId686" ref="AD222"/>
    <hyperlink r:id="rId687" ref="U223"/>
    <hyperlink r:id="rId688" ref="Z223"/>
    <hyperlink r:id="rId689" ref="AC223"/>
    <hyperlink r:id="rId690" ref="AD223"/>
    <hyperlink r:id="rId691" ref="U224"/>
    <hyperlink r:id="rId692" ref="Z224"/>
    <hyperlink r:id="rId693" ref="AC224"/>
    <hyperlink r:id="rId694" ref="AD224"/>
    <hyperlink r:id="rId695" ref="Z225"/>
    <hyperlink r:id="rId696" ref="AC225"/>
    <hyperlink r:id="rId697" ref="AD225"/>
    <hyperlink r:id="rId698" ref="Z226"/>
    <hyperlink r:id="rId699" ref="AC226"/>
    <hyperlink r:id="rId700" ref="AD226"/>
    <hyperlink r:id="rId701" ref="Z227"/>
    <hyperlink r:id="rId702" ref="AC227"/>
    <hyperlink r:id="rId703" ref="AD227"/>
    <hyperlink r:id="rId704" ref="Z228"/>
    <hyperlink r:id="rId705" ref="AC228"/>
    <hyperlink r:id="rId706" ref="AD228"/>
    <hyperlink r:id="rId707" ref="Z229"/>
    <hyperlink r:id="rId708" ref="AC229"/>
    <hyperlink r:id="rId709" ref="AD229"/>
    <hyperlink r:id="rId710" ref="Z230"/>
    <hyperlink r:id="rId711" ref="AC230"/>
    <hyperlink r:id="rId712" ref="AD230"/>
    <hyperlink r:id="rId713" ref="Z231"/>
    <hyperlink r:id="rId714" ref="AC231"/>
    <hyperlink r:id="rId715" ref="AD231"/>
    <hyperlink r:id="rId716" ref="Z232"/>
    <hyperlink r:id="rId717" ref="AC232"/>
    <hyperlink r:id="rId718" ref="AD232"/>
    <hyperlink r:id="rId719" ref="U233"/>
    <hyperlink r:id="rId720" ref="Z233"/>
    <hyperlink r:id="rId721" ref="AC233"/>
    <hyperlink r:id="rId722" ref="AD233"/>
    <hyperlink r:id="rId723" ref="Z234"/>
    <hyperlink r:id="rId724" ref="AC234"/>
    <hyperlink r:id="rId725" ref="AD234"/>
    <hyperlink r:id="rId726" ref="Z235"/>
    <hyperlink r:id="rId727" ref="AC235"/>
    <hyperlink r:id="rId728" ref="AD235"/>
    <hyperlink r:id="rId729" ref="Z236"/>
    <hyperlink r:id="rId730" ref="AC236"/>
    <hyperlink r:id="rId731" ref="AD236"/>
    <hyperlink r:id="rId732" ref="Z237"/>
    <hyperlink r:id="rId733" ref="AC237"/>
    <hyperlink r:id="rId734" ref="AD237"/>
    <hyperlink r:id="rId735" ref="Z238"/>
    <hyperlink r:id="rId736" ref="AC238"/>
    <hyperlink r:id="rId737" ref="AD238"/>
    <hyperlink r:id="rId738" ref="Z239"/>
    <hyperlink r:id="rId739" ref="AC239"/>
    <hyperlink r:id="rId740" ref="AD239"/>
    <hyperlink r:id="rId741" ref="Z240"/>
    <hyperlink r:id="rId742" ref="AC240"/>
    <hyperlink r:id="rId743" ref="AD240"/>
    <hyperlink r:id="rId744" ref="Z241"/>
    <hyperlink r:id="rId745" ref="AC241"/>
    <hyperlink r:id="rId746" ref="AD241"/>
    <hyperlink r:id="rId747" ref="Z242"/>
    <hyperlink r:id="rId748" ref="AC242"/>
    <hyperlink r:id="rId749" ref="AD242"/>
    <hyperlink r:id="rId750" ref="Z243"/>
    <hyperlink r:id="rId751" ref="AC243"/>
    <hyperlink r:id="rId752" ref="AD243"/>
    <hyperlink r:id="rId753" ref="Z244"/>
    <hyperlink r:id="rId754" ref="AC244"/>
    <hyperlink r:id="rId755" ref="AD244"/>
    <hyperlink r:id="rId756" ref="Z245"/>
    <hyperlink r:id="rId757" ref="AC245"/>
    <hyperlink r:id="rId758" ref="AD245"/>
    <hyperlink r:id="rId759" ref="Z246"/>
    <hyperlink r:id="rId760" ref="AC246"/>
    <hyperlink r:id="rId761" ref="AD246"/>
    <hyperlink r:id="rId762" ref="Z247"/>
    <hyperlink r:id="rId763" ref="AC247"/>
    <hyperlink r:id="rId764" ref="AD247"/>
    <hyperlink r:id="rId765" ref="Z248"/>
    <hyperlink r:id="rId766" ref="AC248"/>
    <hyperlink r:id="rId767" ref="AD248"/>
    <hyperlink r:id="rId768" ref="Z249"/>
    <hyperlink r:id="rId769" ref="AC249"/>
    <hyperlink r:id="rId770" ref="AD249"/>
    <hyperlink r:id="rId771" ref="Z250"/>
    <hyperlink r:id="rId772" ref="AC250"/>
    <hyperlink r:id="rId773" ref="AD250"/>
    <hyperlink r:id="rId774" ref="Z251"/>
    <hyperlink r:id="rId775" ref="AC251"/>
    <hyperlink r:id="rId776" ref="AD251"/>
    <hyperlink r:id="rId777" ref="Z252"/>
    <hyperlink r:id="rId778" ref="AC252"/>
    <hyperlink r:id="rId779" ref="AD252"/>
    <hyperlink r:id="rId780" ref="Z253"/>
    <hyperlink r:id="rId781" ref="AC253"/>
    <hyperlink r:id="rId782" ref="AD253"/>
    <hyperlink r:id="rId783" ref="Z254"/>
    <hyperlink r:id="rId784" ref="AC254"/>
    <hyperlink r:id="rId785" ref="AD254"/>
    <hyperlink r:id="rId786" ref="Z255"/>
    <hyperlink r:id="rId787" ref="AC255"/>
    <hyperlink r:id="rId788" ref="AD255"/>
    <hyperlink r:id="rId789" ref="Z256"/>
    <hyperlink r:id="rId790" ref="AC256"/>
    <hyperlink r:id="rId791" ref="AD256"/>
    <hyperlink r:id="rId792" ref="Z257"/>
    <hyperlink r:id="rId793" ref="AC257"/>
    <hyperlink r:id="rId794" ref="AD257"/>
    <hyperlink r:id="rId795" ref="Z258"/>
    <hyperlink r:id="rId796" ref="AC258"/>
    <hyperlink r:id="rId797" ref="AD258"/>
    <hyperlink r:id="rId798" ref="Z259"/>
    <hyperlink r:id="rId799" ref="AC259"/>
    <hyperlink r:id="rId800" ref="AD259"/>
    <hyperlink r:id="rId801" ref="Z260"/>
    <hyperlink r:id="rId802" ref="AC260"/>
    <hyperlink r:id="rId803" ref="AD260"/>
    <hyperlink r:id="rId804" ref="U261"/>
    <hyperlink r:id="rId805" ref="Z261"/>
    <hyperlink r:id="rId806" ref="AC261"/>
    <hyperlink r:id="rId807" ref="AD261"/>
    <hyperlink r:id="rId808" ref="U262"/>
    <hyperlink r:id="rId809" ref="Z262"/>
    <hyperlink r:id="rId810" ref="AC262"/>
    <hyperlink r:id="rId811" ref="AD262"/>
    <hyperlink r:id="rId812" ref="Z263"/>
    <hyperlink r:id="rId813" ref="AC263"/>
    <hyperlink r:id="rId814" ref="AD263"/>
    <hyperlink r:id="rId815" ref="Z264"/>
    <hyperlink r:id="rId816" ref="AC264"/>
    <hyperlink r:id="rId817" ref="AD264"/>
    <hyperlink r:id="rId818" ref="Z265"/>
    <hyperlink r:id="rId819" ref="AC265"/>
    <hyperlink r:id="rId820" ref="AD265"/>
    <hyperlink r:id="rId821" ref="Z266"/>
    <hyperlink r:id="rId822" ref="AC266"/>
    <hyperlink r:id="rId823" ref="AD266"/>
    <hyperlink r:id="rId824" ref="Z267"/>
    <hyperlink r:id="rId825" ref="AC267"/>
    <hyperlink r:id="rId826" ref="AD267"/>
    <hyperlink r:id="rId827" ref="U268"/>
    <hyperlink r:id="rId828" ref="Z268"/>
    <hyperlink r:id="rId829" ref="AC268"/>
    <hyperlink r:id="rId830" ref="AD268"/>
    <hyperlink r:id="rId831" ref="Z269"/>
    <hyperlink r:id="rId832" ref="AC269"/>
    <hyperlink r:id="rId833" ref="AD269"/>
    <hyperlink r:id="rId834" ref="Z270"/>
    <hyperlink r:id="rId835" ref="AC270"/>
    <hyperlink r:id="rId836" ref="AD270"/>
    <hyperlink r:id="rId837" ref="Z271"/>
    <hyperlink r:id="rId838" ref="AC271"/>
    <hyperlink r:id="rId839" ref="AD271"/>
    <hyperlink r:id="rId840" ref="Z272"/>
    <hyperlink r:id="rId841" ref="AC272"/>
    <hyperlink r:id="rId842" ref="AD272"/>
    <hyperlink r:id="rId843" ref="Z273"/>
    <hyperlink r:id="rId844" ref="AC273"/>
    <hyperlink r:id="rId845" ref="AD273"/>
    <hyperlink r:id="rId846" ref="Z274"/>
    <hyperlink r:id="rId847" ref="AC274"/>
    <hyperlink r:id="rId848" ref="AD274"/>
    <hyperlink r:id="rId849" ref="Z275"/>
    <hyperlink r:id="rId850" ref="AC275"/>
    <hyperlink r:id="rId851" ref="AD275"/>
    <hyperlink r:id="rId852" ref="Z276"/>
    <hyperlink r:id="rId853" ref="AC276"/>
    <hyperlink r:id="rId854" ref="AD276"/>
    <hyperlink r:id="rId855" ref="Z277"/>
    <hyperlink r:id="rId856" ref="AC277"/>
    <hyperlink r:id="rId857" ref="AD277"/>
    <hyperlink r:id="rId858" ref="Z278"/>
    <hyperlink r:id="rId859" ref="AC278"/>
    <hyperlink r:id="rId860" ref="AD278"/>
    <hyperlink r:id="rId861" ref="Z279"/>
    <hyperlink r:id="rId862" ref="AC279"/>
    <hyperlink r:id="rId863" ref="AD279"/>
    <hyperlink r:id="rId864" ref="Z280"/>
    <hyperlink r:id="rId865" ref="AC280"/>
    <hyperlink r:id="rId866" ref="AD280"/>
    <hyperlink r:id="rId867" ref="Z281"/>
    <hyperlink r:id="rId868" ref="AC281"/>
    <hyperlink r:id="rId869" ref="AD281"/>
    <hyperlink r:id="rId870" ref="Z282"/>
    <hyperlink r:id="rId871" ref="AC282"/>
    <hyperlink r:id="rId872" ref="AD282"/>
    <hyperlink r:id="rId873" ref="Z283"/>
    <hyperlink r:id="rId874" ref="AC283"/>
    <hyperlink r:id="rId875" ref="AD283"/>
    <hyperlink r:id="rId876" ref="Z284"/>
    <hyperlink r:id="rId877" ref="AC284"/>
    <hyperlink r:id="rId878" ref="AD284"/>
    <hyperlink r:id="rId879" ref="Z285"/>
    <hyperlink r:id="rId880" ref="AC285"/>
    <hyperlink r:id="rId881" ref="AD285"/>
    <hyperlink r:id="rId882" ref="Z286"/>
    <hyperlink r:id="rId883" ref="AC286"/>
    <hyperlink r:id="rId884" ref="AD286"/>
    <hyperlink r:id="rId885" ref="Z287"/>
    <hyperlink r:id="rId886" ref="AC287"/>
    <hyperlink r:id="rId887" ref="AD287"/>
    <hyperlink r:id="rId888" ref="U288"/>
    <hyperlink r:id="rId889" ref="Z288"/>
    <hyperlink r:id="rId890" ref="AC288"/>
    <hyperlink r:id="rId891" ref="AD288"/>
    <hyperlink r:id="rId892" ref="Z289"/>
    <hyperlink r:id="rId893" ref="AC289"/>
    <hyperlink r:id="rId894" ref="AD289"/>
    <hyperlink r:id="rId895" ref="Z290"/>
    <hyperlink r:id="rId896" ref="AC290"/>
    <hyperlink r:id="rId897" ref="AD290"/>
    <hyperlink r:id="rId898" ref="Z291"/>
    <hyperlink r:id="rId899" ref="AC291"/>
    <hyperlink r:id="rId900" ref="AD291"/>
    <hyperlink r:id="rId901" ref="Z292"/>
    <hyperlink r:id="rId902" ref="AC292"/>
    <hyperlink r:id="rId903" ref="AD292"/>
    <hyperlink r:id="rId904" ref="Z293"/>
    <hyperlink r:id="rId905" ref="AC293"/>
    <hyperlink r:id="rId906" ref="AD293"/>
    <hyperlink r:id="rId907" ref="Z294"/>
    <hyperlink r:id="rId908" ref="AC294"/>
    <hyperlink r:id="rId909" ref="AD294"/>
    <hyperlink r:id="rId910" ref="Z295"/>
    <hyperlink r:id="rId911" ref="AC295"/>
    <hyperlink r:id="rId912" ref="AD295"/>
    <hyperlink r:id="rId913" ref="Z296"/>
    <hyperlink r:id="rId914" ref="AC296"/>
    <hyperlink r:id="rId915" ref="AD296"/>
    <hyperlink r:id="rId916" ref="Z297"/>
    <hyperlink r:id="rId917" ref="AC297"/>
    <hyperlink r:id="rId918" ref="AD297"/>
    <hyperlink r:id="rId919" ref="Z298"/>
    <hyperlink r:id="rId920" ref="AC298"/>
    <hyperlink r:id="rId921" ref="AD298"/>
    <hyperlink r:id="rId922" ref="Z299"/>
    <hyperlink r:id="rId923" ref="AC299"/>
    <hyperlink r:id="rId924" ref="AD299"/>
    <hyperlink r:id="rId925" ref="Z300"/>
    <hyperlink r:id="rId926" ref="AC300"/>
    <hyperlink r:id="rId927" ref="AD300"/>
    <hyperlink r:id="rId928" ref="U301"/>
    <hyperlink r:id="rId929" ref="Z301"/>
    <hyperlink r:id="rId930" ref="AC301"/>
    <hyperlink r:id="rId931" ref="AD301"/>
    <hyperlink r:id="rId932" ref="Z302"/>
    <hyperlink r:id="rId933" ref="AC302"/>
    <hyperlink r:id="rId934" ref="AD302"/>
    <hyperlink r:id="rId935" ref="Z303"/>
    <hyperlink r:id="rId936" ref="AC303"/>
    <hyperlink r:id="rId937" ref="AD303"/>
    <hyperlink r:id="rId938" ref="Z304"/>
    <hyperlink r:id="rId939" ref="AC304"/>
    <hyperlink r:id="rId940" ref="AD304"/>
    <hyperlink r:id="rId941" ref="Z305"/>
    <hyperlink r:id="rId942" ref="AC305"/>
    <hyperlink r:id="rId943" ref="AD305"/>
    <hyperlink r:id="rId944" ref="Z306"/>
    <hyperlink r:id="rId945" ref="AC306"/>
    <hyperlink r:id="rId946" ref="AD306"/>
    <hyperlink r:id="rId947" ref="Z307"/>
    <hyperlink r:id="rId948" ref="AC307"/>
    <hyperlink r:id="rId949" ref="AD307"/>
    <hyperlink r:id="rId950" ref="Z308"/>
    <hyperlink r:id="rId951" ref="AC308"/>
    <hyperlink r:id="rId952" ref="AD308"/>
    <hyperlink r:id="rId953" ref="Z309"/>
    <hyperlink r:id="rId954" ref="AC309"/>
    <hyperlink r:id="rId955" ref="AD309"/>
    <hyperlink r:id="rId956" ref="Z310"/>
    <hyperlink r:id="rId957" ref="AC310"/>
    <hyperlink r:id="rId958" ref="AD310"/>
    <hyperlink r:id="rId959" ref="Z311"/>
    <hyperlink r:id="rId960" ref="AC311"/>
    <hyperlink r:id="rId961" ref="AD311"/>
    <hyperlink r:id="rId962" ref="Z312"/>
    <hyperlink r:id="rId963" ref="AC312"/>
    <hyperlink r:id="rId964" ref="AD312"/>
    <hyperlink r:id="rId965" ref="Z313"/>
    <hyperlink r:id="rId966" ref="AC313"/>
    <hyperlink r:id="rId967" ref="AD313"/>
    <hyperlink r:id="rId968" ref="Z314"/>
    <hyperlink r:id="rId969" ref="AC314"/>
    <hyperlink r:id="rId970" ref="AD314"/>
    <hyperlink r:id="rId971" ref="Z315"/>
    <hyperlink r:id="rId972" ref="AC315"/>
    <hyperlink r:id="rId973" ref="AD315"/>
    <hyperlink r:id="rId974" ref="Z316"/>
    <hyperlink r:id="rId975" ref="AC316"/>
    <hyperlink r:id="rId976" ref="AD316"/>
    <hyperlink r:id="rId977" ref="Z317"/>
    <hyperlink r:id="rId978" ref="AC317"/>
    <hyperlink r:id="rId979" ref="AD317"/>
    <hyperlink r:id="rId980" ref="Z318"/>
    <hyperlink r:id="rId981" ref="AC318"/>
    <hyperlink r:id="rId982" ref="AD318"/>
    <hyperlink r:id="rId983" ref="Z319"/>
    <hyperlink r:id="rId984" ref="AC319"/>
    <hyperlink r:id="rId985" ref="AD319"/>
    <hyperlink r:id="rId986" ref="Z320"/>
    <hyperlink r:id="rId987" ref="AC320"/>
    <hyperlink r:id="rId988" ref="AD320"/>
    <hyperlink r:id="rId989" ref="Z321"/>
    <hyperlink r:id="rId990" ref="AC321"/>
    <hyperlink r:id="rId991" ref="AD321"/>
    <hyperlink r:id="rId992" ref="Z322"/>
    <hyperlink r:id="rId993" ref="AC322"/>
    <hyperlink r:id="rId994" ref="AD322"/>
    <hyperlink r:id="rId995" ref="Z323"/>
    <hyperlink r:id="rId996" ref="AC323"/>
    <hyperlink r:id="rId997" ref="AD323"/>
    <hyperlink r:id="rId998" ref="Z324"/>
    <hyperlink r:id="rId999" ref="AC324"/>
    <hyperlink r:id="rId1000" ref="AD324"/>
    <hyperlink r:id="rId1001" ref="U325"/>
    <hyperlink r:id="rId1002" ref="Z325"/>
    <hyperlink r:id="rId1003" ref="AC325"/>
    <hyperlink r:id="rId1004" ref="AD325"/>
    <hyperlink r:id="rId1005" ref="U326"/>
    <hyperlink r:id="rId1006" ref="Z326"/>
    <hyperlink r:id="rId1007" ref="AC326"/>
    <hyperlink r:id="rId1008" ref="AD326"/>
    <hyperlink r:id="rId1009" ref="U327"/>
    <hyperlink r:id="rId1010" ref="Z327"/>
    <hyperlink r:id="rId1011" ref="AC327"/>
    <hyperlink r:id="rId1012" ref="AD327"/>
    <hyperlink r:id="rId1013" ref="Z328"/>
    <hyperlink r:id="rId1014" ref="AC328"/>
    <hyperlink r:id="rId1015" ref="AD328"/>
    <hyperlink r:id="rId1016" ref="Z329"/>
    <hyperlink r:id="rId1017" ref="AC329"/>
    <hyperlink r:id="rId1018" ref="AD329"/>
    <hyperlink r:id="rId1019" ref="Z330"/>
    <hyperlink r:id="rId1020" ref="AC330"/>
    <hyperlink r:id="rId1021" ref="AD330"/>
    <hyperlink r:id="rId1022" ref="Z331"/>
    <hyperlink r:id="rId1023" ref="AC331"/>
    <hyperlink r:id="rId1024" ref="AD331"/>
    <hyperlink r:id="rId1025" ref="U332"/>
    <hyperlink r:id="rId1026" ref="Z332"/>
    <hyperlink r:id="rId1027" ref="AC332"/>
    <hyperlink r:id="rId1028" ref="AD332"/>
    <hyperlink r:id="rId1029" ref="Z333"/>
    <hyperlink r:id="rId1030" ref="AC333"/>
    <hyperlink r:id="rId1031" ref="AD333"/>
    <hyperlink r:id="rId1032" ref="Z334"/>
    <hyperlink r:id="rId1033" ref="AC334"/>
    <hyperlink r:id="rId1034" ref="AD334"/>
    <hyperlink r:id="rId1035" ref="Z335"/>
    <hyperlink r:id="rId1036" ref="AC335"/>
    <hyperlink r:id="rId1037" ref="AD335"/>
    <hyperlink r:id="rId1038" ref="Z336"/>
    <hyperlink r:id="rId1039" ref="AC336"/>
    <hyperlink r:id="rId1040" ref="AD336"/>
    <hyperlink r:id="rId1041" ref="Z337"/>
    <hyperlink r:id="rId1042" ref="AC337"/>
    <hyperlink r:id="rId1043" ref="AD337"/>
    <hyperlink r:id="rId1044" ref="Z338"/>
    <hyperlink r:id="rId1045" ref="AC338"/>
    <hyperlink r:id="rId1046" ref="AD338"/>
    <hyperlink r:id="rId1047" ref="Z339"/>
    <hyperlink r:id="rId1048" ref="AC339"/>
    <hyperlink r:id="rId1049" ref="AD339"/>
    <hyperlink r:id="rId1050" ref="Z340"/>
    <hyperlink r:id="rId1051" ref="AC340"/>
    <hyperlink r:id="rId1052" ref="AD340"/>
    <hyperlink r:id="rId1053" ref="Z341"/>
    <hyperlink r:id="rId1054" ref="AC341"/>
    <hyperlink r:id="rId1055" ref="AD341"/>
    <hyperlink r:id="rId1056" ref="Z342"/>
    <hyperlink r:id="rId1057" ref="AC342"/>
    <hyperlink r:id="rId1058" ref="AD342"/>
    <hyperlink r:id="rId1059" ref="Z343"/>
    <hyperlink r:id="rId1060" ref="AC343"/>
    <hyperlink r:id="rId1061" ref="AD343"/>
    <hyperlink r:id="rId1062" ref="Z344"/>
    <hyperlink r:id="rId1063" ref="AC344"/>
    <hyperlink r:id="rId1064" ref="AD344"/>
    <hyperlink r:id="rId1065" ref="Z345"/>
    <hyperlink r:id="rId1066" ref="AC345"/>
    <hyperlink r:id="rId1067" ref="AD345"/>
    <hyperlink r:id="rId1068" ref="Z346"/>
    <hyperlink r:id="rId1069" ref="AC346"/>
    <hyperlink r:id="rId1070" ref="AD346"/>
    <hyperlink r:id="rId1071" ref="Z347"/>
    <hyperlink r:id="rId1072" ref="AC347"/>
    <hyperlink r:id="rId1073" ref="AD347"/>
    <hyperlink r:id="rId1074" ref="Z348"/>
    <hyperlink r:id="rId1075" ref="AC348"/>
    <hyperlink r:id="rId1076" ref="AD348"/>
    <hyperlink r:id="rId1077" ref="Z349"/>
    <hyperlink r:id="rId1078" ref="AC349"/>
    <hyperlink r:id="rId1079" ref="AD349"/>
    <hyperlink r:id="rId1080" ref="Z350"/>
    <hyperlink r:id="rId1081" ref="AC350"/>
    <hyperlink r:id="rId1082" ref="AD350"/>
    <hyperlink r:id="rId1083" ref="Z351"/>
    <hyperlink r:id="rId1084" ref="AC351"/>
    <hyperlink r:id="rId1085" ref="AD351"/>
    <hyperlink r:id="rId1086" ref="Z352"/>
    <hyperlink r:id="rId1087" ref="AC352"/>
    <hyperlink r:id="rId1088" ref="AD352"/>
    <hyperlink r:id="rId1089" ref="Z353"/>
    <hyperlink r:id="rId1090" ref="AC353"/>
    <hyperlink r:id="rId1091" ref="AD353"/>
    <hyperlink r:id="rId1092" ref="Z354"/>
    <hyperlink r:id="rId1093" ref="AC354"/>
    <hyperlink r:id="rId1094" ref="AD354"/>
    <hyperlink r:id="rId1095" ref="Z355"/>
    <hyperlink r:id="rId1096" ref="AC355"/>
    <hyperlink r:id="rId1097" ref="AD355"/>
    <hyperlink r:id="rId1098" ref="Z356"/>
    <hyperlink r:id="rId1099" ref="AC356"/>
    <hyperlink r:id="rId1100" ref="AD356"/>
    <hyperlink r:id="rId1101" ref="Z357"/>
    <hyperlink r:id="rId1102" ref="AC357"/>
    <hyperlink r:id="rId1103" ref="AD357"/>
    <hyperlink r:id="rId1104" ref="U358"/>
    <hyperlink r:id="rId1105" ref="Z358"/>
    <hyperlink r:id="rId1106" ref="AC358"/>
    <hyperlink r:id="rId1107" ref="AD358"/>
    <hyperlink r:id="rId1108" ref="U359"/>
    <hyperlink r:id="rId1109" ref="Z359"/>
    <hyperlink r:id="rId1110" ref="AC359"/>
    <hyperlink r:id="rId1111" ref="AD359"/>
    <hyperlink r:id="rId1112" ref="U360"/>
    <hyperlink r:id="rId1113" ref="Z360"/>
    <hyperlink r:id="rId1114" ref="AC360"/>
    <hyperlink r:id="rId1115" ref="AD360"/>
    <hyperlink r:id="rId1116" ref="Z361"/>
    <hyperlink r:id="rId1117" ref="AC361"/>
    <hyperlink r:id="rId1118" ref="AD361"/>
    <hyperlink r:id="rId1119" ref="U362"/>
    <hyperlink r:id="rId1120" ref="Z362"/>
    <hyperlink r:id="rId1121" ref="AC362"/>
    <hyperlink r:id="rId1122" ref="AD362"/>
    <hyperlink r:id="rId1123" ref="Z363"/>
    <hyperlink r:id="rId1124" ref="AC363"/>
    <hyperlink r:id="rId1125" ref="AD363"/>
    <hyperlink r:id="rId1126" ref="Z364"/>
    <hyperlink r:id="rId1127" ref="AC364"/>
    <hyperlink r:id="rId1128" ref="AD364"/>
    <hyperlink r:id="rId1129" ref="U365"/>
    <hyperlink r:id="rId1130" ref="Z365"/>
    <hyperlink r:id="rId1131" ref="AC365"/>
    <hyperlink r:id="rId1132" ref="AD365"/>
    <hyperlink r:id="rId1133" ref="Z366"/>
    <hyperlink r:id="rId1134" ref="AC366"/>
    <hyperlink r:id="rId1135" ref="AD366"/>
    <hyperlink r:id="rId1136" ref="Z367"/>
    <hyperlink r:id="rId1137" ref="AC367"/>
    <hyperlink r:id="rId1138" ref="AD367"/>
    <hyperlink r:id="rId1139" ref="Z368"/>
    <hyperlink r:id="rId1140" ref="AC368"/>
    <hyperlink r:id="rId1141" ref="AD368"/>
    <hyperlink r:id="rId1142" ref="Z369"/>
    <hyperlink r:id="rId1143" ref="AC369"/>
    <hyperlink r:id="rId1144" ref="AD369"/>
    <hyperlink r:id="rId1145" ref="Z370"/>
    <hyperlink r:id="rId1146" ref="AC370"/>
    <hyperlink r:id="rId1147" ref="AD370"/>
    <hyperlink r:id="rId1148" ref="U371"/>
    <hyperlink r:id="rId1149" ref="Z371"/>
    <hyperlink r:id="rId1150" ref="AC371"/>
    <hyperlink r:id="rId1151" ref="AD371"/>
    <hyperlink r:id="rId1152" ref="Z372"/>
    <hyperlink r:id="rId1153" ref="AC372"/>
    <hyperlink r:id="rId1154" ref="AD372"/>
    <hyperlink r:id="rId1155" ref="Z373"/>
    <hyperlink r:id="rId1156" ref="AC373"/>
    <hyperlink r:id="rId1157" ref="AD373"/>
    <hyperlink r:id="rId1158" ref="Z374"/>
    <hyperlink r:id="rId1159" ref="AC374"/>
    <hyperlink r:id="rId1160" ref="AD374"/>
    <hyperlink r:id="rId1161" ref="Z375"/>
    <hyperlink r:id="rId1162" ref="AC375"/>
    <hyperlink r:id="rId1163" ref="AD375"/>
    <hyperlink r:id="rId1164" ref="Z376"/>
    <hyperlink r:id="rId1165" ref="AC376"/>
    <hyperlink r:id="rId1166" ref="AD376"/>
    <hyperlink r:id="rId1167" ref="Z377"/>
    <hyperlink r:id="rId1168" ref="AC377"/>
    <hyperlink r:id="rId1169" ref="AD377"/>
    <hyperlink r:id="rId1170" ref="Z378"/>
    <hyperlink r:id="rId1171" ref="AC378"/>
    <hyperlink r:id="rId1172" ref="AD378"/>
    <hyperlink r:id="rId1173" ref="Z379"/>
    <hyperlink r:id="rId1174" ref="AC379"/>
    <hyperlink r:id="rId1175" ref="AD379"/>
    <hyperlink r:id="rId1176" ref="Z380"/>
    <hyperlink r:id="rId1177" ref="AC380"/>
    <hyperlink r:id="rId1178" ref="AD380"/>
    <hyperlink r:id="rId1179" ref="U381"/>
    <hyperlink r:id="rId1180" ref="Z381"/>
    <hyperlink r:id="rId1181" ref="AC381"/>
    <hyperlink r:id="rId1182" ref="AD381"/>
    <hyperlink r:id="rId1183" ref="U382"/>
    <hyperlink r:id="rId1184" ref="Z382"/>
    <hyperlink r:id="rId1185" ref="AC382"/>
    <hyperlink r:id="rId1186" ref="AD382"/>
    <hyperlink r:id="rId1187" ref="Z383"/>
    <hyperlink r:id="rId1188" ref="AC383"/>
    <hyperlink r:id="rId1189" ref="AD383"/>
    <hyperlink r:id="rId1190" ref="Z384"/>
    <hyperlink r:id="rId1191" ref="AC384"/>
    <hyperlink r:id="rId1192" ref="AD384"/>
    <hyperlink r:id="rId1193" ref="Z385"/>
    <hyperlink r:id="rId1194" ref="AC385"/>
    <hyperlink r:id="rId1195" ref="AD385"/>
    <hyperlink r:id="rId1196" ref="Z386"/>
    <hyperlink r:id="rId1197" ref="AC386"/>
    <hyperlink r:id="rId1198" ref="AD386"/>
    <hyperlink r:id="rId1199" ref="Z387"/>
    <hyperlink r:id="rId1200" ref="AC387"/>
    <hyperlink r:id="rId1201" ref="AD387"/>
    <hyperlink r:id="rId1202" ref="Z388"/>
    <hyperlink r:id="rId1203" ref="AC388"/>
    <hyperlink r:id="rId1204" ref="AD388"/>
    <hyperlink r:id="rId1205" ref="U389"/>
    <hyperlink r:id="rId1206" ref="Z389"/>
    <hyperlink r:id="rId1207" ref="AC389"/>
    <hyperlink r:id="rId1208" ref="AD389"/>
    <hyperlink r:id="rId1209" ref="Z390"/>
    <hyperlink r:id="rId1210" ref="AC390"/>
    <hyperlink r:id="rId1211" ref="AD390"/>
    <hyperlink r:id="rId1212" ref="Z391"/>
    <hyperlink r:id="rId1213" ref="AC391"/>
    <hyperlink r:id="rId1214" ref="AD391"/>
    <hyperlink r:id="rId1215" ref="Z392"/>
    <hyperlink r:id="rId1216" ref="AC392"/>
    <hyperlink r:id="rId1217" ref="AD392"/>
    <hyperlink r:id="rId1218" ref="Z393"/>
    <hyperlink r:id="rId1219" ref="AC393"/>
    <hyperlink r:id="rId1220" ref="AD393"/>
    <hyperlink r:id="rId1221" ref="Z394"/>
    <hyperlink r:id="rId1222" ref="AC394"/>
    <hyperlink r:id="rId1223" ref="AD394"/>
    <hyperlink r:id="rId1224" ref="Z395"/>
    <hyperlink r:id="rId1225" ref="AC395"/>
    <hyperlink r:id="rId1226" ref="AD395"/>
    <hyperlink r:id="rId1227" ref="Z396"/>
    <hyperlink r:id="rId1228" ref="AC396"/>
    <hyperlink r:id="rId1229" ref="AD396"/>
    <hyperlink r:id="rId1230" ref="U397"/>
    <hyperlink r:id="rId1231" ref="Z397"/>
    <hyperlink r:id="rId1232" ref="AC397"/>
    <hyperlink r:id="rId1233" ref="AD397"/>
    <hyperlink r:id="rId1234" ref="Z398"/>
    <hyperlink r:id="rId1235" ref="AC398"/>
    <hyperlink r:id="rId1236" ref="AD398"/>
    <hyperlink r:id="rId1237" ref="U399"/>
    <hyperlink r:id="rId1238" ref="Z399"/>
    <hyperlink r:id="rId1239" ref="AC399"/>
    <hyperlink r:id="rId1240" ref="AD399"/>
    <hyperlink r:id="rId1241" ref="Z400"/>
    <hyperlink r:id="rId1242" ref="AC400"/>
    <hyperlink r:id="rId1243" ref="AD400"/>
    <hyperlink r:id="rId1244" ref="Z401"/>
    <hyperlink r:id="rId1245" ref="AC401"/>
    <hyperlink r:id="rId1246" ref="AD401"/>
    <hyperlink r:id="rId1247" ref="Z402"/>
    <hyperlink r:id="rId1248" ref="AC402"/>
    <hyperlink r:id="rId1249" ref="AD402"/>
    <hyperlink r:id="rId1250" ref="Z403"/>
    <hyperlink r:id="rId1251" ref="AC403"/>
    <hyperlink r:id="rId1252" ref="AD403"/>
    <hyperlink r:id="rId1253" ref="U404"/>
    <hyperlink r:id="rId1254" ref="Z404"/>
    <hyperlink r:id="rId1255" ref="AC404"/>
    <hyperlink r:id="rId1256" ref="AD404"/>
    <hyperlink r:id="rId1257" ref="Z405"/>
    <hyperlink r:id="rId1258" ref="AC405"/>
    <hyperlink r:id="rId1259" ref="AD405"/>
    <hyperlink r:id="rId1260" ref="Z406"/>
    <hyperlink r:id="rId1261" ref="AC406"/>
    <hyperlink r:id="rId1262" ref="AD406"/>
    <hyperlink r:id="rId1263" ref="U407"/>
    <hyperlink r:id="rId1264" ref="Z407"/>
    <hyperlink r:id="rId1265" ref="AC407"/>
    <hyperlink r:id="rId1266" ref="AD407"/>
    <hyperlink r:id="rId1267" ref="U408"/>
    <hyperlink r:id="rId1268" ref="Z408"/>
    <hyperlink r:id="rId1269" ref="AC408"/>
    <hyperlink r:id="rId1270" ref="AD408"/>
    <hyperlink r:id="rId1271" ref="Z409"/>
    <hyperlink r:id="rId1272" ref="AC409"/>
    <hyperlink r:id="rId1273" ref="AD409"/>
    <hyperlink r:id="rId1274" ref="Z410"/>
    <hyperlink r:id="rId1275" ref="AC410"/>
    <hyperlink r:id="rId1276" ref="AD410"/>
    <hyperlink r:id="rId1277" ref="Z411"/>
    <hyperlink r:id="rId1278" ref="AC411"/>
    <hyperlink r:id="rId1279" ref="AD411"/>
    <hyperlink r:id="rId1280" ref="Z412"/>
    <hyperlink r:id="rId1281" ref="AC412"/>
    <hyperlink r:id="rId1282" ref="AD412"/>
    <hyperlink r:id="rId1283" ref="Z413"/>
    <hyperlink r:id="rId1284" ref="AC413"/>
    <hyperlink r:id="rId1285" ref="AD413"/>
    <hyperlink r:id="rId1286" ref="Z414"/>
    <hyperlink r:id="rId1287" ref="AC414"/>
    <hyperlink r:id="rId1288" ref="AD414"/>
    <hyperlink r:id="rId1289" ref="U415"/>
    <hyperlink r:id="rId1290" ref="Z415"/>
    <hyperlink r:id="rId1291" ref="AC415"/>
    <hyperlink r:id="rId1292" ref="AD415"/>
    <hyperlink r:id="rId1293" ref="Z416"/>
    <hyperlink r:id="rId1294" ref="AC416"/>
    <hyperlink r:id="rId1295" ref="AD416"/>
    <hyperlink r:id="rId1296" ref="Z417"/>
    <hyperlink r:id="rId1297" ref="AC417"/>
    <hyperlink r:id="rId1298" ref="AD417"/>
    <hyperlink r:id="rId1299" ref="Z418"/>
    <hyperlink r:id="rId1300" ref="AC418"/>
    <hyperlink r:id="rId1301" ref="AD418"/>
    <hyperlink r:id="rId1302" ref="Z419"/>
    <hyperlink r:id="rId1303" ref="AC419"/>
    <hyperlink r:id="rId1304" ref="AD419"/>
    <hyperlink r:id="rId1305" ref="Z420"/>
    <hyperlink r:id="rId1306" ref="AC420"/>
    <hyperlink r:id="rId1307" ref="AD420"/>
    <hyperlink r:id="rId1308" ref="Z421"/>
    <hyperlink r:id="rId1309" ref="AC421"/>
    <hyperlink r:id="rId1310" ref="AD421"/>
    <hyperlink r:id="rId1311" ref="Z422"/>
    <hyperlink r:id="rId1312" ref="AC422"/>
    <hyperlink r:id="rId1313" ref="AD422"/>
    <hyperlink r:id="rId1314" ref="Z423"/>
    <hyperlink r:id="rId1315" ref="AC423"/>
    <hyperlink r:id="rId1316" ref="AD423"/>
    <hyperlink r:id="rId1317" ref="Z424"/>
    <hyperlink r:id="rId1318" ref="AC424"/>
    <hyperlink r:id="rId1319" ref="AD424"/>
    <hyperlink r:id="rId1320" ref="Z425"/>
    <hyperlink r:id="rId1321" ref="AC425"/>
    <hyperlink r:id="rId1322" ref="AD425"/>
    <hyperlink r:id="rId1323" ref="Z426"/>
    <hyperlink r:id="rId1324" ref="AC426"/>
    <hyperlink r:id="rId1325" ref="AD426"/>
    <hyperlink r:id="rId1326" ref="Z427"/>
    <hyperlink r:id="rId1327" ref="AC427"/>
    <hyperlink r:id="rId1328" ref="AD427"/>
    <hyperlink r:id="rId1329" ref="Z428"/>
    <hyperlink r:id="rId1330" ref="AC428"/>
    <hyperlink r:id="rId1331" ref="AD428"/>
    <hyperlink r:id="rId1332" ref="Z429"/>
    <hyperlink r:id="rId1333" ref="AC429"/>
    <hyperlink r:id="rId1334" ref="AD429"/>
    <hyperlink r:id="rId1335" ref="Z430"/>
    <hyperlink r:id="rId1336" ref="AC430"/>
    <hyperlink r:id="rId1337" ref="AD430"/>
    <hyperlink r:id="rId1338" ref="Z431"/>
    <hyperlink r:id="rId1339" ref="AC431"/>
    <hyperlink r:id="rId1340" ref="AD431"/>
    <hyperlink r:id="rId1341" ref="U432"/>
    <hyperlink r:id="rId1342" ref="Z432"/>
    <hyperlink r:id="rId1343" ref="AC432"/>
    <hyperlink r:id="rId1344" ref="AD432"/>
    <hyperlink r:id="rId1345" ref="Z433"/>
    <hyperlink r:id="rId1346" ref="AC433"/>
    <hyperlink r:id="rId1347" ref="AD433"/>
    <hyperlink r:id="rId1348" ref="Z434"/>
    <hyperlink r:id="rId1349" ref="AC434"/>
    <hyperlink r:id="rId1350" ref="AD434"/>
    <hyperlink r:id="rId1351" ref="Z435"/>
    <hyperlink r:id="rId1352" ref="AC435"/>
    <hyperlink r:id="rId1353" ref="AD435"/>
    <hyperlink r:id="rId1354" ref="Z436"/>
    <hyperlink r:id="rId1355" ref="AC436"/>
    <hyperlink r:id="rId1356" ref="AD436"/>
    <hyperlink r:id="rId1357" ref="U437"/>
    <hyperlink r:id="rId1358" ref="Z437"/>
    <hyperlink r:id="rId1359" ref="AC437"/>
    <hyperlink r:id="rId1360" ref="AD437"/>
    <hyperlink r:id="rId1361" ref="Z438"/>
    <hyperlink r:id="rId1362" ref="AC438"/>
    <hyperlink r:id="rId1363" ref="AD438"/>
    <hyperlink r:id="rId1364" ref="Z439"/>
    <hyperlink r:id="rId1365" ref="AC439"/>
    <hyperlink r:id="rId1366" ref="AD439"/>
    <hyperlink r:id="rId1367" ref="Z440"/>
    <hyperlink r:id="rId1368" ref="AC440"/>
    <hyperlink r:id="rId1369" ref="AD440"/>
    <hyperlink r:id="rId1370" ref="U441"/>
    <hyperlink r:id="rId1371" ref="Z441"/>
    <hyperlink r:id="rId1372" ref="AC441"/>
    <hyperlink r:id="rId1373" ref="AD441"/>
    <hyperlink r:id="rId1374" ref="Z442"/>
    <hyperlink r:id="rId1375" ref="AC442"/>
    <hyperlink r:id="rId1376" ref="AD442"/>
    <hyperlink r:id="rId1377" ref="Z443"/>
    <hyperlink r:id="rId1378" ref="AC443"/>
    <hyperlink r:id="rId1379" ref="AD443"/>
    <hyperlink r:id="rId1380" ref="Z444"/>
    <hyperlink r:id="rId1381" ref="AC444"/>
    <hyperlink r:id="rId1382" ref="AD444"/>
    <hyperlink r:id="rId1383" ref="Z445"/>
    <hyperlink r:id="rId1384" ref="AC445"/>
    <hyperlink r:id="rId1385" ref="AD445"/>
    <hyperlink r:id="rId1386" ref="Z446"/>
    <hyperlink r:id="rId1387" ref="AC446"/>
    <hyperlink r:id="rId1388" ref="AD446"/>
    <hyperlink r:id="rId1389" ref="U447"/>
    <hyperlink r:id="rId1390" ref="Z447"/>
    <hyperlink r:id="rId1391" ref="AC447"/>
    <hyperlink r:id="rId1392" ref="AD447"/>
    <hyperlink r:id="rId1393" ref="Z448"/>
    <hyperlink r:id="rId1394" ref="AC448"/>
    <hyperlink r:id="rId1395" ref="AD448"/>
    <hyperlink r:id="rId1396" ref="U449"/>
    <hyperlink r:id="rId1397" ref="Z449"/>
    <hyperlink r:id="rId1398" ref="AC449"/>
    <hyperlink r:id="rId1399" ref="AD449"/>
    <hyperlink r:id="rId1400" ref="Z450"/>
    <hyperlink r:id="rId1401" ref="AC450"/>
    <hyperlink r:id="rId1402" ref="AD450"/>
    <hyperlink r:id="rId1403" ref="Z451"/>
    <hyperlink r:id="rId1404" ref="AC451"/>
    <hyperlink r:id="rId1405" ref="AD451"/>
    <hyperlink r:id="rId1406" ref="Z452"/>
    <hyperlink r:id="rId1407" ref="AC452"/>
    <hyperlink r:id="rId1408" ref="AD452"/>
    <hyperlink r:id="rId1409" ref="Z453"/>
    <hyperlink r:id="rId1410" ref="AC453"/>
    <hyperlink r:id="rId1411" ref="AD453"/>
    <hyperlink r:id="rId1412" ref="Z454"/>
    <hyperlink r:id="rId1413" ref="AC454"/>
    <hyperlink r:id="rId1414" ref="AD454"/>
    <hyperlink r:id="rId1415" ref="U455"/>
    <hyperlink r:id="rId1416" ref="Z455"/>
    <hyperlink r:id="rId1417" ref="AC455"/>
    <hyperlink r:id="rId1418" ref="AD455"/>
    <hyperlink r:id="rId1419" ref="Z456"/>
    <hyperlink r:id="rId1420" ref="AC456"/>
    <hyperlink r:id="rId1421" ref="AD456"/>
    <hyperlink r:id="rId1422" ref="Z457"/>
    <hyperlink r:id="rId1423" ref="AC457"/>
    <hyperlink r:id="rId1424" ref="AD457"/>
    <hyperlink r:id="rId1425" ref="Z458"/>
    <hyperlink r:id="rId1426" ref="AC458"/>
    <hyperlink r:id="rId1427" ref="AD458"/>
    <hyperlink r:id="rId1428" ref="Z459"/>
    <hyperlink r:id="rId1429" ref="AC459"/>
    <hyperlink r:id="rId1430" ref="AD459"/>
    <hyperlink r:id="rId1431" ref="Z460"/>
    <hyperlink r:id="rId1432" ref="AC460"/>
    <hyperlink r:id="rId1433" ref="AD460"/>
    <hyperlink r:id="rId1434" ref="Z461"/>
    <hyperlink r:id="rId1435" ref="AC461"/>
    <hyperlink r:id="rId1436" ref="AD461"/>
    <hyperlink r:id="rId1437" ref="U462"/>
    <hyperlink r:id="rId1438" ref="Z462"/>
    <hyperlink r:id="rId1439" ref="AC462"/>
    <hyperlink r:id="rId1440" ref="AD462"/>
    <hyperlink r:id="rId1441" ref="Z463"/>
    <hyperlink r:id="rId1442" ref="AC463"/>
    <hyperlink r:id="rId1443" ref="AD463"/>
    <hyperlink r:id="rId1444" ref="Z464"/>
    <hyperlink r:id="rId1445" ref="AC464"/>
    <hyperlink r:id="rId1446" ref="AD464"/>
    <hyperlink r:id="rId1447" ref="Z465"/>
    <hyperlink r:id="rId1448" ref="AC465"/>
    <hyperlink r:id="rId1449" ref="AD465"/>
    <hyperlink r:id="rId1450" ref="Z466"/>
    <hyperlink r:id="rId1451" ref="AC466"/>
    <hyperlink r:id="rId1452" ref="AD466"/>
    <hyperlink r:id="rId1453" ref="Z467"/>
    <hyperlink r:id="rId1454" ref="AC467"/>
    <hyperlink r:id="rId1455" ref="AD467"/>
    <hyperlink r:id="rId1456" ref="Z468"/>
    <hyperlink r:id="rId1457" ref="AC468"/>
    <hyperlink r:id="rId1458" ref="AD468"/>
    <hyperlink r:id="rId1459" ref="Z469"/>
    <hyperlink r:id="rId1460" ref="AC469"/>
    <hyperlink r:id="rId1461" ref="AD469"/>
    <hyperlink r:id="rId1462" ref="Z470"/>
    <hyperlink r:id="rId1463" ref="AC470"/>
    <hyperlink r:id="rId1464" ref="AD470"/>
    <hyperlink r:id="rId1465" ref="Z471"/>
    <hyperlink r:id="rId1466" ref="AC471"/>
    <hyperlink r:id="rId1467" ref="AD471"/>
    <hyperlink r:id="rId1468" ref="Z472"/>
    <hyperlink r:id="rId1469" ref="AC472"/>
    <hyperlink r:id="rId1470" ref="AD472"/>
    <hyperlink r:id="rId1471" ref="Z473"/>
    <hyperlink r:id="rId1472" ref="AC473"/>
    <hyperlink r:id="rId1473" ref="AD473"/>
    <hyperlink r:id="rId1474" ref="Z474"/>
    <hyperlink r:id="rId1475" ref="AC474"/>
    <hyperlink r:id="rId1476" ref="AD474"/>
    <hyperlink r:id="rId1477" ref="Z475"/>
    <hyperlink r:id="rId1478" ref="AC475"/>
    <hyperlink r:id="rId1479" ref="AD475"/>
    <hyperlink r:id="rId1480" ref="Z476"/>
    <hyperlink r:id="rId1481" ref="AC476"/>
    <hyperlink r:id="rId1482" ref="AD476"/>
    <hyperlink r:id="rId1483" ref="Z477"/>
    <hyperlink r:id="rId1484" ref="AC477"/>
    <hyperlink r:id="rId1485" ref="AD477"/>
    <hyperlink r:id="rId1486" ref="Z478"/>
    <hyperlink r:id="rId1487" ref="AC478"/>
    <hyperlink r:id="rId1488" ref="AD478"/>
    <hyperlink r:id="rId1489" ref="Z479"/>
    <hyperlink r:id="rId1490" ref="AC479"/>
    <hyperlink r:id="rId1491" ref="AD479"/>
    <hyperlink r:id="rId1492" ref="Z480"/>
    <hyperlink r:id="rId1493" ref="AC480"/>
    <hyperlink r:id="rId1494" ref="AD480"/>
    <hyperlink r:id="rId1495" ref="U481"/>
    <hyperlink r:id="rId1496" ref="Z481"/>
    <hyperlink r:id="rId1497" ref="AC481"/>
    <hyperlink r:id="rId1498" ref="AD481"/>
    <hyperlink r:id="rId1499" ref="Z482"/>
    <hyperlink r:id="rId1500" ref="AC482"/>
    <hyperlink r:id="rId1501" ref="AD482"/>
    <hyperlink r:id="rId1502" ref="Z483"/>
    <hyperlink r:id="rId1503" ref="AC483"/>
    <hyperlink r:id="rId1504" ref="AD483"/>
    <hyperlink r:id="rId1505" ref="Z484"/>
    <hyperlink r:id="rId1506" ref="AC484"/>
    <hyperlink r:id="rId1507" ref="AD484"/>
    <hyperlink r:id="rId1508" ref="Z485"/>
    <hyperlink r:id="rId1509" ref="AC485"/>
    <hyperlink r:id="rId1510" ref="AD485"/>
    <hyperlink r:id="rId1511" ref="Z486"/>
    <hyperlink r:id="rId1512" ref="AC486"/>
    <hyperlink r:id="rId1513" ref="AD486"/>
    <hyperlink r:id="rId1514" ref="Z487"/>
    <hyperlink r:id="rId1515" ref="AC487"/>
    <hyperlink r:id="rId1516" ref="AD487"/>
    <hyperlink r:id="rId1517" ref="Z488"/>
    <hyperlink r:id="rId1518" ref="AC488"/>
    <hyperlink r:id="rId1519" ref="AD488"/>
    <hyperlink r:id="rId1520" ref="Z489"/>
    <hyperlink r:id="rId1521" ref="AC489"/>
    <hyperlink r:id="rId1522" ref="AD489"/>
    <hyperlink r:id="rId1523" ref="Z490"/>
    <hyperlink r:id="rId1524" ref="AC490"/>
    <hyperlink r:id="rId1525" ref="AD490"/>
    <hyperlink r:id="rId1526" ref="Z491"/>
    <hyperlink r:id="rId1527" ref="AC491"/>
    <hyperlink r:id="rId1528" ref="AD491"/>
    <hyperlink r:id="rId1529" ref="Z492"/>
    <hyperlink r:id="rId1530" ref="AC492"/>
    <hyperlink r:id="rId1531" ref="AD492"/>
    <hyperlink r:id="rId1532" ref="Z493"/>
    <hyperlink r:id="rId1533" ref="AC493"/>
    <hyperlink r:id="rId1534" ref="AD493"/>
    <hyperlink r:id="rId1535" ref="Z494"/>
    <hyperlink r:id="rId1536" ref="AC494"/>
    <hyperlink r:id="rId1537" ref="AD494"/>
    <hyperlink r:id="rId1538" ref="U495"/>
    <hyperlink r:id="rId1539" ref="Z495"/>
    <hyperlink r:id="rId1540" ref="AC495"/>
    <hyperlink r:id="rId1541" ref="AD495"/>
    <hyperlink r:id="rId1542" ref="Z496"/>
    <hyperlink r:id="rId1543" ref="AC496"/>
    <hyperlink r:id="rId1544" ref="AD496"/>
    <hyperlink r:id="rId1545" ref="Z497"/>
    <hyperlink r:id="rId1546" ref="AC497"/>
    <hyperlink r:id="rId1547" ref="AD497"/>
    <hyperlink r:id="rId1548" ref="Z498"/>
    <hyperlink r:id="rId1549" ref="AC498"/>
    <hyperlink r:id="rId1550" ref="AD498"/>
    <hyperlink r:id="rId1551" ref="Z499"/>
    <hyperlink r:id="rId1552" ref="AC499"/>
    <hyperlink r:id="rId1553" ref="AD499"/>
    <hyperlink r:id="rId1554" ref="Z500"/>
    <hyperlink r:id="rId1555" ref="AC500"/>
    <hyperlink r:id="rId1556" ref="AD500"/>
    <hyperlink r:id="rId1557" ref="Z501"/>
    <hyperlink r:id="rId1558" ref="AC501"/>
    <hyperlink r:id="rId1559" ref="AD501"/>
    <hyperlink r:id="rId1560" ref="U502"/>
    <hyperlink r:id="rId1561" ref="Z502"/>
    <hyperlink r:id="rId1562" ref="AC502"/>
    <hyperlink r:id="rId1563" ref="AD502"/>
    <hyperlink r:id="rId1564" ref="Z503"/>
    <hyperlink r:id="rId1565" ref="AC503"/>
    <hyperlink r:id="rId1566" ref="AD503"/>
    <hyperlink r:id="rId1567" ref="Z504"/>
    <hyperlink r:id="rId1568" ref="AC504"/>
    <hyperlink r:id="rId1569" ref="AD504"/>
    <hyperlink r:id="rId1570" ref="Z505"/>
    <hyperlink r:id="rId1571" ref="AC505"/>
    <hyperlink r:id="rId1572" ref="AD505"/>
    <hyperlink r:id="rId1573" ref="Z506"/>
    <hyperlink r:id="rId1574" ref="AC506"/>
    <hyperlink r:id="rId1575" ref="AD506"/>
    <hyperlink r:id="rId1576" ref="Z507"/>
    <hyperlink r:id="rId1577" ref="AC507"/>
    <hyperlink r:id="rId1578" ref="AD507"/>
    <hyperlink r:id="rId1579" ref="Z508"/>
    <hyperlink r:id="rId1580" ref="AC508"/>
    <hyperlink r:id="rId1581" ref="AD508"/>
    <hyperlink r:id="rId1582" ref="Z509"/>
    <hyperlink r:id="rId1583" ref="AC509"/>
    <hyperlink r:id="rId1584" ref="AD509"/>
    <hyperlink r:id="rId1585" ref="U510"/>
    <hyperlink r:id="rId1586" ref="Z510"/>
    <hyperlink r:id="rId1587" ref="AC510"/>
    <hyperlink r:id="rId1588" ref="AD510"/>
    <hyperlink r:id="rId1589" ref="Z511"/>
    <hyperlink r:id="rId1590" ref="AC511"/>
    <hyperlink r:id="rId1591" ref="AD511"/>
    <hyperlink r:id="rId1592" ref="U512"/>
    <hyperlink r:id="rId1593" ref="Z512"/>
    <hyperlink r:id="rId1594" ref="AC512"/>
    <hyperlink r:id="rId1595" ref="AD512"/>
    <hyperlink r:id="rId1596" ref="Z513"/>
    <hyperlink r:id="rId1597" ref="AC513"/>
    <hyperlink r:id="rId1598" ref="AD513"/>
    <hyperlink r:id="rId1599" ref="U514"/>
    <hyperlink r:id="rId1600" ref="Z514"/>
    <hyperlink r:id="rId1601" ref="AC514"/>
    <hyperlink r:id="rId1602" ref="AD514"/>
    <hyperlink r:id="rId1603" ref="Z515"/>
    <hyperlink r:id="rId1604" ref="AC515"/>
    <hyperlink r:id="rId1605" ref="AD515"/>
    <hyperlink r:id="rId1606" ref="U516"/>
    <hyperlink r:id="rId1607" ref="Z516"/>
    <hyperlink r:id="rId1608" ref="AC516"/>
    <hyperlink r:id="rId1609" ref="AD516"/>
    <hyperlink r:id="rId1610" ref="U517"/>
    <hyperlink r:id="rId1611" ref="Z517"/>
    <hyperlink r:id="rId1612" ref="AC517"/>
    <hyperlink r:id="rId1613" ref="AD517"/>
    <hyperlink r:id="rId1614" ref="Z518"/>
    <hyperlink r:id="rId1615" ref="AC518"/>
    <hyperlink r:id="rId1616" ref="AD518"/>
    <hyperlink r:id="rId1617" ref="Z519"/>
    <hyperlink r:id="rId1618" ref="AC519"/>
    <hyperlink r:id="rId1619" ref="AD519"/>
    <hyperlink r:id="rId1620" ref="Z520"/>
    <hyperlink r:id="rId1621" ref="AC520"/>
    <hyperlink r:id="rId1622" ref="AD520"/>
    <hyperlink r:id="rId1623" ref="Z521"/>
    <hyperlink r:id="rId1624" ref="AC521"/>
    <hyperlink r:id="rId1625" ref="AD521"/>
    <hyperlink r:id="rId1626" ref="Z522"/>
    <hyperlink r:id="rId1627" ref="AC522"/>
    <hyperlink r:id="rId1628" ref="AD522"/>
    <hyperlink r:id="rId1629" ref="Z523"/>
    <hyperlink r:id="rId1630" ref="AC523"/>
    <hyperlink r:id="rId1631" ref="AD523"/>
    <hyperlink r:id="rId1632" ref="U524"/>
    <hyperlink r:id="rId1633" ref="Z524"/>
    <hyperlink r:id="rId1634" ref="AC524"/>
    <hyperlink r:id="rId1635" ref="AD524"/>
    <hyperlink r:id="rId1636" ref="Z525"/>
    <hyperlink r:id="rId1637" ref="AC525"/>
    <hyperlink r:id="rId1638" ref="AD525"/>
    <hyperlink r:id="rId1639" ref="Z526"/>
    <hyperlink r:id="rId1640" ref="AC526"/>
    <hyperlink r:id="rId1641" ref="AD526"/>
    <hyperlink r:id="rId1642" ref="Z527"/>
    <hyperlink r:id="rId1643" ref="AC527"/>
    <hyperlink r:id="rId1644" ref="AD527"/>
    <hyperlink r:id="rId1645" ref="Z528"/>
    <hyperlink r:id="rId1646" ref="AC528"/>
    <hyperlink r:id="rId1647" ref="AD528"/>
    <hyperlink r:id="rId1648" ref="Z529"/>
    <hyperlink r:id="rId1649" ref="AC529"/>
    <hyperlink r:id="rId1650" ref="AD529"/>
    <hyperlink r:id="rId1651" ref="Z530"/>
    <hyperlink r:id="rId1652" ref="AC530"/>
    <hyperlink r:id="rId1653" ref="AD530"/>
    <hyperlink r:id="rId1654" ref="Z531"/>
    <hyperlink r:id="rId1655" ref="AC531"/>
    <hyperlink r:id="rId1656" ref="AD531"/>
    <hyperlink r:id="rId1657" ref="Z532"/>
    <hyperlink r:id="rId1658" ref="AC532"/>
    <hyperlink r:id="rId1659" ref="AD532"/>
    <hyperlink r:id="rId1660" ref="Z533"/>
    <hyperlink r:id="rId1661" ref="AC533"/>
    <hyperlink r:id="rId1662" ref="AD533"/>
    <hyperlink r:id="rId1663" ref="U534"/>
    <hyperlink r:id="rId1664" ref="Z534"/>
    <hyperlink r:id="rId1665" ref="AC534"/>
    <hyperlink r:id="rId1666" ref="AD534"/>
    <hyperlink r:id="rId1667" ref="Z535"/>
    <hyperlink r:id="rId1668" ref="AC535"/>
    <hyperlink r:id="rId1669" ref="AD535"/>
    <hyperlink r:id="rId1670" ref="U536"/>
    <hyperlink r:id="rId1671" ref="Z536"/>
    <hyperlink r:id="rId1672" ref="AC536"/>
    <hyperlink r:id="rId1673" ref="AD536"/>
    <hyperlink r:id="rId1674" ref="Z537"/>
    <hyperlink r:id="rId1675" ref="AC537"/>
    <hyperlink r:id="rId1676" ref="AD537"/>
    <hyperlink r:id="rId1677" ref="Z538"/>
    <hyperlink r:id="rId1678" ref="AC538"/>
    <hyperlink r:id="rId1679" ref="AD538"/>
    <hyperlink r:id="rId1680" ref="Z539"/>
    <hyperlink r:id="rId1681" ref="AC539"/>
    <hyperlink r:id="rId1682" ref="AD539"/>
    <hyperlink r:id="rId1683" ref="Z540"/>
    <hyperlink r:id="rId1684" ref="AC540"/>
    <hyperlink r:id="rId1685" ref="AD540"/>
    <hyperlink r:id="rId1686" ref="Z541"/>
    <hyperlink r:id="rId1687" ref="AC541"/>
    <hyperlink r:id="rId1688" ref="AD541"/>
    <hyperlink r:id="rId1689" ref="Z542"/>
    <hyperlink r:id="rId1690" ref="AC542"/>
    <hyperlink r:id="rId1691" ref="AD542"/>
    <hyperlink r:id="rId1692" ref="Z543"/>
    <hyperlink r:id="rId1693" ref="AC543"/>
    <hyperlink r:id="rId1694" ref="AD543"/>
    <hyperlink r:id="rId1695" ref="Z544"/>
    <hyperlink r:id="rId1696" ref="AC544"/>
    <hyperlink r:id="rId1697" ref="AD544"/>
    <hyperlink r:id="rId1698" ref="Z545"/>
    <hyperlink r:id="rId1699" ref="AC545"/>
    <hyperlink r:id="rId1700" ref="AD545"/>
    <hyperlink r:id="rId1701" ref="Z546"/>
    <hyperlink r:id="rId1702" ref="AC546"/>
    <hyperlink r:id="rId1703" ref="AD546"/>
    <hyperlink r:id="rId1704" ref="U547"/>
    <hyperlink r:id="rId1705" ref="Z547"/>
    <hyperlink r:id="rId1706" ref="AC547"/>
    <hyperlink r:id="rId1707" ref="AD547"/>
    <hyperlink r:id="rId1708" ref="Z548"/>
    <hyperlink r:id="rId1709" ref="AC548"/>
    <hyperlink r:id="rId1710" ref="AD548"/>
    <hyperlink r:id="rId1711" ref="Z549"/>
    <hyperlink r:id="rId1712" ref="AC549"/>
    <hyperlink r:id="rId1713" ref="AD549"/>
    <hyperlink r:id="rId1714" ref="Z550"/>
    <hyperlink r:id="rId1715" ref="AC550"/>
    <hyperlink r:id="rId1716" ref="AD550"/>
    <hyperlink r:id="rId1717" ref="Z551"/>
    <hyperlink r:id="rId1718" ref="AC551"/>
    <hyperlink r:id="rId1719" ref="AD551"/>
    <hyperlink r:id="rId1720" ref="Z552"/>
    <hyperlink r:id="rId1721" ref="AC552"/>
    <hyperlink r:id="rId1722" ref="AD552"/>
    <hyperlink r:id="rId1723" ref="Z553"/>
    <hyperlink r:id="rId1724" ref="AC553"/>
    <hyperlink r:id="rId1725" ref="AD553"/>
    <hyperlink r:id="rId1726" ref="Z554"/>
    <hyperlink r:id="rId1727" ref="AC554"/>
    <hyperlink r:id="rId1728" ref="AD554"/>
    <hyperlink r:id="rId1729" ref="Z555"/>
    <hyperlink r:id="rId1730" ref="AC555"/>
    <hyperlink r:id="rId1731" ref="AD555"/>
    <hyperlink r:id="rId1732" ref="Z556"/>
    <hyperlink r:id="rId1733" ref="AC556"/>
    <hyperlink r:id="rId1734" ref="AD556"/>
    <hyperlink r:id="rId1735" ref="Z557"/>
    <hyperlink r:id="rId1736" ref="AC557"/>
    <hyperlink r:id="rId1737" ref="AD557"/>
    <hyperlink r:id="rId1738" ref="Z558"/>
    <hyperlink r:id="rId1739" ref="AC558"/>
    <hyperlink r:id="rId1740" ref="AD558"/>
    <hyperlink r:id="rId1741" ref="Z559"/>
    <hyperlink r:id="rId1742" ref="AC559"/>
    <hyperlink r:id="rId1743" ref="AD559"/>
    <hyperlink r:id="rId1744" ref="Z560"/>
    <hyperlink r:id="rId1745" ref="AC560"/>
    <hyperlink r:id="rId1746" ref="AD560"/>
    <hyperlink r:id="rId1747" ref="Z561"/>
    <hyperlink r:id="rId1748" ref="AC561"/>
    <hyperlink r:id="rId1749" ref="AD561"/>
    <hyperlink r:id="rId1750" ref="Z562"/>
    <hyperlink r:id="rId1751" ref="AC562"/>
    <hyperlink r:id="rId1752" ref="AD562"/>
    <hyperlink r:id="rId1753" ref="Z563"/>
    <hyperlink r:id="rId1754" ref="AC563"/>
    <hyperlink r:id="rId1755" ref="AD563"/>
    <hyperlink r:id="rId1756" ref="Z564"/>
    <hyperlink r:id="rId1757" ref="AC564"/>
    <hyperlink r:id="rId1758" ref="AD564"/>
    <hyperlink r:id="rId1759" ref="Z565"/>
    <hyperlink r:id="rId1760" ref="AC565"/>
    <hyperlink r:id="rId1761" ref="AD565"/>
    <hyperlink r:id="rId1762" ref="Z566"/>
    <hyperlink r:id="rId1763" ref="AC566"/>
    <hyperlink r:id="rId1764" ref="AD566"/>
    <hyperlink r:id="rId1765" ref="Z567"/>
    <hyperlink r:id="rId1766" ref="AC567"/>
    <hyperlink r:id="rId1767" ref="AD567"/>
    <hyperlink r:id="rId1768" ref="Z568"/>
    <hyperlink r:id="rId1769" ref="AC568"/>
    <hyperlink r:id="rId1770" ref="AD568"/>
    <hyperlink r:id="rId1771" ref="Z569"/>
    <hyperlink r:id="rId1772" ref="AC569"/>
    <hyperlink r:id="rId1773" ref="AD569"/>
    <hyperlink r:id="rId1774" ref="Z570"/>
    <hyperlink r:id="rId1775" ref="AC570"/>
    <hyperlink r:id="rId1776" ref="AD570"/>
    <hyperlink r:id="rId1777" ref="Z571"/>
    <hyperlink r:id="rId1778" ref="AC571"/>
    <hyperlink r:id="rId1779" ref="AD571"/>
    <hyperlink r:id="rId1780" ref="Z572"/>
    <hyperlink r:id="rId1781" ref="AC572"/>
    <hyperlink r:id="rId1782" ref="AD572"/>
  </hyperlinks>
  <drawing r:id="rId178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5550</v>
      </c>
      <c r="H1" s="1" t="s">
        <v>6</v>
      </c>
      <c r="I1" s="1" t="s">
        <v>5551</v>
      </c>
      <c r="J1" s="1" t="s">
        <v>5552</v>
      </c>
      <c r="K1" s="1" t="s">
        <v>5553</v>
      </c>
      <c r="L1" s="1" t="s">
        <v>5554</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row>
    <row r="2">
      <c r="A2" s="1">
        <v>193.0</v>
      </c>
      <c r="B2" s="1" t="s">
        <v>4566</v>
      </c>
      <c r="C2" s="1" t="s">
        <v>4567</v>
      </c>
      <c r="D2" s="1" t="s">
        <v>4568</v>
      </c>
      <c r="E2" s="1" t="s">
        <v>43</v>
      </c>
      <c r="F2" s="2">
        <v>30421.0</v>
      </c>
      <c r="G2" s="1">
        <f t="shared" ref="G2:G11" si="1">round(YEARFRAC(F2,today()),0)</f>
        <v>43</v>
      </c>
      <c r="H2" s="1" t="s">
        <v>4569</v>
      </c>
      <c r="I2" s="1" t="str">
        <f>IFERROR(__xludf.DUMMYFUNCTION("SPLIT(left(H2,len(H2)-1),""("")"),"Séoul ")</f>
        <v>Séoul </v>
      </c>
      <c r="J2" s="1" t="str">
        <f>IFERROR(__xludf.DUMMYFUNCTION("""COMPUTED_VALUE"""),"Corée du Sud")</f>
        <v>Corée du Sud</v>
      </c>
      <c r="K2" s="1" t="str">
        <f>IFERROR(__xludf.DUMMYFUNCTION("IF( COUNTA( IFERROR( FILTER('départements_edition'!$C$2:$C$102 , 'départements_edition'!$C$2:$C$102=J2 ) ) ) , ""Oui"" , ""Non"" )"),"Non")</f>
        <v>Non</v>
      </c>
      <c r="L2" s="1" t="str">
        <f t="shared" ref="L2:L11" si="2">IF(K2="Oui","France",J2)</f>
        <v>Corée du Sud</v>
      </c>
      <c r="M2" s="1">
        <v>999.0</v>
      </c>
      <c r="N2" s="1" t="s">
        <v>256</v>
      </c>
      <c r="O2" s="1">
        <v>6.0</v>
      </c>
      <c r="P2" s="2">
        <v>42907.0</v>
      </c>
      <c r="R2" s="1">
        <v>0.0</v>
      </c>
      <c r="S2" s="1" t="s">
        <v>75</v>
      </c>
      <c r="T2" s="1" t="s">
        <v>76</v>
      </c>
      <c r="U2" s="1" t="s">
        <v>4570</v>
      </c>
      <c r="X2" s="1" t="s">
        <v>151</v>
      </c>
      <c r="Y2" s="1">
        <v>564.0</v>
      </c>
      <c r="Z2" s="3" t="s">
        <v>4571</v>
      </c>
      <c r="AA2" s="1">
        <v>721174.0</v>
      </c>
      <c r="AB2" s="1" t="s">
        <v>4572</v>
      </c>
      <c r="AC2" s="3" t="s">
        <v>4573</v>
      </c>
      <c r="AD2" s="3" t="s">
        <v>4574</v>
      </c>
      <c r="AE2" s="1">
        <v>1.0</v>
      </c>
      <c r="AF2" s="1" t="s">
        <v>4575</v>
      </c>
      <c r="AG2" s="1">
        <v>17.0</v>
      </c>
      <c r="AH2" s="1">
        <v>24.0</v>
      </c>
      <c r="AI2" s="1">
        <v>9.0</v>
      </c>
      <c r="AJ2" s="1">
        <v>8.0</v>
      </c>
      <c r="AK2" s="1">
        <v>4.0</v>
      </c>
      <c r="AL2" s="1">
        <v>1.0</v>
      </c>
      <c r="AM2" s="1">
        <v>26.0</v>
      </c>
      <c r="AN2" s="1">
        <v>13.0</v>
      </c>
      <c r="AO2" s="1">
        <v>0.0</v>
      </c>
      <c r="AP2" s="1">
        <v>1.0</v>
      </c>
      <c r="AQ2" s="1">
        <v>5.0</v>
      </c>
      <c r="AR2" s="1">
        <v>2.0</v>
      </c>
      <c r="AS2" s="1">
        <v>1.0</v>
      </c>
    </row>
    <row r="3">
      <c r="A3" s="1">
        <v>275.0</v>
      </c>
      <c r="B3" s="1" t="s">
        <v>1164</v>
      </c>
      <c r="C3" s="1" t="s">
        <v>1165</v>
      </c>
      <c r="D3" s="1" t="s">
        <v>1166</v>
      </c>
      <c r="E3" s="1" t="s">
        <v>43</v>
      </c>
      <c r="F3" s="2">
        <v>24437.0</v>
      </c>
      <c r="G3" s="1">
        <f t="shared" si="1"/>
        <v>59</v>
      </c>
      <c r="H3" s="1" t="s">
        <v>1167</v>
      </c>
      <c r="I3" s="1" t="str">
        <f>IFERROR(__xludf.DUMMYFUNCTION("SPLIT(left(H3,len(H3)-1),""("")"),"Paris 11ème ")</f>
        <v>Paris 11ème </v>
      </c>
      <c r="J3" s="1" t="str">
        <f>IFERROR(__xludf.DUMMYFUNCTION("""COMPUTED_VALUE"""),"Paris")</f>
        <v>Paris</v>
      </c>
      <c r="K3" s="1" t="str">
        <f>IFERROR(__xludf.DUMMYFUNCTION("IF( COUNTA( IFERROR( FILTER('départements_edition'!$C$2:$C$102 , 'départements_edition'!$C$2:$C$102=J3 ) ) ) , ""Oui"" , ""Non"" )"),"Oui")</f>
        <v>Oui</v>
      </c>
      <c r="L3" s="1" t="str">
        <f t="shared" si="2"/>
        <v>France</v>
      </c>
      <c r="M3" s="1">
        <v>999.0</v>
      </c>
      <c r="N3" s="1" t="s">
        <v>256</v>
      </c>
      <c r="O3" s="1">
        <v>1.0</v>
      </c>
      <c r="P3" s="2">
        <v>42907.0</v>
      </c>
      <c r="R3" s="1">
        <v>0.0</v>
      </c>
      <c r="S3" s="1" t="s">
        <v>75</v>
      </c>
      <c r="T3" s="1" t="s">
        <v>76</v>
      </c>
      <c r="U3" s="1" t="s">
        <v>1168</v>
      </c>
      <c r="X3" s="1" t="s">
        <v>234</v>
      </c>
      <c r="Y3" s="1">
        <v>634.0</v>
      </c>
      <c r="Z3" s="3" t="s">
        <v>1169</v>
      </c>
      <c r="AA3" s="1">
        <v>721134.0</v>
      </c>
      <c r="AB3" s="1" t="s">
        <v>1170</v>
      </c>
      <c r="AC3" s="3" t="s">
        <v>1171</v>
      </c>
      <c r="AD3" s="3" t="s">
        <v>1172</v>
      </c>
      <c r="AE3" s="1">
        <v>1.0</v>
      </c>
      <c r="AF3" s="1" t="s">
        <v>1173</v>
      </c>
      <c r="AG3" s="1">
        <v>23.0</v>
      </c>
      <c r="AH3" s="1">
        <v>61.0</v>
      </c>
      <c r="AI3" s="1">
        <v>174.0</v>
      </c>
      <c r="AJ3" s="1">
        <v>30.0</v>
      </c>
      <c r="AK3" s="1">
        <v>7.0</v>
      </c>
      <c r="AL3" s="1">
        <v>1.0</v>
      </c>
      <c r="AM3" s="1">
        <v>45.0</v>
      </c>
      <c r="AN3" s="1">
        <v>20.0</v>
      </c>
      <c r="AO3" s="1">
        <v>0.0</v>
      </c>
      <c r="AP3" s="1">
        <v>0.0</v>
      </c>
      <c r="AQ3" s="1">
        <v>5.0</v>
      </c>
      <c r="AR3" s="1">
        <v>2.0</v>
      </c>
      <c r="AS3" s="1">
        <v>1.0</v>
      </c>
    </row>
    <row r="4">
      <c r="A4" s="1">
        <v>441.0</v>
      </c>
      <c r="B4" s="1" t="s">
        <v>2214</v>
      </c>
      <c r="C4" s="1" t="s">
        <v>2215</v>
      </c>
      <c r="D4" s="1" t="s">
        <v>2216</v>
      </c>
      <c r="E4" s="1" t="s">
        <v>43</v>
      </c>
      <c r="F4" s="2">
        <v>31718.0</v>
      </c>
      <c r="G4" s="1">
        <f t="shared" si="1"/>
        <v>39</v>
      </c>
      <c r="H4" s="1" t="s">
        <v>2217</v>
      </c>
      <c r="I4" s="1" t="str">
        <f>IFERROR(__xludf.DUMMYFUNCTION("SPLIT(left(H4,len(H4)-1),""("")"),"Paris 16 ")</f>
        <v>Paris 16 </v>
      </c>
      <c r="J4" s="1" t="str">
        <f>IFERROR(__xludf.DUMMYFUNCTION("""COMPUTED_VALUE"""),"Paris")</f>
        <v>Paris</v>
      </c>
      <c r="K4" s="1" t="str">
        <f>IFERROR(__xludf.DUMMYFUNCTION("IF( COUNTA( IFERROR( FILTER('départements_edition'!$C$2:$C$102 , 'départements_edition'!$C$2:$C$102=J4 ) ) ) , ""Oui"" , ""Non"" )"),"Oui")</f>
        <v>Oui</v>
      </c>
      <c r="L4" s="1" t="str">
        <f t="shared" si="2"/>
        <v>France</v>
      </c>
      <c r="M4" s="1">
        <v>999.0</v>
      </c>
      <c r="N4" s="1" t="s">
        <v>256</v>
      </c>
      <c r="O4" s="1">
        <v>4.0</v>
      </c>
      <c r="P4" s="2">
        <v>42907.0</v>
      </c>
      <c r="R4" s="1">
        <v>0.0</v>
      </c>
      <c r="S4" s="1" t="s">
        <v>75</v>
      </c>
      <c r="T4" s="1" t="s">
        <v>76</v>
      </c>
      <c r="U4" s="1" t="s">
        <v>2218</v>
      </c>
      <c r="X4" s="1" t="s">
        <v>2219</v>
      </c>
      <c r="Y4" s="1">
        <v>227.0</v>
      </c>
      <c r="Z4" s="3" t="s">
        <v>2220</v>
      </c>
      <c r="AA4" s="1">
        <v>721158.0</v>
      </c>
      <c r="AB4" s="1" t="s">
        <v>2221</v>
      </c>
      <c r="AC4" s="3" t="s">
        <v>2222</v>
      </c>
      <c r="AD4" s="3" t="s">
        <v>2223</v>
      </c>
      <c r="AE4" s="1">
        <v>1.0</v>
      </c>
      <c r="AF4" s="1" t="s">
        <v>2224</v>
      </c>
      <c r="AG4" s="1">
        <v>21.0</v>
      </c>
      <c r="AH4" s="1">
        <v>48.0</v>
      </c>
      <c r="AI4" s="1">
        <v>26.0</v>
      </c>
      <c r="AJ4" s="1">
        <v>2.0</v>
      </c>
      <c r="AK4" s="1">
        <v>1.0</v>
      </c>
      <c r="AL4" s="1">
        <v>0.0</v>
      </c>
      <c r="AM4" s="1">
        <v>15.0</v>
      </c>
      <c r="AN4" s="1">
        <v>6.0</v>
      </c>
      <c r="AO4" s="1">
        <v>1.0</v>
      </c>
      <c r="AP4" s="1">
        <v>0.0</v>
      </c>
      <c r="AQ4" s="1">
        <v>5.0</v>
      </c>
      <c r="AR4" s="1">
        <v>5.0</v>
      </c>
      <c r="AS4" s="1">
        <v>0.0</v>
      </c>
    </row>
    <row r="5">
      <c r="A5" s="1">
        <v>577.0</v>
      </c>
      <c r="B5" s="1" t="s">
        <v>3082</v>
      </c>
      <c r="C5" s="1" t="s">
        <v>3083</v>
      </c>
      <c r="D5" s="1" t="s">
        <v>3084</v>
      </c>
      <c r="E5" s="1" t="s">
        <v>58</v>
      </c>
      <c r="F5" s="2">
        <v>31632.0</v>
      </c>
      <c r="G5" s="1">
        <f t="shared" si="1"/>
        <v>40</v>
      </c>
      <c r="H5" s="1" t="s">
        <v>207</v>
      </c>
      <c r="I5" s="1" t="str">
        <f>IFERROR(__xludf.DUMMYFUNCTION("SPLIT(left(H5,len(H5)-1),""("")"),"Paris ")</f>
        <v>Paris </v>
      </c>
      <c r="J5" s="1" t="str">
        <f>IFERROR(__xludf.DUMMYFUNCTION("""COMPUTED_VALUE"""),"Paris")</f>
        <v>Paris</v>
      </c>
      <c r="K5" s="1" t="str">
        <f>IFERROR(__xludf.DUMMYFUNCTION("IF( COUNTA( IFERROR( FILTER('départements_edition'!$C$2:$C$102 , 'départements_edition'!$C$2:$C$102=J5 ) ) ) , ""Oui"" , ""Non"" )"),"Oui")</f>
        <v>Oui</v>
      </c>
      <c r="L5" s="1" t="str">
        <f t="shared" si="2"/>
        <v>France</v>
      </c>
      <c r="M5" s="1">
        <v>999.0</v>
      </c>
      <c r="N5" s="1" t="s">
        <v>256</v>
      </c>
      <c r="O5" s="1">
        <v>2.0</v>
      </c>
      <c r="P5" s="2">
        <v>42907.0</v>
      </c>
      <c r="R5" s="1">
        <v>0.0</v>
      </c>
      <c r="S5" s="1" t="s">
        <v>75</v>
      </c>
      <c r="T5" s="1" t="s">
        <v>76</v>
      </c>
      <c r="U5" s="1" t="s">
        <v>3085</v>
      </c>
      <c r="X5" s="1" t="s">
        <v>234</v>
      </c>
      <c r="Y5" s="1">
        <v>450.0</v>
      </c>
      <c r="Z5" s="3" t="s">
        <v>3086</v>
      </c>
      <c r="AA5" s="1">
        <v>721142.0</v>
      </c>
      <c r="AB5" s="1" t="s">
        <v>3087</v>
      </c>
      <c r="AC5" s="3" t="s">
        <v>3088</v>
      </c>
      <c r="AD5" s="3" t="s">
        <v>3089</v>
      </c>
      <c r="AE5" s="1">
        <v>1.0</v>
      </c>
      <c r="AF5" s="1" t="s">
        <v>3090</v>
      </c>
      <c r="AG5" s="1">
        <v>20.0</v>
      </c>
      <c r="AH5" s="1">
        <v>32.0</v>
      </c>
      <c r="AI5" s="1">
        <v>41.0</v>
      </c>
      <c r="AJ5" s="1">
        <v>78.0</v>
      </c>
      <c r="AK5" s="1">
        <v>20.0</v>
      </c>
      <c r="AL5" s="1">
        <v>209.0</v>
      </c>
      <c r="AM5" s="1">
        <v>274.0</v>
      </c>
      <c r="AN5" s="1">
        <v>204.0</v>
      </c>
      <c r="AO5" s="1">
        <v>1.0</v>
      </c>
      <c r="AP5" s="1">
        <v>0.0</v>
      </c>
      <c r="AQ5" s="1">
        <v>5.0</v>
      </c>
      <c r="AR5" s="1">
        <v>1.0</v>
      </c>
      <c r="AS5" s="1">
        <v>2.0</v>
      </c>
    </row>
    <row r="6">
      <c r="A6" s="1">
        <v>213.0</v>
      </c>
      <c r="B6" s="1" t="s">
        <v>4300</v>
      </c>
      <c r="C6" s="1" t="s">
        <v>1372</v>
      </c>
      <c r="D6" s="1" t="s">
        <v>3047</v>
      </c>
      <c r="E6" s="1" t="s">
        <v>43</v>
      </c>
      <c r="F6" s="2">
        <v>22322.0</v>
      </c>
      <c r="G6" s="1">
        <f t="shared" si="1"/>
        <v>65</v>
      </c>
      <c r="H6" s="1" t="s">
        <v>718</v>
      </c>
      <c r="I6" s="1" t="str">
        <f>IFERROR(__xludf.DUMMYFUNCTION("SPLIT(left(H6,len(H6)-1),""("")"),"Marseille ")</f>
        <v>Marseille </v>
      </c>
      <c r="J6" s="1" t="str">
        <f>IFERROR(__xludf.DUMMYFUNCTION("""COMPUTED_VALUE"""),"Bouches-du-Rhône")</f>
        <v>Bouches-du-Rhône</v>
      </c>
      <c r="K6" s="1" t="str">
        <f>IFERROR(__xludf.DUMMYFUNCTION("IF( COUNTA( IFERROR( FILTER('départements_edition'!$C$2:$C$102 , 'départements_edition'!$C$2:$C$102=J6 ) ) ) , ""Oui"" , ""Non"" )"),"Oui")</f>
        <v>Oui</v>
      </c>
      <c r="L6" s="1" t="str">
        <f t="shared" si="2"/>
        <v>France</v>
      </c>
      <c r="M6" s="1">
        <v>999.0</v>
      </c>
      <c r="N6" s="1" t="s">
        <v>256</v>
      </c>
      <c r="O6" s="1">
        <v>7.0</v>
      </c>
      <c r="P6" s="2">
        <v>42907.0</v>
      </c>
      <c r="R6" s="1">
        <v>0.0</v>
      </c>
      <c r="S6" s="1" t="s">
        <v>280</v>
      </c>
      <c r="T6" s="1" t="s">
        <v>281</v>
      </c>
      <c r="U6" s="1" t="s">
        <v>4301</v>
      </c>
      <c r="X6" s="1" t="s">
        <v>827</v>
      </c>
      <c r="Y6" s="1">
        <v>260.0</v>
      </c>
      <c r="Z6" s="3" t="s">
        <v>4302</v>
      </c>
      <c r="AA6" s="1">
        <v>721182.0</v>
      </c>
      <c r="AB6" s="1" t="s">
        <v>4303</v>
      </c>
      <c r="AC6" s="3" t="s">
        <v>4304</v>
      </c>
      <c r="AD6" s="3" t="s">
        <v>4305</v>
      </c>
      <c r="AE6" s="1">
        <v>1.0</v>
      </c>
      <c r="AF6" s="1" t="s">
        <v>4306</v>
      </c>
      <c r="AG6" s="1">
        <v>18.0</v>
      </c>
      <c r="AH6" s="1">
        <v>30.0</v>
      </c>
      <c r="AI6" s="1">
        <v>17.0</v>
      </c>
      <c r="AJ6" s="1">
        <v>37.0</v>
      </c>
      <c r="AK6" s="1">
        <v>15.0</v>
      </c>
      <c r="AL6" s="1">
        <v>5.0</v>
      </c>
      <c r="AM6" s="1">
        <v>195.0</v>
      </c>
      <c r="AN6" s="1">
        <v>18.0</v>
      </c>
      <c r="AO6" s="1">
        <v>1.0</v>
      </c>
      <c r="AP6" s="1">
        <v>0.0</v>
      </c>
      <c r="AQ6" s="1">
        <v>4.0</v>
      </c>
      <c r="AR6" s="1">
        <v>0.0</v>
      </c>
      <c r="AS6" s="1">
        <v>1.0</v>
      </c>
    </row>
    <row r="7">
      <c r="A7" s="1">
        <v>472.0</v>
      </c>
      <c r="B7" s="1" t="s">
        <v>4437</v>
      </c>
      <c r="C7" s="1" t="s">
        <v>4438</v>
      </c>
      <c r="D7" s="1" t="s">
        <v>3527</v>
      </c>
      <c r="E7" s="1" t="s">
        <v>58</v>
      </c>
      <c r="F7" s="2">
        <v>23121.0</v>
      </c>
      <c r="G7" s="1">
        <f t="shared" si="1"/>
        <v>63</v>
      </c>
      <c r="H7" s="1" t="s">
        <v>4439</v>
      </c>
      <c r="I7" s="1" t="str">
        <f>IFERROR(__xludf.DUMMYFUNCTION("SPLIT(left(H7,len(H7)-1),""("")"),"Neuilly sur seine ")</f>
        <v>Neuilly sur seine </v>
      </c>
      <c r="J7" s="1" t="str">
        <f>IFERROR(__xludf.DUMMYFUNCTION("""COMPUTED_VALUE"""),"Paris")</f>
        <v>Paris</v>
      </c>
      <c r="K7" s="1" t="str">
        <f>IFERROR(__xludf.DUMMYFUNCTION("IF( COUNTA( IFERROR( FILTER('départements_edition'!$C$2:$C$102 , 'départements_edition'!$C$2:$C$102=J7 ) ) ) , ""Oui"" , ""Non"" )"),"Oui")</f>
        <v>Oui</v>
      </c>
      <c r="L7" s="1" t="str">
        <f t="shared" si="2"/>
        <v>France</v>
      </c>
      <c r="M7" s="1">
        <v>999.0</v>
      </c>
      <c r="N7" s="1" t="s">
        <v>256</v>
      </c>
      <c r="O7" s="1">
        <v>11.0</v>
      </c>
      <c r="P7" s="2">
        <v>42907.0</v>
      </c>
      <c r="R7" s="1">
        <v>0.0</v>
      </c>
      <c r="S7" s="1" t="s">
        <v>75</v>
      </c>
      <c r="T7" s="1" t="s">
        <v>76</v>
      </c>
      <c r="U7" s="1" t="s">
        <v>4440</v>
      </c>
      <c r="X7" s="1" t="s">
        <v>151</v>
      </c>
      <c r="Y7" s="1">
        <v>351.0</v>
      </c>
      <c r="Z7" s="3" t="s">
        <v>4441</v>
      </c>
      <c r="AA7" s="1">
        <v>721024.0</v>
      </c>
      <c r="AB7" s="1" t="s">
        <v>4442</v>
      </c>
      <c r="AC7" s="3" t="s">
        <v>4443</v>
      </c>
      <c r="AD7" s="3" t="s">
        <v>4444</v>
      </c>
      <c r="AE7" s="1">
        <v>1.0</v>
      </c>
      <c r="AF7" s="1" t="s">
        <v>4445</v>
      </c>
      <c r="AG7" s="1">
        <v>17.0</v>
      </c>
      <c r="AH7" s="1">
        <v>30.0</v>
      </c>
      <c r="AI7" s="1">
        <v>19.0</v>
      </c>
      <c r="AJ7" s="1">
        <v>14.0</v>
      </c>
      <c r="AK7" s="1">
        <v>6.0</v>
      </c>
      <c r="AL7" s="1">
        <v>1.0</v>
      </c>
      <c r="AM7" s="1">
        <v>32.0</v>
      </c>
      <c r="AN7" s="1">
        <v>12.0</v>
      </c>
      <c r="AO7" s="1">
        <v>1.0</v>
      </c>
      <c r="AP7" s="1">
        <v>0.0</v>
      </c>
      <c r="AQ7" s="1">
        <v>8.0</v>
      </c>
      <c r="AR7" s="1">
        <v>4.0</v>
      </c>
      <c r="AS7" s="1">
        <v>1.0</v>
      </c>
    </row>
    <row r="8">
      <c r="A8" s="1">
        <v>46.0</v>
      </c>
      <c r="B8" s="1" t="s">
        <v>4446</v>
      </c>
      <c r="C8" s="1" t="s">
        <v>3136</v>
      </c>
      <c r="D8" s="1" t="s">
        <v>4447</v>
      </c>
      <c r="E8" s="1" t="s">
        <v>43</v>
      </c>
      <c r="F8" s="2">
        <v>22399.0</v>
      </c>
      <c r="G8" s="1">
        <f t="shared" si="1"/>
        <v>65</v>
      </c>
      <c r="H8" s="1" t="s">
        <v>4448</v>
      </c>
      <c r="I8" s="1" t="str">
        <f>IFERROR(__xludf.DUMMYFUNCTION("SPLIT(left(H8,len(H8)-1),""("")"),"Paris 12 ")</f>
        <v>Paris 12 </v>
      </c>
      <c r="J8" s="1" t="str">
        <f>IFERROR(__xludf.DUMMYFUNCTION("""COMPUTED_VALUE"""),"Paris")</f>
        <v>Paris</v>
      </c>
      <c r="K8" s="1" t="str">
        <f>IFERROR(__xludf.DUMMYFUNCTION("IF( COUNTA( IFERROR( FILTER('départements_edition'!$C$2:$C$102 , 'départements_edition'!$C$2:$C$102=J8 ) ) ) , ""Oui"" , ""Non"" )"),"Oui")</f>
        <v>Oui</v>
      </c>
      <c r="L8" s="1" t="str">
        <f t="shared" si="2"/>
        <v>France</v>
      </c>
      <c r="M8" s="1">
        <v>999.0</v>
      </c>
      <c r="N8" s="1" t="s">
        <v>256</v>
      </c>
      <c r="O8" s="1">
        <v>8.0</v>
      </c>
      <c r="P8" s="2">
        <v>42907.0</v>
      </c>
      <c r="R8" s="1">
        <v>0.0</v>
      </c>
      <c r="S8" s="1" t="s">
        <v>46</v>
      </c>
      <c r="T8" s="1" t="s">
        <v>47</v>
      </c>
      <c r="U8" s="1" t="s">
        <v>4449</v>
      </c>
      <c r="X8" s="1" t="s">
        <v>827</v>
      </c>
      <c r="Y8" s="1">
        <v>144.0</v>
      </c>
      <c r="Z8" s="3" t="s">
        <v>4450</v>
      </c>
      <c r="AA8" s="1">
        <v>695100.0</v>
      </c>
      <c r="AB8" s="1" t="s">
        <v>4451</v>
      </c>
      <c r="AC8" s="3" t="s">
        <v>4452</v>
      </c>
      <c r="AD8" s="3" t="s">
        <v>4453</v>
      </c>
      <c r="AE8" s="1">
        <v>1.0</v>
      </c>
      <c r="AF8" s="1" t="s">
        <v>4454</v>
      </c>
      <c r="AG8" s="1">
        <v>17.0</v>
      </c>
      <c r="AH8" s="1">
        <v>11.0</v>
      </c>
      <c r="AI8" s="1">
        <v>11.0</v>
      </c>
      <c r="AJ8" s="1">
        <v>84.0</v>
      </c>
      <c r="AK8" s="1">
        <v>62.0</v>
      </c>
      <c r="AL8" s="1">
        <v>18.0</v>
      </c>
      <c r="AM8" s="1">
        <v>498.0</v>
      </c>
      <c r="AN8" s="1">
        <v>21.0</v>
      </c>
      <c r="AO8" s="1">
        <v>1.0</v>
      </c>
      <c r="AP8" s="1">
        <v>0.0</v>
      </c>
      <c r="AQ8" s="1">
        <v>18.0</v>
      </c>
      <c r="AR8" s="1">
        <v>5.0</v>
      </c>
      <c r="AS8" s="1">
        <v>2.0</v>
      </c>
    </row>
    <row r="9">
      <c r="A9" s="1">
        <v>346.0</v>
      </c>
      <c r="B9" s="1" t="s">
        <v>5028</v>
      </c>
      <c r="C9" s="1" t="s">
        <v>5029</v>
      </c>
      <c r="D9" s="1" t="s">
        <v>5030</v>
      </c>
      <c r="E9" s="1" t="s">
        <v>43</v>
      </c>
      <c r="F9" s="2">
        <v>30431.0</v>
      </c>
      <c r="G9" s="1">
        <f t="shared" si="1"/>
        <v>43</v>
      </c>
      <c r="H9" s="1" t="s">
        <v>1663</v>
      </c>
      <c r="I9" s="1" t="str">
        <f>IFERROR(__xludf.DUMMYFUNCTION("SPLIT(left(H9,len(H9)-1),""("")"),"Aurillac ")</f>
        <v>Aurillac </v>
      </c>
      <c r="J9" s="1" t="str">
        <f>IFERROR(__xludf.DUMMYFUNCTION("""COMPUTED_VALUE"""),"Cantal")</f>
        <v>Cantal</v>
      </c>
      <c r="K9" s="1" t="str">
        <f>IFERROR(__xludf.DUMMYFUNCTION("IF( COUNTA( IFERROR( FILTER('départements_edition'!$C$2:$C$102 , 'départements_edition'!$C$2:$C$102=J9 ) ) ) , ""Oui"" , ""Non"" )"),"Oui")</f>
        <v>Oui</v>
      </c>
      <c r="L9" s="1" t="str">
        <f t="shared" si="2"/>
        <v>France</v>
      </c>
      <c r="M9" s="1">
        <v>999.0</v>
      </c>
      <c r="N9" s="1" t="s">
        <v>256</v>
      </c>
      <c r="O9" s="1">
        <v>9.0</v>
      </c>
      <c r="P9" s="2">
        <v>42907.0</v>
      </c>
      <c r="R9" s="1">
        <v>0.0</v>
      </c>
      <c r="S9" s="1" t="s">
        <v>814</v>
      </c>
      <c r="T9" s="1" t="s">
        <v>2397</v>
      </c>
      <c r="U9" s="1" t="s">
        <v>5031</v>
      </c>
      <c r="X9" s="1" t="s">
        <v>162</v>
      </c>
      <c r="Y9" s="1">
        <v>640.0</v>
      </c>
      <c r="Z9" s="3" t="s">
        <v>5032</v>
      </c>
      <c r="AA9" s="1">
        <v>720996.0</v>
      </c>
      <c r="AB9" s="1" t="s">
        <v>5033</v>
      </c>
      <c r="AC9" s="3" t="s">
        <v>5034</v>
      </c>
      <c r="AD9" s="3" t="s">
        <v>5035</v>
      </c>
      <c r="AE9" s="1">
        <v>1.0</v>
      </c>
      <c r="AF9" s="1" t="s">
        <v>5036</v>
      </c>
      <c r="AG9" s="1">
        <v>14.0</v>
      </c>
      <c r="AH9" s="1">
        <v>16.0</v>
      </c>
      <c r="AI9" s="1">
        <v>5.0</v>
      </c>
      <c r="AJ9" s="1">
        <v>8.0</v>
      </c>
      <c r="AK9" s="1">
        <v>11.0</v>
      </c>
      <c r="AL9" s="1">
        <v>11.0</v>
      </c>
      <c r="AM9" s="1">
        <v>13.0</v>
      </c>
      <c r="AN9" s="1">
        <v>0.0</v>
      </c>
      <c r="AO9" s="1">
        <v>0.0</v>
      </c>
      <c r="AP9" s="1">
        <v>0.0</v>
      </c>
      <c r="AQ9" s="1">
        <v>2.0</v>
      </c>
      <c r="AR9" s="1">
        <v>30.0</v>
      </c>
      <c r="AS9" s="1">
        <v>1.0</v>
      </c>
    </row>
    <row r="10">
      <c r="A10" s="1">
        <v>111.0</v>
      </c>
      <c r="B10" s="1" t="s">
        <v>5387</v>
      </c>
      <c r="C10" s="1" t="s">
        <v>5388</v>
      </c>
      <c r="D10" s="1" t="s">
        <v>5389</v>
      </c>
      <c r="E10" s="1" t="s">
        <v>58</v>
      </c>
      <c r="F10" s="2">
        <v>28569.0</v>
      </c>
      <c r="G10" s="1">
        <f t="shared" si="1"/>
        <v>48</v>
      </c>
      <c r="H10" s="1" t="s">
        <v>5390</v>
      </c>
      <c r="I10" s="1" t="str">
        <f>IFERROR(__xludf.DUMMYFUNCTION("SPLIT(left(H10,len(H10)-1),""("")"),"Casablanca ")</f>
        <v>Casablanca </v>
      </c>
      <c r="J10" s="1" t="str">
        <f>IFERROR(__xludf.DUMMYFUNCTION("""COMPUTED_VALUE"""),"Maroc")</f>
        <v>Maroc</v>
      </c>
      <c r="K10" s="1" t="str">
        <f>IFERROR(__xludf.DUMMYFUNCTION("IF( COUNTA( IFERROR( FILTER('départements_edition'!$C$2:$C$102 , 'départements_edition'!$C$2:$C$102=J10 ) ) ) , ""Oui"" , ""Non"" )"),"Non")</f>
        <v>Non</v>
      </c>
      <c r="L10" s="1" t="str">
        <f t="shared" si="2"/>
        <v>Maroc</v>
      </c>
      <c r="M10" s="1">
        <v>999.0</v>
      </c>
      <c r="N10" s="1" t="s">
        <v>256</v>
      </c>
      <c r="O10" s="1">
        <v>10.0</v>
      </c>
      <c r="P10" s="2">
        <v>42907.0</v>
      </c>
      <c r="R10" s="1">
        <v>0.0</v>
      </c>
      <c r="S10" s="1" t="s">
        <v>75</v>
      </c>
      <c r="T10" s="1" t="s">
        <v>76</v>
      </c>
      <c r="U10" s="1" t="s">
        <v>5391</v>
      </c>
      <c r="X10" s="1" t="s">
        <v>2484</v>
      </c>
      <c r="Y10" s="1">
        <v>555.0</v>
      </c>
      <c r="Z10" s="3" t="s">
        <v>5392</v>
      </c>
      <c r="AA10" s="1">
        <v>721004.0</v>
      </c>
      <c r="AB10" s="1" t="s">
        <v>5393</v>
      </c>
      <c r="AC10" s="3" t="s">
        <v>5394</v>
      </c>
      <c r="AD10" s="3" t="s">
        <v>5395</v>
      </c>
      <c r="AE10" s="1">
        <v>1.0</v>
      </c>
      <c r="AF10" s="1" t="s">
        <v>5396</v>
      </c>
      <c r="AG10" s="1">
        <v>10.0</v>
      </c>
      <c r="AH10" s="1">
        <v>18.0</v>
      </c>
      <c r="AI10" s="1">
        <v>3.0</v>
      </c>
      <c r="AJ10" s="1">
        <v>0.0</v>
      </c>
      <c r="AK10" s="1">
        <v>0.0</v>
      </c>
      <c r="AL10" s="1">
        <v>3.0</v>
      </c>
      <c r="AM10" s="1">
        <v>34.0</v>
      </c>
      <c r="AN10" s="1">
        <v>11.0</v>
      </c>
      <c r="AO10" s="1">
        <v>0.0</v>
      </c>
      <c r="AP10" s="1">
        <v>0.0</v>
      </c>
      <c r="AQ10" s="1">
        <v>5.0</v>
      </c>
      <c r="AR10" s="1">
        <v>4.0</v>
      </c>
      <c r="AS10" s="1">
        <v>0.0</v>
      </c>
    </row>
    <row r="11">
      <c r="A11" s="1">
        <v>352.0</v>
      </c>
      <c r="B11" s="1" t="s">
        <v>252</v>
      </c>
      <c r="C11" s="1" t="s">
        <v>253</v>
      </c>
      <c r="D11" s="1" t="s">
        <v>254</v>
      </c>
      <c r="E11" s="1" t="s">
        <v>43</v>
      </c>
      <c r="F11" s="2">
        <v>31914.0</v>
      </c>
      <c r="G11" s="1">
        <f t="shared" si="1"/>
        <v>39</v>
      </c>
      <c r="H11" s="1" t="s">
        <v>255</v>
      </c>
      <c r="I11" s="1" t="str">
        <f>IFERROR(__xludf.DUMMYFUNCTION("SPLIT(left(H11,len(H11)-1),""("")"),"Bale ")</f>
        <v>Bale </v>
      </c>
      <c r="J11" s="1" t="str">
        <f>IFERROR(__xludf.DUMMYFUNCTION("""COMPUTED_VALUE"""),"Suisse")</f>
        <v>Suisse</v>
      </c>
      <c r="K11" s="1" t="str">
        <f>IFERROR(__xludf.DUMMYFUNCTION("IF( COUNTA( IFERROR( FILTER('départements_edition'!$C$2:$C$102 , 'départements_edition'!$C$2:$C$102=J11 ) ) ) , ""Oui"" , ""Non"" )"),"Non")</f>
        <v>Non</v>
      </c>
      <c r="L11" s="1" t="str">
        <f t="shared" si="2"/>
        <v>Suisse</v>
      </c>
      <c r="M11" s="1">
        <v>999.0</v>
      </c>
      <c r="N11" s="1" t="s">
        <v>256</v>
      </c>
      <c r="O11" s="1">
        <v>3.0</v>
      </c>
      <c r="P11" s="2">
        <v>42907.0</v>
      </c>
      <c r="R11" s="1">
        <v>0.0</v>
      </c>
      <c r="S11" s="1" t="s">
        <v>75</v>
      </c>
      <c r="T11" s="1" t="s">
        <v>76</v>
      </c>
      <c r="U11" s="1" t="s">
        <v>257</v>
      </c>
      <c r="X11" s="1">
        <v>0.0</v>
      </c>
      <c r="Y11" s="1">
        <v>298.0</v>
      </c>
      <c r="Z11" s="3" t="s">
        <v>258</v>
      </c>
      <c r="AA11" s="1">
        <v>721150.0</v>
      </c>
      <c r="AB11" s="1" t="s">
        <v>259</v>
      </c>
      <c r="AC11" s="3" t="s">
        <v>260</v>
      </c>
      <c r="AD11" s="3" t="s">
        <v>261</v>
      </c>
      <c r="AE11" s="1">
        <v>1.0</v>
      </c>
      <c r="AF11" s="1" t="s">
        <v>262</v>
      </c>
      <c r="AG11" s="1">
        <v>25.0</v>
      </c>
      <c r="AH11" s="1">
        <v>62.0</v>
      </c>
      <c r="AI11" s="1">
        <v>21.0</v>
      </c>
      <c r="AJ11" s="1">
        <v>13.0</v>
      </c>
      <c r="AK11" s="1">
        <v>2.0</v>
      </c>
      <c r="AL11" s="1">
        <v>10.0</v>
      </c>
      <c r="AM11" s="1">
        <v>169.0</v>
      </c>
      <c r="AN11" s="1">
        <v>107.0</v>
      </c>
      <c r="AO11" s="1">
        <v>1.0</v>
      </c>
      <c r="AP11" s="1">
        <v>0.0</v>
      </c>
      <c r="AQ11" s="1">
        <v>5.0</v>
      </c>
      <c r="AR11" s="1">
        <v>5.0</v>
      </c>
      <c r="AS11" s="1">
        <v>1.0</v>
      </c>
    </row>
  </sheetData>
  <conditionalFormatting sqref="N11:AS11">
    <cfRule type="expression" dxfId="1" priority="1">
      <formula>$J11=""</formula>
    </cfRule>
  </conditionalFormatting>
  <conditionalFormatting sqref="N10:AS10">
    <cfRule type="expression" dxfId="1" priority="2">
      <formula>$J10=""</formula>
    </cfRule>
  </conditionalFormatting>
  <conditionalFormatting sqref="N9:AS9">
    <cfRule type="expression" dxfId="1" priority="3">
      <formula>$J9=""</formula>
    </cfRule>
  </conditionalFormatting>
  <conditionalFormatting sqref="N7:AS8">
    <cfRule type="expression" dxfId="1" priority="4">
      <formula>$J7=""</formula>
    </cfRule>
  </conditionalFormatting>
  <conditionalFormatting sqref="N6:AS6">
    <cfRule type="expression" dxfId="1" priority="5">
      <formula>$J6=""</formula>
    </cfRule>
  </conditionalFormatting>
  <conditionalFormatting sqref="N5:AS5">
    <cfRule type="expression" dxfId="1" priority="6">
      <formula>$J5=""</formula>
    </cfRule>
  </conditionalFormatting>
  <conditionalFormatting sqref="N4:AS4">
    <cfRule type="expression" dxfId="1" priority="7">
      <formula>$J4=""</formula>
    </cfRule>
  </conditionalFormatting>
  <conditionalFormatting sqref="N3:AS3">
    <cfRule type="expression" dxfId="1" priority="8">
      <formula>$J3=""</formula>
    </cfRule>
  </conditionalFormatting>
  <conditionalFormatting sqref="N2:AS2">
    <cfRule type="expression" dxfId="1" priority="9">
      <formula>$J2=""</formula>
    </cfRule>
  </conditionalFormatting>
  <conditionalFormatting sqref="N1:AS1">
    <cfRule type="expression" dxfId="1" priority="10">
      <formula>$J1=""</formula>
    </cfRule>
  </conditionalFormatting>
  <conditionalFormatting sqref="M11">
    <cfRule type="expression" dxfId="1" priority="11">
      <formula>$J11=""</formula>
    </cfRule>
  </conditionalFormatting>
  <conditionalFormatting sqref="M10">
    <cfRule type="expression" dxfId="1" priority="12">
      <formula>$J10=""</formula>
    </cfRule>
  </conditionalFormatting>
  <conditionalFormatting sqref="M9">
    <cfRule type="expression" dxfId="1" priority="13">
      <formula>$J9=""</formula>
    </cfRule>
  </conditionalFormatting>
  <conditionalFormatting sqref="M7:M8">
    <cfRule type="expression" dxfId="1" priority="14">
      <formula>$J7=""</formula>
    </cfRule>
  </conditionalFormatting>
  <conditionalFormatting sqref="M6">
    <cfRule type="expression" dxfId="1" priority="15">
      <formula>$J6=""</formula>
    </cfRule>
  </conditionalFormatting>
  <conditionalFormatting sqref="M5">
    <cfRule type="expression" dxfId="1" priority="16">
      <formula>$J5=""</formula>
    </cfRule>
  </conditionalFormatting>
  <conditionalFormatting sqref="M4">
    <cfRule type="expression" dxfId="1" priority="17">
      <formula>$J4=""</formula>
    </cfRule>
  </conditionalFormatting>
  <conditionalFormatting sqref="M3">
    <cfRule type="expression" dxfId="1" priority="18">
      <formula>$J3=""</formula>
    </cfRule>
  </conditionalFormatting>
  <conditionalFormatting sqref="M2">
    <cfRule type="expression" dxfId="1" priority="19">
      <formula>$J2=""</formula>
    </cfRule>
  </conditionalFormatting>
  <conditionalFormatting sqref="M1">
    <cfRule type="expression" dxfId="1" priority="20">
      <formula>$J1=""</formula>
    </cfRule>
  </conditionalFormatting>
  <conditionalFormatting sqref="A11:L11">
    <cfRule type="expression" dxfId="1" priority="21">
      <formula>$J11=""</formula>
    </cfRule>
  </conditionalFormatting>
  <conditionalFormatting sqref="A10:L10">
    <cfRule type="expression" dxfId="1" priority="22">
      <formula>$J10=""</formula>
    </cfRule>
  </conditionalFormatting>
  <conditionalFormatting sqref="A9:L9">
    <cfRule type="expression" dxfId="1" priority="23">
      <formula>$J9=""</formula>
    </cfRule>
  </conditionalFormatting>
  <conditionalFormatting sqref="A7:L8">
    <cfRule type="expression" dxfId="1" priority="24">
      <formula>$J7=""</formula>
    </cfRule>
  </conditionalFormatting>
  <conditionalFormatting sqref="A6:L6">
    <cfRule type="expression" dxfId="1" priority="25">
      <formula>$J6=""</formula>
    </cfRule>
  </conditionalFormatting>
  <conditionalFormatting sqref="A5:L5">
    <cfRule type="expression" dxfId="1" priority="26">
      <formula>$J5=""</formula>
    </cfRule>
  </conditionalFormatting>
  <conditionalFormatting sqref="A4:L4">
    <cfRule type="expression" dxfId="1" priority="27">
      <formula>$J4=""</formula>
    </cfRule>
  </conditionalFormatting>
  <conditionalFormatting sqref="A3:L3">
    <cfRule type="expression" dxfId="1" priority="28">
      <formula>$J3=""</formula>
    </cfRule>
  </conditionalFormatting>
  <conditionalFormatting sqref="A2:L2">
    <cfRule type="expression" dxfId="1" priority="29">
      <formula>$J2=""</formula>
    </cfRule>
  </conditionalFormatting>
  <conditionalFormatting sqref="A1:L1">
    <cfRule type="expression" dxfId="1" priority="30">
      <formula>$J1=""</formula>
    </cfRule>
  </conditionalFormatting>
  <hyperlinks>
    <hyperlink r:id="rId1" ref="Z2"/>
    <hyperlink r:id="rId2" ref="AC2"/>
    <hyperlink r:id="rId3" ref="AD2"/>
    <hyperlink r:id="rId4" ref="Z3"/>
    <hyperlink r:id="rId5" ref="AC3"/>
    <hyperlink r:id="rId6" ref="AD3"/>
    <hyperlink r:id="rId7" ref="Z4"/>
    <hyperlink r:id="rId8" ref="AC4"/>
    <hyperlink r:id="rId9" ref="AD4"/>
    <hyperlink r:id="rId10" ref="Z5"/>
    <hyperlink r:id="rId11" ref="AC5"/>
    <hyperlink r:id="rId12" ref="AD5"/>
    <hyperlink r:id="rId13" ref="Z6"/>
    <hyperlink r:id="rId14" ref="AC6"/>
    <hyperlink r:id="rId15" ref="AD6"/>
    <hyperlink r:id="rId16" ref="Z7"/>
    <hyperlink r:id="rId17" ref="AC7"/>
    <hyperlink r:id="rId18" ref="AD7"/>
    <hyperlink r:id="rId19" ref="Z8"/>
    <hyperlink r:id="rId20" ref="AC8"/>
    <hyperlink r:id="rId21" ref="AD8"/>
    <hyperlink r:id="rId22" ref="Z9"/>
    <hyperlink r:id="rId23" ref="AC9"/>
    <hyperlink r:id="rId24" ref="AD9"/>
    <hyperlink r:id="rId25" ref="Z10"/>
    <hyperlink r:id="rId26" ref="AC10"/>
    <hyperlink r:id="rId27" ref="AD10"/>
    <hyperlink r:id="rId28" ref="Z11"/>
    <hyperlink r:id="rId29" ref="AC11"/>
    <hyperlink r:id="rId30" ref="AD11"/>
  </hyperlinks>
  <drawing r:id="rId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2.75"/>
  </cols>
  <sheetData>
    <row r="1">
      <c r="A1" t="str">
        <f>IFERROR(__xludf.DUMMYFUNCTION("IMPORTHTML(""https://www.nosdeputes.fr/circonscription/departement/Fran%C3%A7ais+%C3%A9tablis+hors+de+France"",""table"")"),"Lescure, Roland 1ère circonscription
ancien député REN
Weissberg, Christopher 1ère circonscription
ancien député REN
Caroit, Eléonore 2ème circonscription
ancienne députée REN
Holroyd, Alexandre 3ème circonscription
ancien député REN")</f>
        <v>Lescure, Roland 1ère circonscription
ancien député REN
Weissberg, Christopher 1ère circonscription
ancien député REN
Caroit, Eléonore 2ème circonscription
ancienne députée REN
Holroyd, Alexandre 3ème circonscription
ancien député REN</v>
      </c>
      <c r="B1" t="str">
        <f>IFERROR(__xludf.DUMMYFUNCTION("""COMPUTED_VALUE"""),"Anglade, Pieyre-Alexandre 4ème circonscription
ancien député REN10 commentaires
Vojetta, Stéphane 5ème circonscription
ancien député REN4 commentaires
Ferracci, Marc 6ème circonscription
ancien député REN
Petit, Frédéric 7ème circonscription
ancien député"&amp;" MODEM2 commentaires")</f>
        <v>Anglade, Pieyre-Alexandre 4ème circonscription
ancien député REN10 commentaires
Vojetta, Stéphane 5ème circonscription
ancien député REN4 commentaires
Ferracci, Marc 6ème circonscription
ancien député REN
Petit, Frédéric 7ème circonscription
ancien député MODEM2 commentaires</v>
      </c>
      <c r="C1" t="str">
        <f>IFERROR(__xludf.DUMMYFUNCTION("""COMPUTED_VALUE"""),"Habib, Meyer 8ème circonscription
ancien député LR106 commentaires
Ben Cheikh, Karim 9ème circonscription
ancien député ECO1 commentaire
Lakrafi, Amélia 10ème circonscription
ancienne députée REN
Genetet, Anne 11ème circonscription
ancienne députée REN3 c"&amp;"ommentaires")</f>
        <v>Habib, Meyer 8ème circonscription
ancien député LR106 commentaires
Ben Cheikh, Karim 9ème circonscription
ancien député ECO1 commentaire
Lakrafi, Amélia 10ème circonscription
ancienne députée REN
Genetet, Anne 11ème circonscription
ancienne députée REN3 commentaires</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2.75"/>
    <col customWidth="1" min="3" max="3" width="39.63"/>
  </cols>
  <sheetData>
    <row r="1">
      <c r="A1" s="9" t="s">
        <v>5557</v>
      </c>
      <c r="B1" s="9" t="s">
        <v>5558</v>
      </c>
      <c r="C1" s="9" t="s">
        <v>5559</v>
      </c>
      <c r="D1" s="9"/>
      <c r="E1" s="9"/>
      <c r="F1" s="9"/>
      <c r="G1" s="9"/>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t="str">
        <f>IFERROR(__xludf.DUMMYFUNCTION("transpose(SPLIT(A1,char(10)))"),"Lescure, Roland 1ère circonscription")</f>
        <v>Lescure, Roland 1ère circonscription</v>
      </c>
      <c r="B5" s="9" t="str">
        <f>IFERROR(__xludf.DUMMYFUNCTION("transpose(SPLIT(B1,char(10)))"),"Cazebonne, Samantha 5ème circonscription")</f>
        <v>Cazebonne, Samantha 5ème circonscription</v>
      </c>
      <c r="C5" s="9" t="str">
        <f>IFERROR(__xludf.DUMMYFUNCTION("transpose(SPLIT(C1,char(10)))"),"El Guerrab, M'jid 9ème circonscription")</f>
        <v>El Guerrab, M'jid 9ème circonscription</v>
      </c>
      <c r="D5" s="9"/>
      <c r="E5" s="9"/>
      <c r="F5" s="9"/>
      <c r="G5" s="9"/>
      <c r="H5" s="9"/>
      <c r="I5" s="9"/>
      <c r="J5" s="9"/>
      <c r="K5" s="9"/>
      <c r="L5" s="9"/>
      <c r="M5" s="9"/>
      <c r="N5" s="9"/>
      <c r="O5" s="9"/>
      <c r="P5" s="9"/>
      <c r="Q5" s="9"/>
      <c r="R5" s="9"/>
      <c r="S5" s="9"/>
      <c r="T5" s="9"/>
      <c r="U5" s="9"/>
      <c r="V5" s="9"/>
      <c r="W5" s="9"/>
      <c r="X5" s="9"/>
      <c r="Y5" s="9"/>
      <c r="Z5" s="9"/>
    </row>
    <row r="6">
      <c r="A6" s="9" t="str">
        <f>IFERROR(__xludf.DUMMYFUNCTION("""COMPUTED_VALUE"""),"député LREM 15 commentaires")</f>
        <v>député LREM 15 commentaires</v>
      </c>
      <c r="B6" s="9" t="str">
        <f>IFERROR(__xludf.DUMMYFUNCTION("""COMPUTED_VALUE"""),"ancienne députée LREM 14 commentaires")</f>
        <v>ancienne députée LREM 14 commentaires</v>
      </c>
      <c r="C6" s="9" t="str">
        <f>IFERROR(__xludf.DUMMYFUNCTION("""COMPUTED_VALUE"""),"député NI")</f>
        <v>député NI</v>
      </c>
      <c r="D6" s="9"/>
      <c r="E6" s="9"/>
      <c r="F6" s="9"/>
      <c r="G6" s="9"/>
      <c r="H6" s="9"/>
      <c r="I6" s="9"/>
      <c r="J6" s="9"/>
      <c r="K6" s="9"/>
      <c r="L6" s="9"/>
      <c r="M6" s="9"/>
      <c r="N6" s="9"/>
      <c r="O6" s="9"/>
      <c r="P6" s="9"/>
      <c r="Q6" s="9"/>
      <c r="R6" s="9"/>
      <c r="S6" s="9"/>
      <c r="T6" s="9"/>
      <c r="U6" s="9"/>
      <c r="V6" s="9"/>
      <c r="W6" s="9"/>
      <c r="X6" s="9"/>
      <c r="Y6" s="9"/>
      <c r="Z6" s="9"/>
    </row>
    <row r="7">
      <c r="A7" s="9" t="str">
        <f>IFERROR(__xludf.DUMMYFUNCTION("""COMPUTED_VALUE"""),"Forteza, Paula 2ème circonscription")</f>
        <v>Forteza, Paula 2ème circonscription</v>
      </c>
      <c r="B7" s="9" t="str">
        <f>IFERROR(__xludf.DUMMYFUNCTION("""COMPUTED_VALUE"""),"Son-Forget, Joachim 6ème circonscription")</f>
        <v>Son-Forget, Joachim 6ème circonscription</v>
      </c>
      <c r="C7" s="9" t="str">
        <f>IFERROR(__xludf.DUMMYFUNCTION("""COMPUTED_VALUE"""),"Lakrafi, Amal-Amélia 10ème circonscription")</f>
        <v>Lakrafi, Amal-Amélia 10ème circonscription</v>
      </c>
      <c r="D7" s="9"/>
      <c r="E7" s="9"/>
      <c r="F7" s="9"/>
      <c r="G7" s="9"/>
      <c r="H7" s="9"/>
      <c r="I7" s="9"/>
      <c r="J7" s="9"/>
      <c r="K7" s="9"/>
      <c r="L7" s="9"/>
      <c r="M7" s="9"/>
      <c r="N7" s="9"/>
      <c r="O7" s="9"/>
      <c r="P7" s="9"/>
      <c r="Q7" s="9"/>
      <c r="R7" s="9"/>
      <c r="S7" s="9"/>
      <c r="T7" s="9"/>
      <c r="U7" s="9"/>
      <c r="V7" s="9"/>
      <c r="W7" s="9"/>
      <c r="X7" s="9"/>
      <c r="Y7" s="9"/>
      <c r="Z7" s="9"/>
    </row>
    <row r="8">
      <c r="A8" s="9" t="str">
        <f>IFERROR(__xludf.DUMMYFUNCTION("""COMPUTED_VALUE"""),"députée LREM 21 commentaires")</f>
        <v>députée LREM 21 commentaires</v>
      </c>
      <c r="B8" s="9" t="str">
        <f>IFERROR(__xludf.DUMMYFUNCTION("""COMPUTED_VALUE"""),"député LREM 13 commentaires")</f>
        <v>député LREM 13 commentaires</v>
      </c>
      <c r="C8" s="9" t="str">
        <f>IFERROR(__xludf.DUMMYFUNCTION("""COMPUTED_VALUE"""),"députée LREM 13 commentaires")</f>
        <v>députée LREM 13 commentaires</v>
      </c>
      <c r="D8" s="9"/>
      <c r="E8" s="9"/>
      <c r="F8" s="9"/>
      <c r="G8" s="9"/>
      <c r="H8" s="9"/>
      <c r="I8" s="9"/>
      <c r="J8" s="9"/>
      <c r="K8" s="9"/>
      <c r="L8" s="9"/>
      <c r="M8" s="9"/>
      <c r="N8" s="9"/>
      <c r="O8" s="9"/>
      <c r="P8" s="9"/>
      <c r="Q8" s="9"/>
      <c r="R8" s="9"/>
      <c r="S8" s="9"/>
      <c r="T8" s="9"/>
      <c r="U8" s="9"/>
      <c r="V8" s="9"/>
      <c r="W8" s="9"/>
      <c r="X8" s="9"/>
      <c r="Y8" s="9"/>
      <c r="Z8" s="9"/>
    </row>
    <row r="9">
      <c r="A9" s="9" t="str">
        <f>IFERROR(__xludf.DUMMYFUNCTION("""COMPUTED_VALUE"""),"Holroyd, Alexandre 3ème circonscription")</f>
        <v>Holroyd, Alexandre 3ème circonscription</v>
      </c>
      <c r="B9" s="9" t="str">
        <f>IFERROR(__xludf.DUMMYFUNCTION("""COMPUTED_VALUE"""),"Petit, Frédéric 7ème circonscription")</f>
        <v>Petit, Frédéric 7ème circonscription</v>
      </c>
      <c r="C9" s="9" t="str">
        <f>IFERROR(__xludf.DUMMYFUNCTION("""COMPUTED_VALUE"""),"Genetet, Anne 11ème circonscription")</f>
        <v>Genetet, Anne 11ème circonscription</v>
      </c>
      <c r="D9" s="9"/>
      <c r="E9" s="9"/>
      <c r="F9" s="9"/>
      <c r="G9" s="9"/>
      <c r="H9" s="9"/>
      <c r="I9" s="9"/>
      <c r="J9" s="9"/>
      <c r="K9" s="9"/>
      <c r="L9" s="9"/>
      <c r="M9" s="9"/>
      <c r="N9" s="9"/>
      <c r="O9" s="9"/>
      <c r="P9" s="9"/>
      <c r="Q9" s="9"/>
      <c r="R9" s="9"/>
      <c r="S9" s="9"/>
      <c r="T9" s="9"/>
      <c r="U9" s="9"/>
      <c r="V9" s="9"/>
      <c r="W9" s="9"/>
      <c r="X9" s="9"/>
      <c r="Y9" s="9"/>
      <c r="Z9" s="9"/>
    </row>
    <row r="10">
      <c r="A10" s="9" t="str">
        <f>IFERROR(__xludf.DUMMYFUNCTION("""COMPUTED_VALUE"""),"député LREM 27 commentaires")</f>
        <v>député LREM 27 commentaires</v>
      </c>
      <c r="B10" s="9" t="str">
        <f>IFERROR(__xludf.DUMMYFUNCTION("""COMPUTED_VALUE"""),"député MODEM")</f>
        <v>député MODEM</v>
      </c>
      <c r="C10" s="9" t="str">
        <f>IFERROR(__xludf.DUMMYFUNCTION("""COMPUTED_VALUE"""),"députée LREM 14 commentaires")</f>
        <v>députée LREM 14 commentaires</v>
      </c>
      <c r="D10" s="9"/>
      <c r="E10" s="9"/>
      <c r="F10" s="9"/>
      <c r="G10" s="9"/>
      <c r="H10" s="9"/>
      <c r="I10" s="9"/>
      <c r="J10" s="9"/>
      <c r="K10" s="9"/>
      <c r="L10" s="9"/>
      <c r="M10" s="9"/>
      <c r="N10" s="9"/>
      <c r="O10" s="9"/>
      <c r="P10" s="9"/>
      <c r="Q10" s="9"/>
      <c r="R10" s="9"/>
      <c r="S10" s="9"/>
      <c r="T10" s="9"/>
      <c r="U10" s="9"/>
      <c r="V10" s="9"/>
      <c r="W10" s="9"/>
      <c r="X10" s="9"/>
      <c r="Y10" s="9"/>
      <c r="Z10" s="9"/>
    </row>
    <row r="11">
      <c r="A11" s="9" t="str">
        <f>IFERROR(__xludf.DUMMYFUNCTION("""COMPUTED_VALUE"""),"Anglade, Pieyre-Alexandre 4ème circonscription")</f>
        <v>Anglade, Pieyre-Alexandre 4ème circonscription</v>
      </c>
      <c r="B11" s="9" t="str">
        <f>IFERROR(__xludf.DUMMYFUNCTION("""COMPUTED_VALUE"""),"Habib, Meyer 8ème circonscription")</f>
        <v>Habib, Meyer 8ème circonscription</v>
      </c>
      <c r="C11" s="9"/>
      <c r="D11" s="9"/>
      <c r="E11" s="9"/>
      <c r="F11" s="9"/>
      <c r="G11" s="9"/>
      <c r="H11" s="9"/>
      <c r="I11" s="9"/>
      <c r="J11" s="9"/>
      <c r="K11" s="9"/>
      <c r="L11" s="9"/>
      <c r="M11" s="9"/>
      <c r="N11" s="9"/>
      <c r="O11" s="9"/>
      <c r="P11" s="9"/>
      <c r="Q11" s="9"/>
      <c r="R11" s="9"/>
      <c r="S11" s="9"/>
      <c r="T11" s="9"/>
      <c r="U11" s="9"/>
      <c r="V11" s="9"/>
      <c r="W11" s="9"/>
      <c r="X11" s="9"/>
      <c r="Y11" s="9"/>
      <c r="Z11" s="9"/>
    </row>
    <row r="12">
      <c r="A12" s="9" t="str">
        <f>IFERROR(__xludf.DUMMYFUNCTION("""COMPUTED_VALUE"""),"député LREM 13 commentaires")</f>
        <v>député LREM 13 commentaires</v>
      </c>
      <c r="B12" s="9" t="str">
        <f>IFERROR(__xludf.DUMMYFUNCTION("""COMPUTED_VALUE"""),"député UAI 5 commentaires")</f>
        <v>député UAI 5 commentaires</v>
      </c>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2.75"/>
  </cols>
  <sheetData>
    <row r="1">
      <c r="A1" s="1" t="s">
        <v>5560</v>
      </c>
      <c r="B1" t="str">
        <f t="shared" ref="B1:B11" si="1">left(A1,len(A1)-2)</f>
        <v>Anglade, Pieyre-Alexandre</v>
      </c>
    </row>
    <row r="2">
      <c r="A2" s="1" t="s">
        <v>5561</v>
      </c>
      <c r="B2" t="str">
        <f t="shared" si="1"/>
        <v>Cazebonne, Samantha</v>
      </c>
    </row>
    <row r="3">
      <c r="A3" s="1" t="s">
        <v>5562</v>
      </c>
      <c r="B3" t="str">
        <f t="shared" si="1"/>
        <v>El Guerrab, M'jid</v>
      </c>
    </row>
    <row r="4">
      <c r="A4" s="1" t="s">
        <v>5563</v>
      </c>
      <c r="B4" t="str">
        <f t="shared" si="1"/>
        <v>Forteza, Paula</v>
      </c>
    </row>
    <row r="5">
      <c r="A5" s="1" t="s">
        <v>5564</v>
      </c>
      <c r="B5" t="str">
        <f t="shared" si="1"/>
        <v>Genetet, Anne </v>
      </c>
    </row>
    <row r="6">
      <c r="A6" s="1" t="s">
        <v>5565</v>
      </c>
      <c r="B6" t="str">
        <f t="shared" si="1"/>
        <v>Habib, Meyer</v>
      </c>
    </row>
    <row r="7">
      <c r="A7" s="1" t="s">
        <v>5566</v>
      </c>
      <c r="B7" t="str">
        <f t="shared" si="1"/>
        <v>Holroyd, Alexandre</v>
      </c>
    </row>
    <row r="8">
      <c r="A8" s="1" t="s">
        <v>5567</v>
      </c>
      <c r="B8" t="str">
        <f t="shared" si="1"/>
        <v>Lakrafi, Amal-Amélia </v>
      </c>
    </row>
    <row r="9">
      <c r="A9" s="1" t="s">
        <v>5568</v>
      </c>
      <c r="B9" t="str">
        <f t="shared" si="1"/>
        <v>Lescure, Rola</v>
      </c>
    </row>
    <row r="10">
      <c r="A10" s="1" t="s">
        <v>5569</v>
      </c>
      <c r="B10" t="str">
        <f t="shared" si="1"/>
        <v>Petit, Frédéric</v>
      </c>
    </row>
    <row r="11">
      <c r="A11" s="1" t="s">
        <v>5570</v>
      </c>
      <c r="B11" t="str">
        <f t="shared" si="1"/>
        <v>Son-Forget, Joachim</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0"/>
    <col customWidth="1" min="8" max="8" width="24.38"/>
    <col customWidth="1" min="11" max="12" width="19.38"/>
    <col customWidth="1" min="20" max="20" width="22.13"/>
    <col customWidth="1" min="24" max="24" width="28.5"/>
  </cols>
  <sheetData>
    <row r="1">
      <c r="A1" s="10" t="s">
        <v>0</v>
      </c>
      <c r="B1" s="10" t="s">
        <v>1</v>
      </c>
      <c r="C1" s="10" t="s">
        <v>2</v>
      </c>
      <c r="D1" s="10" t="s">
        <v>3</v>
      </c>
      <c r="E1" s="10" t="s">
        <v>4</v>
      </c>
      <c r="F1" s="10" t="s">
        <v>5</v>
      </c>
      <c r="G1" s="10" t="s">
        <v>5550</v>
      </c>
      <c r="H1" s="10" t="s">
        <v>6</v>
      </c>
      <c r="I1" s="10" t="s">
        <v>5551</v>
      </c>
      <c r="J1" s="10" t="s">
        <v>5552</v>
      </c>
      <c r="K1" s="10" t="s">
        <v>5553</v>
      </c>
      <c r="L1" s="11" t="s">
        <v>5554</v>
      </c>
      <c r="M1" s="10" t="s">
        <v>7</v>
      </c>
      <c r="N1" s="10" t="s">
        <v>8</v>
      </c>
      <c r="O1" s="10" t="s">
        <v>9</v>
      </c>
      <c r="P1" s="10" t="s">
        <v>10</v>
      </c>
      <c r="Q1" s="10" t="s">
        <v>11</v>
      </c>
      <c r="R1" s="10" t="s">
        <v>12</v>
      </c>
      <c r="S1" s="10" t="s">
        <v>13</v>
      </c>
      <c r="T1" s="10" t="s">
        <v>14</v>
      </c>
      <c r="U1" s="10" t="s">
        <v>15</v>
      </c>
      <c r="V1" s="10" t="s">
        <v>16</v>
      </c>
      <c r="W1" s="10" t="s">
        <v>17</v>
      </c>
      <c r="X1" s="10" t="s">
        <v>18</v>
      </c>
      <c r="Y1" s="10" t="s">
        <v>19</v>
      </c>
      <c r="Z1" s="10" t="s">
        <v>20</v>
      </c>
      <c r="AA1" s="10" t="s">
        <v>21</v>
      </c>
      <c r="AB1" s="10" t="s">
        <v>22</v>
      </c>
      <c r="AC1" s="10" t="s">
        <v>23</v>
      </c>
      <c r="AD1" s="10" t="s">
        <v>24</v>
      </c>
      <c r="AE1" s="10" t="s">
        <v>25</v>
      </c>
      <c r="AF1" s="10" t="s">
        <v>26</v>
      </c>
      <c r="AG1" s="10" t="s">
        <v>27</v>
      </c>
      <c r="AH1" s="10" t="s">
        <v>28</v>
      </c>
      <c r="AI1" s="10" t="s">
        <v>29</v>
      </c>
      <c r="AJ1" s="10" t="s">
        <v>30</v>
      </c>
      <c r="AK1" s="10" t="s">
        <v>31</v>
      </c>
      <c r="AL1" s="10" t="s">
        <v>32</v>
      </c>
      <c r="AM1" s="10" t="s">
        <v>33</v>
      </c>
      <c r="AN1" s="10" t="s">
        <v>34</v>
      </c>
      <c r="AO1" s="10" t="s">
        <v>35</v>
      </c>
      <c r="AP1" s="10" t="s">
        <v>36</v>
      </c>
      <c r="AQ1" s="10" t="s">
        <v>37</v>
      </c>
      <c r="AR1" s="10" t="s">
        <v>38</v>
      </c>
      <c r="AS1" s="10" t="s">
        <v>39</v>
      </c>
    </row>
    <row r="2">
      <c r="A2" s="12">
        <v>484.0</v>
      </c>
      <c r="B2" s="10" t="s">
        <v>356</v>
      </c>
      <c r="C2" s="10" t="s">
        <v>357</v>
      </c>
      <c r="D2" s="10" t="s">
        <v>358</v>
      </c>
      <c r="E2" s="10" t="s">
        <v>58</v>
      </c>
      <c r="F2" s="13">
        <v>20075.0</v>
      </c>
      <c r="G2" s="12">
        <f t="shared" ref="G2:G64" si="1">ROUND(YEARFRAC(F2,TODAY()),0)</f>
        <v>71</v>
      </c>
      <c r="H2" s="10" t="s">
        <v>359</v>
      </c>
      <c r="I2" s="10" t="str">
        <f>IFERROR(__xludf.DUMMYFUNCTION("SPLIT(LEFT(H2,LEN(H2)-1),""("")"),"Blida ")</f>
        <v>Blida </v>
      </c>
      <c r="J2" s="10" t="str">
        <f>IFERROR(__xludf.DUMMYFUNCTION("""COMPUTED_VALUE"""),"Algérie")</f>
        <v>Algérie</v>
      </c>
      <c r="K2" s="10" t="str">
        <f>IFERROR(__xludf.DUMMYFUNCTION("IF( COUNTA( IFERROR( FILTER('départements_edition'!$C$2:$C$102 , 'départements_edition'!$C$2:$C$102=J2 ) ) ) , ""Oui"" , ""Non"" )"),"Non")</f>
        <v>Non</v>
      </c>
      <c r="L2" s="10" t="str">
        <f t="shared" ref="L2:L64" si="2">IF(K2="Oui","France",J2)</f>
        <v>Algérie</v>
      </c>
      <c r="M2" s="12">
        <v>31.0</v>
      </c>
      <c r="N2" s="10" t="s">
        <v>360</v>
      </c>
      <c r="O2" s="12">
        <v>7.0</v>
      </c>
      <c r="P2" s="13">
        <v>42907.0</v>
      </c>
      <c r="Q2" s="14"/>
      <c r="R2" s="12">
        <v>0.0</v>
      </c>
      <c r="S2" s="10" t="s">
        <v>75</v>
      </c>
      <c r="T2" s="10" t="s">
        <v>76</v>
      </c>
      <c r="U2" s="15" t="s">
        <v>361</v>
      </c>
      <c r="V2" s="16"/>
      <c r="W2" s="14"/>
      <c r="X2" s="10" t="s">
        <v>118</v>
      </c>
      <c r="Y2" s="12">
        <v>331.0</v>
      </c>
      <c r="Z2" s="17" t="s">
        <v>362</v>
      </c>
      <c r="AA2" s="12">
        <v>719540.0</v>
      </c>
      <c r="AB2" s="10" t="s">
        <v>363</v>
      </c>
      <c r="AC2" s="17" t="s">
        <v>364</v>
      </c>
      <c r="AD2" s="17" t="s">
        <v>365</v>
      </c>
      <c r="AE2" s="12">
        <v>2.0</v>
      </c>
      <c r="AF2" s="10" t="s">
        <v>366</v>
      </c>
      <c r="AG2" s="12">
        <v>25.0</v>
      </c>
      <c r="AH2" s="12">
        <v>45.0</v>
      </c>
      <c r="AI2" s="12">
        <v>28.0</v>
      </c>
      <c r="AJ2" s="12">
        <v>14.0</v>
      </c>
      <c r="AK2" s="12">
        <v>3.0</v>
      </c>
      <c r="AL2" s="12">
        <v>17.0</v>
      </c>
      <c r="AM2" s="12">
        <v>79.0</v>
      </c>
      <c r="AN2" s="12">
        <v>26.0</v>
      </c>
      <c r="AO2" s="12">
        <v>3.0</v>
      </c>
      <c r="AP2" s="12">
        <v>0.0</v>
      </c>
      <c r="AQ2" s="12">
        <v>5.0</v>
      </c>
      <c r="AR2" s="12">
        <v>21.0</v>
      </c>
      <c r="AS2" s="12">
        <v>1.0</v>
      </c>
    </row>
    <row r="3">
      <c r="A3" s="12">
        <v>151.0</v>
      </c>
      <c r="B3" s="10" t="s">
        <v>747</v>
      </c>
      <c r="C3" s="10" t="s">
        <v>748</v>
      </c>
      <c r="D3" s="10" t="s">
        <v>749</v>
      </c>
      <c r="E3" s="10" t="s">
        <v>43</v>
      </c>
      <c r="F3" s="13">
        <v>25393.0</v>
      </c>
      <c r="G3" s="12">
        <f t="shared" si="1"/>
        <v>57</v>
      </c>
      <c r="H3" s="10" t="s">
        <v>750</v>
      </c>
      <c r="I3" s="10" t="str">
        <f>IFERROR(__xludf.DUMMYFUNCTION("SPLIT(LEFT(H3,LEN(H3)-1),""("")"),"Timgad ")</f>
        <v>Timgad </v>
      </c>
      <c r="J3" s="10" t="str">
        <f>IFERROR(__xludf.DUMMYFUNCTION("""COMPUTED_VALUE"""),"Algérie")</f>
        <v>Algérie</v>
      </c>
      <c r="K3" s="10" t="str">
        <f>IFERROR(__xludf.DUMMYFUNCTION("IF( COUNTA( IFERROR( FILTER('départements_edition'!$C$2:$C$102 , 'départements_edition'!$C$2:$C$102=J3 ) ) ) , ""Oui"" , ""Non"" )"),"Non")</f>
        <v>Non</v>
      </c>
      <c r="L3" s="10" t="str">
        <f t="shared" si="2"/>
        <v>Algérie</v>
      </c>
      <c r="M3" s="12">
        <v>57.0</v>
      </c>
      <c r="N3" s="10" t="s">
        <v>471</v>
      </c>
      <c r="O3" s="12">
        <v>1.0</v>
      </c>
      <c r="P3" s="13">
        <v>42907.0</v>
      </c>
      <c r="Q3" s="14"/>
      <c r="R3" s="12">
        <v>0.0</v>
      </c>
      <c r="S3" s="10" t="s">
        <v>75</v>
      </c>
      <c r="T3" s="10" t="s">
        <v>76</v>
      </c>
      <c r="U3" s="15" t="s">
        <v>751</v>
      </c>
      <c r="V3" s="16"/>
      <c r="W3" s="14"/>
      <c r="X3" s="10" t="s">
        <v>198</v>
      </c>
      <c r="Y3" s="12">
        <v>574.0</v>
      </c>
      <c r="Z3" s="17" t="s">
        <v>752</v>
      </c>
      <c r="AA3" s="12">
        <v>720362.0</v>
      </c>
      <c r="AB3" s="10" t="s">
        <v>753</v>
      </c>
      <c r="AC3" s="17" t="s">
        <v>754</v>
      </c>
      <c r="AD3" s="17" t="s">
        <v>755</v>
      </c>
      <c r="AE3" s="12">
        <v>2.0</v>
      </c>
      <c r="AF3" s="10" t="s">
        <v>756</v>
      </c>
      <c r="AG3" s="12">
        <v>23.0</v>
      </c>
      <c r="AH3" s="12">
        <v>56.0</v>
      </c>
      <c r="AI3" s="12">
        <v>22.0</v>
      </c>
      <c r="AJ3" s="12">
        <v>14.0</v>
      </c>
      <c r="AK3" s="12">
        <v>3.0</v>
      </c>
      <c r="AL3" s="12">
        <v>3.0</v>
      </c>
      <c r="AM3" s="12">
        <v>66.0</v>
      </c>
      <c r="AN3" s="12">
        <v>25.0</v>
      </c>
      <c r="AO3" s="12">
        <v>0.0</v>
      </c>
      <c r="AP3" s="12">
        <v>0.0</v>
      </c>
      <c r="AQ3" s="12">
        <v>5.0</v>
      </c>
      <c r="AR3" s="12">
        <v>14.0</v>
      </c>
      <c r="AS3" s="12">
        <v>1.0</v>
      </c>
    </row>
    <row r="4">
      <c r="A4" s="12">
        <v>326.0</v>
      </c>
      <c r="B4" s="10" t="s">
        <v>1053</v>
      </c>
      <c r="C4" s="10" t="s">
        <v>1054</v>
      </c>
      <c r="D4" s="10" t="s">
        <v>1055</v>
      </c>
      <c r="E4" s="10" t="s">
        <v>43</v>
      </c>
      <c r="F4" s="13">
        <v>26070.0</v>
      </c>
      <c r="G4" s="12">
        <f t="shared" si="1"/>
        <v>55</v>
      </c>
      <c r="H4" s="10" t="s">
        <v>1056</v>
      </c>
      <c r="I4" s="10" t="str">
        <f>IFERROR(__xludf.DUMMYFUNCTION("SPLIT(LEFT(H4,LEN(H4)-1),""("")"),"Smaoun ")</f>
        <v>Smaoun </v>
      </c>
      <c r="J4" s="10" t="str">
        <f>IFERROR(__xludf.DUMMYFUNCTION("""COMPUTED_VALUE"""),"Algérie")</f>
        <v>Algérie</v>
      </c>
      <c r="K4" s="10" t="str">
        <f>IFERROR(__xludf.DUMMYFUNCTION("IF( COUNTA( IFERROR( FILTER('départements_edition'!$C$2:$C$102 , 'départements_edition'!$C$2:$C$102=J4 ) ) ) , ""Oui"" , ""Non"" )"),"Non")</f>
        <v>Non</v>
      </c>
      <c r="L4" s="10" t="str">
        <f t="shared" si="2"/>
        <v>Algérie</v>
      </c>
      <c r="M4" s="12">
        <v>57.0</v>
      </c>
      <c r="N4" s="10" t="s">
        <v>471</v>
      </c>
      <c r="O4" s="12">
        <v>8.0</v>
      </c>
      <c r="P4" s="13">
        <v>42907.0</v>
      </c>
      <c r="Q4" s="14"/>
      <c r="R4" s="12">
        <v>0.0</v>
      </c>
      <c r="S4" s="10" t="s">
        <v>280</v>
      </c>
      <c r="T4" s="10" t="s">
        <v>281</v>
      </c>
      <c r="U4" s="15" t="s">
        <v>1057</v>
      </c>
      <c r="V4" s="16"/>
      <c r="W4" s="14"/>
      <c r="X4" s="10" t="s">
        <v>151</v>
      </c>
      <c r="Y4" s="12">
        <v>182.0</v>
      </c>
      <c r="Z4" s="17" t="s">
        <v>1058</v>
      </c>
      <c r="AA4" s="12">
        <v>720326.0</v>
      </c>
      <c r="AB4" s="10" t="s">
        <v>1059</v>
      </c>
      <c r="AC4" s="17" t="s">
        <v>1060</v>
      </c>
      <c r="AD4" s="17" t="s">
        <v>1061</v>
      </c>
      <c r="AE4" s="12">
        <v>1.0</v>
      </c>
      <c r="AF4" s="10" t="s">
        <v>1062</v>
      </c>
      <c r="AG4" s="12">
        <v>23.0</v>
      </c>
      <c r="AH4" s="12">
        <v>47.0</v>
      </c>
      <c r="AI4" s="12">
        <v>45.0</v>
      </c>
      <c r="AJ4" s="12">
        <v>44.0</v>
      </c>
      <c r="AK4" s="12">
        <v>17.0</v>
      </c>
      <c r="AL4" s="12">
        <v>30.0</v>
      </c>
      <c r="AM4" s="12">
        <v>262.0</v>
      </c>
      <c r="AN4" s="12">
        <v>25.0</v>
      </c>
      <c r="AO4" s="12">
        <v>0.0</v>
      </c>
      <c r="AP4" s="12">
        <v>0.0</v>
      </c>
      <c r="AQ4" s="12">
        <v>5.0</v>
      </c>
      <c r="AR4" s="12">
        <v>6.0</v>
      </c>
      <c r="AS4" s="12">
        <v>3.0</v>
      </c>
    </row>
    <row r="5">
      <c r="A5" s="12">
        <v>421.0</v>
      </c>
      <c r="B5" s="10" t="s">
        <v>3180</v>
      </c>
      <c r="C5" s="10" t="s">
        <v>3181</v>
      </c>
      <c r="D5" s="10" t="s">
        <v>1176</v>
      </c>
      <c r="E5" s="10" t="s">
        <v>58</v>
      </c>
      <c r="F5" s="13">
        <v>16504.0</v>
      </c>
      <c r="G5" s="12">
        <f t="shared" si="1"/>
        <v>81</v>
      </c>
      <c r="H5" s="10" t="s">
        <v>3182</v>
      </c>
      <c r="I5" s="10" t="str">
        <f>IFERROR(__xludf.DUMMYFUNCTION("SPLIT(LEFT(H5,LEN(H5)-1),""("")"),"Maison Carrée ")</f>
        <v>Maison Carrée </v>
      </c>
      <c r="J5" s="10" t="str">
        <f>IFERROR(__xludf.DUMMYFUNCTION("""COMPUTED_VALUE"""),"Algérie")</f>
        <v>Algérie</v>
      </c>
      <c r="K5" s="10" t="str">
        <f>IFERROR(__xludf.DUMMYFUNCTION("IF( COUNTA( IFERROR( FILTER('départements_edition'!$C$2:$C$102 , 'départements_edition'!$C$2:$C$102=J5 ) ) ) , ""Oui"" , ""Non"" )"),"Non")</f>
        <v>Non</v>
      </c>
      <c r="L5" s="10" t="str">
        <f t="shared" si="2"/>
        <v>Algérie</v>
      </c>
      <c r="M5" s="12">
        <v>31.0</v>
      </c>
      <c r="N5" s="10" t="s">
        <v>360</v>
      </c>
      <c r="O5" s="12">
        <v>6.0</v>
      </c>
      <c r="P5" s="13">
        <v>42907.0</v>
      </c>
      <c r="Q5" s="14"/>
      <c r="R5" s="12">
        <v>0.0</v>
      </c>
      <c r="S5" s="10" t="s">
        <v>75</v>
      </c>
      <c r="T5" s="10" t="s">
        <v>76</v>
      </c>
      <c r="U5" s="15" t="s">
        <v>3183</v>
      </c>
      <c r="V5" s="16"/>
      <c r="W5" s="14"/>
      <c r="X5" s="10" t="s">
        <v>3184</v>
      </c>
      <c r="Y5" s="12">
        <v>280.0</v>
      </c>
      <c r="Z5" s="17" t="s">
        <v>3185</v>
      </c>
      <c r="AA5" s="12">
        <v>331835.0</v>
      </c>
      <c r="AB5" s="10" t="s">
        <v>3186</v>
      </c>
      <c r="AC5" s="17" t="s">
        <v>3187</v>
      </c>
      <c r="AD5" s="17" t="s">
        <v>3188</v>
      </c>
      <c r="AE5" s="12">
        <v>1.0</v>
      </c>
      <c r="AF5" s="10" t="s">
        <v>3189</v>
      </c>
      <c r="AG5" s="12">
        <v>20.0</v>
      </c>
      <c r="AH5" s="12">
        <v>33.0</v>
      </c>
      <c r="AI5" s="12">
        <v>35.0</v>
      </c>
      <c r="AJ5" s="12">
        <v>8.0</v>
      </c>
      <c r="AK5" s="12">
        <v>2.0</v>
      </c>
      <c r="AL5" s="12">
        <v>2.0</v>
      </c>
      <c r="AM5" s="12">
        <v>66.0</v>
      </c>
      <c r="AN5" s="12">
        <v>25.0</v>
      </c>
      <c r="AO5" s="12">
        <v>0.0</v>
      </c>
      <c r="AP5" s="12">
        <v>0.0</v>
      </c>
      <c r="AQ5" s="12">
        <v>6.0</v>
      </c>
      <c r="AR5" s="12">
        <v>3.0</v>
      </c>
      <c r="AS5" s="12">
        <v>0.0</v>
      </c>
    </row>
    <row r="6">
      <c r="A6" s="12">
        <v>401.0</v>
      </c>
      <c r="B6" s="10" t="s">
        <v>5047</v>
      </c>
      <c r="C6" s="10" t="s">
        <v>5048</v>
      </c>
      <c r="D6" s="10" t="s">
        <v>42</v>
      </c>
      <c r="E6" s="10" t="s">
        <v>43</v>
      </c>
      <c r="F6" s="13">
        <v>21485.0</v>
      </c>
      <c r="G6" s="12">
        <f t="shared" si="1"/>
        <v>67</v>
      </c>
      <c r="H6" s="10" t="s">
        <v>5049</v>
      </c>
      <c r="I6" s="10" t="str">
        <f>IFERROR(__xludf.DUMMYFUNCTION("SPLIT(LEFT(H6,LEN(H6)-1),""("")"),"Alger ")</f>
        <v>Alger </v>
      </c>
      <c r="J6" s="10" t="str">
        <f>IFERROR(__xludf.DUMMYFUNCTION("""COMPUTED_VALUE"""),"Algérie")</f>
        <v>Algérie</v>
      </c>
      <c r="K6" s="10" t="str">
        <f>IFERROR(__xludf.DUMMYFUNCTION("IF( COUNTA( IFERROR( FILTER('départements_edition'!$C$2:$C$102 , 'départements_edition'!$C$2:$C$102=J6 ) ) ) , ""Oui"" , ""Non"" )"),"Non")</f>
        <v>Non</v>
      </c>
      <c r="L6" s="10" t="str">
        <f t="shared" si="2"/>
        <v>Algérie</v>
      </c>
      <c r="M6" s="12">
        <v>988.0</v>
      </c>
      <c r="N6" s="10" t="s">
        <v>5050</v>
      </c>
      <c r="O6" s="12">
        <v>2.0</v>
      </c>
      <c r="P6" s="13">
        <v>42907.0</v>
      </c>
      <c r="Q6" s="14"/>
      <c r="R6" s="12">
        <v>0.0</v>
      </c>
      <c r="S6" s="10" t="s">
        <v>46</v>
      </c>
      <c r="T6" s="10" t="s">
        <v>5051</v>
      </c>
      <c r="U6" s="15" t="s">
        <v>5052</v>
      </c>
      <c r="V6" s="16"/>
      <c r="W6" s="14"/>
      <c r="X6" s="10" t="s">
        <v>5053</v>
      </c>
      <c r="Y6" s="12">
        <v>104.0</v>
      </c>
      <c r="Z6" s="17" t="s">
        <v>5054</v>
      </c>
      <c r="AA6" s="12">
        <v>610775.0</v>
      </c>
      <c r="AB6" s="10" t="s">
        <v>5055</v>
      </c>
      <c r="AC6" s="17" t="s">
        <v>5056</v>
      </c>
      <c r="AD6" s="17" t="s">
        <v>5057</v>
      </c>
      <c r="AE6" s="12">
        <v>2.0</v>
      </c>
      <c r="AF6" s="10" t="s">
        <v>5058</v>
      </c>
      <c r="AG6" s="12">
        <v>14.0</v>
      </c>
      <c r="AH6" s="12">
        <v>25.0</v>
      </c>
      <c r="AI6" s="12">
        <v>8.0</v>
      </c>
      <c r="AJ6" s="12">
        <v>30.0</v>
      </c>
      <c r="AK6" s="12">
        <v>5.0</v>
      </c>
      <c r="AL6" s="12">
        <v>16.0</v>
      </c>
      <c r="AM6" s="12">
        <v>449.0</v>
      </c>
      <c r="AN6" s="12">
        <v>29.0</v>
      </c>
      <c r="AO6" s="12">
        <v>0.0</v>
      </c>
      <c r="AP6" s="12">
        <v>0.0</v>
      </c>
      <c r="AQ6" s="12">
        <v>5.0</v>
      </c>
      <c r="AR6" s="12">
        <v>11.0</v>
      </c>
      <c r="AS6" s="12">
        <v>2.0</v>
      </c>
    </row>
    <row r="7">
      <c r="A7" s="12">
        <v>349.0</v>
      </c>
      <c r="B7" s="10" t="s">
        <v>5259</v>
      </c>
      <c r="C7" s="10" t="s">
        <v>5260</v>
      </c>
      <c r="D7" s="10" t="s">
        <v>589</v>
      </c>
      <c r="E7" s="10" t="s">
        <v>43</v>
      </c>
      <c r="F7" s="13">
        <v>21464.0</v>
      </c>
      <c r="G7" s="12">
        <f t="shared" si="1"/>
        <v>67</v>
      </c>
      <c r="H7" s="10" t="s">
        <v>5049</v>
      </c>
      <c r="I7" s="10" t="str">
        <f>IFERROR(__xludf.DUMMYFUNCTION("SPLIT(LEFT(H7,LEN(H7)-1),""("")"),"Alger ")</f>
        <v>Alger </v>
      </c>
      <c r="J7" s="10" t="str">
        <f>IFERROR(__xludf.DUMMYFUNCTION("""COMPUTED_VALUE"""),"Algérie")</f>
        <v>Algérie</v>
      </c>
      <c r="K7" s="10" t="str">
        <f>IFERROR(__xludf.DUMMYFUNCTION("IF( COUNTA( IFERROR( FILTER('départements_edition'!$C$2:$C$102 , 'départements_edition'!$C$2:$C$102=J7 ) ) ) , ""Oui"" , ""Non"" )"),"Non")</f>
        <v>Non</v>
      </c>
      <c r="L7" s="10" t="str">
        <f t="shared" si="2"/>
        <v>Algérie</v>
      </c>
      <c r="M7" s="12">
        <v>69.0</v>
      </c>
      <c r="N7" s="10" t="s">
        <v>1363</v>
      </c>
      <c r="O7" s="12">
        <v>6.0</v>
      </c>
      <c r="P7" s="13">
        <v>42907.0</v>
      </c>
      <c r="Q7" s="14"/>
      <c r="R7" s="12">
        <v>0.0</v>
      </c>
      <c r="S7" s="10" t="s">
        <v>75</v>
      </c>
      <c r="T7" s="10" t="s">
        <v>76</v>
      </c>
      <c r="U7" s="15" t="s">
        <v>5261</v>
      </c>
      <c r="V7" s="16"/>
      <c r="W7" s="14"/>
      <c r="X7" s="10" t="s">
        <v>198</v>
      </c>
      <c r="Y7" s="12">
        <v>272.0</v>
      </c>
      <c r="Z7" s="17" t="s">
        <v>5262</v>
      </c>
      <c r="AA7" s="12">
        <v>721344.0</v>
      </c>
      <c r="AB7" s="10" t="s">
        <v>5263</v>
      </c>
      <c r="AC7" s="17" t="s">
        <v>5264</v>
      </c>
      <c r="AD7" s="17" t="s">
        <v>5265</v>
      </c>
      <c r="AE7" s="12">
        <v>1.0</v>
      </c>
      <c r="AF7" s="10" t="s">
        <v>5266</v>
      </c>
      <c r="AG7" s="12">
        <v>12.0</v>
      </c>
      <c r="AH7" s="12">
        <v>19.0</v>
      </c>
      <c r="AI7" s="12">
        <v>1.0</v>
      </c>
      <c r="AJ7" s="12">
        <v>0.0</v>
      </c>
      <c r="AK7" s="12">
        <v>4.0</v>
      </c>
      <c r="AL7" s="12">
        <v>1.0</v>
      </c>
      <c r="AM7" s="12">
        <v>17.0</v>
      </c>
      <c r="AN7" s="12">
        <v>9.0</v>
      </c>
      <c r="AO7" s="12">
        <v>0.0</v>
      </c>
      <c r="AP7" s="12">
        <v>0.0</v>
      </c>
      <c r="AQ7" s="12">
        <v>5.0</v>
      </c>
      <c r="AR7" s="12">
        <v>1.0</v>
      </c>
      <c r="AS7" s="12">
        <v>0.0</v>
      </c>
    </row>
    <row r="8">
      <c r="A8" s="12">
        <v>113.0</v>
      </c>
      <c r="B8" s="10" t="s">
        <v>576</v>
      </c>
      <c r="C8" s="10" t="s">
        <v>577</v>
      </c>
      <c r="D8" s="10" t="s">
        <v>98</v>
      </c>
      <c r="E8" s="10" t="s">
        <v>43</v>
      </c>
      <c r="F8" s="13">
        <v>19804.0</v>
      </c>
      <c r="G8" s="12">
        <f t="shared" si="1"/>
        <v>72</v>
      </c>
      <c r="H8" s="10" t="s">
        <v>578</v>
      </c>
      <c r="I8" s="10" t="str">
        <f>IFERROR(__xludf.DUMMYFUNCTION("SPLIT(LEFT(H8,LEN(H8)-1),""("")"),"SAARBURG ")</f>
        <v>SAARBURG </v>
      </c>
      <c r="J8" s="10" t="str">
        <f>IFERROR(__xludf.DUMMYFUNCTION("""COMPUTED_VALUE"""),"ALLEMAGNE")</f>
        <v>ALLEMAGNE</v>
      </c>
      <c r="K8" s="10" t="str">
        <f>IFERROR(__xludf.DUMMYFUNCTION("IF( COUNTA( IFERROR( FILTER('départements_edition'!$C$2:$C$102 , 'départements_edition'!$C$2:$C$102=J8 ) ) ) , ""Oui"" , ""Non"" )"),"Non")</f>
        <v>Non</v>
      </c>
      <c r="L8" s="10" t="str">
        <f t="shared" si="2"/>
        <v>ALLEMAGNE</v>
      </c>
      <c r="M8" s="12">
        <v>64.0</v>
      </c>
      <c r="N8" s="10" t="s">
        <v>579</v>
      </c>
      <c r="O8" s="12">
        <v>2.0</v>
      </c>
      <c r="P8" s="13">
        <v>42907.0</v>
      </c>
      <c r="Q8" s="14"/>
      <c r="R8" s="12">
        <v>0.0</v>
      </c>
      <c r="S8" s="10" t="s">
        <v>280</v>
      </c>
      <c r="T8" s="10" t="s">
        <v>281</v>
      </c>
      <c r="U8" s="15" t="s">
        <v>580</v>
      </c>
      <c r="V8" s="16"/>
      <c r="W8" s="14"/>
      <c r="X8" s="10" t="s">
        <v>581</v>
      </c>
      <c r="Y8" s="12">
        <v>255.0</v>
      </c>
      <c r="Z8" s="17" t="s">
        <v>582</v>
      </c>
      <c r="AA8" s="12">
        <v>720728.0</v>
      </c>
      <c r="AB8" s="10" t="s">
        <v>583</v>
      </c>
      <c r="AC8" s="17" t="s">
        <v>584</v>
      </c>
      <c r="AD8" s="17" t="s">
        <v>585</v>
      </c>
      <c r="AE8" s="12">
        <v>1.0</v>
      </c>
      <c r="AF8" s="10" t="s">
        <v>586</v>
      </c>
      <c r="AG8" s="12">
        <v>24.0</v>
      </c>
      <c r="AH8" s="12">
        <v>64.0</v>
      </c>
      <c r="AI8" s="12">
        <v>80.0</v>
      </c>
      <c r="AJ8" s="12">
        <v>113.0</v>
      </c>
      <c r="AK8" s="12">
        <v>24.0</v>
      </c>
      <c r="AL8" s="12">
        <v>89.0</v>
      </c>
      <c r="AM8" s="12">
        <v>310.0</v>
      </c>
      <c r="AN8" s="12">
        <v>41.0</v>
      </c>
      <c r="AO8" s="12">
        <v>1.0</v>
      </c>
      <c r="AP8" s="12">
        <v>0.0</v>
      </c>
      <c r="AQ8" s="12">
        <v>5.0</v>
      </c>
      <c r="AR8" s="12">
        <v>1.0</v>
      </c>
      <c r="AS8" s="12">
        <v>2.0</v>
      </c>
    </row>
    <row r="9">
      <c r="A9" s="12">
        <v>302.0</v>
      </c>
      <c r="B9" s="10" t="s">
        <v>2834</v>
      </c>
      <c r="C9" s="10" t="s">
        <v>2835</v>
      </c>
      <c r="D9" s="10" t="s">
        <v>1473</v>
      </c>
      <c r="E9" s="10" t="s">
        <v>58</v>
      </c>
      <c r="F9" s="13">
        <v>21688.0</v>
      </c>
      <c r="G9" s="12">
        <f t="shared" si="1"/>
        <v>67</v>
      </c>
      <c r="H9" s="10" t="s">
        <v>2836</v>
      </c>
      <c r="I9" s="10" t="str">
        <f>IFERROR(__xludf.DUMMYFUNCTION("SPLIT(LEFT(H9,LEN(H9)-1),""("")"),"Remscheid ")</f>
        <v>Remscheid </v>
      </c>
      <c r="J9" s="10" t="str">
        <f>IFERROR(__xludf.DUMMYFUNCTION("""COMPUTED_VALUE"""),"Allemagne")</f>
        <v>Allemagne</v>
      </c>
      <c r="K9" s="10" t="str">
        <f>IFERROR(__xludf.DUMMYFUNCTION("IF( COUNTA( IFERROR( FILTER('départements_edition'!$C$2:$C$102 , 'départements_edition'!$C$2:$C$102=J9 ) ) ) , ""Oui"" , ""Non"" )"),"Non")</f>
        <v>Non</v>
      </c>
      <c r="L9" s="10" t="str">
        <f t="shared" si="2"/>
        <v>Allemagne</v>
      </c>
      <c r="M9" s="12">
        <v>37.0</v>
      </c>
      <c r="N9" s="10" t="s">
        <v>547</v>
      </c>
      <c r="O9" s="12">
        <v>5.0</v>
      </c>
      <c r="P9" s="13">
        <v>42907.0</v>
      </c>
      <c r="Q9" s="14"/>
      <c r="R9" s="12">
        <v>0.0</v>
      </c>
      <c r="S9" s="10" t="s">
        <v>75</v>
      </c>
      <c r="T9" s="10" t="s">
        <v>76</v>
      </c>
      <c r="U9" s="15" t="s">
        <v>2837</v>
      </c>
      <c r="V9" s="16"/>
      <c r="W9" s="14"/>
      <c r="X9" s="10" t="s">
        <v>2484</v>
      </c>
      <c r="Y9" s="12">
        <v>222.0</v>
      </c>
      <c r="Z9" s="17" t="s">
        <v>2838</v>
      </c>
      <c r="AA9" s="12">
        <v>719822.0</v>
      </c>
      <c r="AB9" s="10" t="s">
        <v>2839</v>
      </c>
      <c r="AC9" s="17" t="s">
        <v>2840</v>
      </c>
      <c r="AD9" s="17" t="s">
        <v>2841</v>
      </c>
      <c r="AE9" s="12">
        <v>1.0</v>
      </c>
      <c r="AF9" s="10" t="s">
        <v>2842</v>
      </c>
      <c r="AG9" s="12">
        <v>21.0</v>
      </c>
      <c r="AH9" s="12">
        <v>46.0</v>
      </c>
      <c r="AI9" s="12">
        <v>102.0</v>
      </c>
      <c r="AJ9" s="12">
        <v>19.0</v>
      </c>
      <c r="AK9" s="12">
        <v>0.0</v>
      </c>
      <c r="AL9" s="12">
        <v>0.0</v>
      </c>
      <c r="AM9" s="12">
        <v>4.0</v>
      </c>
      <c r="AN9" s="12">
        <v>1.0</v>
      </c>
      <c r="AO9" s="12">
        <v>0.0</v>
      </c>
      <c r="AP9" s="12">
        <v>0.0</v>
      </c>
      <c r="AQ9" s="12">
        <v>7.0</v>
      </c>
      <c r="AR9" s="12">
        <v>4.0</v>
      </c>
      <c r="AS9" s="12">
        <v>1.0</v>
      </c>
    </row>
    <row r="10">
      <c r="A10" s="12">
        <v>28.0</v>
      </c>
      <c r="B10" s="10" t="s">
        <v>3957</v>
      </c>
      <c r="C10" s="10" t="s">
        <v>3958</v>
      </c>
      <c r="D10" s="10" t="s">
        <v>916</v>
      </c>
      <c r="E10" s="10" t="s">
        <v>43</v>
      </c>
      <c r="F10" s="13">
        <v>17526.0</v>
      </c>
      <c r="G10" s="12">
        <f t="shared" si="1"/>
        <v>78</v>
      </c>
      <c r="H10" s="10" t="s">
        <v>3959</v>
      </c>
      <c r="I10" s="10" t="str">
        <f>IFERROR(__xludf.DUMMYFUNCTION("SPLIT(LEFT(H10,LEN(H10)-1),""("")"),"Boppard ")</f>
        <v>Boppard </v>
      </c>
      <c r="J10" s="10" t="str">
        <f>IFERROR(__xludf.DUMMYFUNCTION("""COMPUTED_VALUE"""),"Allemagne")</f>
        <v>Allemagne</v>
      </c>
      <c r="K10" s="10" t="str">
        <f>IFERROR(__xludf.DUMMYFUNCTION("IF( COUNTA( IFERROR( FILTER('départements_edition'!$C$2:$C$102 , 'départements_edition'!$C$2:$C$102=J10 ) ) ) , ""Oui"" , ""Non"" )"),"Non")</f>
        <v>Non</v>
      </c>
      <c r="L10" s="10" t="str">
        <f t="shared" si="2"/>
        <v>Allemagne</v>
      </c>
      <c r="M10" s="12">
        <v>14.0</v>
      </c>
      <c r="N10" s="10" t="s">
        <v>1137</v>
      </c>
      <c r="O10" s="12">
        <v>6.0</v>
      </c>
      <c r="P10" s="13">
        <v>42907.0</v>
      </c>
      <c r="Q10" s="14"/>
      <c r="R10" s="12">
        <v>0.0</v>
      </c>
      <c r="S10" s="10" t="s">
        <v>75</v>
      </c>
      <c r="T10" s="10" t="s">
        <v>76</v>
      </c>
      <c r="U10" s="15" t="s">
        <v>3960</v>
      </c>
      <c r="V10" s="16"/>
      <c r="W10" s="14"/>
      <c r="X10" s="10" t="s">
        <v>304</v>
      </c>
      <c r="Y10" s="12">
        <v>193.0</v>
      </c>
      <c r="Z10" s="17" t="s">
        <v>3961</v>
      </c>
      <c r="AA10" s="12">
        <v>2828.0</v>
      </c>
      <c r="AB10" s="10" t="s">
        <v>3962</v>
      </c>
      <c r="AC10" s="17" t="s">
        <v>3963</v>
      </c>
      <c r="AD10" s="17" t="s">
        <v>3964</v>
      </c>
      <c r="AE10" s="12">
        <v>1.0</v>
      </c>
      <c r="AF10" s="10" t="s">
        <v>3965</v>
      </c>
      <c r="AG10" s="12">
        <v>19.0</v>
      </c>
      <c r="AH10" s="12">
        <v>19.0</v>
      </c>
      <c r="AI10" s="12">
        <v>50.0</v>
      </c>
      <c r="AJ10" s="12">
        <v>10.0</v>
      </c>
      <c r="AK10" s="12">
        <v>7.0</v>
      </c>
      <c r="AL10" s="12">
        <v>15.0</v>
      </c>
      <c r="AM10" s="12">
        <v>68.0</v>
      </c>
      <c r="AN10" s="12">
        <v>32.0</v>
      </c>
      <c r="AO10" s="12">
        <v>1.0</v>
      </c>
      <c r="AP10" s="12">
        <v>0.0</v>
      </c>
      <c r="AQ10" s="12">
        <v>6.0</v>
      </c>
      <c r="AR10" s="12">
        <v>5.0</v>
      </c>
      <c r="AS10" s="12">
        <v>0.0</v>
      </c>
    </row>
    <row r="11">
      <c r="A11" s="12">
        <v>398.0</v>
      </c>
      <c r="B11" s="10" t="s">
        <v>1921</v>
      </c>
      <c r="C11" s="10" t="s">
        <v>1922</v>
      </c>
      <c r="D11" s="10" t="s">
        <v>1511</v>
      </c>
      <c r="E11" s="10" t="s">
        <v>43</v>
      </c>
      <c r="F11" s="13">
        <v>24279.0</v>
      </c>
      <c r="G11" s="12">
        <f t="shared" si="1"/>
        <v>60</v>
      </c>
      <c r="H11" s="10" t="s">
        <v>1923</v>
      </c>
      <c r="I11" s="10" t="str">
        <f>IFERROR(__xludf.DUMMYFUNCTION("SPLIT(LEFT(H11,LEN(H11)-1),""("")"),"Watermael-Boitsfort ")</f>
        <v>Watermael-Boitsfort </v>
      </c>
      <c r="J11" s="10" t="str">
        <f>IFERROR(__xludf.DUMMYFUNCTION("""COMPUTED_VALUE"""),"Belgique")</f>
        <v>Belgique</v>
      </c>
      <c r="K11" s="10" t="str">
        <f>IFERROR(__xludf.DUMMYFUNCTION("IF( COUNTA( IFERROR( FILTER('départements_edition'!$C$2:$C$102 , 'départements_edition'!$C$2:$C$102=J11 ) ) ) , ""Oui"" , ""Non"" )"),"Non")</f>
        <v>Non</v>
      </c>
      <c r="L11" s="10" t="str">
        <f t="shared" si="2"/>
        <v>Belgique</v>
      </c>
      <c r="M11" s="12">
        <v>59.0</v>
      </c>
      <c r="N11" s="10" t="s">
        <v>172</v>
      </c>
      <c r="O11" s="12">
        <v>10.0</v>
      </c>
      <c r="P11" s="13">
        <v>42907.0</v>
      </c>
      <c r="Q11" s="14"/>
      <c r="R11" s="12">
        <v>0.0</v>
      </c>
      <c r="S11" s="10" t="s">
        <v>46</v>
      </c>
      <c r="T11" s="10" t="s">
        <v>47</v>
      </c>
      <c r="U11" s="15" t="s">
        <v>1924</v>
      </c>
      <c r="V11" s="16"/>
      <c r="W11" s="14"/>
      <c r="X11" s="10" t="s">
        <v>1925</v>
      </c>
      <c r="Y11" s="12">
        <v>129.0</v>
      </c>
      <c r="Z11" s="17" t="s">
        <v>1926</v>
      </c>
      <c r="AA11" s="12">
        <v>712014.0</v>
      </c>
      <c r="AB11" s="10" t="s">
        <v>1927</v>
      </c>
      <c r="AC11" s="17" t="s">
        <v>1928</v>
      </c>
      <c r="AD11" s="17" t="s">
        <v>1929</v>
      </c>
      <c r="AE11" s="12">
        <v>2.0</v>
      </c>
      <c r="AF11" s="10" t="s">
        <v>1930</v>
      </c>
      <c r="AG11" s="12">
        <v>22.0</v>
      </c>
      <c r="AH11" s="12">
        <v>29.0</v>
      </c>
      <c r="AI11" s="12">
        <v>10.0</v>
      </c>
      <c r="AJ11" s="12">
        <v>45.0</v>
      </c>
      <c r="AK11" s="12">
        <v>8.0</v>
      </c>
      <c r="AL11" s="12">
        <v>22.0</v>
      </c>
      <c r="AM11" s="12">
        <v>629.0</v>
      </c>
      <c r="AN11" s="12">
        <v>36.0</v>
      </c>
      <c r="AO11" s="12">
        <v>1.0</v>
      </c>
      <c r="AP11" s="12">
        <v>1.0</v>
      </c>
      <c r="AQ11" s="12">
        <v>35.0</v>
      </c>
      <c r="AR11" s="12">
        <v>9.0</v>
      </c>
      <c r="AS11" s="12">
        <v>6.0</v>
      </c>
    </row>
    <row r="12">
      <c r="A12" s="12">
        <v>522.0</v>
      </c>
      <c r="B12" s="10" t="s">
        <v>2117</v>
      </c>
      <c r="C12" s="10" t="s">
        <v>2118</v>
      </c>
      <c r="D12" s="10" t="s">
        <v>2119</v>
      </c>
      <c r="E12" s="10" t="s">
        <v>58</v>
      </c>
      <c r="F12" s="13">
        <v>30042.0</v>
      </c>
      <c r="G12" s="12">
        <f t="shared" si="1"/>
        <v>44</v>
      </c>
      <c r="H12" s="10" t="s">
        <v>2120</v>
      </c>
      <c r="I12" s="10" t="str">
        <f>IFERROR(__xludf.DUMMYFUNCTION("SPLIT(LEFT(H12,LEN(H12)-1),""("")"),"Bangassogo ")</f>
        <v>Bangassogo </v>
      </c>
      <c r="J12" s="10" t="str">
        <f>IFERROR(__xludf.DUMMYFUNCTION("""COMPUTED_VALUE"""),"Burkina Faso")</f>
        <v>Burkina Faso</v>
      </c>
      <c r="K12" s="10" t="str">
        <f>IFERROR(__xludf.DUMMYFUNCTION("IF( COUNTA( IFERROR( FILTER('départements_edition'!$C$2:$C$102 , 'départements_edition'!$C$2:$C$102=J12 ) ) ) , ""Oui"" , ""Non"" )"),"Non")</f>
        <v>Non</v>
      </c>
      <c r="L12" s="10" t="str">
        <f t="shared" si="2"/>
        <v>Burkina Faso</v>
      </c>
      <c r="M12" s="12">
        <v>46.0</v>
      </c>
      <c r="N12" s="10" t="s">
        <v>325</v>
      </c>
      <c r="O12" s="12">
        <v>2.0</v>
      </c>
      <c r="P12" s="13">
        <v>42907.0</v>
      </c>
      <c r="Q12" s="14"/>
      <c r="R12" s="12">
        <v>0.0</v>
      </c>
      <c r="S12" s="10" t="s">
        <v>75</v>
      </c>
      <c r="T12" s="10" t="s">
        <v>76</v>
      </c>
      <c r="U12" s="15" t="s">
        <v>2121</v>
      </c>
      <c r="V12" s="16"/>
      <c r="W12" s="14"/>
      <c r="X12" s="10" t="s">
        <v>2122</v>
      </c>
      <c r="Y12" s="12">
        <v>455.0</v>
      </c>
      <c r="Z12" s="17" t="s">
        <v>2123</v>
      </c>
      <c r="AA12" s="12">
        <v>720014.0</v>
      </c>
      <c r="AB12" s="10" t="s">
        <v>2124</v>
      </c>
      <c r="AC12" s="17" t="s">
        <v>2125</v>
      </c>
      <c r="AD12" s="17" t="s">
        <v>2126</v>
      </c>
      <c r="AE12" s="12">
        <v>1.0</v>
      </c>
      <c r="AF12" s="10" t="s">
        <v>2127</v>
      </c>
      <c r="AG12" s="12">
        <v>22.0</v>
      </c>
      <c r="AH12" s="12">
        <v>49.0</v>
      </c>
      <c r="AI12" s="12">
        <v>45.0</v>
      </c>
      <c r="AJ12" s="12">
        <v>17.0</v>
      </c>
      <c r="AK12" s="12">
        <v>4.0</v>
      </c>
      <c r="AL12" s="12">
        <v>7.0</v>
      </c>
      <c r="AM12" s="12">
        <v>133.0</v>
      </c>
      <c r="AN12" s="12">
        <v>61.0</v>
      </c>
      <c r="AO12" s="12">
        <v>0.0</v>
      </c>
      <c r="AP12" s="12">
        <v>0.0</v>
      </c>
      <c r="AQ12" s="12">
        <v>6.0</v>
      </c>
      <c r="AR12" s="12">
        <v>0.0</v>
      </c>
      <c r="AS12" s="12">
        <v>2.0</v>
      </c>
    </row>
    <row r="13">
      <c r="A13" s="12">
        <v>248.0</v>
      </c>
      <c r="B13" s="10" t="s">
        <v>4595</v>
      </c>
      <c r="C13" s="10" t="s">
        <v>4596</v>
      </c>
      <c r="D13" s="10" t="s">
        <v>4597</v>
      </c>
      <c r="E13" s="10" t="s">
        <v>43</v>
      </c>
      <c r="F13" s="13">
        <v>24541.0</v>
      </c>
      <c r="G13" s="12">
        <f t="shared" si="1"/>
        <v>59</v>
      </c>
      <c r="H13" s="10" t="s">
        <v>4598</v>
      </c>
      <c r="I13" s="10" t="str">
        <f>IFERROR(__xludf.DUMMYFUNCTION("SPLIT(LEFT(H13,LEN(H13)-1),""("")"),"Phnom Penh ")</f>
        <v>Phnom Penh </v>
      </c>
      <c r="J13" s="10" t="str">
        <f>IFERROR(__xludf.DUMMYFUNCTION("""COMPUTED_VALUE"""),"Cambodge")</f>
        <v>Cambodge</v>
      </c>
      <c r="K13" s="10" t="str">
        <f>IFERROR(__xludf.DUMMYFUNCTION("IF( COUNTA( IFERROR( FILTER('départements_edition'!$C$2:$C$102 , 'départements_edition'!$C$2:$C$102=J13 ) ) ) , ""Oui"" , ""Non"" )"),"Non")</f>
        <v>Non</v>
      </c>
      <c r="L13" s="10" t="str">
        <f t="shared" si="2"/>
        <v>Cambodge</v>
      </c>
      <c r="M13" s="12">
        <v>75.0</v>
      </c>
      <c r="N13" s="10" t="s">
        <v>232</v>
      </c>
      <c r="O13" s="12">
        <v>9.0</v>
      </c>
      <c r="P13" s="13">
        <v>42907.0</v>
      </c>
      <c r="Q13" s="14"/>
      <c r="R13" s="12">
        <v>0.0</v>
      </c>
      <c r="S13" s="10" t="s">
        <v>75</v>
      </c>
      <c r="T13" s="10" t="s">
        <v>76</v>
      </c>
      <c r="U13" s="15" t="s">
        <v>4599</v>
      </c>
      <c r="V13" s="16"/>
      <c r="W13" s="14"/>
      <c r="X13" s="10" t="s">
        <v>2484</v>
      </c>
      <c r="Y13" s="12">
        <v>465.0</v>
      </c>
      <c r="Z13" s="17" t="s">
        <v>4600</v>
      </c>
      <c r="AA13" s="12">
        <v>721690.0</v>
      </c>
      <c r="AB13" s="10" t="s">
        <v>4601</v>
      </c>
      <c r="AC13" s="17" t="s">
        <v>4602</v>
      </c>
      <c r="AD13" s="17" t="s">
        <v>4603</v>
      </c>
      <c r="AE13" s="12">
        <v>2.0</v>
      </c>
      <c r="AF13" s="10" t="s">
        <v>4604</v>
      </c>
      <c r="AG13" s="12">
        <v>17.0</v>
      </c>
      <c r="AH13" s="12">
        <v>26.0</v>
      </c>
      <c r="AI13" s="12">
        <v>13.0</v>
      </c>
      <c r="AJ13" s="12">
        <v>10.0</v>
      </c>
      <c r="AK13" s="12">
        <v>1.0</v>
      </c>
      <c r="AL13" s="12">
        <v>3.0</v>
      </c>
      <c r="AM13" s="12">
        <v>80.0</v>
      </c>
      <c r="AN13" s="12">
        <v>44.0</v>
      </c>
      <c r="AO13" s="12">
        <v>1.0</v>
      </c>
      <c r="AP13" s="12">
        <v>0.0</v>
      </c>
      <c r="AQ13" s="12">
        <v>5.0</v>
      </c>
      <c r="AR13" s="12">
        <v>6.0</v>
      </c>
      <c r="AS13" s="12">
        <v>1.0</v>
      </c>
    </row>
    <row r="14">
      <c r="A14" s="12">
        <v>85.0</v>
      </c>
      <c r="B14" s="10" t="s">
        <v>3015</v>
      </c>
      <c r="C14" s="10" t="s">
        <v>3016</v>
      </c>
      <c r="D14" s="10" t="s">
        <v>2155</v>
      </c>
      <c r="E14" s="10" t="s">
        <v>58</v>
      </c>
      <c r="F14" s="13">
        <v>24783.0</v>
      </c>
      <c r="G14" s="12">
        <f t="shared" si="1"/>
        <v>58</v>
      </c>
      <c r="H14" s="10" t="s">
        <v>3017</v>
      </c>
      <c r="I14" s="10" t="str">
        <f>IFERROR(__xludf.DUMMYFUNCTION("SPLIT(LEFT(H14,LEN(H14)-1),""("")"),"Windsor ")</f>
        <v>Windsor </v>
      </c>
      <c r="J14" s="10" t="str">
        <f>IFERROR(__xludf.DUMMYFUNCTION("""COMPUTED_VALUE"""),"Canada")</f>
        <v>Canada</v>
      </c>
      <c r="K14" s="10" t="str">
        <f>IFERROR(__xludf.DUMMYFUNCTION("IF( COUNTA( IFERROR( FILTER('départements_edition'!$C$2:$C$102 , 'départements_edition'!$C$2:$C$102=J14 ) ) ) , ""Oui"" , ""Non"" )"),"Non")</f>
        <v>Non</v>
      </c>
      <c r="L14" s="10" t="str">
        <f t="shared" si="2"/>
        <v>Canada</v>
      </c>
      <c r="M14" s="12">
        <v>30.0</v>
      </c>
      <c r="N14" s="10" t="s">
        <v>1751</v>
      </c>
      <c r="O14" s="12">
        <v>4.0</v>
      </c>
      <c r="P14" s="13">
        <v>42907.0</v>
      </c>
      <c r="Q14" s="14"/>
      <c r="R14" s="12">
        <v>0.0</v>
      </c>
      <c r="S14" s="10" t="s">
        <v>75</v>
      </c>
      <c r="T14" s="10" t="s">
        <v>76</v>
      </c>
      <c r="U14" s="15" t="s">
        <v>3018</v>
      </c>
      <c r="V14" s="16"/>
      <c r="W14" s="14"/>
      <c r="X14" s="10" t="s">
        <v>3019</v>
      </c>
      <c r="Y14" s="12">
        <v>425.0</v>
      </c>
      <c r="Z14" s="17" t="s">
        <v>3020</v>
      </c>
      <c r="AA14" s="12">
        <v>719448.0</v>
      </c>
      <c r="AB14" s="10" t="s">
        <v>3021</v>
      </c>
      <c r="AC14" s="17" t="s">
        <v>3022</v>
      </c>
      <c r="AD14" s="17" t="s">
        <v>3023</v>
      </c>
      <c r="AE14" s="12">
        <v>1.0</v>
      </c>
      <c r="AF14" s="10" t="s">
        <v>3024</v>
      </c>
      <c r="AG14" s="12">
        <v>20.0</v>
      </c>
      <c r="AH14" s="12">
        <v>40.0</v>
      </c>
      <c r="AI14" s="12">
        <v>8.0</v>
      </c>
      <c r="AJ14" s="12">
        <v>10.0</v>
      </c>
      <c r="AK14" s="12">
        <v>3.0</v>
      </c>
      <c r="AL14" s="12">
        <v>0.0</v>
      </c>
      <c r="AM14" s="12">
        <v>31.0</v>
      </c>
      <c r="AN14" s="12">
        <v>8.0</v>
      </c>
      <c r="AO14" s="12">
        <v>0.0</v>
      </c>
      <c r="AP14" s="12">
        <v>0.0</v>
      </c>
      <c r="AQ14" s="12">
        <v>5.0</v>
      </c>
      <c r="AR14" s="12">
        <v>5.0</v>
      </c>
      <c r="AS14" s="12">
        <v>1.0</v>
      </c>
    </row>
    <row r="15">
      <c r="A15" s="12">
        <v>49.0</v>
      </c>
      <c r="B15" s="10" t="s">
        <v>2549</v>
      </c>
      <c r="C15" s="10" t="s">
        <v>2550</v>
      </c>
      <c r="D15" s="10" t="s">
        <v>2551</v>
      </c>
      <c r="E15" s="10" t="s">
        <v>43</v>
      </c>
      <c r="F15" s="13">
        <v>27096.0</v>
      </c>
      <c r="G15" s="12">
        <f t="shared" si="1"/>
        <v>52</v>
      </c>
      <c r="H15" s="10" t="s">
        <v>2552</v>
      </c>
      <c r="I15" s="10" t="str">
        <f>IFERROR(__xludf.DUMMYFUNCTION("SPLIT(LEFT(H15,LEN(H15)-1),""("")"),"Bangui ")</f>
        <v>Bangui </v>
      </c>
      <c r="J15" s="10" t="str">
        <f>IFERROR(__xludf.DUMMYFUNCTION("""COMPUTED_VALUE"""),"Centrafrique")</f>
        <v>Centrafrique</v>
      </c>
      <c r="K15" s="10" t="str">
        <f>IFERROR(__xludf.DUMMYFUNCTION("IF( COUNTA( IFERROR( FILTER('départements_edition'!$C$2:$C$102 , 'départements_edition'!$C$2:$C$102=J15 ) ) ) , ""Oui"" , ""Non"" )"),"Non")</f>
        <v>Non</v>
      </c>
      <c r="L15" s="10" t="str">
        <f t="shared" si="2"/>
        <v>Centrafrique</v>
      </c>
      <c r="M15" s="12">
        <v>77.0</v>
      </c>
      <c r="N15" s="10" t="s">
        <v>503</v>
      </c>
      <c r="O15" s="12">
        <v>7.0</v>
      </c>
      <c r="P15" s="13">
        <v>42907.0</v>
      </c>
      <c r="Q15" s="14"/>
      <c r="R15" s="12">
        <v>0.0</v>
      </c>
      <c r="S15" s="10" t="s">
        <v>75</v>
      </c>
      <c r="T15" s="10" t="s">
        <v>76</v>
      </c>
      <c r="U15" s="15" t="s">
        <v>2553</v>
      </c>
      <c r="V15" s="16"/>
      <c r="W15" s="14"/>
      <c r="X15" s="10" t="s">
        <v>162</v>
      </c>
      <c r="Y15" s="12">
        <v>245.0</v>
      </c>
      <c r="Z15" s="17" t="s">
        <v>2554</v>
      </c>
      <c r="AA15" s="12">
        <v>721644.0</v>
      </c>
      <c r="AB15" s="10" t="s">
        <v>2555</v>
      </c>
      <c r="AC15" s="17" t="s">
        <v>2556</v>
      </c>
      <c r="AD15" s="17" t="s">
        <v>2557</v>
      </c>
      <c r="AE15" s="12">
        <v>1.0</v>
      </c>
      <c r="AF15" s="10" t="s">
        <v>2558</v>
      </c>
      <c r="AG15" s="12">
        <v>21.0</v>
      </c>
      <c r="AH15" s="12">
        <v>40.0</v>
      </c>
      <c r="AI15" s="12">
        <v>6.0</v>
      </c>
      <c r="AJ15" s="12">
        <v>2.0</v>
      </c>
      <c r="AK15" s="12">
        <v>0.0</v>
      </c>
      <c r="AL15" s="12">
        <v>0.0</v>
      </c>
      <c r="AM15" s="12">
        <v>38.0</v>
      </c>
      <c r="AN15" s="12">
        <v>11.0</v>
      </c>
      <c r="AO15" s="12">
        <v>0.0</v>
      </c>
      <c r="AP15" s="12">
        <v>0.0</v>
      </c>
      <c r="AQ15" s="12">
        <v>5.0</v>
      </c>
      <c r="AR15" s="12">
        <v>6.0</v>
      </c>
      <c r="AS15" s="12">
        <v>0.0</v>
      </c>
    </row>
    <row r="16">
      <c r="A16" s="12">
        <v>193.0</v>
      </c>
      <c r="B16" s="10" t="s">
        <v>4566</v>
      </c>
      <c r="C16" s="10" t="s">
        <v>4567</v>
      </c>
      <c r="D16" s="10" t="s">
        <v>4568</v>
      </c>
      <c r="E16" s="10" t="s">
        <v>43</v>
      </c>
      <c r="F16" s="13">
        <v>30421.0</v>
      </c>
      <c r="G16" s="12">
        <f t="shared" si="1"/>
        <v>43</v>
      </c>
      <c r="H16" s="10" t="s">
        <v>4569</v>
      </c>
      <c r="I16" s="10" t="str">
        <f>IFERROR(__xludf.DUMMYFUNCTION("SPLIT(LEFT(H16,LEN(H16)-1),""("")"),"Séoul ")</f>
        <v>Séoul </v>
      </c>
      <c r="J16" s="10" t="str">
        <f>IFERROR(__xludf.DUMMYFUNCTION("""COMPUTED_VALUE"""),"Corée du Sud")</f>
        <v>Corée du Sud</v>
      </c>
      <c r="K16" s="10" t="str">
        <f>IFERROR(__xludf.DUMMYFUNCTION("IF( COUNTA( IFERROR( FILTER('départements_edition'!$C$2:$C$102 , 'départements_edition'!$C$2:$C$102=J16 ) ) ) , ""Oui"" , ""Non"" )"),"Non")</f>
        <v>Non</v>
      </c>
      <c r="L16" s="10" t="str">
        <f t="shared" si="2"/>
        <v>Corée du Sud</v>
      </c>
      <c r="M16" s="12">
        <v>999.0</v>
      </c>
      <c r="N16" s="10" t="s">
        <v>256</v>
      </c>
      <c r="O16" s="12">
        <v>6.0</v>
      </c>
      <c r="P16" s="13">
        <v>42907.0</v>
      </c>
      <c r="Q16" s="14"/>
      <c r="R16" s="12">
        <v>0.0</v>
      </c>
      <c r="S16" s="10" t="s">
        <v>75</v>
      </c>
      <c r="T16" s="10" t="s">
        <v>76</v>
      </c>
      <c r="U16" s="15" t="s">
        <v>4570</v>
      </c>
      <c r="V16" s="16"/>
      <c r="W16" s="14"/>
      <c r="X16" s="10" t="s">
        <v>151</v>
      </c>
      <c r="Y16" s="12">
        <v>564.0</v>
      </c>
      <c r="Z16" s="17" t="s">
        <v>4571</v>
      </c>
      <c r="AA16" s="12">
        <v>721174.0</v>
      </c>
      <c r="AB16" s="10" t="s">
        <v>4572</v>
      </c>
      <c r="AC16" s="17" t="s">
        <v>4573</v>
      </c>
      <c r="AD16" s="17" t="s">
        <v>4574</v>
      </c>
      <c r="AE16" s="12">
        <v>1.0</v>
      </c>
      <c r="AF16" s="10" t="s">
        <v>4575</v>
      </c>
      <c r="AG16" s="12">
        <v>17.0</v>
      </c>
      <c r="AH16" s="12">
        <v>24.0</v>
      </c>
      <c r="AI16" s="12">
        <v>9.0</v>
      </c>
      <c r="AJ16" s="12">
        <v>8.0</v>
      </c>
      <c r="AK16" s="12">
        <v>4.0</v>
      </c>
      <c r="AL16" s="12">
        <v>1.0</v>
      </c>
      <c r="AM16" s="12">
        <v>26.0</v>
      </c>
      <c r="AN16" s="12">
        <v>13.0</v>
      </c>
      <c r="AO16" s="12">
        <v>0.0</v>
      </c>
      <c r="AP16" s="12">
        <v>1.0</v>
      </c>
      <c r="AQ16" s="12">
        <v>5.0</v>
      </c>
      <c r="AR16" s="12">
        <v>2.0</v>
      </c>
      <c r="AS16" s="12">
        <v>1.0</v>
      </c>
    </row>
    <row r="17">
      <c r="A17" s="12">
        <v>427.0</v>
      </c>
      <c r="B17" s="10" t="s">
        <v>3063</v>
      </c>
      <c r="C17" s="10" t="s">
        <v>3064</v>
      </c>
      <c r="D17" s="10" t="s">
        <v>1045</v>
      </c>
      <c r="E17" s="10" t="s">
        <v>58</v>
      </c>
      <c r="F17" s="13">
        <v>20977.0</v>
      </c>
      <c r="G17" s="12">
        <f t="shared" si="1"/>
        <v>69</v>
      </c>
      <c r="H17" s="10" t="s">
        <v>3065</v>
      </c>
      <c r="I17" s="10" t="str">
        <f>IFERROR(__xludf.DUMMYFUNCTION("SPLIT(LEFT(H17,LEN(H17)-1),""("")"),"Dimbokro ")</f>
        <v>Dimbokro </v>
      </c>
      <c r="J17" s="10" t="str">
        <f>IFERROR(__xludf.DUMMYFUNCTION("""COMPUTED_VALUE"""),"Côte d'Ivoire")</f>
        <v>Côte d'Ivoire</v>
      </c>
      <c r="K17" s="10" t="str">
        <f>IFERROR(__xludf.DUMMYFUNCTION("IF( COUNTA( IFERROR( FILTER('départements_edition'!$C$2:$C$102 , 'départements_edition'!$C$2:$C$102=J17 ) ) ) , ""Oui"" , ""Non"" )"),"Non")</f>
        <v>Non</v>
      </c>
      <c r="L17" s="10" t="str">
        <f t="shared" si="2"/>
        <v>Côte d'Ivoire</v>
      </c>
      <c r="M17" s="12">
        <v>18.0</v>
      </c>
      <c r="N17" s="10" t="s">
        <v>2336</v>
      </c>
      <c r="O17" s="12">
        <v>2.0</v>
      </c>
      <c r="P17" s="13">
        <v>42907.0</v>
      </c>
      <c r="Q17" s="14"/>
      <c r="R17" s="12">
        <v>0.0</v>
      </c>
      <c r="S17" s="10" t="s">
        <v>280</v>
      </c>
      <c r="T17" s="10" t="s">
        <v>281</v>
      </c>
      <c r="U17" s="15" t="s">
        <v>3066</v>
      </c>
      <c r="V17" s="16"/>
      <c r="W17" s="14"/>
      <c r="X17" s="10" t="s">
        <v>3067</v>
      </c>
      <c r="Y17" s="12">
        <v>174.0</v>
      </c>
      <c r="Z17" s="17" t="s">
        <v>3068</v>
      </c>
      <c r="AA17" s="12">
        <v>719044.0</v>
      </c>
      <c r="AB17" s="10" t="s">
        <v>3069</v>
      </c>
      <c r="AC17" s="17" t="s">
        <v>3070</v>
      </c>
      <c r="AD17" s="17" t="s">
        <v>3071</v>
      </c>
      <c r="AE17" s="12">
        <v>1.0</v>
      </c>
      <c r="AF17" s="10" t="s">
        <v>3072</v>
      </c>
      <c r="AG17" s="12">
        <v>20.0</v>
      </c>
      <c r="AH17" s="12">
        <v>37.0</v>
      </c>
      <c r="AI17" s="12">
        <v>15.0</v>
      </c>
      <c r="AJ17" s="12">
        <v>16.0</v>
      </c>
      <c r="AK17" s="12">
        <v>5.0</v>
      </c>
      <c r="AL17" s="12">
        <v>0.0</v>
      </c>
      <c r="AM17" s="12">
        <v>208.0</v>
      </c>
      <c r="AN17" s="12">
        <v>18.0</v>
      </c>
      <c r="AO17" s="12">
        <v>0.0</v>
      </c>
      <c r="AP17" s="12">
        <v>0.0</v>
      </c>
      <c r="AQ17" s="12">
        <v>5.0</v>
      </c>
      <c r="AR17" s="12">
        <v>0.0</v>
      </c>
      <c r="AS17" s="12">
        <v>1.0</v>
      </c>
    </row>
    <row r="18">
      <c r="A18" s="12">
        <v>38.0</v>
      </c>
      <c r="B18" s="10" t="s">
        <v>4943</v>
      </c>
      <c r="C18" s="10" t="s">
        <v>4792</v>
      </c>
      <c r="D18" s="10" t="s">
        <v>4944</v>
      </c>
      <c r="E18" s="10" t="s">
        <v>43</v>
      </c>
      <c r="F18" s="13">
        <v>24343.0</v>
      </c>
      <c r="G18" s="12">
        <f t="shared" si="1"/>
        <v>59</v>
      </c>
      <c r="H18" s="10" t="s">
        <v>4945</v>
      </c>
      <c r="I18" s="10" t="str">
        <f>IFERROR(__xludf.DUMMYFUNCTION("SPLIT(LEFT(H18,LEN(H18)-1),""("")"),"La Havane ")</f>
        <v>La Havane </v>
      </c>
      <c r="J18" s="10" t="str">
        <f>IFERROR(__xludf.DUMMYFUNCTION("""COMPUTED_VALUE"""),"Cuba")</f>
        <v>Cuba</v>
      </c>
      <c r="K18" s="10" t="str">
        <f>IFERROR(__xludf.DUMMYFUNCTION("IF( COUNTA( IFERROR( FILTER('départements_edition'!$C$2:$C$102 , 'départements_edition'!$C$2:$C$102=J18 ) ) ) , ""Oui"" , ""Non"" )"),"Non")</f>
        <v>Non</v>
      </c>
      <c r="L18" s="10" t="str">
        <f t="shared" si="2"/>
        <v>Cuba</v>
      </c>
      <c r="M18" s="12">
        <v>13.0</v>
      </c>
      <c r="N18" s="10" t="s">
        <v>279</v>
      </c>
      <c r="O18" s="12">
        <v>10.0</v>
      </c>
      <c r="P18" s="13">
        <v>42907.0</v>
      </c>
      <c r="Q18" s="14"/>
      <c r="R18" s="12">
        <v>0.0</v>
      </c>
      <c r="S18" s="10" t="s">
        <v>75</v>
      </c>
      <c r="T18" s="10" t="s">
        <v>2397</v>
      </c>
      <c r="U18" s="15" t="s">
        <v>4946</v>
      </c>
      <c r="V18" s="16"/>
      <c r="W18" s="14"/>
      <c r="X18" s="10" t="s">
        <v>526</v>
      </c>
      <c r="Y18" s="12">
        <v>359.0</v>
      </c>
      <c r="Z18" s="17" t="s">
        <v>4947</v>
      </c>
      <c r="AA18" s="12">
        <v>605518.0</v>
      </c>
      <c r="AB18" s="10" t="s">
        <v>4948</v>
      </c>
      <c r="AC18" s="17" t="s">
        <v>4949</v>
      </c>
      <c r="AD18" s="17" t="s">
        <v>4950</v>
      </c>
      <c r="AE18" s="12">
        <v>1.0</v>
      </c>
      <c r="AF18" s="10" t="s">
        <v>4951</v>
      </c>
      <c r="AG18" s="12">
        <v>15.0</v>
      </c>
      <c r="AH18" s="12">
        <v>16.0</v>
      </c>
      <c r="AI18" s="12">
        <v>10.0</v>
      </c>
      <c r="AJ18" s="12">
        <v>39.0</v>
      </c>
      <c r="AK18" s="12">
        <v>17.0</v>
      </c>
      <c r="AL18" s="12">
        <v>34.0</v>
      </c>
      <c r="AM18" s="12">
        <v>117.0</v>
      </c>
      <c r="AN18" s="12">
        <v>45.0</v>
      </c>
      <c r="AO18" s="12">
        <v>0.0</v>
      </c>
      <c r="AP18" s="12">
        <v>0.0</v>
      </c>
      <c r="AQ18" s="12">
        <v>8.0</v>
      </c>
      <c r="AR18" s="12">
        <v>5.0</v>
      </c>
      <c r="AS18" s="12">
        <v>1.0</v>
      </c>
    </row>
    <row r="19">
      <c r="A19" s="12">
        <v>479.0</v>
      </c>
      <c r="B19" s="10" t="s">
        <v>4614</v>
      </c>
      <c r="C19" s="10" t="s">
        <v>4615</v>
      </c>
      <c r="D19" s="10" t="s">
        <v>4616</v>
      </c>
      <c r="E19" s="10" t="s">
        <v>43</v>
      </c>
      <c r="F19" s="13">
        <v>22871.0</v>
      </c>
      <c r="G19" s="12">
        <f t="shared" si="1"/>
        <v>64</v>
      </c>
      <c r="H19" s="10" t="s">
        <v>4617</v>
      </c>
      <c r="I19" s="10" t="str">
        <f>IFERROR(__xludf.DUMMYFUNCTION("SPLIT(LEFT(H19,LEN(H19)-1),""("")"),"Barcelone ")</f>
        <v>Barcelone </v>
      </c>
      <c r="J19" s="10" t="str">
        <f>IFERROR(__xludf.DUMMYFUNCTION("""COMPUTED_VALUE"""),"Espagne")</f>
        <v>Espagne</v>
      </c>
      <c r="K19" s="10" t="str">
        <f>IFERROR(__xludf.DUMMYFUNCTION("IF( COUNTA( IFERROR( FILTER('départements_edition'!$C$2:$C$102 , 'départements_edition'!$C$2:$C$102=J19 ) ) ) , ""Oui"" , ""Non"" )"),"Non")</f>
        <v>Non</v>
      </c>
      <c r="L19" s="10" t="str">
        <f t="shared" si="2"/>
        <v>Espagne</v>
      </c>
      <c r="M19" s="12">
        <v>91.0</v>
      </c>
      <c r="N19" s="10" t="s">
        <v>610</v>
      </c>
      <c r="O19" s="12">
        <v>1.0</v>
      </c>
      <c r="P19" s="13">
        <v>42907.0</v>
      </c>
      <c r="Q19" s="14"/>
      <c r="R19" s="12">
        <v>0.0</v>
      </c>
      <c r="S19" s="10" t="s">
        <v>75</v>
      </c>
      <c r="T19" s="10" t="s">
        <v>76</v>
      </c>
      <c r="U19" s="15" t="s">
        <v>4618</v>
      </c>
      <c r="V19" s="16"/>
      <c r="W19" s="14"/>
      <c r="X19" s="10" t="s">
        <v>839</v>
      </c>
      <c r="Y19" s="12">
        <v>339.0</v>
      </c>
      <c r="Z19" s="17" t="s">
        <v>4619</v>
      </c>
      <c r="AA19" s="12">
        <v>267622.0</v>
      </c>
      <c r="AB19" s="10" t="s">
        <v>4620</v>
      </c>
      <c r="AC19" s="17" t="s">
        <v>4621</v>
      </c>
      <c r="AD19" s="17" t="s">
        <v>4622</v>
      </c>
      <c r="AE19" s="12">
        <v>2.0</v>
      </c>
      <c r="AF19" s="10" t="s">
        <v>4623</v>
      </c>
      <c r="AG19" s="12">
        <v>17.0</v>
      </c>
      <c r="AH19" s="12">
        <v>26.0</v>
      </c>
      <c r="AI19" s="12">
        <v>3.0</v>
      </c>
      <c r="AJ19" s="12">
        <v>26.0</v>
      </c>
      <c r="AK19" s="12">
        <v>22.0</v>
      </c>
      <c r="AL19" s="12">
        <v>0.0</v>
      </c>
      <c r="AM19" s="12">
        <v>63.0</v>
      </c>
      <c r="AN19" s="12">
        <v>26.0</v>
      </c>
      <c r="AO19" s="12">
        <v>0.0</v>
      </c>
      <c r="AP19" s="12">
        <v>0.0</v>
      </c>
      <c r="AQ19" s="12">
        <v>5.0</v>
      </c>
      <c r="AR19" s="12">
        <v>5.0</v>
      </c>
      <c r="AS19" s="12">
        <v>0.0</v>
      </c>
    </row>
    <row r="20">
      <c r="A20" s="12">
        <v>61.0</v>
      </c>
      <c r="B20" s="10" t="s">
        <v>5488</v>
      </c>
      <c r="C20" s="10" t="s">
        <v>5489</v>
      </c>
      <c r="D20" s="10" t="s">
        <v>619</v>
      </c>
      <c r="E20" s="10" t="s">
        <v>58</v>
      </c>
      <c r="F20" s="13">
        <v>22932.0</v>
      </c>
      <c r="G20" s="12">
        <f t="shared" si="1"/>
        <v>63</v>
      </c>
      <c r="H20" s="10" t="s">
        <v>5490</v>
      </c>
      <c r="I20" s="10" t="str">
        <f>IFERROR(__xludf.DUMMYFUNCTION("SPLIT(LEFT(H20,LEN(H20)-1),""("")"),"Alicante ")</f>
        <v>Alicante </v>
      </c>
      <c r="J20" s="10" t="str">
        <f>IFERROR(__xludf.DUMMYFUNCTION("""COMPUTED_VALUE"""),"Espagne")</f>
        <v>Espagne</v>
      </c>
      <c r="K20" s="10" t="str">
        <f>IFERROR(__xludf.DUMMYFUNCTION("IF( COUNTA( IFERROR( FILTER('départements_edition'!$C$2:$C$102 , 'départements_edition'!$C$2:$C$102=J20 ) ) ) , ""Oui"" , ""Non"" )"),"Non")</f>
        <v>Non</v>
      </c>
      <c r="L20" s="10" t="str">
        <f t="shared" si="2"/>
        <v>Espagne</v>
      </c>
      <c r="M20" s="12">
        <v>6.0</v>
      </c>
      <c r="N20" s="10" t="s">
        <v>438</v>
      </c>
      <c r="O20" s="12">
        <v>9.0</v>
      </c>
      <c r="P20" s="13">
        <v>42907.0</v>
      </c>
      <c r="Q20" s="14"/>
      <c r="R20" s="12">
        <v>0.0</v>
      </c>
      <c r="S20" s="10" t="s">
        <v>61</v>
      </c>
      <c r="T20" s="10" t="s">
        <v>62</v>
      </c>
      <c r="U20" s="15" t="s">
        <v>5491</v>
      </c>
      <c r="V20" s="16"/>
      <c r="W20" s="14"/>
      <c r="X20" s="10" t="s">
        <v>2484</v>
      </c>
      <c r="Y20" s="12">
        <v>85.0</v>
      </c>
      <c r="Z20" s="17" t="s">
        <v>5492</v>
      </c>
      <c r="AA20" s="12">
        <v>267794.0</v>
      </c>
      <c r="AB20" s="10" t="s">
        <v>5493</v>
      </c>
      <c r="AC20" s="17" t="s">
        <v>5494</v>
      </c>
      <c r="AD20" s="17" t="s">
        <v>5495</v>
      </c>
      <c r="AE20" s="12">
        <v>1.0</v>
      </c>
      <c r="AF20" s="10" t="s">
        <v>5496</v>
      </c>
      <c r="AG20" s="12">
        <v>7.0</v>
      </c>
      <c r="AH20" s="12">
        <v>8.0</v>
      </c>
      <c r="AI20" s="12">
        <v>0.0</v>
      </c>
      <c r="AJ20" s="12">
        <v>0.0</v>
      </c>
      <c r="AK20" s="12">
        <v>0.0</v>
      </c>
      <c r="AL20" s="12">
        <v>1.0</v>
      </c>
      <c r="AM20" s="12">
        <v>346.0</v>
      </c>
      <c r="AN20" s="12">
        <v>18.0</v>
      </c>
      <c r="AO20" s="12">
        <v>0.0</v>
      </c>
      <c r="AP20" s="12">
        <v>1.0</v>
      </c>
      <c r="AQ20" s="12">
        <v>23.0</v>
      </c>
      <c r="AR20" s="12">
        <v>13.0</v>
      </c>
      <c r="AS20" s="12">
        <v>0.0</v>
      </c>
    </row>
    <row r="21">
      <c r="A21" s="12">
        <v>431.0</v>
      </c>
      <c r="B21" s="10" t="s">
        <v>310</v>
      </c>
      <c r="C21" s="10" t="s">
        <v>311</v>
      </c>
      <c r="D21" s="10" t="s">
        <v>312</v>
      </c>
      <c r="E21" s="10" t="s">
        <v>58</v>
      </c>
      <c r="F21" s="13">
        <v>29414.0</v>
      </c>
      <c r="G21" s="12">
        <f t="shared" si="1"/>
        <v>46</v>
      </c>
      <c r="H21" s="10" t="s">
        <v>313</v>
      </c>
      <c r="I21" s="10" t="str">
        <f>IFERROR(__xludf.DUMMYFUNCTION("SPLIT(LEFT(H21,LEN(H21)-1),""("")"),"Libreville ")</f>
        <v>Libreville </v>
      </c>
      <c r="J21" s="10" t="str">
        <f>IFERROR(__xludf.DUMMYFUNCTION("""COMPUTED_VALUE"""),"Gabon")</f>
        <v>Gabon</v>
      </c>
      <c r="K21" s="10" t="str">
        <f>IFERROR(__xludf.DUMMYFUNCTION("IF( COUNTA( IFERROR( FILTER('départements_edition'!$C$2:$C$102 , 'départements_edition'!$C$2:$C$102=J21 ) ) ) , ""Oui"" , ""Non"" )"),"Non")</f>
        <v>Non</v>
      </c>
      <c r="L21" s="10" t="str">
        <f t="shared" si="2"/>
        <v>Gabon</v>
      </c>
      <c r="M21" s="12">
        <v>75.0</v>
      </c>
      <c r="N21" s="10" t="s">
        <v>232</v>
      </c>
      <c r="O21" s="12">
        <v>17.0</v>
      </c>
      <c r="P21" s="13">
        <v>42907.0</v>
      </c>
      <c r="Q21" s="14"/>
      <c r="R21" s="12">
        <v>0.0</v>
      </c>
      <c r="S21" s="10" t="s">
        <v>173</v>
      </c>
      <c r="T21" s="10" t="s">
        <v>174</v>
      </c>
      <c r="U21" s="18" t="s">
        <v>314</v>
      </c>
      <c r="V21" s="16"/>
      <c r="W21" s="14"/>
      <c r="X21" s="10" t="s">
        <v>315</v>
      </c>
      <c r="Y21" s="12">
        <v>611.0</v>
      </c>
      <c r="Z21" s="17" t="s">
        <v>316</v>
      </c>
      <c r="AA21" s="12">
        <v>721960.0</v>
      </c>
      <c r="AB21" s="10" t="s">
        <v>317</v>
      </c>
      <c r="AC21" s="17" t="s">
        <v>318</v>
      </c>
      <c r="AD21" s="17" t="s">
        <v>319</v>
      </c>
      <c r="AE21" s="12">
        <v>1.0</v>
      </c>
      <c r="AF21" s="10" t="s">
        <v>320</v>
      </c>
      <c r="AG21" s="12">
        <v>25.0</v>
      </c>
      <c r="AH21" s="12">
        <v>59.0</v>
      </c>
      <c r="AI21" s="12">
        <v>161.0</v>
      </c>
      <c r="AJ21" s="12">
        <v>363.0</v>
      </c>
      <c r="AK21" s="12">
        <v>374.0</v>
      </c>
      <c r="AL21" s="12">
        <v>345.0</v>
      </c>
      <c r="AM21" s="12">
        <v>2064.0</v>
      </c>
      <c r="AN21" s="12">
        <v>32.0</v>
      </c>
      <c r="AO21" s="12">
        <v>0.0</v>
      </c>
      <c r="AP21" s="12">
        <v>0.0</v>
      </c>
      <c r="AQ21" s="12">
        <v>14.0</v>
      </c>
      <c r="AR21" s="12">
        <v>6.0</v>
      </c>
      <c r="AS21" s="12">
        <v>3.0</v>
      </c>
    </row>
    <row r="22">
      <c r="A22" s="12">
        <v>51.0</v>
      </c>
      <c r="B22" s="10" t="s">
        <v>2538</v>
      </c>
      <c r="C22" s="10" t="s">
        <v>2539</v>
      </c>
      <c r="D22" s="10" t="s">
        <v>2540</v>
      </c>
      <c r="E22" s="10" t="s">
        <v>58</v>
      </c>
      <c r="F22" s="13">
        <v>23729.0</v>
      </c>
      <c r="G22" s="12">
        <f t="shared" si="1"/>
        <v>61</v>
      </c>
      <c r="H22" s="10" t="s">
        <v>2541</v>
      </c>
      <c r="I22" s="10" t="str">
        <f>IFERROR(__xludf.DUMMYFUNCTION("SPLIT(LEFT(H22,LEN(H22)-1),""("")"),"Athènes ")</f>
        <v>Athènes </v>
      </c>
      <c r="J22" s="10" t="str">
        <f>IFERROR(__xludf.DUMMYFUNCTION("""COMPUTED_VALUE"""),"Grèce")</f>
        <v>Grèce</v>
      </c>
      <c r="K22" s="10" t="str">
        <f>IFERROR(__xludf.DUMMYFUNCTION("IF( COUNTA( IFERROR( FILTER('départements_edition'!$C$2:$C$102 , 'départements_edition'!$C$2:$C$102=J22 ) ) ) , ""Oui"" , ""Non"" )"),"Non")</f>
        <v>Non</v>
      </c>
      <c r="L22" s="10" t="str">
        <f t="shared" si="2"/>
        <v>Grèce</v>
      </c>
      <c r="M22" s="12">
        <v>72.0</v>
      </c>
      <c r="N22" s="10" t="s">
        <v>2494</v>
      </c>
      <c r="O22" s="12">
        <v>2.0</v>
      </c>
      <c r="P22" s="13">
        <v>42907.0</v>
      </c>
      <c r="Q22" s="14"/>
      <c r="R22" s="12">
        <v>0.0</v>
      </c>
      <c r="S22" s="10" t="s">
        <v>115</v>
      </c>
      <c r="T22" s="10" t="s">
        <v>116</v>
      </c>
      <c r="U22" s="15" t="s">
        <v>2542</v>
      </c>
      <c r="V22" s="16"/>
      <c r="W22" s="14"/>
      <c r="X22" s="10" t="s">
        <v>2543</v>
      </c>
      <c r="Y22" s="12">
        <v>502.0</v>
      </c>
      <c r="Z22" s="17" t="s">
        <v>2544</v>
      </c>
      <c r="AA22" s="12">
        <v>335054.0</v>
      </c>
      <c r="AB22" s="10" t="s">
        <v>2545</v>
      </c>
      <c r="AC22" s="17" t="s">
        <v>2546</v>
      </c>
      <c r="AD22" s="17" t="s">
        <v>2547</v>
      </c>
      <c r="AE22" s="12">
        <v>2.0</v>
      </c>
      <c r="AF22" s="10" t="s">
        <v>2548</v>
      </c>
      <c r="AG22" s="12">
        <v>21.0</v>
      </c>
      <c r="AH22" s="12">
        <v>43.0</v>
      </c>
      <c r="AI22" s="12">
        <v>53.0</v>
      </c>
      <c r="AJ22" s="12">
        <v>57.0</v>
      </c>
      <c r="AK22" s="12">
        <v>19.0</v>
      </c>
      <c r="AL22" s="12">
        <v>53.0</v>
      </c>
      <c r="AM22" s="12">
        <v>1162.0</v>
      </c>
      <c r="AN22" s="12">
        <v>80.0</v>
      </c>
      <c r="AO22" s="12">
        <v>0.0</v>
      </c>
      <c r="AP22" s="12">
        <v>0.0</v>
      </c>
      <c r="AQ22" s="12">
        <v>5.0</v>
      </c>
      <c r="AR22" s="12">
        <v>24.0</v>
      </c>
      <c r="AS22" s="12">
        <v>4.0</v>
      </c>
    </row>
    <row r="23">
      <c r="A23" s="12">
        <v>76.0</v>
      </c>
      <c r="B23" s="10" t="s">
        <v>660</v>
      </c>
      <c r="C23" s="10" t="s">
        <v>661</v>
      </c>
      <c r="D23" s="10" t="s">
        <v>662</v>
      </c>
      <c r="E23" s="10" t="s">
        <v>43</v>
      </c>
      <c r="F23" s="13">
        <v>27600.0</v>
      </c>
      <c r="G23" s="12">
        <f t="shared" si="1"/>
        <v>51</v>
      </c>
      <c r="H23" s="10" t="s">
        <v>663</v>
      </c>
      <c r="I23" s="10" t="str">
        <f>IFERROR(__xludf.DUMMYFUNCTION("SPLIT(LEFT(H23,LEN(H23)-1),""("")"),"Beyrouth ")</f>
        <v>Beyrouth </v>
      </c>
      <c r="J23" s="10" t="str">
        <f>IFERROR(__xludf.DUMMYFUNCTION("""COMPUTED_VALUE"""),"Liban")</f>
        <v>Liban</v>
      </c>
      <c r="K23" s="10" t="str">
        <f>IFERROR(__xludf.DUMMYFUNCTION("IF( COUNTA( IFERROR( FILTER('départements_edition'!$C$2:$C$102 , 'départements_edition'!$C$2:$C$102=J23 ) ) ) , ""Oui"" , ""Non"" )"),"Non")</f>
        <v>Non</v>
      </c>
      <c r="L23" s="10" t="str">
        <f t="shared" si="2"/>
        <v>Liban</v>
      </c>
      <c r="M23" s="12">
        <v>40.0</v>
      </c>
      <c r="N23" s="10" t="s">
        <v>664</v>
      </c>
      <c r="O23" s="12">
        <v>3.0</v>
      </c>
      <c r="P23" s="13">
        <v>42907.0</v>
      </c>
      <c r="Q23" s="14"/>
      <c r="R23" s="12">
        <v>0.0</v>
      </c>
      <c r="S23" s="10" t="s">
        <v>115</v>
      </c>
      <c r="T23" s="10" t="s">
        <v>116</v>
      </c>
      <c r="U23" s="10"/>
      <c r="V23" s="14"/>
      <c r="W23" s="14"/>
      <c r="X23" s="10" t="s">
        <v>118</v>
      </c>
      <c r="Y23" s="12">
        <v>504.0</v>
      </c>
      <c r="Z23" s="17" t="s">
        <v>665</v>
      </c>
      <c r="AA23" s="12">
        <v>719930.0</v>
      </c>
      <c r="AB23" s="10" t="s">
        <v>666</v>
      </c>
      <c r="AC23" s="17" t="s">
        <v>667</v>
      </c>
      <c r="AD23" s="17" t="s">
        <v>668</v>
      </c>
      <c r="AE23" s="12">
        <v>1.0</v>
      </c>
      <c r="AF23" s="10"/>
      <c r="AG23" s="12">
        <v>24.0</v>
      </c>
      <c r="AH23" s="12">
        <v>54.0</v>
      </c>
      <c r="AI23" s="12">
        <v>151.0</v>
      </c>
      <c r="AJ23" s="12">
        <v>229.0</v>
      </c>
      <c r="AK23" s="12">
        <v>142.0</v>
      </c>
      <c r="AL23" s="12">
        <v>301.0</v>
      </c>
      <c r="AM23" s="12">
        <v>1220.0</v>
      </c>
      <c r="AN23" s="12">
        <v>78.0</v>
      </c>
      <c r="AO23" s="12">
        <v>0.0</v>
      </c>
      <c r="AP23" s="12">
        <v>0.0</v>
      </c>
      <c r="AQ23" s="12">
        <v>5.0</v>
      </c>
      <c r="AR23" s="12">
        <v>16.0</v>
      </c>
      <c r="AS23" s="12">
        <v>2.0</v>
      </c>
    </row>
    <row r="24">
      <c r="A24" s="12">
        <v>36.0</v>
      </c>
      <c r="B24" s="10" t="s">
        <v>275</v>
      </c>
      <c r="C24" s="10" t="s">
        <v>276</v>
      </c>
      <c r="D24" s="10" t="s">
        <v>277</v>
      </c>
      <c r="E24" s="10" t="s">
        <v>43</v>
      </c>
      <c r="F24" s="13">
        <v>21765.0</v>
      </c>
      <c r="G24" s="12">
        <f t="shared" si="1"/>
        <v>67</v>
      </c>
      <c r="H24" s="10" t="s">
        <v>278</v>
      </c>
      <c r="I24" s="10" t="str">
        <f>IFERROR(__xludf.DUMMYFUNCTION("SPLIT(LEFT(H24,LEN(H24)-1),""("")"),"Oulmès ")</f>
        <v>Oulmès </v>
      </c>
      <c r="J24" s="10" t="str">
        <f>IFERROR(__xludf.DUMMYFUNCTION("""COMPUTED_VALUE"""),"Maroc")</f>
        <v>Maroc</v>
      </c>
      <c r="K24" s="10" t="str">
        <f>IFERROR(__xludf.DUMMYFUNCTION("IF( COUNTA( IFERROR( FILTER('départements_edition'!$C$2:$C$102 , 'départements_edition'!$C$2:$C$102=J24 ) ) ) , ""Oui"" , ""Non"" )"),"Non")</f>
        <v>Non</v>
      </c>
      <c r="L24" s="10" t="str">
        <f t="shared" si="2"/>
        <v>Maroc</v>
      </c>
      <c r="M24" s="12">
        <v>13.0</v>
      </c>
      <c r="N24" s="10" t="s">
        <v>279</v>
      </c>
      <c r="O24" s="12">
        <v>11.0</v>
      </c>
      <c r="P24" s="13">
        <v>42907.0</v>
      </c>
      <c r="Q24" s="14"/>
      <c r="R24" s="12">
        <v>0.0</v>
      </c>
      <c r="S24" s="10" t="s">
        <v>280</v>
      </c>
      <c r="T24" s="10" t="s">
        <v>281</v>
      </c>
      <c r="U24" s="15" t="s">
        <v>282</v>
      </c>
      <c r="V24" s="16"/>
      <c r="W24" s="14"/>
      <c r="X24" s="10" t="s">
        <v>283</v>
      </c>
      <c r="Y24" s="12">
        <v>250.0</v>
      </c>
      <c r="Z24" s="17" t="s">
        <v>284</v>
      </c>
      <c r="AA24" s="12">
        <v>718978.0</v>
      </c>
      <c r="AB24" s="10" t="s">
        <v>285</v>
      </c>
      <c r="AC24" s="17" t="s">
        <v>286</v>
      </c>
      <c r="AD24" s="17" t="s">
        <v>287</v>
      </c>
      <c r="AE24" s="12">
        <v>1.0</v>
      </c>
      <c r="AF24" s="10" t="s">
        <v>288</v>
      </c>
      <c r="AG24" s="12">
        <v>25.0</v>
      </c>
      <c r="AH24" s="12">
        <v>73.0</v>
      </c>
      <c r="AI24" s="12">
        <v>101.0</v>
      </c>
      <c r="AJ24" s="12">
        <v>69.0</v>
      </c>
      <c r="AK24" s="12">
        <v>54.0</v>
      </c>
      <c r="AL24" s="12">
        <v>110.0</v>
      </c>
      <c r="AM24" s="12">
        <v>424.0</v>
      </c>
      <c r="AN24" s="12">
        <v>60.0</v>
      </c>
      <c r="AO24" s="12">
        <v>1.0</v>
      </c>
      <c r="AP24" s="12">
        <v>0.0</v>
      </c>
      <c r="AQ24" s="12">
        <v>5.0</v>
      </c>
      <c r="AR24" s="12">
        <v>4.0</v>
      </c>
      <c r="AS24" s="12">
        <v>2.0</v>
      </c>
    </row>
    <row r="25">
      <c r="A25" s="12">
        <v>62.0</v>
      </c>
      <c r="B25" s="10" t="s">
        <v>1238</v>
      </c>
      <c r="C25" s="10" t="s">
        <v>1239</v>
      </c>
      <c r="D25" s="10" t="s">
        <v>705</v>
      </c>
      <c r="E25" s="10" t="s">
        <v>43</v>
      </c>
      <c r="F25" s="13">
        <v>18859.0</v>
      </c>
      <c r="G25" s="12">
        <f t="shared" si="1"/>
        <v>74</v>
      </c>
      <c r="H25" s="10" t="s">
        <v>1240</v>
      </c>
      <c r="I25" s="10" t="str">
        <f>IFERROR(__xludf.DUMMYFUNCTION("SPLIT(LEFT(H25,LEN(H25)-1),""("")"),"Tanger ")</f>
        <v>Tanger </v>
      </c>
      <c r="J25" s="10" t="str">
        <f>IFERROR(__xludf.DUMMYFUNCTION("""COMPUTED_VALUE"""),"Maroc")</f>
        <v>Maroc</v>
      </c>
      <c r="K25" s="10" t="str">
        <f>IFERROR(__xludf.DUMMYFUNCTION("IF( COUNTA( IFERROR( FILTER('départements_edition'!$C$2:$C$102 , 'départements_edition'!$C$2:$C$102=J25 ) ) ) , ""Oui"" , ""Non"" )"),"Non")</f>
        <v>Non</v>
      </c>
      <c r="L25" s="10" t="str">
        <f t="shared" si="2"/>
        <v>Maroc</v>
      </c>
      <c r="M25" s="12">
        <v>13.0</v>
      </c>
      <c r="N25" s="10" t="s">
        <v>279</v>
      </c>
      <c r="O25" s="12">
        <v>4.0</v>
      </c>
      <c r="P25" s="13">
        <v>42907.0</v>
      </c>
      <c r="Q25" s="14"/>
      <c r="R25" s="12">
        <v>0.0</v>
      </c>
      <c r="S25" s="10" t="s">
        <v>173</v>
      </c>
      <c r="T25" s="10" t="s">
        <v>174</v>
      </c>
      <c r="U25" s="15" t="s">
        <v>1241</v>
      </c>
      <c r="V25" s="16"/>
      <c r="W25" s="14"/>
      <c r="X25" s="10" t="s">
        <v>1242</v>
      </c>
      <c r="Y25" s="12">
        <v>601.0</v>
      </c>
      <c r="Z25" s="17" t="s">
        <v>1243</v>
      </c>
      <c r="AA25" s="12">
        <v>2150.0</v>
      </c>
      <c r="AB25" s="10" t="s">
        <v>1244</v>
      </c>
      <c r="AC25" s="17" t="s">
        <v>1245</v>
      </c>
      <c r="AD25" s="17" t="s">
        <v>1246</v>
      </c>
      <c r="AE25" s="12">
        <v>1.0</v>
      </c>
      <c r="AF25" s="10" t="s">
        <v>1247</v>
      </c>
      <c r="AG25" s="12">
        <v>23.0</v>
      </c>
      <c r="AH25" s="12">
        <v>17.0</v>
      </c>
      <c r="AI25" s="12">
        <v>18.0</v>
      </c>
      <c r="AJ25" s="12">
        <v>320.0</v>
      </c>
      <c r="AK25" s="12">
        <v>499.0</v>
      </c>
      <c r="AL25" s="12">
        <v>6.0</v>
      </c>
      <c r="AM25" s="12">
        <v>2061.0</v>
      </c>
      <c r="AN25" s="12">
        <v>32.0</v>
      </c>
      <c r="AO25" s="12">
        <v>0.0</v>
      </c>
      <c r="AP25" s="12">
        <v>1.0</v>
      </c>
      <c r="AQ25" s="12">
        <v>15.0</v>
      </c>
      <c r="AR25" s="12">
        <v>24.0</v>
      </c>
      <c r="AS25" s="12">
        <v>4.0</v>
      </c>
    </row>
    <row r="26">
      <c r="A26" s="12">
        <v>422.0</v>
      </c>
      <c r="B26" s="10" t="s">
        <v>5126</v>
      </c>
      <c r="C26" s="10" t="s">
        <v>5127</v>
      </c>
      <c r="D26" s="10" t="s">
        <v>1361</v>
      </c>
      <c r="E26" s="10" t="s">
        <v>43</v>
      </c>
      <c r="F26" s="13">
        <v>19650.0</v>
      </c>
      <c r="G26" s="12">
        <f t="shared" si="1"/>
        <v>72</v>
      </c>
      <c r="H26" s="10" t="s">
        <v>5128</v>
      </c>
      <c r="I26" s="10" t="str">
        <f>IFERROR(__xludf.DUMMYFUNCTION("SPLIT(LEFT(H26,LEN(H26)-1),""("")"),"Meknès ")</f>
        <v>Meknès </v>
      </c>
      <c r="J26" s="10" t="str">
        <f>IFERROR(__xludf.DUMMYFUNCTION("""COMPUTED_VALUE"""),"Maroc")</f>
        <v>Maroc</v>
      </c>
      <c r="K26" s="10" t="str">
        <f>IFERROR(__xludf.DUMMYFUNCTION("IF( COUNTA( IFERROR( FILTER('départements_edition'!$C$2:$C$102 , 'départements_edition'!$C$2:$C$102=J26 ) ) ) , ""Oui"" , ""Non"" )"),"Non")</f>
        <v>Non</v>
      </c>
      <c r="L26" s="10" t="str">
        <f t="shared" si="2"/>
        <v>Maroc</v>
      </c>
      <c r="M26" s="12">
        <v>13.0</v>
      </c>
      <c r="N26" s="10" t="s">
        <v>279</v>
      </c>
      <c r="O26" s="12">
        <v>15.0</v>
      </c>
      <c r="P26" s="13">
        <v>42907.0</v>
      </c>
      <c r="Q26" s="14"/>
      <c r="R26" s="12">
        <v>0.0</v>
      </c>
      <c r="S26" s="10" t="s">
        <v>61</v>
      </c>
      <c r="T26" s="10" t="s">
        <v>62</v>
      </c>
      <c r="U26" s="15" t="s">
        <v>5129</v>
      </c>
      <c r="V26" s="16"/>
      <c r="W26" s="14"/>
      <c r="X26" s="10" t="s">
        <v>5130</v>
      </c>
      <c r="Y26" s="12">
        <v>101.0</v>
      </c>
      <c r="Z26" s="17" t="s">
        <v>5131</v>
      </c>
      <c r="AA26" s="12">
        <v>330788.0</v>
      </c>
      <c r="AB26" s="10" t="s">
        <v>5132</v>
      </c>
      <c r="AC26" s="17" t="s">
        <v>5133</v>
      </c>
      <c r="AD26" s="17" t="s">
        <v>5134</v>
      </c>
      <c r="AE26" s="12">
        <v>2.0</v>
      </c>
      <c r="AF26" s="10" t="s">
        <v>5135</v>
      </c>
      <c r="AG26" s="12">
        <v>14.0</v>
      </c>
      <c r="AH26" s="12">
        <v>18.0</v>
      </c>
      <c r="AI26" s="12">
        <v>0.0</v>
      </c>
      <c r="AJ26" s="12">
        <v>0.0</v>
      </c>
      <c r="AK26" s="12">
        <v>1.0</v>
      </c>
      <c r="AL26" s="12">
        <v>7.0</v>
      </c>
      <c r="AM26" s="12">
        <v>236.0</v>
      </c>
      <c r="AN26" s="12">
        <v>13.0</v>
      </c>
      <c r="AO26" s="12">
        <v>0.0</v>
      </c>
      <c r="AP26" s="12">
        <v>1.0</v>
      </c>
      <c r="AQ26" s="12">
        <v>16.0</v>
      </c>
      <c r="AR26" s="12">
        <v>0.0</v>
      </c>
      <c r="AS26" s="12">
        <v>0.0</v>
      </c>
    </row>
    <row r="27">
      <c r="A27" s="12">
        <v>111.0</v>
      </c>
      <c r="B27" s="10" t="s">
        <v>5387</v>
      </c>
      <c r="C27" s="10" t="s">
        <v>5388</v>
      </c>
      <c r="D27" s="10" t="s">
        <v>5389</v>
      </c>
      <c r="E27" s="10" t="s">
        <v>58</v>
      </c>
      <c r="F27" s="13">
        <v>28569.0</v>
      </c>
      <c r="G27" s="12">
        <f t="shared" si="1"/>
        <v>48</v>
      </c>
      <c r="H27" s="10" t="s">
        <v>5390</v>
      </c>
      <c r="I27" s="10" t="str">
        <f>IFERROR(__xludf.DUMMYFUNCTION("SPLIT(LEFT(H27,LEN(H27)-1),""("")"),"Casablanca ")</f>
        <v>Casablanca </v>
      </c>
      <c r="J27" s="10" t="str">
        <f>IFERROR(__xludf.DUMMYFUNCTION("""COMPUTED_VALUE"""),"Maroc")</f>
        <v>Maroc</v>
      </c>
      <c r="K27" s="10" t="str">
        <f>IFERROR(__xludf.DUMMYFUNCTION("IF( COUNTA( IFERROR( FILTER('départements_edition'!$C$2:$C$102 , 'départements_edition'!$C$2:$C$102=J27 ) ) ) , ""Oui"" , ""Non"" )"),"Non")</f>
        <v>Non</v>
      </c>
      <c r="L27" s="10" t="str">
        <f t="shared" si="2"/>
        <v>Maroc</v>
      </c>
      <c r="M27" s="12">
        <v>999.0</v>
      </c>
      <c r="N27" s="10" t="s">
        <v>256</v>
      </c>
      <c r="O27" s="12">
        <v>10.0</v>
      </c>
      <c r="P27" s="13">
        <v>42907.0</v>
      </c>
      <c r="Q27" s="14"/>
      <c r="R27" s="12">
        <v>0.0</v>
      </c>
      <c r="S27" s="10" t="s">
        <v>75</v>
      </c>
      <c r="T27" s="10" t="s">
        <v>76</v>
      </c>
      <c r="U27" s="15" t="s">
        <v>5391</v>
      </c>
      <c r="V27" s="16"/>
      <c r="W27" s="14"/>
      <c r="X27" s="10" t="s">
        <v>2484</v>
      </c>
      <c r="Y27" s="12">
        <v>555.0</v>
      </c>
      <c r="Z27" s="17" t="s">
        <v>5392</v>
      </c>
      <c r="AA27" s="12">
        <v>721004.0</v>
      </c>
      <c r="AB27" s="10" t="s">
        <v>5393</v>
      </c>
      <c r="AC27" s="17" t="s">
        <v>5394</v>
      </c>
      <c r="AD27" s="17" t="s">
        <v>5395</v>
      </c>
      <c r="AE27" s="12">
        <v>1.0</v>
      </c>
      <c r="AF27" s="10" t="s">
        <v>5396</v>
      </c>
      <c r="AG27" s="12">
        <v>10.0</v>
      </c>
      <c r="AH27" s="12">
        <v>18.0</v>
      </c>
      <c r="AI27" s="12">
        <v>3.0</v>
      </c>
      <c r="AJ27" s="12">
        <v>0.0</v>
      </c>
      <c r="AK27" s="12">
        <v>0.0</v>
      </c>
      <c r="AL27" s="12">
        <v>3.0</v>
      </c>
      <c r="AM27" s="12">
        <v>34.0</v>
      </c>
      <c r="AN27" s="12">
        <v>11.0</v>
      </c>
      <c r="AO27" s="12">
        <v>0.0</v>
      </c>
      <c r="AP27" s="12">
        <v>0.0</v>
      </c>
      <c r="AQ27" s="12">
        <v>5.0</v>
      </c>
      <c r="AR27" s="12">
        <v>4.0</v>
      </c>
      <c r="AS27" s="12">
        <v>0.0</v>
      </c>
    </row>
    <row r="28">
      <c r="A28" s="12">
        <v>241.0</v>
      </c>
      <c r="B28" s="10" t="s">
        <v>5423</v>
      </c>
      <c r="C28" s="10" t="s">
        <v>5424</v>
      </c>
      <c r="D28" s="10" t="s">
        <v>42</v>
      </c>
      <c r="E28" s="10" t="s">
        <v>43</v>
      </c>
      <c r="F28" s="13">
        <v>24848.0</v>
      </c>
      <c r="G28" s="12">
        <f t="shared" si="1"/>
        <v>58</v>
      </c>
      <c r="H28" s="10" t="s">
        <v>5425</v>
      </c>
      <c r="I28" s="10" t="str">
        <f>IFERROR(__xludf.DUMMYFUNCTION("SPLIT(LEFT(H28,LEN(H28)-1),""("")"),"Nouméa ")</f>
        <v>Nouméa </v>
      </c>
      <c r="J28" s="10" t="str">
        <f>IFERROR(__xludf.DUMMYFUNCTION("""COMPUTED_VALUE"""),"Nouvelle-Calédonie")</f>
        <v>Nouvelle-Calédonie</v>
      </c>
      <c r="K28" s="10" t="str">
        <f>IFERROR(__xludf.DUMMYFUNCTION("IF( COUNTA( IFERROR( FILTER('départements_edition'!$C$2:$C$102 , 'départements_edition'!$C$2:$C$102=J28 ) ) ) , ""Oui"" , ""Non"" )"),"Non")</f>
        <v>Non</v>
      </c>
      <c r="L28" s="10" t="str">
        <f t="shared" si="2"/>
        <v>Nouvelle-Calédonie</v>
      </c>
      <c r="M28" s="12">
        <v>988.0</v>
      </c>
      <c r="N28" s="10" t="s">
        <v>5050</v>
      </c>
      <c r="O28" s="12">
        <v>1.0</v>
      </c>
      <c r="P28" s="13">
        <v>42907.0</v>
      </c>
      <c r="Q28" s="14"/>
      <c r="R28" s="12">
        <v>0.0</v>
      </c>
      <c r="S28" s="10" t="s">
        <v>46</v>
      </c>
      <c r="T28" s="10" t="s">
        <v>5051</v>
      </c>
      <c r="U28" s="10"/>
      <c r="V28" s="14"/>
      <c r="W28" s="14"/>
      <c r="X28" s="10" t="s">
        <v>118</v>
      </c>
      <c r="Y28" s="12">
        <v>120.0</v>
      </c>
      <c r="Z28" s="17" t="s">
        <v>5426</v>
      </c>
      <c r="AA28" s="12">
        <v>721094.0</v>
      </c>
      <c r="AB28" s="10" t="s">
        <v>5427</v>
      </c>
      <c r="AC28" s="17" t="s">
        <v>5428</v>
      </c>
      <c r="AD28" s="17" t="s">
        <v>5429</v>
      </c>
      <c r="AE28" s="12">
        <v>1.0</v>
      </c>
      <c r="AF28" s="10"/>
      <c r="AG28" s="12">
        <v>9.0</v>
      </c>
      <c r="AH28" s="12">
        <v>17.0</v>
      </c>
      <c r="AI28" s="12">
        <v>3.0</v>
      </c>
      <c r="AJ28" s="12">
        <v>40.0</v>
      </c>
      <c r="AK28" s="12">
        <v>14.0</v>
      </c>
      <c r="AL28" s="12">
        <v>15.0</v>
      </c>
      <c r="AM28" s="12">
        <v>471.0</v>
      </c>
      <c r="AN28" s="12">
        <v>33.0</v>
      </c>
      <c r="AO28" s="12">
        <v>0.0</v>
      </c>
      <c r="AP28" s="12">
        <v>0.0</v>
      </c>
      <c r="AQ28" s="12">
        <v>6.0</v>
      </c>
      <c r="AR28" s="12">
        <v>3.0</v>
      </c>
      <c r="AS28" s="12">
        <v>1.0</v>
      </c>
    </row>
    <row r="29">
      <c r="A29" s="12">
        <v>299.0</v>
      </c>
      <c r="B29" s="10" t="s">
        <v>5136</v>
      </c>
      <c r="C29" s="10" t="s">
        <v>5137</v>
      </c>
      <c r="D29" s="10" t="s">
        <v>5138</v>
      </c>
      <c r="E29" s="10" t="s">
        <v>58</v>
      </c>
      <c r="F29" s="13">
        <v>27524.0</v>
      </c>
      <c r="G29" s="12">
        <f t="shared" si="1"/>
        <v>51</v>
      </c>
      <c r="H29" s="10" t="s">
        <v>5139</v>
      </c>
      <c r="I29" s="10" t="str">
        <f>IFERROR(__xludf.DUMMYFUNCTION("SPLIT(LEFT(H29,LEN(H29)-1),""("")"),"Papeete ")</f>
        <v>Papeete </v>
      </c>
      <c r="J29" s="10" t="str">
        <f>IFERROR(__xludf.DUMMYFUNCTION("""COMPUTED_VALUE"""),"Polynésie Française")</f>
        <v>Polynésie Française</v>
      </c>
      <c r="K29" s="10" t="str">
        <f>IFERROR(__xludf.DUMMYFUNCTION("IF( COUNTA( IFERROR( FILTER('départements_edition'!$C$2:$C$102 , 'départements_edition'!$C$2:$C$102=J29 ) ) ) , ""Oui"" , ""Non"" )"),"Non")</f>
        <v>Non</v>
      </c>
      <c r="L29" s="10" t="str">
        <f t="shared" si="2"/>
        <v>Polynésie Française</v>
      </c>
      <c r="M29" s="12">
        <v>987.0</v>
      </c>
      <c r="N29" s="10" t="s">
        <v>5140</v>
      </c>
      <c r="O29" s="12">
        <v>1.0</v>
      </c>
      <c r="P29" s="13">
        <v>42907.0</v>
      </c>
      <c r="Q29" s="14"/>
      <c r="R29" s="12">
        <v>0.0</v>
      </c>
      <c r="S29" s="10" t="s">
        <v>46</v>
      </c>
      <c r="T29" s="10" t="s">
        <v>5141</v>
      </c>
      <c r="U29" s="15" t="s">
        <v>5142</v>
      </c>
      <c r="V29" s="16"/>
      <c r="W29" s="14"/>
      <c r="X29" s="10" t="s">
        <v>5143</v>
      </c>
      <c r="Y29" s="12">
        <v>130.0</v>
      </c>
      <c r="Z29" s="17" t="s">
        <v>5144</v>
      </c>
      <c r="AA29" s="12">
        <v>702052.0</v>
      </c>
      <c r="AB29" s="10" t="s">
        <v>5145</v>
      </c>
      <c r="AC29" s="17" t="s">
        <v>5146</v>
      </c>
      <c r="AD29" s="17" t="s">
        <v>5147</v>
      </c>
      <c r="AE29" s="12">
        <v>1.0</v>
      </c>
      <c r="AF29" s="10" t="s">
        <v>5148</v>
      </c>
      <c r="AG29" s="12">
        <v>14.0</v>
      </c>
      <c r="AH29" s="12">
        <v>32.0</v>
      </c>
      <c r="AI29" s="12">
        <v>23.0</v>
      </c>
      <c r="AJ29" s="12">
        <v>28.0</v>
      </c>
      <c r="AK29" s="12">
        <v>16.0</v>
      </c>
      <c r="AL29" s="12">
        <v>12.0</v>
      </c>
      <c r="AM29" s="12">
        <v>445.0</v>
      </c>
      <c r="AN29" s="12">
        <v>26.0</v>
      </c>
      <c r="AO29" s="12">
        <v>0.0</v>
      </c>
      <c r="AP29" s="12">
        <v>0.0</v>
      </c>
      <c r="AQ29" s="12">
        <v>16.0</v>
      </c>
      <c r="AR29" s="12">
        <v>6.0</v>
      </c>
      <c r="AS29" s="12">
        <v>1.0</v>
      </c>
    </row>
    <row r="30">
      <c r="A30" s="12">
        <v>563.0</v>
      </c>
      <c r="B30" s="10" t="s">
        <v>5332</v>
      </c>
      <c r="C30" s="10" t="s">
        <v>5333</v>
      </c>
      <c r="D30" s="10" t="s">
        <v>5334</v>
      </c>
      <c r="E30" s="10" t="s">
        <v>43</v>
      </c>
      <c r="F30" s="13">
        <v>25498.0</v>
      </c>
      <c r="G30" s="12">
        <f t="shared" si="1"/>
        <v>56</v>
      </c>
      <c r="H30" s="10" t="s">
        <v>5139</v>
      </c>
      <c r="I30" s="10" t="str">
        <f>IFERROR(__xludf.DUMMYFUNCTION("SPLIT(LEFT(H30,LEN(H30)-1),""("")"),"Papeete ")</f>
        <v>Papeete </v>
      </c>
      <c r="J30" s="10" t="str">
        <f>IFERROR(__xludf.DUMMYFUNCTION("""COMPUTED_VALUE"""),"Polynésie Française")</f>
        <v>Polynésie Française</v>
      </c>
      <c r="K30" s="10" t="str">
        <f>IFERROR(__xludf.DUMMYFUNCTION("IF( COUNTA( IFERROR( FILTER('départements_edition'!$C$2:$C$102 , 'départements_edition'!$C$2:$C$102=J30 ) ) ) , ""Oui"" , ""Non"" )"),"Non")</f>
        <v>Non</v>
      </c>
      <c r="L30" s="10" t="str">
        <f t="shared" si="2"/>
        <v>Polynésie Française</v>
      </c>
      <c r="M30" s="12">
        <v>987.0</v>
      </c>
      <c r="N30" s="10" t="s">
        <v>5140</v>
      </c>
      <c r="O30" s="12">
        <v>3.0</v>
      </c>
      <c r="P30" s="13">
        <v>42907.0</v>
      </c>
      <c r="Q30" s="14"/>
      <c r="R30" s="12">
        <v>0.0</v>
      </c>
      <c r="S30" s="10" t="s">
        <v>101</v>
      </c>
      <c r="T30" s="10" t="s">
        <v>5335</v>
      </c>
      <c r="U30" s="15" t="s">
        <v>5336</v>
      </c>
      <c r="V30" s="16"/>
      <c r="W30" s="14"/>
      <c r="X30" s="10" t="s">
        <v>440</v>
      </c>
      <c r="Y30" s="12">
        <v>582.0</v>
      </c>
      <c r="Z30" s="17" t="s">
        <v>5337</v>
      </c>
      <c r="AA30" s="12">
        <v>721118.0</v>
      </c>
      <c r="AB30" s="10" t="s">
        <v>5338</v>
      </c>
      <c r="AC30" s="17" t="s">
        <v>5339</v>
      </c>
      <c r="AD30" s="17" t="s">
        <v>5340</v>
      </c>
      <c r="AE30" s="12">
        <v>1.0</v>
      </c>
      <c r="AF30" s="10" t="s">
        <v>5341</v>
      </c>
      <c r="AG30" s="12">
        <v>11.0</v>
      </c>
      <c r="AH30" s="12">
        <v>24.0</v>
      </c>
      <c r="AI30" s="12">
        <v>8.0</v>
      </c>
      <c r="AJ30" s="12">
        <v>11.0</v>
      </c>
      <c r="AK30" s="12">
        <v>5.0</v>
      </c>
      <c r="AL30" s="12">
        <v>0.0</v>
      </c>
      <c r="AM30" s="12">
        <v>640.0</v>
      </c>
      <c r="AN30" s="12">
        <v>28.0</v>
      </c>
      <c r="AO30" s="12">
        <v>0.0</v>
      </c>
      <c r="AP30" s="12">
        <v>0.0</v>
      </c>
      <c r="AQ30" s="12">
        <v>13.0</v>
      </c>
      <c r="AR30" s="12">
        <v>0.0</v>
      </c>
      <c r="AS30" s="12">
        <v>4.0</v>
      </c>
    </row>
    <row r="31">
      <c r="A31" s="12">
        <v>464.0</v>
      </c>
      <c r="B31" s="10" t="s">
        <v>5441</v>
      </c>
      <c r="C31" s="10" t="s">
        <v>5442</v>
      </c>
      <c r="D31" s="10" t="s">
        <v>1902</v>
      </c>
      <c r="E31" s="10" t="s">
        <v>58</v>
      </c>
      <c r="F31" s="13">
        <v>26466.0</v>
      </c>
      <c r="G31" s="12">
        <f t="shared" si="1"/>
        <v>54</v>
      </c>
      <c r="H31" s="10" t="s">
        <v>5443</v>
      </c>
      <c r="I31" s="10" t="str">
        <f>IFERROR(__xludf.DUMMYFUNCTION("SPLIT(LEFT(H31,LEN(H31)-1),""("")"),"Papeete ")</f>
        <v>Papeete </v>
      </c>
      <c r="J31" s="10" t="str">
        <f>IFERROR(__xludf.DUMMYFUNCTION("""COMPUTED_VALUE"""),"Polynésie française")</f>
        <v>Polynésie française</v>
      </c>
      <c r="K31" s="10" t="str">
        <f>IFERROR(__xludf.DUMMYFUNCTION("IF( COUNTA( IFERROR( FILTER('départements_edition'!$C$2:$C$102 , 'départements_edition'!$C$2:$C$102=J31 ) ) ) , ""Oui"" , ""Non"" )"),"Non")</f>
        <v>Non</v>
      </c>
      <c r="L31" s="10" t="str">
        <f t="shared" si="2"/>
        <v>Polynésie française</v>
      </c>
      <c r="M31" s="12">
        <v>987.0</v>
      </c>
      <c r="N31" s="10" t="s">
        <v>5140</v>
      </c>
      <c r="O31" s="12">
        <v>2.0</v>
      </c>
      <c r="P31" s="13">
        <v>42907.0</v>
      </c>
      <c r="Q31" s="14"/>
      <c r="R31" s="12">
        <v>0.0</v>
      </c>
      <c r="S31" s="10" t="s">
        <v>46</v>
      </c>
      <c r="T31" s="10" t="s">
        <v>5141</v>
      </c>
      <c r="U31" s="18" t="s">
        <v>5444</v>
      </c>
      <c r="V31" s="16"/>
      <c r="W31" s="14"/>
      <c r="X31" s="10" t="s">
        <v>269</v>
      </c>
      <c r="Y31" s="12">
        <v>145.0</v>
      </c>
      <c r="Z31" s="17" t="s">
        <v>5445</v>
      </c>
      <c r="AA31" s="12">
        <v>721110.0</v>
      </c>
      <c r="AB31" s="10" t="s">
        <v>5446</v>
      </c>
      <c r="AC31" s="17" t="s">
        <v>5447</v>
      </c>
      <c r="AD31" s="17" t="s">
        <v>5448</v>
      </c>
      <c r="AE31" s="12">
        <v>1.0</v>
      </c>
      <c r="AF31" s="10"/>
      <c r="AG31" s="12">
        <v>9.0</v>
      </c>
      <c r="AH31" s="12">
        <v>10.0</v>
      </c>
      <c r="AI31" s="12">
        <v>3.0</v>
      </c>
      <c r="AJ31" s="12">
        <v>21.0</v>
      </c>
      <c r="AK31" s="12">
        <v>13.0</v>
      </c>
      <c r="AL31" s="12">
        <v>4.0</v>
      </c>
      <c r="AM31" s="12">
        <v>462.0</v>
      </c>
      <c r="AN31" s="12">
        <v>30.0</v>
      </c>
      <c r="AO31" s="12">
        <v>0.0</v>
      </c>
      <c r="AP31" s="12">
        <v>0.0</v>
      </c>
      <c r="AQ31" s="12">
        <v>5.0</v>
      </c>
      <c r="AR31" s="12">
        <v>2.0</v>
      </c>
      <c r="AS31" s="12">
        <v>1.0</v>
      </c>
    </row>
    <row r="32">
      <c r="A32" s="12">
        <v>135.0</v>
      </c>
      <c r="B32" s="10" t="s">
        <v>1568</v>
      </c>
      <c r="C32" s="10" t="s">
        <v>1569</v>
      </c>
      <c r="D32" s="10" t="s">
        <v>1570</v>
      </c>
      <c r="E32" s="10" t="s">
        <v>43</v>
      </c>
      <c r="F32" s="13">
        <v>26610.0</v>
      </c>
      <c r="G32" s="12">
        <f t="shared" si="1"/>
        <v>53</v>
      </c>
      <c r="H32" s="10" t="s">
        <v>1571</v>
      </c>
      <c r="I32" s="10" t="str">
        <f>IFERROR(__xludf.DUMMYFUNCTION("SPLIT(LEFT(H32,LEN(H32)-1),""("")"),"Saint-Denis ")</f>
        <v>Saint-Denis </v>
      </c>
      <c r="J32" s="10" t="str">
        <f>IFERROR(__xludf.DUMMYFUNCTION("""COMPUTED_VALUE"""),"Réunion")</f>
        <v>Réunion</v>
      </c>
      <c r="K32" s="10" t="str">
        <f>IFERROR(__xludf.DUMMYFUNCTION("IF( COUNTA( IFERROR( FILTER('départements_edition'!$C$2:$C$102 , 'départements_edition'!$C$2:$C$102=J32 ) ) ) , ""Oui"" , ""Non"" )"),"Non")</f>
        <v>Non</v>
      </c>
      <c r="L32" s="10" t="str">
        <f t="shared" si="2"/>
        <v>Réunion</v>
      </c>
      <c r="M32" s="12">
        <v>13.0</v>
      </c>
      <c r="N32" s="10" t="s">
        <v>279</v>
      </c>
      <c r="O32" s="12">
        <v>7.0</v>
      </c>
      <c r="P32" s="13">
        <v>42907.0</v>
      </c>
      <c r="Q32" s="14"/>
      <c r="R32" s="12">
        <v>0.0</v>
      </c>
      <c r="S32" s="10" t="s">
        <v>75</v>
      </c>
      <c r="T32" s="10" t="s">
        <v>76</v>
      </c>
      <c r="U32" s="15" t="s">
        <v>1572</v>
      </c>
      <c r="V32" s="16"/>
      <c r="W32" s="14"/>
      <c r="X32" s="10" t="s">
        <v>118</v>
      </c>
      <c r="Y32" s="12">
        <v>471.0</v>
      </c>
      <c r="Z32" s="17" t="s">
        <v>1573</v>
      </c>
      <c r="AA32" s="12">
        <v>718954.0</v>
      </c>
      <c r="AB32" s="10" t="s">
        <v>1574</v>
      </c>
      <c r="AC32" s="17" t="s">
        <v>1575</v>
      </c>
      <c r="AD32" s="17" t="s">
        <v>1576</v>
      </c>
      <c r="AE32" s="12">
        <v>1.0</v>
      </c>
      <c r="AF32" s="10" t="s">
        <v>1577</v>
      </c>
      <c r="AG32" s="12">
        <v>22.0</v>
      </c>
      <c r="AH32" s="12">
        <v>51.0</v>
      </c>
      <c r="AI32" s="12">
        <v>17.0</v>
      </c>
      <c r="AJ32" s="12">
        <v>25.0</v>
      </c>
      <c r="AK32" s="12">
        <v>2.0</v>
      </c>
      <c r="AL32" s="12">
        <v>1.0</v>
      </c>
      <c r="AM32" s="12">
        <v>152.0</v>
      </c>
      <c r="AN32" s="12">
        <v>103.0</v>
      </c>
      <c r="AO32" s="12">
        <v>1.0</v>
      </c>
      <c r="AP32" s="12">
        <v>0.0</v>
      </c>
      <c r="AQ32" s="12">
        <v>5.0</v>
      </c>
      <c r="AR32" s="12">
        <v>1.0</v>
      </c>
      <c r="AS32" s="12">
        <v>1.0</v>
      </c>
    </row>
    <row r="33">
      <c r="A33" s="12">
        <v>436.0</v>
      </c>
      <c r="B33" s="10" t="s">
        <v>2713</v>
      </c>
      <c r="C33" s="10" t="s">
        <v>2714</v>
      </c>
      <c r="D33" s="10" t="s">
        <v>2715</v>
      </c>
      <c r="E33" s="10" t="s">
        <v>43</v>
      </c>
      <c r="F33" s="13">
        <v>24648.0</v>
      </c>
      <c r="G33" s="12">
        <f t="shared" si="1"/>
        <v>59</v>
      </c>
      <c r="H33" s="10" t="s">
        <v>2716</v>
      </c>
      <c r="I33" s="10" t="str">
        <f>IFERROR(__xludf.DUMMYFUNCTION("SPLIT(LEFT(H33,LEN(H33)-1),""("")"),"Saint-Benoît ")</f>
        <v>Saint-Benoît </v>
      </c>
      <c r="J33" s="10" t="str">
        <f>IFERROR(__xludf.DUMMYFUNCTION("""COMPUTED_VALUE"""),"Réunion")</f>
        <v>Réunion</v>
      </c>
      <c r="K33" s="10" t="str">
        <f>IFERROR(__xludf.DUMMYFUNCTION("IF( COUNTA( IFERROR( FILTER('départements_edition'!$C$2:$C$102 , 'départements_edition'!$C$2:$C$102=J33 ) ) ) , ""Oui"" , ""Non"" )"),"Non")</f>
        <v>Non</v>
      </c>
      <c r="L33" s="10" t="str">
        <f t="shared" si="2"/>
        <v>Réunion</v>
      </c>
      <c r="M33" s="12">
        <v>974.0</v>
      </c>
      <c r="N33" s="10" t="s">
        <v>2717</v>
      </c>
      <c r="O33" s="12">
        <v>5.0</v>
      </c>
      <c r="P33" s="13">
        <v>42907.0</v>
      </c>
      <c r="Q33" s="14"/>
      <c r="R33" s="12">
        <v>0.0</v>
      </c>
      <c r="S33" s="10" t="s">
        <v>173</v>
      </c>
      <c r="T33" s="10" t="s">
        <v>174</v>
      </c>
      <c r="U33" s="18" t="s">
        <v>2718</v>
      </c>
      <c r="V33" s="14"/>
      <c r="W33" s="14"/>
      <c r="X33" s="10" t="s">
        <v>967</v>
      </c>
      <c r="Y33" s="12">
        <v>619.0</v>
      </c>
      <c r="Z33" s="17" t="s">
        <v>2719</v>
      </c>
      <c r="AA33" s="12">
        <v>721062.0</v>
      </c>
      <c r="AB33" s="10" t="s">
        <v>2720</v>
      </c>
      <c r="AC33" s="17" t="s">
        <v>2721</v>
      </c>
      <c r="AD33" s="17" t="s">
        <v>2722</v>
      </c>
      <c r="AE33" s="12">
        <v>1.0</v>
      </c>
      <c r="AF33" s="10" t="s">
        <v>2723</v>
      </c>
      <c r="AG33" s="12">
        <v>21.0</v>
      </c>
      <c r="AH33" s="12">
        <v>41.0</v>
      </c>
      <c r="AI33" s="12">
        <v>51.0</v>
      </c>
      <c r="AJ33" s="12">
        <v>139.0</v>
      </c>
      <c r="AK33" s="12">
        <v>58.0</v>
      </c>
      <c r="AL33" s="12">
        <v>156.0</v>
      </c>
      <c r="AM33" s="12">
        <v>2065.0</v>
      </c>
      <c r="AN33" s="12">
        <v>32.0</v>
      </c>
      <c r="AO33" s="12">
        <v>0.0</v>
      </c>
      <c r="AP33" s="12">
        <v>0.0</v>
      </c>
      <c r="AQ33" s="12">
        <v>12.0</v>
      </c>
      <c r="AR33" s="12">
        <v>20.0</v>
      </c>
      <c r="AS33" s="12">
        <v>4.0</v>
      </c>
    </row>
    <row r="34">
      <c r="A34" s="12">
        <v>281.0</v>
      </c>
      <c r="B34" s="10" t="s">
        <v>4403</v>
      </c>
      <c r="C34" s="10" t="s">
        <v>4404</v>
      </c>
      <c r="D34" s="10" t="s">
        <v>4405</v>
      </c>
      <c r="E34" s="10" t="s">
        <v>58</v>
      </c>
      <c r="F34" s="13">
        <v>24578.0</v>
      </c>
      <c r="G34" s="12">
        <f t="shared" si="1"/>
        <v>59</v>
      </c>
      <c r="H34" s="10" t="s">
        <v>1571</v>
      </c>
      <c r="I34" s="10" t="str">
        <f>IFERROR(__xludf.DUMMYFUNCTION("SPLIT(LEFT(H34,LEN(H34)-1),""("")"),"Saint-Denis ")</f>
        <v>Saint-Denis </v>
      </c>
      <c r="J34" s="10" t="str">
        <f>IFERROR(__xludf.DUMMYFUNCTION("""COMPUTED_VALUE"""),"Réunion")</f>
        <v>Réunion</v>
      </c>
      <c r="K34" s="10" t="str">
        <f>IFERROR(__xludf.DUMMYFUNCTION("IF( COUNTA( IFERROR( FILTER('départements_edition'!$C$2:$C$102 , 'départements_edition'!$C$2:$C$102=J34 ) ) ) , ""Oui"" , ""Non"" )"),"Non")</f>
        <v>Non</v>
      </c>
      <c r="L34" s="10" t="str">
        <f t="shared" si="2"/>
        <v>Réunion</v>
      </c>
      <c r="M34" s="12">
        <v>974.0</v>
      </c>
      <c r="N34" s="10" t="s">
        <v>2717</v>
      </c>
      <c r="O34" s="12">
        <v>1.0</v>
      </c>
      <c r="P34" s="13">
        <v>42907.0</v>
      </c>
      <c r="Q34" s="14"/>
      <c r="R34" s="12">
        <v>0.0</v>
      </c>
      <c r="S34" s="10" t="s">
        <v>115</v>
      </c>
      <c r="T34" s="10" t="s">
        <v>116</v>
      </c>
      <c r="U34" s="15" t="s">
        <v>4406</v>
      </c>
      <c r="V34" s="16"/>
      <c r="W34" s="14"/>
      <c r="X34" s="10" t="s">
        <v>90</v>
      </c>
      <c r="Y34" s="12">
        <v>503.0</v>
      </c>
      <c r="Z34" s="17" t="s">
        <v>4407</v>
      </c>
      <c r="AA34" s="12">
        <v>610681.0</v>
      </c>
      <c r="AB34" s="10" t="s">
        <v>4408</v>
      </c>
      <c r="AC34" s="17" t="s">
        <v>4409</v>
      </c>
      <c r="AD34" s="17" t="s">
        <v>4410</v>
      </c>
      <c r="AE34" s="12">
        <v>1.0</v>
      </c>
      <c r="AF34" s="10" t="s">
        <v>4411</v>
      </c>
      <c r="AG34" s="12">
        <v>17.0</v>
      </c>
      <c r="AH34" s="12">
        <v>33.0</v>
      </c>
      <c r="AI34" s="12">
        <v>51.0</v>
      </c>
      <c r="AJ34" s="12">
        <v>61.0</v>
      </c>
      <c r="AK34" s="12">
        <v>31.0</v>
      </c>
      <c r="AL34" s="12">
        <v>67.0</v>
      </c>
      <c r="AM34" s="12">
        <v>1296.0</v>
      </c>
      <c r="AN34" s="12">
        <v>83.0</v>
      </c>
      <c r="AO34" s="12">
        <v>0.0</v>
      </c>
      <c r="AP34" s="12">
        <v>0.0</v>
      </c>
      <c r="AQ34" s="12">
        <v>5.0</v>
      </c>
      <c r="AR34" s="12">
        <v>22.0</v>
      </c>
      <c r="AS34" s="12">
        <v>3.0</v>
      </c>
    </row>
    <row r="35">
      <c r="A35" s="12">
        <v>366.0</v>
      </c>
      <c r="B35" s="10" t="s">
        <v>5231</v>
      </c>
      <c r="C35" s="10" t="s">
        <v>5232</v>
      </c>
      <c r="D35" s="10" t="s">
        <v>1045</v>
      </c>
      <c r="E35" s="10" t="s">
        <v>58</v>
      </c>
      <c r="F35" s="13">
        <v>22418.0</v>
      </c>
      <c r="G35" s="12">
        <f t="shared" si="1"/>
        <v>65</v>
      </c>
      <c r="H35" s="10" t="s">
        <v>5233</v>
      </c>
      <c r="I35" s="10" t="str">
        <f>IFERROR(__xludf.DUMMYFUNCTION("SPLIT(LEFT(H35,LEN(H35)-1),""("")"),"Sainte-Clotilde ")</f>
        <v>Sainte-Clotilde </v>
      </c>
      <c r="J35" s="10" t="str">
        <f>IFERROR(__xludf.DUMMYFUNCTION("""COMPUTED_VALUE"""),"Réunion")</f>
        <v>Réunion</v>
      </c>
      <c r="K35" s="10" t="str">
        <f>IFERROR(__xludf.DUMMYFUNCTION("IF( COUNTA( IFERROR( FILTER('départements_edition'!$C$2:$C$102 , 'départements_edition'!$C$2:$C$102=J35 ) ) ) , ""Oui"" , ""Non"" )"),"Non")</f>
        <v>Non</v>
      </c>
      <c r="L35" s="10" t="str">
        <f t="shared" si="2"/>
        <v>Réunion</v>
      </c>
      <c r="M35" s="12">
        <v>974.0</v>
      </c>
      <c r="N35" s="10" t="s">
        <v>2717</v>
      </c>
      <c r="O35" s="12">
        <v>6.0</v>
      </c>
      <c r="P35" s="13">
        <v>42907.0</v>
      </c>
      <c r="Q35" s="14"/>
      <c r="R35" s="12">
        <v>0.0</v>
      </c>
      <c r="S35" s="10" t="s">
        <v>61</v>
      </c>
      <c r="T35" s="10" t="s">
        <v>62</v>
      </c>
      <c r="U35" s="10"/>
      <c r="V35" s="14"/>
      <c r="W35" s="14"/>
      <c r="X35" s="10" t="s">
        <v>151</v>
      </c>
      <c r="Y35" s="12">
        <v>44.0</v>
      </c>
      <c r="Z35" s="17" t="s">
        <v>5234</v>
      </c>
      <c r="AA35" s="12">
        <v>721070.0</v>
      </c>
      <c r="AB35" s="10" t="s">
        <v>5235</v>
      </c>
      <c r="AC35" s="17" t="s">
        <v>5236</v>
      </c>
      <c r="AD35" s="17" t="s">
        <v>5237</v>
      </c>
      <c r="AE35" s="12">
        <v>2.0</v>
      </c>
      <c r="AF35" s="10"/>
      <c r="AG35" s="12">
        <v>13.0</v>
      </c>
      <c r="AH35" s="12">
        <v>18.0</v>
      </c>
      <c r="AI35" s="12">
        <v>5.0</v>
      </c>
      <c r="AJ35" s="12">
        <v>23.0</v>
      </c>
      <c r="AK35" s="12">
        <v>1.0</v>
      </c>
      <c r="AL35" s="12">
        <v>47.0</v>
      </c>
      <c r="AM35" s="12">
        <v>402.0</v>
      </c>
      <c r="AN35" s="12">
        <v>21.0</v>
      </c>
      <c r="AO35" s="12">
        <v>0.0</v>
      </c>
      <c r="AP35" s="12">
        <v>0.0</v>
      </c>
      <c r="AQ35" s="12">
        <v>11.0</v>
      </c>
      <c r="AR35" s="12">
        <v>0.0</v>
      </c>
      <c r="AS35" s="12">
        <v>1.0</v>
      </c>
    </row>
    <row r="36">
      <c r="A36" s="12">
        <v>217.0</v>
      </c>
      <c r="B36" s="10" t="s">
        <v>5323</v>
      </c>
      <c r="C36" s="10" t="s">
        <v>5324</v>
      </c>
      <c r="D36" s="10" t="s">
        <v>1695</v>
      </c>
      <c r="E36" s="10" t="s">
        <v>58</v>
      </c>
      <c r="F36" s="13">
        <v>24859.0</v>
      </c>
      <c r="G36" s="12">
        <f t="shared" si="1"/>
        <v>58</v>
      </c>
      <c r="H36" s="10" t="s">
        <v>5325</v>
      </c>
      <c r="I36" s="10" t="str">
        <f>IFERROR(__xludf.DUMMYFUNCTION("SPLIT(LEFT(H36,LEN(H36)-1),""("")"),"Saint-Pierre ")</f>
        <v>Saint-Pierre </v>
      </c>
      <c r="J36" s="10" t="str">
        <f>IFERROR(__xludf.DUMMYFUNCTION("""COMPUTED_VALUE"""),"Réunion")</f>
        <v>Réunion</v>
      </c>
      <c r="K36" s="10" t="str">
        <f>IFERROR(__xludf.DUMMYFUNCTION("IF( COUNTA( IFERROR( FILTER('départements_edition'!$C$2:$C$102 , 'départements_edition'!$C$2:$C$102=J36 ) ) ) , ""Oui"" , ""Non"" )"),"Non")</f>
        <v>Non</v>
      </c>
      <c r="L36" s="10" t="str">
        <f t="shared" si="2"/>
        <v>Réunion</v>
      </c>
      <c r="M36" s="12">
        <v>974.0</v>
      </c>
      <c r="N36" s="10" t="s">
        <v>2717</v>
      </c>
      <c r="O36" s="12">
        <v>3.0</v>
      </c>
      <c r="P36" s="13">
        <v>42907.0</v>
      </c>
      <c r="Q36" s="14"/>
      <c r="R36" s="12">
        <v>0.0</v>
      </c>
      <c r="S36" s="10" t="s">
        <v>61</v>
      </c>
      <c r="T36" s="10" t="s">
        <v>62</v>
      </c>
      <c r="U36" s="15" t="s">
        <v>5326</v>
      </c>
      <c r="V36" s="16"/>
      <c r="W36" s="14"/>
      <c r="X36" s="10" t="s">
        <v>3558</v>
      </c>
      <c r="Y36" s="12">
        <v>109.0</v>
      </c>
      <c r="Z36" s="17" t="s">
        <v>5327</v>
      </c>
      <c r="AA36" s="12">
        <v>721046.0</v>
      </c>
      <c r="AB36" s="10" t="s">
        <v>5328</v>
      </c>
      <c r="AC36" s="17" t="s">
        <v>5329</v>
      </c>
      <c r="AD36" s="17" t="s">
        <v>5330</v>
      </c>
      <c r="AE36" s="12">
        <v>1.0</v>
      </c>
      <c r="AF36" s="10" t="s">
        <v>5331</v>
      </c>
      <c r="AG36" s="12">
        <v>11.0</v>
      </c>
      <c r="AH36" s="12">
        <v>20.0</v>
      </c>
      <c r="AI36" s="12">
        <v>4.0</v>
      </c>
      <c r="AJ36" s="12">
        <v>8.0</v>
      </c>
      <c r="AK36" s="12">
        <v>5.0</v>
      </c>
      <c r="AL36" s="12">
        <v>3.0</v>
      </c>
      <c r="AM36" s="12">
        <v>656.0</v>
      </c>
      <c r="AN36" s="12">
        <v>30.0</v>
      </c>
      <c r="AO36" s="12">
        <v>0.0</v>
      </c>
      <c r="AP36" s="12">
        <v>0.0</v>
      </c>
      <c r="AQ36" s="12">
        <v>46.0</v>
      </c>
      <c r="AR36" s="12">
        <v>6.0</v>
      </c>
      <c r="AS36" s="12">
        <v>2.0</v>
      </c>
    </row>
    <row r="37">
      <c r="A37" s="12">
        <v>204.0</v>
      </c>
      <c r="B37" s="10" t="s">
        <v>5397</v>
      </c>
      <c r="C37" s="10" t="s">
        <v>5398</v>
      </c>
      <c r="D37" s="10" t="s">
        <v>915</v>
      </c>
      <c r="E37" s="10" t="s">
        <v>43</v>
      </c>
      <c r="F37" s="13">
        <v>23665.0</v>
      </c>
      <c r="G37" s="12">
        <f t="shared" si="1"/>
        <v>61</v>
      </c>
      <c r="H37" s="10" t="s">
        <v>5325</v>
      </c>
      <c r="I37" s="10" t="str">
        <f>IFERROR(__xludf.DUMMYFUNCTION("SPLIT(LEFT(H37,LEN(H37)-1),""("")"),"Saint-Pierre ")</f>
        <v>Saint-Pierre </v>
      </c>
      <c r="J37" s="10" t="str">
        <f>IFERROR(__xludf.DUMMYFUNCTION("""COMPUTED_VALUE"""),"Réunion")</f>
        <v>Réunion</v>
      </c>
      <c r="K37" s="10" t="str">
        <f>IFERROR(__xludf.DUMMYFUNCTION("IF( COUNTA( IFERROR( FILTER('départements_edition'!$C$2:$C$102 , 'départements_edition'!$C$2:$C$102=J37 ) ) ) , ""Oui"" , ""Non"" )"),"Non")</f>
        <v>Non</v>
      </c>
      <c r="L37" s="10" t="str">
        <f t="shared" si="2"/>
        <v>Réunion</v>
      </c>
      <c r="M37" s="12">
        <v>974.0</v>
      </c>
      <c r="N37" s="10" t="s">
        <v>2717</v>
      </c>
      <c r="O37" s="12">
        <v>4.0</v>
      </c>
      <c r="P37" s="13">
        <v>42907.0</v>
      </c>
      <c r="Q37" s="14"/>
      <c r="R37" s="12">
        <v>0.0</v>
      </c>
      <c r="S37" s="10" t="s">
        <v>61</v>
      </c>
      <c r="T37" s="10" t="s">
        <v>62</v>
      </c>
      <c r="U37" s="15" t="s">
        <v>5399</v>
      </c>
      <c r="V37" s="16"/>
      <c r="W37" s="14"/>
      <c r="X37" s="10" t="s">
        <v>5400</v>
      </c>
      <c r="Y37" s="12">
        <v>110.0</v>
      </c>
      <c r="Z37" s="17" t="s">
        <v>5401</v>
      </c>
      <c r="AA37" s="12">
        <v>721054.0</v>
      </c>
      <c r="AB37" s="10" t="s">
        <v>5402</v>
      </c>
      <c r="AC37" s="17" t="s">
        <v>5403</v>
      </c>
      <c r="AD37" s="17" t="s">
        <v>5404</v>
      </c>
      <c r="AE37" s="12">
        <v>2.0</v>
      </c>
      <c r="AF37" s="10" t="s">
        <v>5405</v>
      </c>
      <c r="AG37" s="12">
        <v>10.0</v>
      </c>
      <c r="AH37" s="12">
        <v>26.0</v>
      </c>
      <c r="AI37" s="12">
        <v>13.0</v>
      </c>
      <c r="AJ37" s="12">
        <v>23.0</v>
      </c>
      <c r="AK37" s="12">
        <v>1.0</v>
      </c>
      <c r="AL37" s="12">
        <v>22.0</v>
      </c>
      <c r="AM37" s="12">
        <v>369.0</v>
      </c>
      <c r="AN37" s="12">
        <v>16.0</v>
      </c>
      <c r="AO37" s="12">
        <v>0.0</v>
      </c>
      <c r="AP37" s="12">
        <v>0.0</v>
      </c>
      <c r="AQ37" s="12">
        <v>23.0</v>
      </c>
      <c r="AR37" s="12">
        <v>14.0</v>
      </c>
      <c r="AS37" s="12">
        <v>3.0</v>
      </c>
    </row>
    <row r="38">
      <c r="A38" s="12">
        <v>338.0</v>
      </c>
      <c r="B38" s="10" t="s">
        <v>5406</v>
      </c>
      <c r="C38" s="10" t="s">
        <v>1450</v>
      </c>
      <c r="D38" s="10" t="s">
        <v>413</v>
      </c>
      <c r="E38" s="10" t="s">
        <v>43</v>
      </c>
      <c r="F38" s="13">
        <v>28216.0</v>
      </c>
      <c r="G38" s="12">
        <f t="shared" si="1"/>
        <v>49</v>
      </c>
      <c r="H38" s="10" t="s">
        <v>1571</v>
      </c>
      <c r="I38" s="10" t="str">
        <f>IFERROR(__xludf.DUMMYFUNCTION("SPLIT(LEFT(H38,LEN(H38)-1),""("")"),"Saint-Denis ")</f>
        <v>Saint-Denis </v>
      </c>
      <c r="J38" s="10" t="str">
        <f>IFERROR(__xludf.DUMMYFUNCTION("""COMPUTED_VALUE"""),"Réunion")</f>
        <v>Réunion</v>
      </c>
      <c r="K38" s="10" t="str">
        <f>IFERROR(__xludf.DUMMYFUNCTION("IF( COUNTA( IFERROR( FILTER('départements_edition'!$C$2:$C$102 , 'départements_edition'!$C$2:$C$102=J38 ) ) ) , ""Oui"" , ""Non"" )"),"Non")</f>
        <v>Non</v>
      </c>
      <c r="L38" s="10" t="str">
        <f t="shared" si="2"/>
        <v>Réunion</v>
      </c>
      <c r="M38" s="12">
        <v>974.0</v>
      </c>
      <c r="N38" s="10" t="s">
        <v>2717</v>
      </c>
      <c r="O38" s="12">
        <v>7.0</v>
      </c>
      <c r="P38" s="13">
        <v>42907.0</v>
      </c>
      <c r="Q38" s="14"/>
      <c r="R38" s="12">
        <v>0.0</v>
      </c>
      <c r="S38" s="10" t="s">
        <v>280</v>
      </c>
      <c r="T38" s="10" t="s">
        <v>281</v>
      </c>
      <c r="U38" s="15" t="s">
        <v>5407</v>
      </c>
      <c r="V38" s="16"/>
      <c r="W38" s="14"/>
      <c r="X38" s="10" t="s">
        <v>5408</v>
      </c>
      <c r="Y38" s="12">
        <v>258.0</v>
      </c>
      <c r="Z38" s="17" t="s">
        <v>5409</v>
      </c>
      <c r="AA38" s="12">
        <v>610733.0</v>
      </c>
      <c r="AB38" s="10" t="s">
        <v>5410</v>
      </c>
      <c r="AC38" s="17" t="s">
        <v>5411</v>
      </c>
      <c r="AD38" s="17" t="s">
        <v>5412</v>
      </c>
      <c r="AE38" s="12">
        <v>2.0</v>
      </c>
      <c r="AF38" s="10" t="s">
        <v>5413</v>
      </c>
      <c r="AG38" s="12">
        <v>10.0</v>
      </c>
      <c r="AH38" s="12">
        <v>11.0</v>
      </c>
      <c r="AI38" s="12">
        <v>2.0</v>
      </c>
      <c r="AJ38" s="12">
        <v>4.0</v>
      </c>
      <c r="AK38" s="12">
        <v>1.0</v>
      </c>
      <c r="AL38" s="12">
        <v>0.0</v>
      </c>
      <c r="AM38" s="12">
        <v>231.0</v>
      </c>
      <c r="AN38" s="12">
        <v>26.0</v>
      </c>
      <c r="AO38" s="12">
        <v>0.0</v>
      </c>
      <c r="AP38" s="12">
        <v>0.0</v>
      </c>
      <c r="AQ38" s="12">
        <v>5.0</v>
      </c>
      <c r="AR38" s="12">
        <v>0.0</v>
      </c>
      <c r="AS38" s="12">
        <v>2.0</v>
      </c>
    </row>
    <row r="39">
      <c r="A39" s="12">
        <v>511.0</v>
      </c>
      <c r="B39" s="10" t="s">
        <v>5449</v>
      </c>
      <c r="C39" s="10" t="s">
        <v>5450</v>
      </c>
      <c r="D39" s="10" t="s">
        <v>2119</v>
      </c>
      <c r="E39" s="10" t="s">
        <v>58</v>
      </c>
      <c r="F39" s="13">
        <v>18499.0</v>
      </c>
      <c r="G39" s="12">
        <f t="shared" si="1"/>
        <v>75</v>
      </c>
      <c r="H39" s="10" t="s">
        <v>5451</v>
      </c>
      <c r="I39" s="10" t="str">
        <f>IFERROR(__xludf.DUMMYFUNCTION("SPLIT(LEFT(H39,LEN(H39)-1),""("")"),"Ravine-des-Cabris ")</f>
        <v>Ravine-des-Cabris </v>
      </c>
      <c r="J39" s="10" t="str">
        <f>IFERROR(__xludf.DUMMYFUNCTION("""COMPUTED_VALUE"""),"Réunion")</f>
        <v>Réunion</v>
      </c>
      <c r="K39" s="10" t="str">
        <f>IFERROR(__xludf.DUMMYFUNCTION("IF( COUNTA( IFERROR( FILTER('départements_edition'!$C$2:$C$102 , 'départements_edition'!$C$2:$C$102=J39 ) ) ) , ""Oui"" , ""Non"" )"),"Non")</f>
        <v>Non</v>
      </c>
      <c r="L39" s="10" t="str">
        <f t="shared" si="2"/>
        <v>Réunion</v>
      </c>
      <c r="M39" s="12">
        <v>974.0</v>
      </c>
      <c r="N39" s="10" t="s">
        <v>2717</v>
      </c>
      <c r="O39" s="12">
        <v>2.0</v>
      </c>
      <c r="P39" s="13">
        <v>42907.0</v>
      </c>
      <c r="Q39" s="14"/>
      <c r="R39" s="12">
        <v>0.0</v>
      </c>
      <c r="S39" s="10" t="s">
        <v>101</v>
      </c>
      <c r="T39" s="10" t="s">
        <v>102</v>
      </c>
      <c r="U39" s="19" t="s">
        <v>5452</v>
      </c>
      <c r="V39" s="16"/>
      <c r="W39" s="14"/>
      <c r="X39" s="10" t="s">
        <v>5453</v>
      </c>
      <c r="Y39" s="12">
        <v>594.0</v>
      </c>
      <c r="Z39" s="17" t="s">
        <v>5454</v>
      </c>
      <c r="AA39" s="12">
        <v>441.0</v>
      </c>
      <c r="AB39" s="10" t="s">
        <v>5455</v>
      </c>
      <c r="AC39" s="17" t="s">
        <v>5456</v>
      </c>
      <c r="AD39" s="17" t="s">
        <v>5457</v>
      </c>
      <c r="AE39" s="12">
        <v>1.0</v>
      </c>
      <c r="AF39" s="14" t="s">
        <v>5458</v>
      </c>
      <c r="AG39" s="12">
        <v>8.0</v>
      </c>
      <c r="AH39" s="12">
        <v>8.0</v>
      </c>
      <c r="AI39" s="12">
        <v>8.0</v>
      </c>
      <c r="AJ39" s="12">
        <v>22.0</v>
      </c>
      <c r="AK39" s="12">
        <v>10.0</v>
      </c>
      <c r="AL39" s="12">
        <v>15.0</v>
      </c>
      <c r="AM39" s="12">
        <v>657.0</v>
      </c>
      <c r="AN39" s="12">
        <v>28.0</v>
      </c>
      <c r="AO39" s="12">
        <v>1.0</v>
      </c>
      <c r="AP39" s="12">
        <v>1.0</v>
      </c>
      <c r="AQ39" s="12">
        <v>10.0</v>
      </c>
      <c r="AR39" s="12">
        <v>18.0</v>
      </c>
      <c r="AS39" s="12">
        <v>2.0</v>
      </c>
    </row>
    <row r="40">
      <c r="A40" s="12">
        <v>271.0</v>
      </c>
      <c r="B40" s="10" t="s">
        <v>606</v>
      </c>
      <c r="C40" s="10" t="s">
        <v>607</v>
      </c>
      <c r="D40" s="10" t="s">
        <v>608</v>
      </c>
      <c r="E40" s="10" t="s">
        <v>58</v>
      </c>
      <c r="F40" s="13">
        <v>31217.0</v>
      </c>
      <c r="G40" s="12">
        <f t="shared" si="1"/>
        <v>41</v>
      </c>
      <c r="H40" s="10" t="s">
        <v>609</v>
      </c>
      <c r="I40" s="10" t="str">
        <f>IFERROR(__xludf.DUMMYFUNCTION("SPLIT(LEFT(H40,LEN(H40)-1),""("")"),"Lyon 08 ")</f>
        <v>Lyon 08 </v>
      </c>
      <c r="J40" s="10" t="str">
        <f>IFERROR(__xludf.DUMMYFUNCTION("""COMPUTED_VALUE"""),"Rhône")</f>
        <v>Rhône</v>
      </c>
      <c r="K40" s="10" t="str">
        <f>IFERROR(__xludf.DUMMYFUNCTION("IF( COUNTA( IFERROR( FILTER('départements_edition'!$C$2:$C$102 , 'départements_edition'!$C$2:$C$102=J40 ) ) ) , ""Oui"" , ""Non"" )"),"Non")</f>
        <v>Non</v>
      </c>
      <c r="L40" s="10" t="str">
        <f t="shared" si="2"/>
        <v>Rhône</v>
      </c>
      <c r="M40" s="12">
        <v>91.0</v>
      </c>
      <c r="N40" s="10" t="s">
        <v>610</v>
      </c>
      <c r="O40" s="12">
        <v>6.0</v>
      </c>
      <c r="P40" s="13">
        <v>42907.0</v>
      </c>
      <c r="Q40" s="14"/>
      <c r="R40" s="12">
        <v>0.0</v>
      </c>
      <c r="S40" s="10" t="s">
        <v>75</v>
      </c>
      <c r="T40" s="10" t="s">
        <v>76</v>
      </c>
      <c r="U40" s="15" t="s">
        <v>611</v>
      </c>
      <c r="V40" s="16"/>
      <c r="W40" s="14"/>
      <c r="X40" s="10" t="s">
        <v>234</v>
      </c>
      <c r="Y40" s="12">
        <v>427.0</v>
      </c>
      <c r="Z40" s="17" t="s">
        <v>612</v>
      </c>
      <c r="AA40" s="12">
        <v>721670.0</v>
      </c>
      <c r="AB40" s="10" t="s">
        <v>613</v>
      </c>
      <c r="AC40" s="17" t="s">
        <v>614</v>
      </c>
      <c r="AD40" s="17" t="s">
        <v>615</v>
      </c>
      <c r="AE40" s="12">
        <v>1.0</v>
      </c>
      <c r="AF40" s="10" t="s">
        <v>616</v>
      </c>
      <c r="AG40" s="12">
        <v>24.0</v>
      </c>
      <c r="AH40" s="12">
        <v>73.0</v>
      </c>
      <c r="AI40" s="12">
        <v>175.0</v>
      </c>
      <c r="AJ40" s="12">
        <v>241.0</v>
      </c>
      <c r="AK40" s="12">
        <v>125.0</v>
      </c>
      <c r="AL40" s="12">
        <v>104.0</v>
      </c>
      <c r="AM40" s="12">
        <v>170.0</v>
      </c>
      <c r="AN40" s="12">
        <v>112.0</v>
      </c>
      <c r="AO40" s="12">
        <v>1.0</v>
      </c>
      <c r="AP40" s="12">
        <v>0.0</v>
      </c>
      <c r="AQ40" s="12">
        <v>5.0</v>
      </c>
      <c r="AR40" s="12">
        <v>0.0</v>
      </c>
      <c r="AS40" s="12">
        <v>2.0</v>
      </c>
    </row>
    <row r="41">
      <c r="A41" s="12">
        <v>59.0</v>
      </c>
      <c r="B41" s="10" t="s">
        <v>736</v>
      </c>
      <c r="C41" s="10" t="s">
        <v>737</v>
      </c>
      <c r="D41" s="10" t="s">
        <v>738</v>
      </c>
      <c r="E41" s="10" t="s">
        <v>58</v>
      </c>
      <c r="F41" s="13">
        <v>25577.0</v>
      </c>
      <c r="G41" s="12">
        <f t="shared" si="1"/>
        <v>56</v>
      </c>
      <c r="H41" s="10" t="s">
        <v>739</v>
      </c>
      <c r="I41" s="10" t="str">
        <f>IFERROR(__xludf.DUMMYFUNCTION("SPLIT(LEFT(H41,LEN(H41)-1),""("")"),"Lyon ")</f>
        <v>Lyon </v>
      </c>
      <c r="J41" s="10" t="str">
        <f>IFERROR(__xludf.DUMMYFUNCTION("""COMPUTED_VALUE"""),"Rhône")</f>
        <v>Rhône</v>
      </c>
      <c r="K41" s="10" t="str">
        <f>IFERROR(__xludf.DUMMYFUNCTION("IF( COUNTA( IFERROR( FILTER('départements_edition'!$C$2:$C$102 , 'départements_edition'!$C$2:$C$102=J41 ) ) ) , ""Oui"" , ""Non"" )"),"Non")</f>
        <v>Non</v>
      </c>
      <c r="L41" s="10" t="str">
        <f t="shared" si="2"/>
        <v>Rhône</v>
      </c>
      <c r="M41" s="12">
        <v>4.0</v>
      </c>
      <c r="N41" s="10" t="s">
        <v>740</v>
      </c>
      <c r="O41" s="12">
        <v>1.0</v>
      </c>
      <c r="P41" s="13">
        <v>42907.0</v>
      </c>
      <c r="Q41" s="14"/>
      <c r="R41" s="12">
        <v>0.0</v>
      </c>
      <c r="S41" s="10" t="s">
        <v>75</v>
      </c>
      <c r="T41" s="10" t="s">
        <v>76</v>
      </c>
      <c r="U41" s="15" t="s">
        <v>741</v>
      </c>
      <c r="V41" s="16"/>
      <c r="W41" s="14"/>
      <c r="X41" s="10" t="s">
        <v>151</v>
      </c>
      <c r="Y41" s="12">
        <v>486.0</v>
      </c>
      <c r="Z41" s="17" t="s">
        <v>742</v>
      </c>
      <c r="AA41" s="12">
        <v>718744.0</v>
      </c>
      <c r="AB41" s="10" t="s">
        <v>743</v>
      </c>
      <c r="AC41" s="17" t="s">
        <v>744</v>
      </c>
      <c r="AD41" s="17" t="s">
        <v>745</v>
      </c>
      <c r="AE41" s="12">
        <v>1.0</v>
      </c>
      <c r="AF41" s="10" t="s">
        <v>746</v>
      </c>
      <c r="AG41" s="12">
        <v>23.0</v>
      </c>
      <c r="AH41" s="12">
        <v>52.0</v>
      </c>
      <c r="AI41" s="12">
        <v>18.0</v>
      </c>
      <c r="AJ41" s="12">
        <v>22.0</v>
      </c>
      <c r="AK41" s="12">
        <v>3.0</v>
      </c>
      <c r="AL41" s="12">
        <v>2.0</v>
      </c>
      <c r="AM41" s="12">
        <v>64.0</v>
      </c>
      <c r="AN41" s="12">
        <v>25.0</v>
      </c>
      <c r="AO41" s="12">
        <v>1.0</v>
      </c>
      <c r="AP41" s="12">
        <v>0.0</v>
      </c>
      <c r="AQ41" s="12">
        <v>5.0</v>
      </c>
      <c r="AR41" s="12">
        <v>5.0</v>
      </c>
      <c r="AS41" s="12">
        <v>1.0</v>
      </c>
    </row>
    <row r="42">
      <c r="A42" s="12">
        <v>538.0</v>
      </c>
      <c r="B42" s="10" t="s">
        <v>1359</v>
      </c>
      <c r="C42" s="10" t="s">
        <v>1360</v>
      </c>
      <c r="D42" s="10" t="s">
        <v>1361</v>
      </c>
      <c r="E42" s="10" t="s">
        <v>43</v>
      </c>
      <c r="F42" s="13">
        <v>20844.0</v>
      </c>
      <c r="G42" s="12">
        <f t="shared" si="1"/>
        <v>69</v>
      </c>
      <c r="H42" s="10" t="s">
        <v>1362</v>
      </c>
      <c r="I42" s="10" t="str">
        <f>IFERROR(__xludf.DUMMYFUNCTION("SPLIT(LEFT(H42,LEN(H42)-1),""("")"),"Villefranche-sur-Saône ")</f>
        <v>Villefranche-sur-Saône </v>
      </c>
      <c r="J42" s="10" t="str">
        <f>IFERROR(__xludf.DUMMYFUNCTION("""COMPUTED_VALUE"""),"Rhône")</f>
        <v>Rhône</v>
      </c>
      <c r="K42" s="10" t="str">
        <f>IFERROR(__xludf.DUMMYFUNCTION("IF( COUNTA( IFERROR( FILTER('départements_edition'!$C$2:$C$102 , 'départements_edition'!$C$2:$C$102=J42 ) ) ) , ""Oui"" , ""Non"" )"),"Non")</f>
        <v>Non</v>
      </c>
      <c r="L42" s="10" t="str">
        <f t="shared" si="2"/>
        <v>Rhône</v>
      </c>
      <c r="M42" s="12">
        <v>69.0</v>
      </c>
      <c r="N42" s="10" t="s">
        <v>1363</v>
      </c>
      <c r="O42" s="12">
        <v>9.0</v>
      </c>
      <c r="P42" s="13">
        <v>42907.0</v>
      </c>
      <c r="Q42" s="14"/>
      <c r="R42" s="12">
        <v>0.0</v>
      </c>
      <c r="S42" s="10" t="s">
        <v>61</v>
      </c>
      <c r="T42" s="10" t="s">
        <v>62</v>
      </c>
      <c r="U42" s="15" t="s">
        <v>1364</v>
      </c>
      <c r="V42" s="16"/>
      <c r="W42" s="14"/>
      <c r="X42" s="10" t="s">
        <v>1365</v>
      </c>
      <c r="Y42" s="12">
        <v>108.0</v>
      </c>
      <c r="Z42" s="17" t="s">
        <v>1366</v>
      </c>
      <c r="AA42" s="12">
        <v>2377.0</v>
      </c>
      <c r="AB42" s="10" t="s">
        <v>1367</v>
      </c>
      <c r="AC42" s="17" t="s">
        <v>1368</v>
      </c>
      <c r="AD42" s="17" t="s">
        <v>1369</v>
      </c>
      <c r="AE42" s="12">
        <v>2.0</v>
      </c>
      <c r="AF42" s="10" t="s">
        <v>1370</v>
      </c>
      <c r="AG42" s="12">
        <v>23.0</v>
      </c>
      <c r="AH42" s="12">
        <v>40.0</v>
      </c>
      <c r="AI42" s="12">
        <v>37.0</v>
      </c>
      <c r="AJ42" s="12">
        <v>11.0</v>
      </c>
      <c r="AK42" s="12">
        <v>1.0</v>
      </c>
      <c r="AL42" s="12">
        <v>0.0</v>
      </c>
      <c r="AM42" s="12">
        <v>1036.0</v>
      </c>
      <c r="AN42" s="12">
        <v>37.0</v>
      </c>
      <c r="AO42" s="12">
        <v>0.0</v>
      </c>
      <c r="AP42" s="12">
        <v>1.0</v>
      </c>
      <c r="AQ42" s="12">
        <v>98.0</v>
      </c>
      <c r="AR42" s="12">
        <v>21.0</v>
      </c>
      <c r="AS42" s="12">
        <v>1.0</v>
      </c>
    </row>
    <row r="43">
      <c r="A43" s="12">
        <v>319.0</v>
      </c>
      <c r="B43" s="10" t="s">
        <v>1480</v>
      </c>
      <c r="C43" s="10" t="s">
        <v>1481</v>
      </c>
      <c r="D43" s="10" t="s">
        <v>1262</v>
      </c>
      <c r="E43" s="10" t="s">
        <v>43</v>
      </c>
      <c r="F43" s="13">
        <v>25944.0</v>
      </c>
      <c r="G43" s="12">
        <f t="shared" si="1"/>
        <v>55</v>
      </c>
      <c r="H43" s="10" t="s">
        <v>739</v>
      </c>
      <c r="I43" s="10" t="str">
        <f>IFERROR(__xludf.DUMMYFUNCTION("SPLIT(LEFT(H43,LEN(H43)-1),""("")"),"Lyon ")</f>
        <v>Lyon </v>
      </c>
      <c r="J43" s="10" t="str">
        <f>IFERROR(__xludf.DUMMYFUNCTION("""COMPUTED_VALUE"""),"Rhône")</f>
        <v>Rhône</v>
      </c>
      <c r="K43" s="10" t="str">
        <f>IFERROR(__xludf.DUMMYFUNCTION("IF( COUNTA( IFERROR( FILTER('départements_edition'!$C$2:$C$102 , 'départements_edition'!$C$2:$C$102=J43 ) ) ) , ""Oui"" , ""Non"" )"),"Non")</f>
        <v>Non</v>
      </c>
      <c r="L43" s="10" t="str">
        <f t="shared" si="2"/>
        <v>Rhône</v>
      </c>
      <c r="M43" s="12">
        <v>69.0</v>
      </c>
      <c r="N43" s="10" t="s">
        <v>1363</v>
      </c>
      <c r="O43" s="12">
        <v>1.0</v>
      </c>
      <c r="P43" s="13">
        <v>42907.0</v>
      </c>
      <c r="Q43" s="14"/>
      <c r="R43" s="12">
        <v>0.0</v>
      </c>
      <c r="S43" s="10" t="s">
        <v>75</v>
      </c>
      <c r="T43" s="10" t="s">
        <v>76</v>
      </c>
      <c r="U43" s="15" t="s">
        <v>1482</v>
      </c>
      <c r="V43" s="16"/>
      <c r="W43" s="14"/>
      <c r="X43" s="12">
        <v>0.0</v>
      </c>
      <c r="Y43" s="12">
        <v>546.0</v>
      </c>
      <c r="Z43" s="17" t="s">
        <v>1483</v>
      </c>
      <c r="AA43" s="12">
        <v>722292.0</v>
      </c>
      <c r="AB43" s="10" t="s">
        <v>1484</v>
      </c>
      <c r="AC43" s="17" t="s">
        <v>1485</v>
      </c>
      <c r="AD43" s="17" t="s">
        <v>1486</v>
      </c>
      <c r="AE43" s="12">
        <v>3.0</v>
      </c>
      <c r="AF43" s="10" t="s">
        <v>1487</v>
      </c>
      <c r="AG43" s="12">
        <v>23.0</v>
      </c>
      <c r="AH43" s="12">
        <v>32.0</v>
      </c>
      <c r="AI43" s="12">
        <v>9.0</v>
      </c>
      <c r="AJ43" s="12">
        <v>26.0</v>
      </c>
      <c r="AK43" s="12">
        <v>17.0</v>
      </c>
      <c r="AL43" s="12">
        <v>1.0</v>
      </c>
      <c r="AM43" s="12">
        <v>34.0</v>
      </c>
      <c r="AN43" s="12">
        <v>15.0</v>
      </c>
      <c r="AO43" s="12">
        <v>0.0</v>
      </c>
      <c r="AP43" s="12">
        <v>0.0</v>
      </c>
      <c r="AQ43" s="12">
        <v>6.0</v>
      </c>
      <c r="AR43" s="12">
        <v>4.0</v>
      </c>
      <c r="AS43" s="12">
        <v>1.0</v>
      </c>
    </row>
    <row r="44">
      <c r="A44" s="12">
        <v>518.0</v>
      </c>
      <c r="B44" s="10" t="s">
        <v>2382</v>
      </c>
      <c r="C44" s="10" t="s">
        <v>2383</v>
      </c>
      <c r="D44" s="10" t="s">
        <v>2384</v>
      </c>
      <c r="E44" s="10" t="s">
        <v>43</v>
      </c>
      <c r="F44" s="13">
        <v>28880.0</v>
      </c>
      <c r="G44" s="12">
        <f t="shared" si="1"/>
        <v>47</v>
      </c>
      <c r="H44" s="10" t="s">
        <v>2385</v>
      </c>
      <c r="I44" s="10" t="str">
        <f>IFERROR(__xludf.DUMMYFUNCTION("SPLIT(LEFT(H44,LEN(H44)-1),""("")"),"Villefranche-sur-Saone ")</f>
        <v>Villefranche-sur-Saone </v>
      </c>
      <c r="J44" s="10" t="str">
        <f>IFERROR(__xludf.DUMMYFUNCTION("""COMPUTED_VALUE"""),"Rhône")</f>
        <v>Rhône</v>
      </c>
      <c r="K44" s="10" t="str">
        <f>IFERROR(__xludf.DUMMYFUNCTION("IF( COUNTA( IFERROR( FILTER('départements_edition'!$C$2:$C$102 , 'départements_edition'!$C$2:$C$102=J44 ) ) ) , ""Oui"" , ""Non"" )"),"Non")</f>
        <v>Non</v>
      </c>
      <c r="L44" s="10" t="str">
        <f t="shared" si="2"/>
        <v>Rhône</v>
      </c>
      <c r="M44" s="12">
        <v>71.0</v>
      </c>
      <c r="N44" s="10" t="s">
        <v>336</v>
      </c>
      <c r="O44" s="12">
        <v>1.0</v>
      </c>
      <c r="P44" s="13">
        <v>42907.0</v>
      </c>
      <c r="Q44" s="14"/>
      <c r="R44" s="12">
        <v>0.0</v>
      </c>
      <c r="S44" s="10" t="s">
        <v>75</v>
      </c>
      <c r="T44" s="10" t="s">
        <v>76</v>
      </c>
      <c r="U44" s="18" t="s">
        <v>2386</v>
      </c>
      <c r="V44" s="14"/>
      <c r="W44" s="14"/>
      <c r="X44" s="10" t="s">
        <v>198</v>
      </c>
      <c r="Y44" s="12">
        <v>205.0</v>
      </c>
      <c r="Z44" s="17" t="s">
        <v>2387</v>
      </c>
      <c r="AA44" s="12">
        <v>722382.0</v>
      </c>
      <c r="AB44" s="10" t="s">
        <v>2388</v>
      </c>
      <c r="AC44" s="17" t="s">
        <v>2389</v>
      </c>
      <c r="AD44" s="17" t="s">
        <v>2390</v>
      </c>
      <c r="AE44" s="12">
        <v>1.0</v>
      </c>
      <c r="AF44" s="14" t="s">
        <v>2391</v>
      </c>
      <c r="AG44" s="12">
        <v>21.0</v>
      </c>
      <c r="AH44" s="12">
        <v>36.0</v>
      </c>
      <c r="AI44" s="12">
        <v>2.0</v>
      </c>
      <c r="AJ44" s="12">
        <v>2.0</v>
      </c>
      <c r="AK44" s="12">
        <v>0.0</v>
      </c>
      <c r="AL44" s="12">
        <v>0.0</v>
      </c>
      <c r="AM44" s="12">
        <v>15.0</v>
      </c>
      <c r="AN44" s="12">
        <v>7.0</v>
      </c>
      <c r="AO44" s="12">
        <v>0.0</v>
      </c>
      <c r="AP44" s="12">
        <v>0.0</v>
      </c>
      <c r="AQ44" s="12">
        <v>5.0</v>
      </c>
      <c r="AR44" s="12">
        <v>0.0</v>
      </c>
      <c r="AS44" s="12">
        <v>1.0</v>
      </c>
    </row>
    <row r="45">
      <c r="A45" s="12">
        <v>505.0</v>
      </c>
      <c r="B45" s="10" t="s">
        <v>2955</v>
      </c>
      <c r="C45" s="10" t="s">
        <v>2956</v>
      </c>
      <c r="D45" s="10" t="s">
        <v>1652</v>
      </c>
      <c r="E45" s="10" t="s">
        <v>43</v>
      </c>
      <c r="F45" s="13">
        <v>20009.0</v>
      </c>
      <c r="G45" s="12">
        <f t="shared" si="1"/>
        <v>71</v>
      </c>
      <c r="H45" s="10" t="s">
        <v>739</v>
      </c>
      <c r="I45" s="10" t="str">
        <f>IFERROR(__xludf.DUMMYFUNCTION("SPLIT(LEFT(H45,LEN(H45)-1),""("")"),"Lyon ")</f>
        <v>Lyon </v>
      </c>
      <c r="J45" s="10" t="str">
        <f>IFERROR(__xludf.DUMMYFUNCTION("""COMPUTED_VALUE"""),"Rhône")</f>
        <v>Rhône</v>
      </c>
      <c r="K45" s="10" t="str">
        <f>IFERROR(__xludf.DUMMYFUNCTION("IF( COUNTA( IFERROR( FILTER('départements_edition'!$C$2:$C$102 , 'départements_edition'!$C$2:$C$102=J45 ) ) ) , ""Oui"" , ""Non"" )"),"Non")</f>
        <v>Non</v>
      </c>
      <c r="L45" s="10" t="str">
        <f t="shared" si="2"/>
        <v>Rhône</v>
      </c>
      <c r="M45" s="12">
        <v>69.0</v>
      </c>
      <c r="N45" s="10" t="s">
        <v>1363</v>
      </c>
      <c r="O45" s="12">
        <v>14.0</v>
      </c>
      <c r="P45" s="13">
        <v>42907.0</v>
      </c>
      <c r="Q45" s="14"/>
      <c r="R45" s="12">
        <v>0.0</v>
      </c>
      <c r="S45" s="10" t="s">
        <v>75</v>
      </c>
      <c r="T45" s="10" t="s">
        <v>76</v>
      </c>
      <c r="U45" s="15" t="s">
        <v>2957</v>
      </c>
      <c r="V45" s="16"/>
      <c r="W45" s="14"/>
      <c r="X45" s="10" t="s">
        <v>570</v>
      </c>
      <c r="Y45" s="12">
        <v>421.0</v>
      </c>
      <c r="Z45" s="17" t="s">
        <v>2958</v>
      </c>
      <c r="AA45" s="12">
        <v>608641.0</v>
      </c>
      <c r="AB45" s="10" t="s">
        <v>2959</v>
      </c>
      <c r="AC45" s="17" t="s">
        <v>2960</v>
      </c>
      <c r="AD45" s="17" t="s">
        <v>2961</v>
      </c>
      <c r="AE45" s="12">
        <v>1.0</v>
      </c>
      <c r="AF45" s="10" t="s">
        <v>2962</v>
      </c>
      <c r="AG45" s="12">
        <v>20.0</v>
      </c>
      <c r="AH45" s="12">
        <v>31.0</v>
      </c>
      <c r="AI45" s="12">
        <v>3.0</v>
      </c>
      <c r="AJ45" s="12">
        <v>10.0</v>
      </c>
      <c r="AK45" s="12">
        <v>1.0</v>
      </c>
      <c r="AL45" s="12">
        <v>3.0</v>
      </c>
      <c r="AM45" s="12">
        <v>114.0</v>
      </c>
      <c r="AN45" s="12">
        <v>60.0</v>
      </c>
      <c r="AO45" s="12">
        <v>1.0</v>
      </c>
      <c r="AP45" s="12">
        <v>0.0</v>
      </c>
      <c r="AQ45" s="12">
        <v>6.0</v>
      </c>
      <c r="AR45" s="12">
        <v>6.0</v>
      </c>
      <c r="AS45" s="12">
        <v>1.0</v>
      </c>
    </row>
    <row r="46">
      <c r="A46" s="12">
        <v>6.0</v>
      </c>
      <c r="B46" s="10" t="s">
        <v>3190</v>
      </c>
      <c r="C46" s="10" t="s">
        <v>3191</v>
      </c>
      <c r="D46" s="10" t="s">
        <v>3192</v>
      </c>
      <c r="E46" s="10" t="s">
        <v>43</v>
      </c>
      <c r="F46" s="13">
        <v>21305.0</v>
      </c>
      <c r="G46" s="12">
        <f t="shared" si="1"/>
        <v>68</v>
      </c>
      <c r="H46" s="10" t="s">
        <v>3193</v>
      </c>
      <c r="I46" s="10" t="str">
        <f>IFERROR(__xludf.DUMMYFUNCTION("SPLIT(LEFT(H46,LEN(H46)-1),""("")"),"Lyon 6 ")</f>
        <v>Lyon 6 </v>
      </c>
      <c r="J46" s="10" t="str">
        <f>IFERROR(__xludf.DUMMYFUNCTION("""COMPUTED_VALUE"""),"Rhône")</f>
        <v>Rhône</v>
      </c>
      <c r="K46" s="10" t="str">
        <f>IFERROR(__xludf.DUMMYFUNCTION("IF( COUNTA( IFERROR( FILTER('départements_edition'!$C$2:$C$102 , 'départements_edition'!$C$2:$C$102=J46 ) ) ) , ""Oui"" , ""Non"" )"),"Non")</f>
        <v>Non</v>
      </c>
      <c r="L46" s="10" t="str">
        <f t="shared" si="2"/>
        <v>Rhône</v>
      </c>
      <c r="M46" s="12">
        <v>69.0</v>
      </c>
      <c r="N46" s="10" t="s">
        <v>1363</v>
      </c>
      <c r="O46" s="12">
        <v>12.0</v>
      </c>
      <c r="P46" s="13">
        <v>42907.0</v>
      </c>
      <c r="Q46" s="14"/>
      <c r="R46" s="12">
        <v>0.0</v>
      </c>
      <c r="S46" s="10" t="s">
        <v>280</v>
      </c>
      <c r="T46" s="10" t="s">
        <v>281</v>
      </c>
      <c r="U46" s="15" t="s">
        <v>3194</v>
      </c>
      <c r="V46" s="16"/>
      <c r="W46" s="14"/>
      <c r="X46" s="10" t="s">
        <v>151</v>
      </c>
      <c r="Y46" s="12">
        <v>184.0</v>
      </c>
      <c r="Z46" s="17" t="s">
        <v>3195</v>
      </c>
      <c r="AA46" s="12">
        <v>722374.0</v>
      </c>
      <c r="AB46" s="10" t="s">
        <v>3196</v>
      </c>
      <c r="AC46" s="17" t="s">
        <v>3197</v>
      </c>
      <c r="AD46" s="17" t="s">
        <v>3198</v>
      </c>
      <c r="AE46" s="12">
        <v>1.0</v>
      </c>
      <c r="AF46" s="10" t="s">
        <v>3199</v>
      </c>
      <c r="AG46" s="12">
        <v>20.0</v>
      </c>
      <c r="AH46" s="12">
        <v>32.0</v>
      </c>
      <c r="AI46" s="12">
        <v>16.0</v>
      </c>
      <c r="AJ46" s="12">
        <v>12.0</v>
      </c>
      <c r="AK46" s="12">
        <v>8.0</v>
      </c>
      <c r="AL46" s="12">
        <v>17.0</v>
      </c>
      <c r="AM46" s="12">
        <v>263.0</v>
      </c>
      <c r="AN46" s="12">
        <v>25.0</v>
      </c>
      <c r="AO46" s="12">
        <v>0.0</v>
      </c>
      <c r="AP46" s="12">
        <v>0.0</v>
      </c>
      <c r="AQ46" s="12">
        <v>5.0</v>
      </c>
      <c r="AR46" s="12">
        <v>11.0</v>
      </c>
      <c r="AS46" s="12">
        <v>0.0</v>
      </c>
    </row>
    <row r="47">
      <c r="A47" s="12">
        <v>214.0</v>
      </c>
      <c r="B47" s="10" t="s">
        <v>3745</v>
      </c>
      <c r="C47" s="10" t="s">
        <v>3746</v>
      </c>
      <c r="D47" s="10" t="s">
        <v>1262</v>
      </c>
      <c r="E47" s="10" t="s">
        <v>43</v>
      </c>
      <c r="F47" s="13">
        <v>29727.0</v>
      </c>
      <c r="G47" s="12">
        <f t="shared" si="1"/>
        <v>45</v>
      </c>
      <c r="H47" s="10" t="s">
        <v>3747</v>
      </c>
      <c r="I47" s="10" t="str">
        <f>IFERROR(__xludf.DUMMYFUNCTION("SPLIT(LEFT(H47,LEN(H47)-1),""("")"),"Saint-Symphorien-sur-Coise ")</f>
        <v>Saint-Symphorien-sur-Coise </v>
      </c>
      <c r="J47" s="10" t="str">
        <f>IFERROR(__xludf.DUMMYFUNCTION("""COMPUTED_VALUE"""),"Rhône")</f>
        <v>Rhône</v>
      </c>
      <c r="K47" s="10" t="str">
        <f>IFERROR(__xludf.DUMMYFUNCTION("IF( COUNTA( IFERROR( FILTER('départements_edition'!$C$2:$C$102 , 'départements_edition'!$C$2:$C$102=J47 ) ) ) , ""Oui"" , ""Non"" )"),"Non")</f>
        <v>Non</v>
      </c>
      <c r="L47" s="10" t="str">
        <f t="shared" si="2"/>
        <v>Rhône</v>
      </c>
      <c r="M47" s="12">
        <v>69.0</v>
      </c>
      <c r="N47" s="10" t="s">
        <v>1363</v>
      </c>
      <c r="O47" s="12">
        <v>10.0</v>
      </c>
      <c r="P47" s="13">
        <v>42907.0</v>
      </c>
      <c r="Q47" s="14"/>
      <c r="R47" s="12">
        <v>0.0</v>
      </c>
      <c r="S47" s="10" t="s">
        <v>75</v>
      </c>
      <c r="T47" s="10" t="s">
        <v>76</v>
      </c>
      <c r="U47" s="15" t="s">
        <v>3748</v>
      </c>
      <c r="V47" s="16"/>
      <c r="W47" s="14"/>
      <c r="X47" s="10" t="s">
        <v>198</v>
      </c>
      <c r="Y47" s="12">
        <v>273.0</v>
      </c>
      <c r="Z47" s="17" t="s">
        <v>3749</v>
      </c>
      <c r="AA47" s="12">
        <v>722358.0</v>
      </c>
      <c r="AB47" s="10" t="s">
        <v>3750</v>
      </c>
      <c r="AC47" s="17" t="s">
        <v>3751</v>
      </c>
      <c r="AD47" s="17" t="s">
        <v>3752</v>
      </c>
      <c r="AE47" s="12">
        <v>2.0</v>
      </c>
      <c r="AF47" s="10" t="s">
        <v>3753</v>
      </c>
      <c r="AG47" s="12">
        <v>19.0</v>
      </c>
      <c r="AH47" s="12">
        <v>32.0</v>
      </c>
      <c r="AI47" s="12">
        <v>10.0</v>
      </c>
      <c r="AJ47" s="12">
        <v>1.0</v>
      </c>
      <c r="AK47" s="12">
        <v>0.0</v>
      </c>
      <c r="AL47" s="12">
        <v>0.0</v>
      </c>
      <c r="AM47" s="12">
        <v>4.0</v>
      </c>
      <c r="AN47" s="12">
        <v>1.0</v>
      </c>
      <c r="AO47" s="12">
        <v>1.0</v>
      </c>
      <c r="AP47" s="12">
        <v>0.0</v>
      </c>
      <c r="AQ47" s="12">
        <v>5.0</v>
      </c>
      <c r="AR47" s="12">
        <v>0.0</v>
      </c>
      <c r="AS47" s="12">
        <v>0.0</v>
      </c>
    </row>
    <row r="48">
      <c r="A48" s="12">
        <v>309.0</v>
      </c>
      <c r="B48" s="10" t="s">
        <v>5067</v>
      </c>
      <c r="C48" s="10" t="s">
        <v>5068</v>
      </c>
      <c r="D48" s="10" t="s">
        <v>5069</v>
      </c>
      <c r="E48" s="10" t="s">
        <v>58</v>
      </c>
      <c r="F48" s="13">
        <v>29312.0</v>
      </c>
      <c r="G48" s="12">
        <f t="shared" si="1"/>
        <v>46</v>
      </c>
      <c r="H48" s="10" t="s">
        <v>5070</v>
      </c>
      <c r="I48" s="10" t="str">
        <f>IFERROR(__xludf.DUMMYFUNCTION("SPLIT(LEFT(H48,LEN(H48)-1),""("")"),"Vénissieux ")</f>
        <v>Vénissieux </v>
      </c>
      <c r="J48" s="10" t="str">
        <f>IFERROR(__xludf.DUMMYFUNCTION("""COMPUTED_VALUE"""),"Rhône")</f>
        <v>Rhône</v>
      </c>
      <c r="K48" s="10" t="str">
        <f>IFERROR(__xludf.DUMMYFUNCTION("IF( COUNTA( IFERROR( FILTER('départements_edition'!$C$2:$C$102 , 'départements_edition'!$C$2:$C$102=J48 ) ) ) , ""Oui"" , ""Non"" )"),"Non")</f>
        <v>Non</v>
      </c>
      <c r="L48" s="10" t="str">
        <f t="shared" si="2"/>
        <v>Rhône</v>
      </c>
      <c r="M48" s="12">
        <v>69.0</v>
      </c>
      <c r="N48" s="10" t="s">
        <v>1363</v>
      </c>
      <c r="O48" s="12">
        <v>7.0</v>
      </c>
      <c r="P48" s="13">
        <v>42907.0</v>
      </c>
      <c r="Q48" s="14"/>
      <c r="R48" s="12">
        <v>0.0</v>
      </c>
      <c r="S48" s="10" t="s">
        <v>75</v>
      </c>
      <c r="T48" s="10" t="s">
        <v>76</v>
      </c>
      <c r="U48" s="15" t="s">
        <v>5071</v>
      </c>
      <c r="V48" s="16"/>
      <c r="W48" s="14"/>
      <c r="X48" s="10" t="s">
        <v>5072</v>
      </c>
      <c r="Y48" s="12">
        <v>573.0</v>
      </c>
      <c r="Z48" s="17" t="s">
        <v>5073</v>
      </c>
      <c r="AA48" s="12">
        <v>722300.0</v>
      </c>
      <c r="AB48" s="10" t="s">
        <v>5074</v>
      </c>
      <c r="AC48" s="17" t="s">
        <v>5075</v>
      </c>
      <c r="AD48" s="17" t="s">
        <v>5076</v>
      </c>
      <c r="AE48" s="12">
        <v>1.0</v>
      </c>
      <c r="AF48" s="10" t="s">
        <v>5077</v>
      </c>
      <c r="AG48" s="12">
        <v>14.0</v>
      </c>
      <c r="AH48" s="12">
        <v>28.0</v>
      </c>
      <c r="AI48" s="12">
        <v>6.0</v>
      </c>
      <c r="AJ48" s="12">
        <v>5.0</v>
      </c>
      <c r="AK48" s="12">
        <v>0.0</v>
      </c>
      <c r="AL48" s="12">
        <v>0.0</v>
      </c>
      <c r="AM48" s="12">
        <v>14.0</v>
      </c>
      <c r="AN48" s="12">
        <v>1.0</v>
      </c>
      <c r="AO48" s="12">
        <v>0.0</v>
      </c>
      <c r="AP48" s="12">
        <v>0.0</v>
      </c>
      <c r="AQ48" s="12">
        <v>5.0</v>
      </c>
      <c r="AR48" s="12">
        <v>4.0</v>
      </c>
      <c r="AS48" s="12">
        <v>1.0</v>
      </c>
    </row>
    <row r="49">
      <c r="A49" s="12">
        <v>544.0</v>
      </c>
      <c r="B49" s="10" t="s">
        <v>5277</v>
      </c>
      <c r="C49" s="10" t="s">
        <v>5278</v>
      </c>
      <c r="D49" s="10" t="s">
        <v>312</v>
      </c>
      <c r="E49" s="10" t="s">
        <v>58</v>
      </c>
      <c r="F49" s="13">
        <v>23985.0</v>
      </c>
      <c r="G49" s="12">
        <f t="shared" si="1"/>
        <v>60</v>
      </c>
      <c r="H49" s="10" t="s">
        <v>5279</v>
      </c>
      <c r="I49" s="10" t="str">
        <f>IFERROR(__xludf.DUMMYFUNCTION("SPLIT(LEFT(H49,LEN(H49)-1),""("")"),"Lyon 7ème ")</f>
        <v>Lyon 7ème </v>
      </c>
      <c r="J49" s="10" t="str">
        <f>IFERROR(__xludf.DUMMYFUNCTION("""COMPUTED_VALUE"""),"Rhône")</f>
        <v>Rhône</v>
      </c>
      <c r="K49" s="10" t="str">
        <f>IFERROR(__xludf.DUMMYFUNCTION("IF( COUNTA( IFERROR( FILTER('départements_edition'!$C$2:$C$102 , 'départements_edition'!$C$2:$C$102=J49 ) ) ) , ""Oui"" , ""Non"" )"),"Non")</f>
        <v>Non</v>
      </c>
      <c r="L49" s="10" t="str">
        <f t="shared" si="2"/>
        <v>Rhône</v>
      </c>
      <c r="M49" s="12">
        <v>69.0</v>
      </c>
      <c r="N49" s="10" t="s">
        <v>1363</v>
      </c>
      <c r="O49" s="12">
        <v>13.0</v>
      </c>
      <c r="P49" s="13">
        <v>42907.0</v>
      </c>
      <c r="Q49" s="14"/>
      <c r="R49" s="12">
        <v>0.0</v>
      </c>
      <c r="S49" s="10" t="s">
        <v>75</v>
      </c>
      <c r="T49" s="10" t="s">
        <v>76</v>
      </c>
      <c r="U49" s="10"/>
      <c r="V49" s="14"/>
      <c r="W49" s="14"/>
      <c r="X49" s="10" t="s">
        <v>5280</v>
      </c>
      <c r="Y49" s="12">
        <v>624.0</v>
      </c>
      <c r="Z49" s="17" t="s">
        <v>5281</v>
      </c>
      <c r="AA49" s="12">
        <v>721352.0</v>
      </c>
      <c r="AB49" s="10" t="s">
        <v>5282</v>
      </c>
      <c r="AC49" s="17" t="s">
        <v>5283</v>
      </c>
      <c r="AD49" s="17" t="s">
        <v>5284</v>
      </c>
      <c r="AE49" s="12">
        <v>1.0</v>
      </c>
      <c r="AF49" s="10"/>
      <c r="AG49" s="12">
        <v>12.0</v>
      </c>
      <c r="AH49" s="12">
        <v>17.0</v>
      </c>
      <c r="AI49" s="12">
        <v>4.0</v>
      </c>
      <c r="AJ49" s="12">
        <v>3.0</v>
      </c>
      <c r="AK49" s="12">
        <v>2.0</v>
      </c>
      <c r="AL49" s="12">
        <v>0.0</v>
      </c>
      <c r="AM49" s="12">
        <v>53.0</v>
      </c>
      <c r="AN49" s="12">
        <v>14.0</v>
      </c>
      <c r="AO49" s="12">
        <v>0.0</v>
      </c>
      <c r="AP49" s="12">
        <v>0.0</v>
      </c>
      <c r="AQ49" s="12">
        <v>6.0</v>
      </c>
      <c r="AR49" s="12">
        <v>5.0</v>
      </c>
      <c r="AS49" s="12">
        <v>1.0</v>
      </c>
    </row>
    <row r="50">
      <c r="A50" s="12">
        <v>286.0</v>
      </c>
      <c r="B50" s="10" t="s">
        <v>4659</v>
      </c>
      <c r="C50" s="10" t="s">
        <v>4660</v>
      </c>
      <c r="D50" s="10" t="s">
        <v>1341</v>
      </c>
      <c r="E50" s="10" t="s">
        <v>43</v>
      </c>
      <c r="F50" s="13">
        <v>32888.0</v>
      </c>
      <c r="G50" s="12">
        <f t="shared" si="1"/>
        <v>36</v>
      </c>
      <c r="H50" s="10" t="s">
        <v>4661</v>
      </c>
      <c r="I50" s="10" t="str">
        <f>IFERROR(__xludf.DUMMYFUNCTION("SPLIT(LEFT(H50,LEN(H50)-1),""("")"),"Madanzh-Buhimga ")</f>
        <v>Madanzh-Buhimga </v>
      </c>
      <c r="J50" s="10" t="str">
        <f>IFERROR(__xludf.DUMMYFUNCTION("""COMPUTED_VALUE"""),"Rwanda")</f>
        <v>Rwanda</v>
      </c>
      <c r="K50" s="10" t="str">
        <f>IFERROR(__xludf.DUMMYFUNCTION("IF( COUNTA( IFERROR( FILTER('départements_edition'!$C$2:$C$102 , 'départements_edition'!$C$2:$C$102=J50 ) ) ) , ""Oui"" , ""Non"" )"),"Non")</f>
        <v>Non</v>
      </c>
      <c r="L50" s="10" t="str">
        <f t="shared" si="2"/>
        <v>Rwanda</v>
      </c>
      <c r="M50" s="12">
        <v>22.0</v>
      </c>
      <c r="N50" s="10" t="s">
        <v>1883</v>
      </c>
      <c r="O50" s="12">
        <v>2.0</v>
      </c>
      <c r="P50" s="13">
        <v>42907.0</v>
      </c>
      <c r="Q50" s="14"/>
      <c r="R50" s="12">
        <v>0.0</v>
      </c>
      <c r="S50" s="10" t="s">
        <v>75</v>
      </c>
      <c r="T50" s="10" t="s">
        <v>76</v>
      </c>
      <c r="U50" s="15" t="s">
        <v>4662</v>
      </c>
      <c r="V50" s="16"/>
      <c r="W50" s="14"/>
      <c r="X50" s="10" t="s">
        <v>162</v>
      </c>
      <c r="Y50" s="12">
        <v>212.0</v>
      </c>
      <c r="Z50" s="17" t="s">
        <v>4663</v>
      </c>
      <c r="AA50" s="12">
        <v>719218.0</v>
      </c>
      <c r="AB50" s="10" t="s">
        <v>4664</v>
      </c>
      <c r="AC50" s="17" t="s">
        <v>4665</v>
      </c>
      <c r="AD50" s="17" t="s">
        <v>4666</v>
      </c>
      <c r="AE50" s="12">
        <v>1.0</v>
      </c>
      <c r="AF50" s="10" t="s">
        <v>4667</v>
      </c>
      <c r="AG50" s="12">
        <v>16.0</v>
      </c>
      <c r="AH50" s="12">
        <v>29.0</v>
      </c>
      <c r="AI50" s="12">
        <v>12.0</v>
      </c>
      <c r="AJ50" s="12">
        <v>5.0</v>
      </c>
      <c r="AK50" s="12">
        <v>2.0</v>
      </c>
      <c r="AL50" s="12">
        <v>0.0</v>
      </c>
      <c r="AM50" s="12">
        <v>22.0</v>
      </c>
      <c r="AN50" s="12">
        <v>8.0</v>
      </c>
      <c r="AO50" s="12">
        <v>0.0</v>
      </c>
      <c r="AP50" s="12">
        <v>0.0</v>
      </c>
      <c r="AQ50" s="12">
        <v>5.0</v>
      </c>
      <c r="AR50" s="12">
        <v>0.0</v>
      </c>
      <c r="AS50" s="12">
        <v>1.0</v>
      </c>
    </row>
    <row r="51">
      <c r="A51" s="12">
        <v>444.0</v>
      </c>
      <c r="B51" s="10" t="s">
        <v>4764</v>
      </c>
      <c r="C51" s="10" t="s">
        <v>4765</v>
      </c>
      <c r="D51" s="10" t="s">
        <v>3905</v>
      </c>
      <c r="E51" s="10" t="s">
        <v>58</v>
      </c>
      <c r="F51" s="13">
        <v>21069.0</v>
      </c>
      <c r="G51" s="12">
        <f t="shared" si="1"/>
        <v>68</v>
      </c>
      <c r="H51" s="10" t="s">
        <v>4766</v>
      </c>
      <c r="I51" s="10" t="str">
        <f>IFERROR(__xludf.DUMMYFUNCTION("SPLIT(LEFT(H51,LEN(H51)-1),""("")"),"Saint-Martin ")</f>
        <v>Saint-Martin </v>
      </c>
      <c r="J51" s="10" t="str">
        <f>IFERROR(__xludf.DUMMYFUNCTION("""COMPUTED_VALUE"""),"Saint-Barthélemy et Saint-Martin")</f>
        <v>Saint-Barthélemy et Saint-Martin</v>
      </c>
      <c r="K51" s="10" t="str">
        <f>IFERROR(__xludf.DUMMYFUNCTION("IF( COUNTA( IFERROR( FILTER('départements_edition'!$C$2:$C$102 , 'départements_edition'!$C$2:$C$102=J51 ) ) ) , ""Oui"" , ""Non"" )"),"Non")</f>
        <v>Non</v>
      </c>
      <c r="L51" s="10" t="str">
        <f t="shared" si="2"/>
        <v>Saint-Barthélemy et Saint-Martin</v>
      </c>
      <c r="M51" s="12">
        <v>977.0</v>
      </c>
      <c r="N51" s="10" t="s">
        <v>4767</v>
      </c>
      <c r="O51" s="12">
        <v>1.0</v>
      </c>
      <c r="P51" s="13">
        <v>42907.0</v>
      </c>
      <c r="Q51" s="14"/>
      <c r="R51" s="12">
        <v>0.0</v>
      </c>
      <c r="S51" s="10" t="s">
        <v>61</v>
      </c>
      <c r="T51" s="10" t="s">
        <v>62</v>
      </c>
      <c r="U51" s="10"/>
      <c r="V51" s="14"/>
      <c r="W51" s="14"/>
      <c r="X51" s="10" t="s">
        <v>4768</v>
      </c>
      <c r="Y51" s="12">
        <v>40.0</v>
      </c>
      <c r="Z51" s="17" t="s">
        <v>4769</v>
      </c>
      <c r="AA51" s="12">
        <v>721126.0</v>
      </c>
      <c r="AB51" s="10" t="s">
        <v>4770</v>
      </c>
      <c r="AC51" s="17" t="s">
        <v>4771</v>
      </c>
      <c r="AD51" s="17" t="s">
        <v>4772</v>
      </c>
      <c r="AE51" s="12">
        <v>1.0</v>
      </c>
      <c r="AF51" s="10"/>
      <c r="AG51" s="12">
        <v>16.0</v>
      </c>
      <c r="AH51" s="12">
        <v>36.0</v>
      </c>
      <c r="AI51" s="12">
        <v>3.0</v>
      </c>
      <c r="AJ51" s="12">
        <v>1.0</v>
      </c>
      <c r="AK51" s="12">
        <v>1.0</v>
      </c>
      <c r="AL51" s="12">
        <v>1.0</v>
      </c>
      <c r="AM51" s="12">
        <v>249.0</v>
      </c>
      <c r="AN51" s="12">
        <v>15.0</v>
      </c>
      <c r="AO51" s="12">
        <v>0.0</v>
      </c>
      <c r="AP51" s="12">
        <v>0.0</v>
      </c>
      <c r="AQ51" s="12">
        <v>3.0</v>
      </c>
      <c r="AR51" s="12">
        <v>0.0</v>
      </c>
      <c r="AS51" s="12">
        <v>1.0</v>
      </c>
    </row>
    <row r="52">
      <c r="A52" s="12">
        <v>582.0</v>
      </c>
      <c r="B52" s="10" t="s">
        <v>5476</v>
      </c>
      <c r="C52" s="10" t="s">
        <v>5477</v>
      </c>
      <c r="D52" s="10" t="s">
        <v>1540</v>
      </c>
      <c r="E52" s="10" t="s">
        <v>43</v>
      </c>
      <c r="F52" s="13">
        <v>23551.0</v>
      </c>
      <c r="G52" s="12">
        <f t="shared" si="1"/>
        <v>62</v>
      </c>
      <c r="H52" s="10" t="s">
        <v>5478</v>
      </c>
      <c r="I52" s="10" t="str">
        <f>IFERROR(__xludf.DUMMYFUNCTION("SPLIT(LEFT(H52,LEN(H52)-1),""("")"),"Saint-Pierre-et-Miquelon ")</f>
        <v>Saint-Pierre-et-Miquelon </v>
      </c>
      <c r="J52" s="10" t="str">
        <f>IFERROR(__xludf.DUMMYFUNCTION("""COMPUTED_VALUE"""),"Saint-Pierre-et-Miquelon")</f>
        <v>Saint-Pierre-et-Miquelon</v>
      </c>
      <c r="K52" s="10" t="str">
        <f>IFERROR(__xludf.DUMMYFUNCTION("IF( COUNTA( IFERROR( FILTER('départements_edition'!$C$2:$C$102 , 'départements_edition'!$C$2:$C$102=J52 ) ) ) , ""Oui"" , ""Non"" )"),"Non")</f>
        <v>Non</v>
      </c>
      <c r="L52" s="10" t="str">
        <f t="shared" si="2"/>
        <v>Saint-Pierre-et-Miquelon</v>
      </c>
      <c r="M52" s="12">
        <v>975.0</v>
      </c>
      <c r="N52" s="10" t="s">
        <v>5479</v>
      </c>
      <c r="O52" s="12">
        <v>1.0</v>
      </c>
      <c r="P52" s="13">
        <v>42938.0</v>
      </c>
      <c r="Q52" s="14"/>
      <c r="R52" s="12">
        <v>0.0</v>
      </c>
      <c r="S52" s="10" t="s">
        <v>75</v>
      </c>
      <c r="T52" s="10" t="s">
        <v>5480</v>
      </c>
      <c r="U52" s="15" t="s">
        <v>5481</v>
      </c>
      <c r="V52" s="16"/>
      <c r="W52" s="14"/>
      <c r="X52" s="10" t="s">
        <v>5482</v>
      </c>
      <c r="Y52" s="12">
        <v>599.0</v>
      </c>
      <c r="Z52" s="17" t="s">
        <v>5483</v>
      </c>
      <c r="AA52" s="12">
        <v>702054.0</v>
      </c>
      <c r="AB52" s="10" t="s">
        <v>5484</v>
      </c>
      <c r="AC52" s="17" t="s">
        <v>5485</v>
      </c>
      <c r="AD52" s="17" t="s">
        <v>5486</v>
      </c>
      <c r="AE52" s="12">
        <v>1.0</v>
      </c>
      <c r="AF52" s="10" t="s">
        <v>5487</v>
      </c>
      <c r="AG52" s="12">
        <v>7.0</v>
      </c>
      <c r="AH52" s="12">
        <v>18.0</v>
      </c>
      <c r="AI52" s="12">
        <v>7.0</v>
      </c>
      <c r="AJ52" s="12">
        <v>6.0</v>
      </c>
      <c r="AK52" s="12">
        <v>0.0</v>
      </c>
      <c r="AL52" s="12">
        <v>0.0</v>
      </c>
      <c r="AM52" s="12">
        <v>67.0</v>
      </c>
      <c r="AN52" s="12">
        <v>18.0</v>
      </c>
      <c r="AO52" s="12">
        <v>0.0</v>
      </c>
      <c r="AP52" s="12">
        <v>0.0</v>
      </c>
      <c r="AQ52" s="12">
        <v>6.0</v>
      </c>
      <c r="AR52" s="12">
        <v>1.0</v>
      </c>
      <c r="AS52" s="12">
        <v>0.0</v>
      </c>
    </row>
    <row r="53">
      <c r="A53" s="12">
        <v>426.0</v>
      </c>
      <c r="B53" s="10" t="s">
        <v>3862</v>
      </c>
      <c r="C53" s="10" t="s">
        <v>3863</v>
      </c>
      <c r="D53" s="10" t="s">
        <v>3864</v>
      </c>
      <c r="E53" s="10" t="s">
        <v>43</v>
      </c>
      <c r="F53" s="13">
        <v>28856.0</v>
      </c>
      <c r="G53" s="12">
        <f t="shared" si="1"/>
        <v>47</v>
      </c>
      <c r="H53" s="10" t="s">
        <v>3865</v>
      </c>
      <c r="I53" s="10" t="str">
        <f>IFERROR(__xludf.DUMMYFUNCTION("SPLIT(LEFT(H53,LEN(H53)-1),""("")"),"Dakar ")</f>
        <v>Dakar </v>
      </c>
      <c r="J53" s="10" t="str">
        <f>IFERROR(__xludf.DUMMYFUNCTION("""COMPUTED_VALUE"""),"Senegal")</f>
        <v>Senegal</v>
      </c>
      <c r="K53" s="10" t="str">
        <f>IFERROR(__xludf.DUMMYFUNCTION("IF( COUNTA( IFERROR( FILTER('départements_edition'!$C$2:$C$102 , 'départements_edition'!$C$2:$C$102=J53 ) ) ) , ""Oui"" , ""Non"" )"),"Non")</f>
        <v>Non</v>
      </c>
      <c r="L53" s="10" t="str">
        <f t="shared" si="2"/>
        <v>Senegal</v>
      </c>
      <c r="M53" s="12">
        <v>94.0</v>
      </c>
      <c r="N53" s="10" t="s">
        <v>642</v>
      </c>
      <c r="O53" s="12">
        <v>2.0</v>
      </c>
      <c r="P53" s="13">
        <v>42907.0</v>
      </c>
      <c r="Q53" s="14"/>
      <c r="R53" s="12">
        <v>0.0</v>
      </c>
      <c r="S53" s="10" t="s">
        <v>75</v>
      </c>
      <c r="T53" s="10" t="s">
        <v>76</v>
      </c>
      <c r="U53" s="19" t="s">
        <v>3866</v>
      </c>
      <c r="V53" s="16"/>
      <c r="W53" s="14"/>
      <c r="X53" s="10" t="s">
        <v>936</v>
      </c>
      <c r="Y53" s="12">
        <v>426.0</v>
      </c>
      <c r="Z53" s="17" t="s">
        <v>3867</v>
      </c>
      <c r="AA53" s="12">
        <v>720870.0</v>
      </c>
      <c r="AB53" s="10" t="s">
        <v>3868</v>
      </c>
      <c r="AC53" s="17" t="s">
        <v>3869</v>
      </c>
      <c r="AD53" s="17" t="s">
        <v>3870</v>
      </c>
      <c r="AE53" s="12">
        <v>1.0</v>
      </c>
      <c r="AF53" s="14" t="s">
        <v>3871</v>
      </c>
      <c r="AG53" s="12">
        <v>19.0</v>
      </c>
      <c r="AH53" s="12">
        <v>32.0</v>
      </c>
      <c r="AI53" s="12">
        <v>9.0</v>
      </c>
      <c r="AJ53" s="12">
        <v>16.0</v>
      </c>
      <c r="AK53" s="12">
        <v>1.0</v>
      </c>
      <c r="AL53" s="12">
        <v>0.0</v>
      </c>
      <c r="AM53" s="12">
        <v>16.0</v>
      </c>
      <c r="AN53" s="12">
        <v>9.0</v>
      </c>
      <c r="AO53" s="12">
        <v>0.0</v>
      </c>
      <c r="AP53" s="12">
        <v>0.0</v>
      </c>
      <c r="AQ53" s="12">
        <v>6.0</v>
      </c>
      <c r="AR53" s="12">
        <v>9.0</v>
      </c>
      <c r="AS53" s="12">
        <v>2.0</v>
      </c>
    </row>
    <row r="54">
      <c r="A54" s="12">
        <v>252.0</v>
      </c>
      <c r="B54" s="10" t="s">
        <v>1880</v>
      </c>
      <c r="C54" s="10" t="s">
        <v>1881</v>
      </c>
      <c r="D54" s="10" t="s">
        <v>944</v>
      </c>
      <c r="E54" s="10" t="s">
        <v>43</v>
      </c>
      <c r="F54" s="13">
        <v>20787.0</v>
      </c>
      <c r="G54" s="12">
        <f t="shared" si="1"/>
        <v>69</v>
      </c>
      <c r="H54" s="10" t="s">
        <v>1882</v>
      </c>
      <c r="I54" s="10" t="str">
        <f>IFERROR(__xludf.DUMMYFUNCTION("SPLIT(LEFT(H54,LEN(H54)-1),""("")"),"Dakar ")</f>
        <v>Dakar </v>
      </c>
      <c r="J54" s="10" t="str">
        <f>IFERROR(__xludf.DUMMYFUNCTION("""COMPUTED_VALUE"""),"Sénégal")</f>
        <v>Sénégal</v>
      </c>
      <c r="K54" s="10" t="str">
        <f>IFERROR(__xludf.DUMMYFUNCTION("IF( COUNTA( IFERROR( FILTER('départements_edition'!$C$2:$C$102 , 'départements_edition'!$C$2:$C$102=J54 ) ) ) , ""Oui"" , ""Non"" )"),"Non")</f>
        <v>Non</v>
      </c>
      <c r="L54" s="10" t="str">
        <f t="shared" si="2"/>
        <v>Sénégal</v>
      </c>
      <c r="M54" s="12">
        <v>22.0</v>
      </c>
      <c r="N54" s="10" t="s">
        <v>1883</v>
      </c>
      <c r="O54" s="12">
        <v>3.0</v>
      </c>
      <c r="P54" s="13">
        <v>42907.0</v>
      </c>
      <c r="Q54" s="14"/>
      <c r="R54" s="12">
        <v>0.0</v>
      </c>
      <c r="S54" s="10" t="s">
        <v>61</v>
      </c>
      <c r="T54" s="10" t="s">
        <v>62</v>
      </c>
      <c r="U54" s="15" t="s">
        <v>1884</v>
      </c>
      <c r="V54" s="16"/>
      <c r="W54" s="14"/>
      <c r="X54" s="10" t="s">
        <v>1885</v>
      </c>
      <c r="Y54" s="12">
        <v>96.0</v>
      </c>
      <c r="Z54" s="17" t="s">
        <v>1886</v>
      </c>
      <c r="AA54" s="12">
        <v>1874.0</v>
      </c>
      <c r="AB54" s="10" t="s">
        <v>1887</v>
      </c>
      <c r="AC54" s="17" t="s">
        <v>1888</v>
      </c>
      <c r="AD54" s="17" t="s">
        <v>1889</v>
      </c>
      <c r="AE54" s="12">
        <v>1.0</v>
      </c>
      <c r="AF54" s="10" t="s">
        <v>1890</v>
      </c>
      <c r="AG54" s="12">
        <v>22.0</v>
      </c>
      <c r="AH54" s="12">
        <v>39.0</v>
      </c>
      <c r="AI54" s="12">
        <v>89.0</v>
      </c>
      <c r="AJ54" s="12">
        <v>638.0</v>
      </c>
      <c r="AK54" s="12">
        <v>2335.0</v>
      </c>
      <c r="AL54" s="12">
        <v>545.0</v>
      </c>
      <c r="AM54" s="12">
        <v>1604.0</v>
      </c>
      <c r="AN54" s="12">
        <v>49.0</v>
      </c>
      <c r="AO54" s="12">
        <v>1.0</v>
      </c>
      <c r="AP54" s="12">
        <v>14.0</v>
      </c>
      <c r="AQ54" s="12">
        <v>81.0</v>
      </c>
      <c r="AR54" s="12">
        <v>9.0</v>
      </c>
      <c r="AS54" s="12">
        <v>1.0</v>
      </c>
    </row>
    <row r="55">
      <c r="A55" s="12">
        <v>546.0</v>
      </c>
      <c r="B55" s="10" t="s">
        <v>2804</v>
      </c>
      <c r="C55" s="10" t="s">
        <v>2805</v>
      </c>
      <c r="D55" s="10" t="s">
        <v>2806</v>
      </c>
      <c r="E55" s="10" t="s">
        <v>58</v>
      </c>
      <c r="F55" s="13">
        <v>24543.0</v>
      </c>
      <c r="G55" s="12">
        <f t="shared" si="1"/>
        <v>59</v>
      </c>
      <c r="H55" s="10" t="s">
        <v>2807</v>
      </c>
      <c r="I55" s="10" t="str">
        <f>IFERROR(__xludf.DUMMYFUNCTION("SPLIT(LEFT(H55,LEN(H55)-1),""("")"),"Pancevo ")</f>
        <v>Pancevo </v>
      </c>
      <c r="J55" s="10" t="str">
        <f>IFERROR(__xludf.DUMMYFUNCTION("""COMPUTED_VALUE"""),"SERBIE")</f>
        <v>SERBIE</v>
      </c>
      <c r="K55" s="10" t="str">
        <f>IFERROR(__xludf.DUMMYFUNCTION("IF( COUNTA( IFERROR( FILTER('départements_edition'!$C$2:$C$102 , 'départements_edition'!$C$2:$C$102=J55 ) ) ) , ""Oui"" , ""Non"" )"),"Non")</f>
        <v>Non</v>
      </c>
      <c r="L55" s="10" t="str">
        <f t="shared" si="2"/>
        <v>SERBIE</v>
      </c>
      <c r="M55" s="12">
        <v>29.0</v>
      </c>
      <c r="N55" s="10" t="s">
        <v>393</v>
      </c>
      <c r="O55" s="12">
        <v>7.0</v>
      </c>
      <c r="P55" s="13">
        <v>42907.0</v>
      </c>
      <c r="Q55" s="14"/>
      <c r="R55" s="12">
        <v>0.0</v>
      </c>
      <c r="S55" s="10" t="s">
        <v>75</v>
      </c>
      <c r="T55" s="10" t="s">
        <v>76</v>
      </c>
      <c r="U55" s="19" t="s">
        <v>2808</v>
      </c>
      <c r="V55" s="16"/>
      <c r="W55" s="14"/>
      <c r="X55" s="10" t="s">
        <v>118</v>
      </c>
      <c r="Y55" s="12">
        <v>398.0</v>
      </c>
      <c r="Z55" s="17" t="s">
        <v>2809</v>
      </c>
      <c r="AA55" s="12">
        <v>719550.0</v>
      </c>
      <c r="AB55" s="10" t="s">
        <v>2810</v>
      </c>
      <c r="AC55" s="17" t="s">
        <v>2811</v>
      </c>
      <c r="AD55" s="17" t="s">
        <v>2812</v>
      </c>
      <c r="AE55" s="12">
        <v>2.0</v>
      </c>
      <c r="AF55" s="14" t="s">
        <v>2813</v>
      </c>
      <c r="AG55" s="12">
        <v>21.0</v>
      </c>
      <c r="AH55" s="12">
        <v>55.0</v>
      </c>
      <c r="AI55" s="12">
        <v>20.0</v>
      </c>
      <c r="AJ55" s="12">
        <v>3.0</v>
      </c>
      <c r="AK55" s="12">
        <v>1.0</v>
      </c>
      <c r="AL55" s="12">
        <v>0.0</v>
      </c>
      <c r="AM55" s="12">
        <v>21.0</v>
      </c>
      <c r="AN55" s="12">
        <v>10.0</v>
      </c>
      <c r="AO55" s="12">
        <v>0.0</v>
      </c>
      <c r="AP55" s="12">
        <v>0.0</v>
      </c>
      <c r="AQ55" s="12">
        <v>5.0</v>
      </c>
      <c r="AR55" s="12">
        <v>2.0</v>
      </c>
      <c r="AS55" s="12">
        <v>0.0</v>
      </c>
    </row>
    <row r="56">
      <c r="A56" s="12">
        <v>478.0</v>
      </c>
      <c r="B56" s="10" t="s">
        <v>4264</v>
      </c>
      <c r="C56" s="10" t="s">
        <v>810</v>
      </c>
      <c r="D56" s="10" t="s">
        <v>4265</v>
      </c>
      <c r="E56" s="10" t="s">
        <v>58</v>
      </c>
      <c r="F56" s="13">
        <v>20195.0</v>
      </c>
      <c r="G56" s="12">
        <f t="shared" si="1"/>
        <v>71</v>
      </c>
      <c r="H56" s="10" t="s">
        <v>4266</v>
      </c>
      <c r="I56" s="10" t="str">
        <f>IFERROR(__xludf.DUMMYFUNCTION("SPLIT(LEFT(H56,LEN(H56)-1),""("")"),"Victoria ")</f>
        <v>Victoria </v>
      </c>
      <c r="J56" s="10" t="str">
        <f>IFERROR(__xludf.DUMMYFUNCTION("""COMPUTED_VALUE"""),"Seychelles")</f>
        <v>Seychelles</v>
      </c>
      <c r="K56" s="10" t="str">
        <f>IFERROR(__xludf.DUMMYFUNCTION("IF( COUNTA( IFERROR( FILTER('départements_edition'!$C$2:$C$102 , 'départements_edition'!$C$2:$C$102=J56 ) ) ) , ""Oui"" , ""Non"" )"),"Non")</f>
        <v>Non</v>
      </c>
      <c r="L56" s="10" t="str">
        <f t="shared" si="2"/>
        <v>Seychelles</v>
      </c>
      <c r="M56" s="12">
        <v>13.0</v>
      </c>
      <c r="N56" s="10" t="s">
        <v>279</v>
      </c>
      <c r="O56" s="12">
        <v>16.0</v>
      </c>
      <c r="P56" s="13">
        <v>42907.0</v>
      </c>
      <c r="Q56" s="14"/>
      <c r="R56" s="12">
        <v>0.0</v>
      </c>
      <c r="S56" s="10" t="s">
        <v>75</v>
      </c>
      <c r="T56" s="10" t="s">
        <v>76</v>
      </c>
      <c r="U56" s="15" t="s">
        <v>4267</v>
      </c>
      <c r="V56" s="16"/>
      <c r="W56" s="14"/>
      <c r="X56" s="10" t="s">
        <v>4268</v>
      </c>
      <c r="Y56" s="12">
        <v>244.0</v>
      </c>
      <c r="Z56" s="17" t="s">
        <v>4269</v>
      </c>
      <c r="AA56" s="12">
        <v>719130.0</v>
      </c>
      <c r="AB56" s="10" t="s">
        <v>4270</v>
      </c>
      <c r="AC56" s="17" t="s">
        <v>4271</v>
      </c>
      <c r="AD56" s="17" t="s">
        <v>4272</v>
      </c>
      <c r="AE56" s="12">
        <v>1.0</v>
      </c>
      <c r="AF56" s="10" t="s">
        <v>4273</v>
      </c>
      <c r="AG56" s="12">
        <v>18.0</v>
      </c>
      <c r="AH56" s="12">
        <v>45.0</v>
      </c>
      <c r="AI56" s="12">
        <v>5.0</v>
      </c>
      <c r="AJ56" s="12">
        <v>2.0</v>
      </c>
      <c r="AK56" s="12">
        <v>0.0</v>
      </c>
      <c r="AL56" s="12">
        <v>1.0</v>
      </c>
      <c r="AM56" s="12">
        <v>108.0</v>
      </c>
      <c r="AN56" s="12">
        <v>41.0</v>
      </c>
      <c r="AO56" s="12">
        <v>1.0</v>
      </c>
      <c r="AP56" s="12">
        <v>0.0</v>
      </c>
      <c r="AQ56" s="12">
        <v>5.0</v>
      </c>
      <c r="AR56" s="12">
        <v>2.0</v>
      </c>
      <c r="AS56" s="12">
        <v>0.0</v>
      </c>
    </row>
    <row r="57">
      <c r="A57" s="12">
        <v>352.0</v>
      </c>
      <c r="B57" s="10" t="s">
        <v>252</v>
      </c>
      <c r="C57" s="10" t="s">
        <v>253</v>
      </c>
      <c r="D57" s="10" t="s">
        <v>254</v>
      </c>
      <c r="E57" s="10" t="s">
        <v>43</v>
      </c>
      <c r="F57" s="13">
        <v>31914.0</v>
      </c>
      <c r="G57" s="12">
        <f t="shared" si="1"/>
        <v>39</v>
      </c>
      <c r="H57" s="10" t="s">
        <v>255</v>
      </c>
      <c r="I57" s="10" t="str">
        <f>IFERROR(__xludf.DUMMYFUNCTION("SPLIT(LEFT(H57,LEN(H57)-1),""("")"),"Bale ")</f>
        <v>Bale </v>
      </c>
      <c r="J57" s="10" t="str">
        <f>IFERROR(__xludf.DUMMYFUNCTION("""COMPUTED_VALUE"""),"Suisse")</f>
        <v>Suisse</v>
      </c>
      <c r="K57" s="10" t="str">
        <f>IFERROR(__xludf.DUMMYFUNCTION("IF( COUNTA( IFERROR( FILTER('départements_edition'!$C$2:$C$102 , 'départements_edition'!$C$2:$C$102=J57 ) ) ) , ""Oui"" , ""Non"" )"),"Non")</f>
        <v>Non</v>
      </c>
      <c r="L57" s="10" t="str">
        <f t="shared" si="2"/>
        <v>Suisse</v>
      </c>
      <c r="M57" s="12">
        <v>999.0</v>
      </c>
      <c r="N57" s="10" t="s">
        <v>256</v>
      </c>
      <c r="O57" s="12">
        <v>3.0</v>
      </c>
      <c r="P57" s="13">
        <v>42907.0</v>
      </c>
      <c r="Q57" s="14"/>
      <c r="R57" s="12">
        <v>0.0</v>
      </c>
      <c r="S57" s="10" t="s">
        <v>75</v>
      </c>
      <c r="T57" s="10" t="s">
        <v>76</v>
      </c>
      <c r="U57" s="15" t="s">
        <v>257</v>
      </c>
      <c r="V57" s="16"/>
      <c r="W57" s="14"/>
      <c r="X57" s="12">
        <v>0.0</v>
      </c>
      <c r="Y57" s="12">
        <v>298.0</v>
      </c>
      <c r="Z57" s="17" t="s">
        <v>258</v>
      </c>
      <c r="AA57" s="12">
        <v>721150.0</v>
      </c>
      <c r="AB57" s="10" t="s">
        <v>259</v>
      </c>
      <c r="AC57" s="17" t="s">
        <v>260</v>
      </c>
      <c r="AD57" s="17" t="s">
        <v>261</v>
      </c>
      <c r="AE57" s="12">
        <v>1.0</v>
      </c>
      <c r="AF57" s="10" t="s">
        <v>262</v>
      </c>
      <c r="AG57" s="12">
        <v>25.0</v>
      </c>
      <c r="AH57" s="12">
        <v>62.0</v>
      </c>
      <c r="AI57" s="12">
        <v>21.0</v>
      </c>
      <c r="AJ57" s="12">
        <v>13.0</v>
      </c>
      <c r="AK57" s="12">
        <v>2.0</v>
      </c>
      <c r="AL57" s="12">
        <v>10.0</v>
      </c>
      <c r="AM57" s="12">
        <v>169.0</v>
      </c>
      <c r="AN57" s="12">
        <v>107.0</v>
      </c>
      <c r="AO57" s="12">
        <v>1.0</v>
      </c>
      <c r="AP57" s="12">
        <v>0.0</v>
      </c>
      <c r="AQ57" s="12">
        <v>5.0</v>
      </c>
      <c r="AR57" s="12">
        <v>5.0</v>
      </c>
      <c r="AS57" s="12">
        <v>1.0</v>
      </c>
    </row>
    <row r="58">
      <c r="A58" s="12">
        <v>329.0</v>
      </c>
      <c r="B58" s="10" t="s">
        <v>3991</v>
      </c>
      <c r="C58" s="10" t="s">
        <v>3992</v>
      </c>
      <c r="D58" s="10" t="s">
        <v>810</v>
      </c>
      <c r="E58" s="10" t="s">
        <v>43</v>
      </c>
      <c r="F58" s="13">
        <v>24128.0</v>
      </c>
      <c r="G58" s="12">
        <f t="shared" si="1"/>
        <v>60</v>
      </c>
      <c r="H58" s="10" t="s">
        <v>3993</v>
      </c>
      <c r="I58" s="10" t="str">
        <f>IFERROR(__xludf.DUMMYFUNCTION("SPLIT(LEFT(H58,LEN(H58)-1),""("")"),"Belfort ")</f>
        <v>Belfort </v>
      </c>
      <c r="J58" s="10" t="str">
        <f>IFERROR(__xludf.DUMMYFUNCTION("""COMPUTED_VALUE"""),"Territoire de Belfort")</f>
        <v>Territoire de Belfort</v>
      </c>
      <c r="K58" s="10" t="str">
        <f>IFERROR(__xludf.DUMMYFUNCTION("IF( COUNTA( IFERROR( FILTER('départements_edition'!$C$2:$C$102 , 'départements_edition'!$C$2:$C$102=J58 ) ) ) , ""Oui"" , ""Non"" )"),"Non")</f>
        <v>Non</v>
      </c>
      <c r="L58" s="10" t="str">
        <f t="shared" si="2"/>
        <v>Territoire de Belfort</v>
      </c>
      <c r="M58" s="12">
        <v>90.0</v>
      </c>
      <c r="N58" s="10" t="s">
        <v>3994</v>
      </c>
      <c r="O58" s="12">
        <v>2.0</v>
      </c>
      <c r="P58" s="13">
        <v>42907.0</v>
      </c>
      <c r="Q58" s="14"/>
      <c r="R58" s="12">
        <v>0.0</v>
      </c>
      <c r="S58" s="10" t="s">
        <v>46</v>
      </c>
      <c r="T58" s="10" t="s">
        <v>47</v>
      </c>
      <c r="U58" s="15" t="s">
        <v>3995</v>
      </c>
      <c r="V58" s="16"/>
      <c r="W58" s="14"/>
      <c r="X58" s="10" t="s">
        <v>222</v>
      </c>
      <c r="Y58" s="12">
        <v>122.0</v>
      </c>
      <c r="Z58" s="17" t="s">
        <v>3996</v>
      </c>
      <c r="AA58" s="12">
        <v>267330.0</v>
      </c>
      <c r="AB58" s="10" t="s">
        <v>3997</v>
      </c>
      <c r="AC58" s="17" t="s">
        <v>3998</v>
      </c>
      <c r="AD58" s="17" t="s">
        <v>3999</v>
      </c>
      <c r="AE58" s="12">
        <v>2.0</v>
      </c>
      <c r="AF58" s="10" t="s">
        <v>4000</v>
      </c>
      <c r="AG58" s="12">
        <v>19.0</v>
      </c>
      <c r="AH58" s="12">
        <v>20.0</v>
      </c>
      <c r="AI58" s="12">
        <v>21.0</v>
      </c>
      <c r="AJ58" s="12">
        <v>59.0</v>
      </c>
      <c r="AK58" s="12">
        <v>30.0</v>
      </c>
      <c r="AL58" s="12">
        <v>22.0</v>
      </c>
      <c r="AM58" s="12">
        <v>628.0</v>
      </c>
      <c r="AN58" s="12">
        <v>35.0</v>
      </c>
      <c r="AO58" s="12">
        <v>1.0</v>
      </c>
      <c r="AP58" s="12">
        <v>1.0</v>
      </c>
      <c r="AQ58" s="12">
        <v>13.0</v>
      </c>
      <c r="AR58" s="12">
        <v>8.0</v>
      </c>
      <c r="AS58" s="12">
        <v>0.0</v>
      </c>
    </row>
    <row r="59">
      <c r="A59" s="12">
        <v>109.0</v>
      </c>
      <c r="B59" s="10" t="s">
        <v>5530</v>
      </c>
      <c r="C59" s="10" t="s">
        <v>5531</v>
      </c>
      <c r="D59" s="10" t="s">
        <v>5532</v>
      </c>
      <c r="E59" s="10" t="s">
        <v>43</v>
      </c>
      <c r="F59" s="13">
        <v>32268.0</v>
      </c>
      <c r="G59" s="12">
        <f t="shared" si="1"/>
        <v>38</v>
      </c>
      <c r="H59" s="10" t="s">
        <v>3993</v>
      </c>
      <c r="I59" s="10" t="str">
        <f>IFERROR(__xludf.DUMMYFUNCTION("SPLIT(LEFT(H59,LEN(H59)-1),""("")"),"Belfort ")</f>
        <v>Belfort </v>
      </c>
      <c r="J59" s="10" t="str">
        <f>IFERROR(__xludf.DUMMYFUNCTION("""COMPUTED_VALUE"""),"Territoire de Belfort")</f>
        <v>Territoire de Belfort</v>
      </c>
      <c r="K59" s="10" t="str">
        <f>IFERROR(__xludf.DUMMYFUNCTION("IF( COUNTA( IFERROR( FILTER('départements_edition'!$C$2:$C$102 , 'départements_edition'!$C$2:$C$102=J59 ) ) ) , ""Oui"" , ""Non"" )"),"Non")</f>
        <v>Non</v>
      </c>
      <c r="L59" s="10" t="str">
        <f t="shared" si="2"/>
        <v>Territoire de Belfort</v>
      </c>
      <c r="M59" s="12">
        <v>90.0</v>
      </c>
      <c r="N59" s="10" t="s">
        <v>3994</v>
      </c>
      <c r="O59" s="12">
        <v>1.0</v>
      </c>
      <c r="P59" s="13">
        <v>43136.0</v>
      </c>
      <c r="Q59" s="14"/>
      <c r="R59" s="12">
        <v>0.0</v>
      </c>
      <c r="S59" s="10" t="s">
        <v>61</v>
      </c>
      <c r="T59" s="10" t="s">
        <v>62</v>
      </c>
      <c r="U59" s="15" t="s">
        <v>5533</v>
      </c>
      <c r="V59" s="16"/>
      <c r="W59" s="14"/>
      <c r="X59" s="10" t="s">
        <v>162</v>
      </c>
      <c r="Y59" s="12">
        <v>39.0</v>
      </c>
      <c r="Z59" s="17" t="s">
        <v>5534</v>
      </c>
      <c r="AA59" s="12">
        <v>721816.0</v>
      </c>
      <c r="AB59" s="10" t="s">
        <v>5535</v>
      </c>
      <c r="AC59" s="17" t="s">
        <v>5536</v>
      </c>
      <c r="AD59" s="17" t="s">
        <v>5537</v>
      </c>
      <c r="AE59" s="12">
        <v>2.0</v>
      </c>
      <c r="AF59" s="10" t="s">
        <v>5538</v>
      </c>
      <c r="AG59" s="12">
        <v>0.0</v>
      </c>
      <c r="AH59" s="12">
        <v>0.0</v>
      </c>
      <c r="AI59" s="12">
        <v>0.0</v>
      </c>
      <c r="AJ59" s="12">
        <v>0.0</v>
      </c>
      <c r="AK59" s="12">
        <v>0.0</v>
      </c>
      <c r="AL59" s="12">
        <v>0.0</v>
      </c>
      <c r="AM59" s="12">
        <v>0.0</v>
      </c>
      <c r="AN59" s="12">
        <v>0.0</v>
      </c>
      <c r="AO59" s="12">
        <v>0.0</v>
      </c>
      <c r="AP59" s="12">
        <v>0.0</v>
      </c>
      <c r="AQ59" s="12">
        <v>0.0</v>
      </c>
      <c r="AR59" s="12">
        <v>0.0</v>
      </c>
      <c r="AS59" s="12">
        <v>0.0</v>
      </c>
    </row>
    <row r="60">
      <c r="A60" s="12">
        <v>382.0</v>
      </c>
      <c r="B60" s="10" t="s">
        <v>2204</v>
      </c>
      <c r="C60" s="10" t="s">
        <v>2205</v>
      </c>
      <c r="D60" s="10" t="s">
        <v>1352</v>
      </c>
      <c r="E60" s="10" t="s">
        <v>43</v>
      </c>
      <c r="F60" s="13">
        <v>27833.0</v>
      </c>
      <c r="G60" s="12">
        <f t="shared" si="1"/>
        <v>50</v>
      </c>
      <c r="H60" s="10" t="s">
        <v>2206</v>
      </c>
      <c r="I60" s="10" t="str">
        <f>IFERROR(__xludf.DUMMYFUNCTION("SPLIT(LEFT(H60,LEN(H60)-1),""("")"),"Lomé ")</f>
        <v>Lomé </v>
      </c>
      <c r="J60" s="10" t="str">
        <f>IFERROR(__xludf.DUMMYFUNCTION("""COMPUTED_VALUE"""),"Togo")</f>
        <v>Togo</v>
      </c>
      <c r="K60" s="10" t="str">
        <f>IFERROR(__xludf.DUMMYFUNCTION("IF( COUNTA( IFERROR( FILTER('départements_edition'!$C$2:$C$102 , 'départements_edition'!$C$2:$C$102=J60 ) ) ) , ""Oui"" , ""Non"" )"),"Non")</f>
        <v>Non</v>
      </c>
      <c r="L60" s="10" t="str">
        <f t="shared" si="2"/>
        <v>Togo</v>
      </c>
      <c r="M60" s="12">
        <v>93.0</v>
      </c>
      <c r="N60" s="10" t="s">
        <v>196</v>
      </c>
      <c r="O60" s="12">
        <v>3.0</v>
      </c>
      <c r="P60" s="13">
        <v>42907.0</v>
      </c>
      <c r="Q60" s="14"/>
      <c r="R60" s="12">
        <v>0.0</v>
      </c>
      <c r="S60" s="10" t="s">
        <v>75</v>
      </c>
      <c r="T60" s="10" t="s">
        <v>76</v>
      </c>
      <c r="U60" s="15" t="s">
        <v>2207</v>
      </c>
      <c r="V60" s="16"/>
      <c r="W60" s="14"/>
      <c r="X60" s="10" t="s">
        <v>2208</v>
      </c>
      <c r="Y60" s="12">
        <v>352.0</v>
      </c>
      <c r="Z60" s="17" t="s">
        <v>2209</v>
      </c>
      <c r="AA60" s="12">
        <v>721278.0</v>
      </c>
      <c r="AB60" s="10" t="s">
        <v>2210</v>
      </c>
      <c r="AC60" s="17" t="s">
        <v>2211</v>
      </c>
      <c r="AD60" s="17" t="s">
        <v>2212</v>
      </c>
      <c r="AE60" s="12">
        <v>1.0</v>
      </c>
      <c r="AF60" s="10" t="s">
        <v>2213</v>
      </c>
      <c r="AG60" s="12">
        <v>21.0</v>
      </c>
      <c r="AH60" s="12">
        <v>44.0</v>
      </c>
      <c r="AI60" s="12">
        <v>20.0</v>
      </c>
      <c r="AJ60" s="12">
        <v>5.0</v>
      </c>
      <c r="AK60" s="12">
        <v>1.0</v>
      </c>
      <c r="AL60" s="12">
        <v>3.0</v>
      </c>
      <c r="AM60" s="12">
        <v>73.0</v>
      </c>
      <c r="AN60" s="12">
        <v>31.0</v>
      </c>
      <c r="AO60" s="12">
        <v>1.0</v>
      </c>
      <c r="AP60" s="12">
        <v>0.0</v>
      </c>
      <c r="AQ60" s="12">
        <v>5.0</v>
      </c>
      <c r="AR60" s="12">
        <v>1.0</v>
      </c>
      <c r="AS60" s="12">
        <v>0.0</v>
      </c>
    </row>
    <row r="61">
      <c r="A61" s="12">
        <v>509.0</v>
      </c>
      <c r="B61" s="10" t="s">
        <v>4183</v>
      </c>
      <c r="C61" s="10" t="s">
        <v>4184</v>
      </c>
      <c r="D61" s="10" t="s">
        <v>589</v>
      </c>
      <c r="E61" s="10" t="s">
        <v>43</v>
      </c>
      <c r="F61" s="13">
        <v>19688.0</v>
      </c>
      <c r="G61" s="12">
        <f t="shared" si="1"/>
        <v>72</v>
      </c>
      <c r="H61" s="10" t="s">
        <v>4185</v>
      </c>
      <c r="I61" s="10" t="str">
        <f>IFERROR(__xludf.DUMMYFUNCTION("SPLIT(LEFT(H61,LEN(H61)-1),""("")"),"Bizerte ")</f>
        <v>Bizerte </v>
      </c>
      <c r="J61" s="10" t="str">
        <f>IFERROR(__xludf.DUMMYFUNCTION("""COMPUTED_VALUE"""),"Tunisie")</f>
        <v>Tunisie</v>
      </c>
      <c r="K61" s="10" t="str">
        <f>IFERROR(__xludf.DUMMYFUNCTION("IF( COUNTA( IFERROR( FILTER('départements_edition'!$C$2:$C$102 , 'départements_edition'!$C$2:$C$102=J61 ) ) ) , ""Oui"" , ""Non"" )"),"Non")</f>
        <v>Non</v>
      </c>
      <c r="L61" s="10" t="str">
        <f t="shared" si="2"/>
        <v>Tunisie</v>
      </c>
      <c r="M61" s="12">
        <v>22.0</v>
      </c>
      <c r="N61" s="10" t="s">
        <v>1883</v>
      </c>
      <c r="O61" s="12">
        <v>1.0</v>
      </c>
      <c r="P61" s="13">
        <v>42907.0</v>
      </c>
      <c r="Q61" s="14"/>
      <c r="R61" s="12">
        <v>0.0</v>
      </c>
      <c r="S61" s="10" t="s">
        <v>280</v>
      </c>
      <c r="T61" s="10" t="s">
        <v>281</v>
      </c>
      <c r="U61" s="15" t="s">
        <v>4186</v>
      </c>
      <c r="V61" s="16"/>
      <c r="W61" s="14"/>
      <c r="X61" s="10" t="s">
        <v>4187</v>
      </c>
      <c r="Y61" s="12">
        <v>179.0</v>
      </c>
      <c r="Z61" s="17" t="s">
        <v>4188</v>
      </c>
      <c r="AA61" s="12">
        <v>719210.0</v>
      </c>
      <c r="AB61" s="10" t="s">
        <v>4189</v>
      </c>
      <c r="AC61" s="17" t="s">
        <v>4190</v>
      </c>
      <c r="AD61" s="17" t="s">
        <v>4191</v>
      </c>
      <c r="AE61" s="12">
        <v>2.0</v>
      </c>
      <c r="AF61" s="10" t="s">
        <v>4192</v>
      </c>
      <c r="AG61" s="12">
        <v>18.0</v>
      </c>
      <c r="AH61" s="12">
        <v>30.0</v>
      </c>
      <c r="AI61" s="12">
        <v>6.0</v>
      </c>
      <c r="AJ61" s="12">
        <v>5.0</v>
      </c>
      <c r="AK61" s="12">
        <v>4.0</v>
      </c>
      <c r="AL61" s="12">
        <v>0.0</v>
      </c>
      <c r="AM61" s="12">
        <v>185.0</v>
      </c>
      <c r="AN61" s="12">
        <v>16.0</v>
      </c>
      <c r="AO61" s="12">
        <v>0.0</v>
      </c>
      <c r="AP61" s="12">
        <v>0.0</v>
      </c>
      <c r="AQ61" s="12">
        <v>5.0</v>
      </c>
      <c r="AR61" s="12">
        <v>0.0</v>
      </c>
      <c r="AS61" s="12">
        <v>2.0</v>
      </c>
    </row>
    <row r="62">
      <c r="A62" s="12">
        <v>270.0</v>
      </c>
      <c r="B62" s="10" t="s">
        <v>4781</v>
      </c>
      <c r="C62" s="10" t="s">
        <v>4782</v>
      </c>
      <c r="D62" s="10" t="s">
        <v>4783</v>
      </c>
      <c r="E62" s="10" t="s">
        <v>58</v>
      </c>
      <c r="F62" s="13">
        <v>30305.0</v>
      </c>
      <c r="G62" s="12">
        <f t="shared" si="1"/>
        <v>43</v>
      </c>
      <c r="H62" s="10" t="s">
        <v>4784</v>
      </c>
      <c r="I62" s="10" t="str">
        <f>IFERROR(__xludf.DUMMYFUNCTION("SPLIT(LEFT(H62,LEN(H62)-1),""("")"),"Tunis ")</f>
        <v>Tunis </v>
      </c>
      <c r="J62" s="10" t="str">
        <f>IFERROR(__xludf.DUMMYFUNCTION("""COMPUTED_VALUE"""),"Tunisie")</f>
        <v>Tunisie</v>
      </c>
      <c r="K62" s="10" t="str">
        <f>IFERROR(__xludf.DUMMYFUNCTION("IF( COUNTA( IFERROR( FILTER('départements_edition'!$C$2:$C$102 , 'départements_edition'!$C$2:$C$102=J62 ) ) ) , ""Oui"" , ""Non"" )"),"Non")</f>
        <v>Non</v>
      </c>
      <c r="L62" s="10" t="str">
        <f t="shared" si="2"/>
        <v>Tunisie</v>
      </c>
      <c r="M62" s="12">
        <v>50.0</v>
      </c>
      <c r="N62" s="10" t="s">
        <v>2472</v>
      </c>
      <c r="O62" s="12">
        <v>4.0</v>
      </c>
      <c r="P62" s="13">
        <v>42907.0</v>
      </c>
      <c r="Q62" s="14"/>
      <c r="R62" s="12">
        <v>0.0</v>
      </c>
      <c r="S62" s="10" t="s">
        <v>75</v>
      </c>
      <c r="T62" s="10" t="s">
        <v>76</v>
      </c>
      <c r="U62" s="15" t="s">
        <v>4785</v>
      </c>
      <c r="V62" s="16"/>
      <c r="W62" s="14"/>
      <c r="X62" s="10" t="s">
        <v>234</v>
      </c>
      <c r="Y62" s="12">
        <v>633.0</v>
      </c>
      <c r="Z62" s="17" t="s">
        <v>4786</v>
      </c>
      <c r="AA62" s="12">
        <v>720202.0</v>
      </c>
      <c r="AB62" s="10" t="s">
        <v>4787</v>
      </c>
      <c r="AC62" s="17" t="s">
        <v>4788</v>
      </c>
      <c r="AD62" s="17" t="s">
        <v>4789</v>
      </c>
      <c r="AE62" s="12">
        <v>1.0</v>
      </c>
      <c r="AF62" s="10" t="s">
        <v>4790</v>
      </c>
      <c r="AG62" s="12">
        <v>16.0</v>
      </c>
      <c r="AH62" s="12">
        <v>44.0</v>
      </c>
      <c r="AI62" s="12">
        <v>15.0</v>
      </c>
      <c r="AJ62" s="12">
        <v>9.0</v>
      </c>
      <c r="AK62" s="12">
        <v>1.0</v>
      </c>
      <c r="AL62" s="12">
        <v>0.0</v>
      </c>
      <c r="AM62" s="12">
        <v>16.0</v>
      </c>
      <c r="AN62" s="12">
        <v>8.0</v>
      </c>
      <c r="AO62" s="12">
        <v>0.0</v>
      </c>
      <c r="AP62" s="12">
        <v>0.0</v>
      </c>
      <c r="AQ62" s="12">
        <v>6.0</v>
      </c>
      <c r="AR62" s="12">
        <v>1.0</v>
      </c>
      <c r="AS62" s="12">
        <v>1.0</v>
      </c>
    </row>
    <row r="63">
      <c r="A63" s="12">
        <v>439.0</v>
      </c>
      <c r="B63" s="10" t="s">
        <v>4123</v>
      </c>
      <c r="C63" s="10" t="s">
        <v>4124</v>
      </c>
      <c r="D63" s="10" t="s">
        <v>4125</v>
      </c>
      <c r="E63" s="10" t="s">
        <v>58</v>
      </c>
      <c r="F63" s="13">
        <v>30927.0</v>
      </c>
      <c r="G63" s="12">
        <f t="shared" si="1"/>
        <v>41</v>
      </c>
      <c r="H63" s="10" t="s">
        <v>4126</v>
      </c>
      <c r="I63" s="10" t="str">
        <f>IFERROR(__xludf.DUMMYFUNCTION("SPLIT(LEFT(H63,LEN(H63)-1),""("")"),"Kilia ")</f>
        <v>Kilia </v>
      </c>
      <c r="J63" s="10" t="str">
        <f>IFERROR(__xludf.DUMMYFUNCTION("""COMPUTED_VALUE"""),"Ukraine")</f>
        <v>Ukraine</v>
      </c>
      <c r="K63" s="10" t="str">
        <f>IFERROR(__xludf.DUMMYFUNCTION("IF( COUNTA( IFERROR( FILTER('départements_edition'!$C$2:$C$102 , 'départements_edition'!$C$2:$C$102=J63 ) ) ) , ""Oui"" , ""Non"" )"),"Non")</f>
        <v>Non</v>
      </c>
      <c r="L63" s="10" t="str">
        <f t="shared" si="2"/>
        <v>Ukraine</v>
      </c>
      <c r="M63" s="12">
        <v>42.0</v>
      </c>
      <c r="N63" s="10" t="s">
        <v>536</v>
      </c>
      <c r="O63" s="12">
        <v>3.0</v>
      </c>
      <c r="P63" s="13">
        <v>42907.0</v>
      </c>
      <c r="Q63" s="14"/>
      <c r="R63" s="12">
        <v>0.0</v>
      </c>
      <c r="S63" s="10" t="s">
        <v>75</v>
      </c>
      <c r="T63" s="10" t="s">
        <v>76</v>
      </c>
      <c r="U63" s="15" t="s">
        <v>4127</v>
      </c>
      <c r="V63" s="16"/>
      <c r="W63" s="14"/>
      <c r="X63" s="10" t="s">
        <v>4128</v>
      </c>
      <c r="Y63" s="12">
        <v>552.0</v>
      </c>
      <c r="Z63" s="17" t="s">
        <v>4129</v>
      </c>
      <c r="AA63" s="12">
        <v>719960.0</v>
      </c>
      <c r="AB63" s="10" t="s">
        <v>4130</v>
      </c>
      <c r="AC63" s="17" t="s">
        <v>4131</v>
      </c>
      <c r="AD63" s="17" t="s">
        <v>4132</v>
      </c>
      <c r="AE63" s="12">
        <v>1.0</v>
      </c>
      <c r="AF63" s="10" t="s">
        <v>4133</v>
      </c>
      <c r="AG63" s="12">
        <v>18.0</v>
      </c>
      <c r="AH63" s="12">
        <v>25.0</v>
      </c>
      <c r="AI63" s="12">
        <v>3.0</v>
      </c>
      <c r="AJ63" s="12">
        <v>0.0</v>
      </c>
      <c r="AK63" s="12">
        <v>0.0</v>
      </c>
      <c r="AL63" s="12">
        <v>2.0</v>
      </c>
      <c r="AM63" s="12">
        <v>51.0</v>
      </c>
      <c r="AN63" s="12">
        <v>28.0</v>
      </c>
      <c r="AO63" s="12">
        <v>0.0</v>
      </c>
      <c r="AP63" s="12">
        <v>0.0</v>
      </c>
      <c r="AQ63" s="12">
        <v>5.0</v>
      </c>
      <c r="AR63" s="12">
        <v>1.0</v>
      </c>
      <c r="AS63" s="12">
        <v>0.0</v>
      </c>
    </row>
    <row r="64">
      <c r="A64" s="12">
        <v>532.0</v>
      </c>
      <c r="B64" s="10" t="s">
        <v>4721</v>
      </c>
      <c r="C64" s="10" t="s">
        <v>4722</v>
      </c>
      <c r="D64" s="10" t="s">
        <v>1094</v>
      </c>
      <c r="E64" s="10" t="s">
        <v>58</v>
      </c>
      <c r="F64" s="13">
        <v>29209.0</v>
      </c>
      <c r="G64" s="12">
        <f t="shared" si="1"/>
        <v>46</v>
      </c>
      <c r="H64" s="10" t="s">
        <v>4723</v>
      </c>
      <c r="I64" s="10" t="str">
        <f>IFERROR(__xludf.DUMMYFUNCTION("SPLIT(LEFT(H64,LEN(H64)-1),""("")"),"Hô Chi Minh Ville ")</f>
        <v>Hô Chi Minh Ville </v>
      </c>
      <c r="J64" s="10" t="str">
        <f>IFERROR(__xludf.DUMMYFUNCTION("""COMPUTED_VALUE"""),"Vietnam")</f>
        <v>Vietnam</v>
      </c>
      <c r="K64" s="10" t="str">
        <f>IFERROR(__xludf.DUMMYFUNCTION("IF( COUNTA( IFERROR( FILTER('départements_edition'!$C$2:$C$102 , 'départements_edition'!$C$2:$C$102=J64 ) ) ) , ""Oui"" , ""Non"" )"),"Non")</f>
        <v>Non</v>
      </c>
      <c r="L64" s="10" t="str">
        <f t="shared" si="2"/>
        <v>Vietnam</v>
      </c>
      <c r="M64" s="12">
        <v>77.0</v>
      </c>
      <c r="N64" s="10" t="s">
        <v>503</v>
      </c>
      <c r="O64" s="12">
        <v>10.0</v>
      </c>
      <c r="P64" s="13">
        <v>42907.0</v>
      </c>
      <c r="Q64" s="14"/>
      <c r="R64" s="12">
        <v>0.0</v>
      </c>
      <c r="S64" s="10" t="s">
        <v>75</v>
      </c>
      <c r="T64" s="10" t="s">
        <v>76</v>
      </c>
      <c r="U64" s="15" t="s">
        <v>4724</v>
      </c>
      <c r="V64" s="16"/>
      <c r="W64" s="14"/>
      <c r="X64" s="10" t="s">
        <v>118</v>
      </c>
      <c r="Y64" s="12">
        <v>341.0</v>
      </c>
      <c r="Z64" s="17" t="s">
        <v>4725</v>
      </c>
      <c r="AA64" s="12">
        <v>721718.0</v>
      </c>
      <c r="AB64" s="10" t="s">
        <v>4726</v>
      </c>
      <c r="AC64" s="17" t="s">
        <v>4727</v>
      </c>
      <c r="AD64" s="17" t="s">
        <v>4728</v>
      </c>
      <c r="AE64" s="12">
        <v>1.0</v>
      </c>
      <c r="AF64" s="10" t="s">
        <v>4729</v>
      </c>
      <c r="AG64" s="12">
        <v>16.0</v>
      </c>
      <c r="AH64" s="12">
        <v>23.0</v>
      </c>
      <c r="AI64" s="12">
        <v>8.0</v>
      </c>
      <c r="AJ64" s="12">
        <v>9.0</v>
      </c>
      <c r="AK64" s="12">
        <v>3.0</v>
      </c>
      <c r="AL64" s="12">
        <v>12.0</v>
      </c>
      <c r="AM64" s="12">
        <v>58.0</v>
      </c>
      <c r="AN64" s="12">
        <v>26.0</v>
      </c>
      <c r="AO64" s="12">
        <v>1.0</v>
      </c>
      <c r="AP64" s="12">
        <v>0.0</v>
      </c>
      <c r="AQ64" s="12">
        <v>5.0</v>
      </c>
      <c r="AR64" s="12">
        <v>10.0</v>
      </c>
      <c r="AS64" s="12">
        <v>1.0</v>
      </c>
    </row>
  </sheetData>
  <hyperlinks>
    <hyperlink r:id="rId1" ref="Z2"/>
    <hyperlink r:id="rId2" ref="AC2"/>
    <hyperlink r:id="rId3" ref="AD2"/>
    <hyperlink r:id="rId4" ref="Z3"/>
    <hyperlink r:id="rId5" ref="AC3"/>
    <hyperlink r:id="rId6" ref="AD3"/>
    <hyperlink r:id="rId7" ref="Z4"/>
    <hyperlink r:id="rId8" ref="AC4"/>
    <hyperlink r:id="rId9" ref="AD4"/>
    <hyperlink r:id="rId10" ref="Z5"/>
    <hyperlink r:id="rId11" ref="AC5"/>
    <hyperlink r:id="rId12" ref="AD5"/>
    <hyperlink r:id="rId13" ref="Z6"/>
    <hyperlink r:id="rId14" ref="AC6"/>
    <hyperlink r:id="rId15" ref="AD6"/>
    <hyperlink r:id="rId16" ref="Z7"/>
    <hyperlink r:id="rId17" ref="AC7"/>
    <hyperlink r:id="rId18" ref="AD7"/>
    <hyperlink r:id="rId19" ref="Z8"/>
    <hyperlink r:id="rId20" ref="AC8"/>
    <hyperlink r:id="rId21" ref="AD8"/>
    <hyperlink r:id="rId22" ref="Z9"/>
    <hyperlink r:id="rId23" ref="AC9"/>
    <hyperlink r:id="rId24" ref="AD9"/>
    <hyperlink r:id="rId25" ref="Z10"/>
    <hyperlink r:id="rId26" ref="AC10"/>
    <hyperlink r:id="rId27" ref="AD10"/>
    <hyperlink r:id="rId28" ref="Z11"/>
    <hyperlink r:id="rId29" ref="AC11"/>
    <hyperlink r:id="rId30" ref="AD11"/>
    <hyperlink r:id="rId31" ref="Z12"/>
    <hyperlink r:id="rId32" ref="AC12"/>
    <hyperlink r:id="rId33" ref="AD12"/>
    <hyperlink r:id="rId34" ref="Z13"/>
    <hyperlink r:id="rId35" ref="AC13"/>
    <hyperlink r:id="rId36" ref="AD13"/>
    <hyperlink r:id="rId37" ref="Z14"/>
    <hyperlink r:id="rId38" ref="AC14"/>
    <hyperlink r:id="rId39" ref="AD14"/>
    <hyperlink r:id="rId40" ref="Z15"/>
    <hyperlink r:id="rId41" ref="AC15"/>
    <hyperlink r:id="rId42" ref="AD15"/>
    <hyperlink r:id="rId43" ref="Z16"/>
    <hyperlink r:id="rId44" ref="AC16"/>
    <hyperlink r:id="rId45" ref="AD16"/>
    <hyperlink r:id="rId46" ref="Z17"/>
    <hyperlink r:id="rId47" ref="AC17"/>
    <hyperlink r:id="rId48" ref="AD17"/>
    <hyperlink r:id="rId49" ref="Z18"/>
    <hyperlink r:id="rId50" ref="AC18"/>
    <hyperlink r:id="rId51" ref="AD18"/>
    <hyperlink r:id="rId52" ref="Z19"/>
    <hyperlink r:id="rId53" ref="AC19"/>
    <hyperlink r:id="rId54" ref="AD19"/>
    <hyperlink r:id="rId55" ref="Z20"/>
    <hyperlink r:id="rId56" ref="AC20"/>
    <hyperlink r:id="rId57" ref="AD20"/>
    <hyperlink r:id="rId58" ref="U21"/>
    <hyperlink r:id="rId59" ref="Z21"/>
    <hyperlink r:id="rId60" ref="AC21"/>
    <hyperlink r:id="rId61" ref="AD21"/>
    <hyperlink r:id="rId62" ref="Z22"/>
    <hyperlink r:id="rId63" ref="AC22"/>
    <hyperlink r:id="rId64" ref="AD22"/>
    <hyperlink r:id="rId65" ref="Z23"/>
    <hyperlink r:id="rId66" ref="AC23"/>
    <hyperlink r:id="rId67" ref="AD23"/>
    <hyperlink r:id="rId68" ref="Z24"/>
    <hyperlink r:id="rId69" ref="AC24"/>
    <hyperlink r:id="rId70" ref="AD24"/>
    <hyperlink r:id="rId71" ref="Z25"/>
    <hyperlink r:id="rId72" ref="AC25"/>
    <hyperlink r:id="rId73" ref="AD25"/>
    <hyperlink r:id="rId74" ref="Z26"/>
    <hyperlink r:id="rId75" ref="AC26"/>
    <hyperlink r:id="rId76" ref="AD26"/>
    <hyperlink r:id="rId77" ref="Z27"/>
    <hyperlink r:id="rId78" ref="AC27"/>
    <hyperlink r:id="rId79" ref="AD27"/>
    <hyperlink r:id="rId80" ref="Z28"/>
    <hyperlink r:id="rId81" ref="AC28"/>
    <hyperlink r:id="rId82" ref="AD28"/>
    <hyperlink r:id="rId83" ref="Z29"/>
    <hyperlink r:id="rId84" ref="AC29"/>
    <hyperlink r:id="rId85" ref="AD29"/>
    <hyperlink r:id="rId86" ref="Z30"/>
    <hyperlink r:id="rId87" ref="AC30"/>
    <hyperlink r:id="rId88" ref="AD30"/>
    <hyperlink r:id="rId89" ref="U31"/>
    <hyperlink r:id="rId90" ref="Z31"/>
    <hyperlink r:id="rId91" ref="AC31"/>
    <hyperlink r:id="rId92" ref="AD31"/>
    <hyperlink r:id="rId93" ref="Z32"/>
    <hyperlink r:id="rId94" ref="AC32"/>
    <hyperlink r:id="rId95" ref="AD32"/>
    <hyperlink r:id="rId96" ref="U33"/>
    <hyperlink r:id="rId97" ref="Z33"/>
    <hyperlink r:id="rId98" ref="AC33"/>
    <hyperlink r:id="rId99" ref="AD33"/>
    <hyperlink r:id="rId100" ref="Z34"/>
    <hyperlink r:id="rId101" ref="AC34"/>
    <hyperlink r:id="rId102" ref="AD34"/>
    <hyperlink r:id="rId103" ref="Z35"/>
    <hyperlink r:id="rId104" ref="AC35"/>
    <hyperlink r:id="rId105" ref="AD35"/>
    <hyperlink r:id="rId106" ref="Z36"/>
    <hyperlink r:id="rId107" ref="AC36"/>
    <hyperlink r:id="rId108" ref="AD36"/>
    <hyperlink r:id="rId109" ref="Z37"/>
    <hyperlink r:id="rId110" ref="AC37"/>
    <hyperlink r:id="rId111" ref="AD37"/>
    <hyperlink r:id="rId112" ref="Z38"/>
    <hyperlink r:id="rId113" ref="AC38"/>
    <hyperlink r:id="rId114" ref="AD38"/>
    <hyperlink r:id="rId115" ref="Z39"/>
    <hyperlink r:id="rId116" ref="AC39"/>
    <hyperlink r:id="rId117" ref="AD39"/>
    <hyperlink r:id="rId118" ref="Z40"/>
    <hyperlink r:id="rId119" ref="AC40"/>
    <hyperlink r:id="rId120" ref="AD40"/>
    <hyperlink r:id="rId121" ref="Z41"/>
    <hyperlink r:id="rId122" ref="AC41"/>
    <hyperlink r:id="rId123" ref="AD41"/>
    <hyperlink r:id="rId124" ref="Z42"/>
    <hyperlink r:id="rId125" ref="AC42"/>
    <hyperlink r:id="rId126" ref="AD42"/>
    <hyperlink r:id="rId127" ref="Z43"/>
    <hyperlink r:id="rId128" ref="AC43"/>
    <hyperlink r:id="rId129" ref="AD43"/>
    <hyperlink r:id="rId130" ref="U44"/>
    <hyperlink r:id="rId131" ref="Z44"/>
    <hyperlink r:id="rId132" ref="AC44"/>
    <hyperlink r:id="rId133" ref="AD44"/>
    <hyperlink r:id="rId134" ref="Z45"/>
    <hyperlink r:id="rId135" ref="AC45"/>
    <hyperlink r:id="rId136" ref="AD45"/>
    <hyperlink r:id="rId137" ref="Z46"/>
    <hyperlink r:id="rId138" ref="AC46"/>
    <hyperlink r:id="rId139" ref="AD46"/>
    <hyperlink r:id="rId140" ref="Z47"/>
    <hyperlink r:id="rId141" ref="AC47"/>
    <hyperlink r:id="rId142" ref="AD47"/>
    <hyperlink r:id="rId143" ref="Z48"/>
    <hyperlink r:id="rId144" ref="AC48"/>
    <hyperlink r:id="rId145" ref="AD48"/>
    <hyperlink r:id="rId146" ref="Z49"/>
    <hyperlink r:id="rId147" ref="AC49"/>
    <hyperlink r:id="rId148" ref="AD49"/>
    <hyperlink r:id="rId149" ref="Z50"/>
    <hyperlink r:id="rId150" ref="AC50"/>
    <hyperlink r:id="rId151" ref="AD50"/>
    <hyperlink r:id="rId152" ref="Z51"/>
    <hyperlink r:id="rId153" ref="AC51"/>
    <hyperlink r:id="rId154" ref="AD51"/>
    <hyperlink r:id="rId155" ref="Z52"/>
    <hyperlink r:id="rId156" ref="AC52"/>
    <hyperlink r:id="rId157" ref="AD52"/>
    <hyperlink r:id="rId158" ref="Z53"/>
    <hyperlink r:id="rId159" ref="AC53"/>
    <hyperlink r:id="rId160" ref="AD53"/>
    <hyperlink r:id="rId161" ref="Z54"/>
    <hyperlink r:id="rId162" ref="AC54"/>
    <hyperlink r:id="rId163" ref="AD54"/>
    <hyperlink r:id="rId164" ref="Z55"/>
    <hyperlink r:id="rId165" ref="AC55"/>
    <hyperlink r:id="rId166" ref="AD55"/>
    <hyperlink r:id="rId167" ref="Z56"/>
    <hyperlink r:id="rId168" ref="AC56"/>
    <hyperlink r:id="rId169" ref="AD56"/>
    <hyperlink r:id="rId170" ref="Z57"/>
    <hyperlink r:id="rId171" ref="AC57"/>
    <hyperlink r:id="rId172" ref="AD57"/>
    <hyperlink r:id="rId173" ref="Z58"/>
    <hyperlink r:id="rId174" ref="AC58"/>
    <hyperlink r:id="rId175" ref="AD58"/>
    <hyperlink r:id="rId176" ref="Z59"/>
    <hyperlink r:id="rId177" ref="AC59"/>
    <hyperlink r:id="rId178" ref="AD59"/>
    <hyperlink r:id="rId179" ref="Z60"/>
    <hyperlink r:id="rId180" ref="AC60"/>
    <hyperlink r:id="rId181" ref="AD60"/>
    <hyperlink r:id="rId182" ref="Z61"/>
    <hyperlink r:id="rId183" ref="AC61"/>
    <hyperlink r:id="rId184" ref="AD61"/>
    <hyperlink r:id="rId185" ref="Z62"/>
    <hyperlink r:id="rId186" ref="AC62"/>
    <hyperlink r:id="rId187" ref="AD62"/>
    <hyperlink r:id="rId188" ref="Z63"/>
    <hyperlink r:id="rId189" ref="AC63"/>
    <hyperlink r:id="rId190" ref="AD63"/>
    <hyperlink r:id="rId191" ref="Z64"/>
    <hyperlink r:id="rId192" ref="AC64"/>
    <hyperlink r:id="rId193" ref="AD64"/>
  </hyperlinks>
  <drawing r:id="rId19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IFERROR(__xludf.DUMMYFUNCTION("IMPORTHTML(""https://fr.wikipedia.org/wiki/Liste_des_d%C3%A9partements_fran%C3%A7ais"",""table"")"),"")</f>
        <v/>
      </c>
      <c r="E1" t="str">
        <f>IFERROR(__xludf.DUMMYFUNCTION("""COMPUTED_VALUE"""),"Subdivisions départementales")</f>
        <v>Subdivisions départementales</v>
      </c>
      <c r="J1" t="str">
        <f>IFERROR(__xludf.DUMMYFUNCTION("""COMPUTED_VALUE"""),"Région administrative[7]")</f>
        <v>Région administrative[7]</v>
      </c>
      <c r="K1" t="str">
        <f>IFERROR(__xludf.DUMMYFUNCTION("""COMPUTED_VALUE"""),"Caractéristiques")</f>
        <v>Caractéristiques</v>
      </c>
    </row>
    <row r="2">
      <c r="E2" t="str">
        <f>IFERROR(__xludf.DUMMYFUNCTION("""COMPUTED_VALUE"""),"Arrondissements[7]")</f>
        <v>Arrondissements[7]</v>
      </c>
      <c r="G2" t="str">
        <f>IFERROR(__xludf.DUMMYFUNCTION("""COMPUTED_VALUE"""),"Communes[7]
(nb)")</f>
        <v>Communes[7]
(nb)</v>
      </c>
      <c r="H2" t="str">
        <f>IFERROR(__xludf.DUMMYFUNCTION("""COMPUTED_VALUE"""),"Cantons[7]
(nb)")</f>
        <v>Cantons[7]
(nb)</v>
      </c>
      <c r="I2" t="str">
        <f>IFERROR(__xludf.DUMMYFUNCTION("""COMPUTED_VALUE"""),"Circ. législ.
(nb)")</f>
        <v>Circ. législ.
(nb)</v>
      </c>
      <c r="K2" t="str">
        <f>IFERROR(__xludf.DUMMYFUNCTION("""COMPUTED_VALUE"""),"Superficie
cadastrale
(en km2)")</f>
        <v>Superficie
cadastrale
(en km2)</v>
      </c>
      <c r="L2" t="str">
        <f>IFERROR(__xludf.DUMMYFUNCTION("""COMPUTED_VALUE"""),"Population
(année)")</f>
        <v>Population
(année)</v>
      </c>
      <c r="M2" t="str">
        <f>IFERROR(__xludf.DUMMYFUNCTION("""COMPUTED_VALUE"""),"Densité
(en hab./km2)")</f>
        <v>Densité
(en hab./km2)</v>
      </c>
      <c r="N2" t="str">
        <f>IFERROR(__xludf.DUMMYFUNCTION("""COMPUTED_VALUE"""),"Situation")</f>
        <v>Situation</v>
      </c>
    </row>
    <row r="3">
      <c r="A3" t="str">
        <f>IFERROR(__xludf.DUMMYFUNCTION("""COMPUTED_VALUE"""),"Code")</f>
        <v>Code</v>
      </c>
      <c r="B3" t="str">
        <f>IFERROR(__xludf.DUMMYFUNCTION("""COMPUTED_VALUE"""),"Nom")</f>
        <v>Nom</v>
      </c>
      <c r="C3" t="str">
        <f>IFERROR(__xludf.DUMMYFUNCTION("""COMPUTED_VALUE"""),"Chef-lieu")</f>
        <v>Chef-lieu</v>
      </c>
      <c r="D3" t="str">
        <f>IFERROR(__xludf.DUMMYFUNCTION("""COMPUTED_VALUE"""),"Date
création")</f>
        <v>Date
création</v>
      </c>
      <c r="E3" t="str">
        <f>IFERROR(__xludf.DUMMYFUNCTION("""COMPUTED_VALUE"""),"Nb")</f>
        <v>Nb</v>
      </c>
      <c r="F3" t="str">
        <f>IFERROR(__xludf.DUMMYFUNCTION("""COMPUTED_VALUE"""),"Noms")</f>
        <v>Noms</v>
      </c>
    </row>
    <row r="4">
      <c r="A4">
        <f>IFERROR(__xludf.DUMMYFUNCTION("""COMPUTED_VALUE"""),1.0)</f>
        <v>1</v>
      </c>
      <c r="B4" t="str">
        <f>IFERROR(__xludf.DUMMYFUNCTION("""COMPUTED_VALUE"""),"Ain
(m.s.)")</f>
        <v>Ain
(m.s.)</v>
      </c>
      <c r="C4" t="str">
        <f>IFERROR(__xludf.DUMMYFUNCTION("""COMPUTED_VALUE"""),"Bourg-en-Bresse
(préf. dép.)")</f>
        <v>Bourg-en-Bresse
(préf. dép.)</v>
      </c>
      <c r="D4">
        <f>IFERROR(__xludf.DUMMYFUNCTION("""COMPUTED_VALUE"""),1790.0)</f>
        <v>1790</v>
      </c>
      <c r="E4">
        <f>IFERROR(__xludf.DUMMYFUNCTION("""COMPUTED_VALUE"""),4.0)</f>
        <v>4</v>
      </c>
      <c r="F4" t="str">
        <f>IFERROR(__xludf.DUMMYFUNCTION("""COMPUTED_VALUE"""),"Belley
Bourg-en-Bresse
Gex
Nantua")</f>
        <v>Belley
Bourg-en-Bresse
Gex
Nantua</v>
      </c>
      <c r="G4">
        <f>IFERROR(__xludf.DUMMYFUNCTION("""COMPUTED_VALUE"""),392.0)</f>
        <v>392</v>
      </c>
      <c r="H4">
        <f>IFERROR(__xludf.DUMMYFUNCTION("""COMPUTED_VALUE"""),23.0)</f>
        <v>23</v>
      </c>
      <c r="I4">
        <f>IFERROR(__xludf.DUMMYFUNCTION("""COMPUTED_VALUE"""),5.0)</f>
        <v>5</v>
      </c>
      <c r="J4" t="str">
        <f>IFERROR(__xludf.DUMMYFUNCTION("""COMPUTED_VALUE"""),"Auvergne-Rhône-Alpes")</f>
        <v>Auvergne-Rhône-Alpes</v>
      </c>
      <c r="K4" t="str">
        <f>IFERROR(__xludf.DUMMYFUNCTION("""COMPUTED_VALUE"""),"5 762,4[r 1]")</f>
        <v>5 762,4[r 1]</v>
      </c>
      <c r="L4" t="str">
        <f>IFERROR(__xludf.DUMMYFUNCTION("""COMPUTED_VALUE"""),"679 344 (2023)")</f>
        <v>679 344 (2023)</v>
      </c>
      <c r="M4">
        <f>IFERROR(__xludf.DUMMYFUNCTION("""COMPUTED_VALUE"""),117.9)</f>
        <v>117.9</v>
      </c>
    </row>
    <row r="5">
      <c r="A5">
        <f>IFERROR(__xludf.DUMMYFUNCTION("""COMPUTED_VALUE"""),2.0)</f>
        <v>2</v>
      </c>
      <c r="B5" t="str">
        <f>IFERROR(__xludf.DUMMYFUNCTION("""COMPUTED_VALUE"""),"Aisne
(f.s.)")</f>
        <v>Aisne
(f.s.)</v>
      </c>
      <c r="C5" t="str">
        <f>IFERROR(__xludf.DUMMYFUNCTION("""COMPUTED_VALUE"""),"Laon
(préf. dép.)")</f>
        <v>Laon
(préf. dép.)</v>
      </c>
      <c r="D5">
        <f>IFERROR(__xludf.DUMMYFUNCTION("""COMPUTED_VALUE"""),1790.0)</f>
        <v>1790</v>
      </c>
      <c r="E5">
        <f>IFERROR(__xludf.DUMMYFUNCTION("""COMPUTED_VALUE"""),5.0)</f>
        <v>5</v>
      </c>
      <c r="F5" t="str">
        <f>IFERROR(__xludf.DUMMYFUNCTION("""COMPUTED_VALUE"""),"Château-Thierry
Laon
Saint-Quentin
Soissons
Vervins")</f>
        <v>Château-Thierry
Laon
Saint-Quentin
Soissons
Vervins</v>
      </c>
      <c r="G5">
        <f>IFERROR(__xludf.DUMMYFUNCTION("""COMPUTED_VALUE"""),798.0)</f>
        <v>798</v>
      </c>
      <c r="H5">
        <f>IFERROR(__xludf.DUMMYFUNCTION("""COMPUTED_VALUE"""),21.0)</f>
        <v>21</v>
      </c>
      <c r="I5">
        <f>IFERROR(__xludf.DUMMYFUNCTION("""COMPUTED_VALUE"""),5.0)</f>
        <v>5</v>
      </c>
      <c r="J5" t="str">
        <f>IFERROR(__xludf.DUMMYFUNCTION("""COMPUTED_VALUE"""),"Hauts-de-France")</f>
        <v>Hauts-de-France</v>
      </c>
      <c r="K5" t="str">
        <f>IFERROR(__xludf.DUMMYFUNCTION("""COMPUTED_VALUE"""),"7 361,7[r 2]")</f>
        <v>7 361,7[r 2]</v>
      </c>
      <c r="L5" t="str">
        <f>IFERROR(__xludf.DUMMYFUNCTION("""COMPUTED_VALUE"""),"523 342 (2023)")</f>
        <v>523 342 (2023)</v>
      </c>
      <c r="M5">
        <f>IFERROR(__xludf.DUMMYFUNCTION("""COMPUTED_VALUE"""),71.1)</f>
        <v>71.1</v>
      </c>
    </row>
    <row r="6">
      <c r="A6">
        <f>IFERROR(__xludf.DUMMYFUNCTION("""COMPUTED_VALUE"""),3.0)</f>
        <v>3</v>
      </c>
      <c r="B6" t="str">
        <f>IFERROR(__xludf.DUMMYFUNCTION("""COMPUTED_VALUE"""),"Allier
(m.s.)")</f>
        <v>Allier
(m.s.)</v>
      </c>
      <c r="C6" t="str">
        <f>IFERROR(__xludf.DUMMYFUNCTION("""COMPUTED_VALUE"""),"Moulins
(préf. dép.)")</f>
        <v>Moulins
(préf. dép.)</v>
      </c>
      <c r="D6">
        <f>IFERROR(__xludf.DUMMYFUNCTION("""COMPUTED_VALUE"""),1790.0)</f>
        <v>1790</v>
      </c>
      <c r="E6">
        <f>IFERROR(__xludf.DUMMYFUNCTION("""COMPUTED_VALUE"""),3.0)</f>
        <v>3</v>
      </c>
      <c r="F6" t="str">
        <f>IFERROR(__xludf.DUMMYFUNCTION("""COMPUTED_VALUE"""),"Montluçon
Moulins
Vichy")</f>
        <v>Montluçon
Moulins
Vichy</v>
      </c>
      <c r="G6">
        <f>IFERROR(__xludf.DUMMYFUNCTION("""COMPUTED_VALUE"""),317.0)</f>
        <v>317</v>
      </c>
      <c r="H6">
        <f>IFERROR(__xludf.DUMMYFUNCTION("""COMPUTED_VALUE"""),19.0)</f>
        <v>19</v>
      </c>
      <c r="I6">
        <f>IFERROR(__xludf.DUMMYFUNCTION("""COMPUTED_VALUE"""),3.0)</f>
        <v>3</v>
      </c>
      <c r="J6" t="str">
        <f>IFERROR(__xludf.DUMMYFUNCTION("""COMPUTED_VALUE"""),"Auvergne-Rhône-Alpes")</f>
        <v>Auvergne-Rhône-Alpes</v>
      </c>
      <c r="K6" t="str">
        <f>IFERROR(__xludf.DUMMYFUNCTION("""COMPUTED_VALUE"""),"7 340,1[r 3]")</f>
        <v>7 340,1[r 3]</v>
      </c>
      <c r="L6" t="str">
        <f>IFERROR(__xludf.DUMMYFUNCTION("""COMPUTED_VALUE"""),"333 298 (2023)")</f>
        <v>333 298 (2023)</v>
      </c>
      <c r="M6">
        <f>IFERROR(__xludf.DUMMYFUNCTION("""COMPUTED_VALUE"""),45.4)</f>
        <v>45.4</v>
      </c>
    </row>
    <row r="7">
      <c r="A7">
        <f>IFERROR(__xludf.DUMMYFUNCTION("""COMPUTED_VALUE"""),4.0)</f>
        <v>4</v>
      </c>
      <c r="B7" t="str">
        <f>IFERROR(__xludf.DUMMYFUNCTION("""COMPUTED_VALUE"""),"Alpes-de-Haute-Provence
(f.p.)")</f>
        <v>Alpes-de-Haute-Provence
(f.p.)</v>
      </c>
      <c r="C7" t="str">
        <f>IFERROR(__xludf.DUMMYFUNCTION("""COMPUTED_VALUE"""),"Digne-les-Bains
(préf. dép.)")</f>
        <v>Digne-les-Bains
(préf. dép.)</v>
      </c>
      <c r="D7">
        <f>IFERROR(__xludf.DUMMYFUNCTION("""COMPUTED_VALUE"""),1790.0)</f>
        <v>1790</v>
      </c>
      <c r="E7">
        <f>IFERROR(__xludf.DUMMYFUNCTION("""COMPUTED_VALUE"""),4.0)</f>
        <v>4</v>
      </c>
      <c r="F7" t="str">
        <f>IFERROR(__xludf.DUMMYFUNCTION("""COMPUTED_VALUE"""),"Barcelonnette
Castellane
Digne-les-Bains
Forcalquier")</f>
        <v>Barcelonnette
Castellane
Digne-les-Bains
Forcalquier</v>
      </c>
      <c r="G7">
        <f>IFERROR(__xludf.DUMMYFUNCTION("""COMPUTED_VALUE"""),198.0)</f>
        <v>198</v>
      </c>
      <c r="H7">
        <f>IFERROR(__xludf.DUMMYFUNCTION("""COMPUTED_VALUE"""),15.0)</f>
        <v>15</v>
      </c>
      <c r="I7">
        <f>IFERROR(__xludf.DUMMYFUNCTION("""COMPUTED_VALUE"""),2.0)</f>
        <v>2</v>
      </c>
      <c r="J7" t="str">
        <f>IFERROR(__xludf.DUMMYFUNCTION("""COMPUTED_VALUE"""),"Provence-Alpes-Côte d'Azur")</f>
        <v>Provence-Alpes-Côte d'Azur</v>
      </c>
      <c r="K7" t="str">
        <f>IFERROR(__xludf.DUMMYFUNCTION("""COMPUTED_VALUE"""),"6 925,2[r 4]")</f>
        <v>6 925,2[r 4]</v>
      </c>
      <c r="L7" t="str">
        <f>IFERROR(__xludf.DUMMYFUNCTION("""COMPUTED_VALUE"""),"168 054 (2023)")</f>
        <v>168 054 (2023)</v>
      </c>
      <c r="M7">
        <f>IFERROR(__xludf.DUMMYFUNCTION("""COMPUTED_VALUE"""),24.3)</f>
        <v>24.3</v>
      </c>
    </row>
    <row r="8">
      <c r="A8">
        <f>IFERROR(__xludf.DUMMYFUNCTION("""COMPUTED_VALUE"""),5.0)</f>
        <v>5</v>
      </c>
      <c r="B8" t="str">
        <f>IFERROR(__xludf.DUMMYFUNCTION("""COMPUTED_VALUE"""),"Hautes-Alpes
(f.p.)")</f>
        <v>Hautes-Alpes
(f.p.)</v>
      </c>
      <c r="C8" t="str">
        <f>IFERROR(__xludf.DUMMYFUNCTION("""COMPUTED_VALUE"""),"Gap
(préf. dép.)")</f>
        <v>Gap
(préf. dép.)</v>
      </c>
      <c r="D8">
        <f>IFERROR(__xludf.DUMMYFUNCTION("""COMPUTED_VALUE"""),1790.0)</f>
        <v>1790</v>
      </c>
      <c r="E8">
        <f>IFERROR(__xludf.DUMMYFUNCTION("""COMPUTED_VALUE"""),2.0)</f>
        <v>2</v>
      </c>
      <c r="F8" t="str">
        <f>IFERROR(__xludf.DUMMYFUNCTION("""COMPUTED_VALUE"""),"Briançon
Gap")</f>
        <v>Briançon
Gap</v>
      </c>
      <c r="G8">
        <f>IFERROR(__xludf.DUMMYFUNCTION("""COMPUTED_VALUE"""),162.0)</f>
        <v>162</v>
      </c>
      <c r="H8">
        <f>IFERROR(__xludf.DUMMYFUNCTION("""COMPUTED_VALUE"""),15.0)</f>
        <v>15</v>
      </c>
      <c r="I8">
        <f>IFERROR(__xludf.DUMMYFUNCTION("""COMPUTED_VALUE"""),2.0)</f>
        <v>2</v>
      </c>
      <c r="J8" t="str">
        <f>IFERROR(__xludf.DUMMYFUNCTION("""COMPUTED_VALUE"""),"Provence-Alpes-Côte d'Azur")</f>
        <v>Provence-Alpes-Côte d'Azur</v>
      </c>
      <c r="K8" t="str">
        <f>IFERROR(__xludf.DUMMYFUNCTION("""COMPUTED_VALUE"""),"5 548,7[r 5]")</f>
        <v>5 548,7[r 5]</v>
      </c>
      <c r="L8" t="str">
        <f>IFERROR(__xludf.DUMMYFUNCTION("""COMPUTED_VALUE"""),"143 467 (2023)")</f>
        <v>143 467 (2023)</v>
      </c>
      <c r="M8">
        <f>IFERROR(__xludf.DUMMYFUNCTION("""COMPUTED_VALUE"""),25.9)</f>
        <v>25.9</v>
      </c>
    </row>
    <row r="9">
      <c r="A9">
        <f>IFERROR(__xludf.DUMMYFUNCTION("""COMPUTED_VALUE"""),6.0)</f>
        <v>6</v>
      </c>
      <c r="B9" t="str">
        <f>IFERROR(__xludf.DUMMYFUNCTION("""COMPUTED_VALUE"""),"Alpes-Maritimes
(f.p.)")</f>
        <v>Alpes-Maritimes
(f.p.)</v>
      </c>
      <c r="C9" t="str">
        <f>IFERROR(__xludf.DUMMYFUNCTION("""COMPUTED_VALUE"""),"Nice
(préf. dép.)")</f>
        <v>Nice
(préf. dép.)</v>
      </c>
      <c r="D9">
        <f>IFERROR(__xludf.DUMMYFUNCTION("""COMPUTED_VALUE"""),1860.0)</f>
        <v>1860</v>
      </c>
      <c r="E9">
        <f>IFERROR(__xludf.DUMMYFUNCTION("""COMPUTED_VALUE"""),2.0)</f>
        <v>2</v>
      </c>
      <c r="F9" t="str">
        <f>IFERROR(__xludf.DUMMYFUNCTION("""COMPUTED_VALUE"""),"Grasse
Nice")</f>
        <v>Grasse
Nice</v>
      </c>
      <c r="G9">
        <f>IFERROR(__xludf.DUMMYFUNCTION("""COMPUTED_VALUE"""),163.0)</f>
        <v>163</v>
      </c>
      <c r="H9">
        <f>IFERROR(__xludf.DUMMYFUNCTION("""COMPUTED_VALUE"""),27.0)</f>
        <v>27</v>
      </c>
      <c r="I9">
        <f>IFERROR(__xludf.DUMMYFUNCTION("""COMPUTED_VALUE"""),9.0)</f>
        <v>9</v>
      </c>
      <c r="J9" t="str">
        <f>IFERROR(__xludf.DUMMYFUNCTION("""COMPUTED_VALUE"""),"Provence-Alpes-Côte d'Azur")</f>
        <v>Provence-Alpes-Côte d'Azur</v>
      </c>
      <c r="K9" t="str">
        <f>IFERROR(__xludf.DUMMYFUNCTION("""COMPUTED_VALUE"""),"4 298,6[r 6]")</f>
        <v>4 298,6[r 6]</v>
      </c>
      <c r="L9" t="str">
        <f>IFERROR(__xludf.DUMMYFUNCTION("""COMPUTED_VALUE"""),"1 128 418 (2023)")</f>
        <v>1 128 418 (2023)</v>
      </c>
      <c r="M9">
        <f>IFERROR(__xludf.DUMMYFUNCTION("""COMPUTED_VALUE"""),262.5)</f>
        <v>262.5</v>
      </c>
    </row>
    <row r="10">
      <c r="A10">
        <f>IFERROR(__xludf.DUMMYFUNCTION("""COMPUTED_VALUE"""),7.0)</f>
        <v>7</v>
      </c>
      <c r="B10" t="str">
        <f>IFERROR(__xludf.DUMMYFUNCTION("""COMPUTED_VALUE"""),"Ardèche
(f.s.)")</f>
        <v>Ardèche
(f.s.)</v>
      </c>
      <c r="C10" t="str">
        <f>IFERROR(__xludf.DUMMYFUNCTION("""COMPUTED_VALUE"""),"Privas
(préf. dép.)")</f>
        <v>Privas
(préf. dép.)</v>
      </c>
      <c r="D10">
        <f>IFERROR(__xludf.DUMMYFUNCTION("""COMPUTED_VALUE"""),1790.0)</f>
        <v>1790</v>
      </c>
      <c r="E10">
        <f>IFERROR(__xludf.DUMMYFUNCTION("""COMPUTED_VALUE"""),3.0)</f>
        <v>3</v>
      </c>
      <c r="F10" t="str">
        <f>IFERROR(__xludf.DUMMYFUNCTION("""COMPUTED_VALUE"""),"Largentière
Privas
Tournon-sur-Rhône")</f>
        <v>Largentière
Privas
Tournon-sur-Rhône</v>
      </c>
      <c r="G10">
        <f>IFERROR(__xludf.DUMMYFUNCTION("""COMPUTED_VALUE"""),335.0)</f>
        <v>335</v>
      </c>
      <c r="H10">
        <f>IFERROR(__xludf.DUMMYFUNCTION("""COMPUTED_VALUE"""),17.0)</f>
        <v>17</v>
      </c>
      <c r="I10">
        <f>IFERROR(__xludf.DUMMYFUNCTION("""COMPUTED_VALUE"""),3.0)</f>
        <v>3</v>
      </c>
      <c r="J10" t="str">
        <f>IFERROR(__xludf.DUMMYFUNCTION("""COMPUTED_VALUE"""),"Auvergne-Rhône-Alpes")</f>
        <v>Auvergne-Rhône-Alpes</v>
      </c>
      <c r="K10" t="str">
        <f>IFERROR(__xludf.DUMMYFUNCTION("""COMPUTED_VALUE"""),"5 528,6[r 7]")</f>
        <v>5 528,6[r 7]</v>
      </c>
      <c r="L10" t="str">
        <f>IFERROR(__xludf.DUMMYFUNCTION("""COMPUTED_VALUE"""),"334 231 (2023)")</f>
        <v>334 231 (2023)</v>
      </c>
      <c r="M10">
        <f>IFERROR(__xludf.DUMMYFUNCTION("""COMPUTED_VALUE"""),60.5)</f>
        <v>60.5</v>
      </c>
    </row>
    <row r="11">
      <c r="A11">
        <f>IFERROR(__xludf.DUMMYFUNCTION("""COMPUTED_VALUE"""),8.0)</f>
        <v>8</v>
      </c>
      <c r="B11" t="str">
        <f>IFERROR(__xludf.DUMMYFUNCTION("""COMPUTED_VALUE"""),"Ardennes
(f.p.)")</f>
        <v>Ardennes
(f.p.)</v>
      </c>
      <c r="C11" t="str">
        <f>IFERROR(__xludf.DUMMYFUNCTION("""COMPUTED_VALUE"""),"Charleville-Mézières
(préf. dép.)")</f>
        <v>Charleville-Mézières
(préf. dép.)</v>
      </c>
      <c r="D11">
        <f>IFERROR(__xludf.DUMMYFUNCTION("""COMPUTED_VALUE"""),1790.0)</f>
        <v>1790</v>
      </c>
      <c r="E11">
        <f>IFERROR(__xludf.DUMMYFUNCTION("""COMPUTED_VALUE"""),4.0)</f>
        <v>4</v>
      </c>
      <c r="F11" t="str">
        <f>IFERROR(__xludf.DUMMYFUNCTION("""COMPUTED_VALUE"""),"Charleville-Mézières
Rethel
Sedan
Vouziers")</f>
        <v>Charleville-Mézières
Rethel
Sedan
Vouziers</v>
      </c>
      <c r="G11">
        <f>IFERROR(__xludf.DUMMYFUNCTION("""COMPUTED_VALUE"""),448.0)</f>
        <v>448</v>
      </c>
      <c r="H11">
        <f>IFERROR(__xludf.DUMMYFUNCTION("""COMPUTED_VALUE"""),19.0)</f>
        <v>19</v>
      </c>
      <c r="I11">
        <f>IFERROR(__xludf.DUMMYFUNCTION("""COMPUTED_VALUE"""),3.0)</f>
        <v>3</v>
      </c>
      <c r="J11" t="str">
        <f>IFERROR(__xludf.DUMMYFUNCTION("""COMPUTED_VALUE"""),"Grand Est")</f>
        <v>Grand Est</v>
      </c>
      <c r="K11" t="str">
        <f>IFERROR(__xludf.DUMMYFUNCTION("""COMPUTED_VALUE"""),"5 229,4[r 8]")</f>
        <v>5 229,4[r 8]</v>
      </c>
      <c r="L11" t="str">
        <f>IFERROR(__xludf.DUMMYFUNCTION("""COMPUTED_VALUE"""),"265 893 (2023)")</f>
        <v>265 893 (2023)</v>
      </c>
      <c r="M11">
        <f>IFERROR(__xludf.DUMMYFUNCTION("""COMPUTED_VALUE"""),50.8)</f>
        <v>50.8</v>
      </c>
    </row>
    <row r="12">
      <c r="A12">
        <f>IFERROR(__xludf.DUMMYFUNCTION("""COMPUTED_VALUE"""),9.0)</f>
        <v>9</v>
      </c>
      <c r="B12" t="str">
        <f>IFERROR(__xludf.DUMMYFUNCTION("""COMPUTED_VALUE"""),"Ariège
(f.s.)")</f>
        <v>Ariège
(f.s.)</v>
      </c>
      <c r="C12" t="str">
        <f>IFERROR(__xludf.DUMMYFUNCTION("""COMPUTED_VALUE"""),"Foix
(préf. dép.)")</f>
        <v>Foix
(préf. dép.)</v>
      </c>
      <c r="D12">
        <f>IFERROR(__xludf.DUMMYFUNCTION("""COMPUTED_VALUE"""),1790.0)</f>
        <v>1790</v>
      </c>
      <c r="E12">
        <f>IFERROR(__xludf.DUMMYFUNCTION("""COMPUTED_VALUE"""),3.0)</f>
        <v>3</v>
      </c>
      <c r="F12" t="str">
        <f>IFERROR(__xludf.DUMMYFUNCTION("""COMPUTED_VALUE"""),"Foix
Pamiers
Saint-Girons")</f>
        <v>Foix
Pamiers
Saint-Girons</v>
      </c>
      <c r="G12">
        <f>IFERROR(__xludf.DUMMYFUNCTION("""COMPUTED_VALUE"""),326.0)</f>
        <v>326</v>
      </c>
      <c r="H12">
        <f>IFERROR(__xludf.DUMMYFUNCTION("""COMPUTED_VALUE"""),13.0)</f>
        <v>13</v>
      </c>
      <c r="I12">
        <f>IFERROR(__xludf.DUMMYFUNCTION("""COMPUTED_VALUE"""),2.0)</f>
        <v>2</v>
      </c>
      <c r="J12" t="str">
        <f>IFERROR(__xludf.DUMMYFUNCTION("""COMPUTED_VALUE"""),"Occitanie")</f>
        <v>Occitanie</v>
      </c>
      <c r="K12" t="str">
        <f>IFERROR(__xludf.DUMMYFUNCTION("""COMPUTED_VALUE"""),"4 889,9[r 9]")</f>
        <v>4 889,9[r 9]</v>
      </c>
      <c r="L12" t="str">
        <f>IFERROR(__xludf.DUMMYFUNCTION("""COMPUTED_VALUE"""),"155 722 (2023)")</f>
        <v>155 722 (2023)</v>
      </c>
      <c r="M12">
        <f>IFERROR(__xludf.DUMMYFUNCTION("""COMPUTED_VALUE"""),31.8)</f>
        <v>31.8</v>
      </c>
    </row>
    <row r="13">
      <c r="A13">
        <f>IFERROR(__xludf.DUMMYFUNCTION("""COMPUTED_VALUE"""),10.0)</f>
        <v>10</v>
      </c>
      <c r="B13" t="str">
        <f>IFERROR(__xludf.DUMMYFUNCTION("""COMPUTED_VALUE"""),"Aube
(f.s.)")</f>
        <v>Aube
(f.s.)</v>
      </c>
      <c r="C13" t="str">
        <f>IFERROR(__xludf.DUMMYFUNCTION("""COMPUTED_VALUE"""),"Troyes
(préf. dép.)")</f>
        <v>Troyes
(préf. dép.)</v>
      </c>
      <c r="D13">
        <f>IFERROR(__xludf.DUMMYFUNCTION("""COMPUTED_VALUE"""),1790.0)</f>
        <v>1790</v>
      </c>
      <c r="E13">
        <f>IFERROR(__xludf.DUMMYFUNCTION("""COMPUTED_VALUE"""),3.0)</f>
        <v>3</v>
      </c>
      <c r="F13" t="str">
        <f>IFERROR(__xludf.DUMMYFUNCTION("""COMPUTED_VALUE"""),"Bar-sur-Aube
Nogent-sur-Seine
Troyes")</f>
        <v>Bar-sur-Aube
Nogent-sur-Seine
Troyes</v>
      </c>
      <c r="G13">
        <f>IFERROR(__xludf.DUMMYFUNCTION("""COMPUTED_VALUE"""),431.0)</f>
        <v>431</v>
      </c>
      <c r="H13">
        <f>IFERROR(__xludf.DUMMYFUNCTION("""COMPUTED_VALUE"""),17.0)</f>
        <v>17</v>
      </c>
      <c r="I13">
        <f>IFERROR(__xludf.DUMMYFUNCTION("""COMPUTED_VALUE"""),3.0)</f>
        <v>3</v>
      </c>
      <c r="J13" t="str">
        <f>IFERROR(__xludf.DUMMYFUNCTION("""COMPUTED_VALUE"""),"Grand Est")</f>
        <v>Grand Est</v>
      </c>
      <c r="K13" t="str">
        <f>IFERROR(__xludf.DUMMYFUNCTION("""COMPUTED_VALUE"""),"6 004,2[r 10]")</f>
        <v>6 004,2[r 10]</v>
      </c>
      <c r="L13" t="str">
        <f>IFERROR(__xludf.DUMMYFUNCTION("""COMPUTED_VALUE"""),"310 447 (2023)")</f>
        <v>310 447 (2023)</v>
      </c>
      <c r="M13">
        <f>IFERROR(__xludf.DUMMYFUNCTION("""COMPUTED_VALUE"""),51.7)</f>
        <v>51.7</v>
      </c>
    </row>
    <row r="14">
      <c r="A14">
        <f>IFERROR(__xludf.DUMMYFUNCTION("""COMPUTED_VALUE"""),11.0)</f>
        <v>11</v>
      </c>
      <c r="B14" t="str">
        <f>IFERROR(__xludf.DUMMYFUNCTION("""COMPUTED_VALUE"""),"Aude
(f.s.)")</f>
        <v>Aude
(f.s.)</v>
      </c>
      <c r="C14" t="str">
        <f>IFERROR(__xludf.DUMMYFUNCTION("""COMPUTED_VALUE"""),"Carcassonne
(préf. dép.)")</f>
        <v>Carcassonne
(préf. dép.)</v>
      </c>
      <c r="D14">
        <f>IFERROR(__xludf.DUMMYFUNCTION("""COMPUTED_VALUE"""),1790.0)</f>
        <v>1790</v>
      </c>
      <c r="E14">
        <f>IFERROR(__xludf.DUMMYFUNCTION("""COMPUTED_VALUE"""),3.0)</f>
        <v>3</v>
      </c>
      <c r="F14" t="str">
        <f>IFERROR(__xludf.DUMMYFUNCTION("""COMPUTED_VALUE"""),"Carcassonne
Limoux
Narbonne")</f>
        <v>Carcassonne
Limoux
Narbonne</v>
      </c>
      <c r="G14">
        <f>IFERROR(__xludf.DUMMYFUNCTION("""COMPUTED_VALUE"""),433.0)</f>
        <v>433</v>
      </c>
      <c r="H14">
        <f>IFERROR(__xludf.DUMMYFUNCTION("""COMPUTED_VALUE"""),19.0)</f>
        <v>19</v>
      </c>
      <c r="I14">
        <f>IFERROR(__xludf.DUMMYFUNCTION("""COMPUTED_VALUE"""),3.0)</f>
        <v>3</v>
      </c>
      <c r="J14" t="str">
        <f>IFERROR(__xludf.DUMMYFUNCTION("""COMPUTED_VALUE"""),"Occitanie")</f>
        <v>Occitanie</v>
      </c>
      <c r="K14" t="str">
        <f>IFERROR(__xludf.DUMMYFUNCTION("""COMPUTED_VALUE"""),"6 139[r 11]")</f>
        <v>6 139[r 11]</v>
      </c>
      <c r="L14" t="str">
        <f>IFERROR(__xludf.DUMMYFUNCTION("""COMPUTED_VALUE"""),"379 648 (2023)")</f>
        <v>379 648 (2023)</v>
      </c>
      <c r="M14">
        <f>IFERROR(__xludf.DUMMYFUNCTION("""COMPUTED_VALUE"""),61.8)</f>
        <v>61.8</v>
      </c>
    </row>
    <row r="15">
      <c r="A15">
        <f>IFERROR(__xludf.DUMMYFUNCTION("""COMPUTED_VALUE"""),12.0)</f>
        <v>12</v>
      </c>
      <c r="B15" t="str">
        <f>IFERROR(__xludf.DUMMYFUNCTION("""COMPUTED_VALUE"""),"Aveyron
(m.s.)")</f>
        <v>Aveyron
(m.s.)</v>
      </c>
      <c r="C15" t="str">
        <f>IFERROR(__xludf.DUMMYFUNCTION("""COMPUTED_VALUE"""),"Rodez
(préf. dép.)")</f>
        <v>Rodez
(préf. dép.)</v>
      </c>
      <c r="D15">
        <f>IFERROR(__xludf.DUMMYFUNCTION("""COMPUTED_VALUE"""),1790.0)</f>
        <v>1790</v>
      </c>
      <c r="E15">
        <f>IFERROR(__xludf.DUMMYFUNCTION("""COMPUTED_VALUE"""),3.0)</f>
        <v>3</v>
      </c>
      <c r="F15" t="str">
        <f>IFERROR(__xludf.DUMMYFUNCTION("""COMPUTED_VALUE"""),"Millau
Rodez
Villefranche-de-Rouergue")</f>
        <v>Millau
Rodez
Villefranche-de-Rouergue</v>
      </c>
      <c r="G15">
        <f>IFERROR(__xludf.DUMMYFUNCTION("""COMPUTED_VALUE"""),285.0)</f>
        <v>285</v>
      </c>
      <c r="H15">
        <f>IFERROR(__xludf.DUMMYFUNCTION("""COMPUTED_VALUE"""),23.0)</f>
        <v>23</v>
      </c>
      <c r="I15">
        <f>IFERROR(__xludf.DUMMYFUNCTION("""COMPUTED_VALUE"""),3.0)</f>
        <v>3</v>
      </c>
      <c r="J15" t="str">
        <f>IFERROR(__xludf.DUMMYFUNCTION("""COMPUTED_VALUE"""),"Occitanie")</f>
        <v>Occitanie</v>
      </c>
      <c r="K15" t="str">
        <f>IFERROR(__xludf.DUMMYFUNCTION("""COMPUTED_VALUE"""),"8 735,1[r 12]")</f>
        <v>8 735,1[r 12]</v>
      </c>
      <c r="L15" t="str">
        <f>IFERROR(__xludf.DUMMYFUNCTION("""COMPUTED_VALUE"""),"279 609 (2023)")</f>
        <v>279 609 (2023)</v>
      </c>
      <c r="M15">
        <f>IFERROR(__xludf.DUMMYFUNCTION("""COMPUTED_VALUE"""),32.0)</f>
        <v>32</v>
      </c>
    </row>
    <row r="16">
      <c r="A16">
        <f>IFERROR(__xludf.DUMMYFUNCTION("""COMPUTED_VALUE"""),13.0)</f>
        <v>13</v>
      </c>
      <c r="B16" t="str">
        <f>IFERROR(__xludf.DUMMYFUNCTION("""COMPUTED_VALUE"""),"Bouches-du-Rhône
(f.p.)")</f>
        <v>Bouches-du-Rhône
(f.p.)</v>
      </c>
      <c r="C16" t="str">
        <f>IFERROR(__xludf.DUMMYFUNCTION("""COMPUTED_VALUE"""),"Marseille
(préf. rég. et dép.)")</f>
        <v>Marseille
(préf. rég. et dép.)</v>
      </c>
      <c r="D16">
        <f>IFERROR(__xludf.DUMMYFUNCTION("""COMPUTED_VALUE"""),1790.0)</f>
        <v>1790</v>
      </c>
      <c r="E16">
        <f>IFERROR(__xludf.DUMMYFUNCTION("""COMPUTED_VALUE"""),4.0)</f>
        <v>4</v>
      </c>
      <c r="F16" t="str">
        <f>IFERROR(__xludf.DUMMYFUNCTION("""COMPUTED_VALUE"""),"Aix-en-Provence
Arles
Marseille
Istres")</f>
        <v>Aix-en-Provence
Arles
Marseille
Istres</v>
      </c>
      <c r="G16">
        <f>IFERROR(__xludf.DUMMYFUNCTION("""COMPUTED_VALUE"""),119.0)</f>
        <v>119</v>
      </c>
      <c r="H16">
        <f>IFERROR(__xludf.DUMMYFUNCTION("""COMPUTED_VALUE"""),29.0)</f>
        <v>29</v>
      </c>
      <c r="I16">
        <f>IFERROR(__xludf.DUMMYFUNCTION("""COMPUTED_VALUE"""),16.0)</f>
        <v>16</v>
      </c>
      <c r="J16" t="str">
        <f>IFERROR(__xludf.DUMMYFUNCTION("""COMPUTED_VALUE"""),"Provence-Alpes-Côte d'Azur")</f>
        <v>Provence-Alpes-Côte d'Azur</v>
      </c>
      <c r="K16" t="str">
        <f>IFERROR(__xludf.DUMMYFUNCTION("""COMPUTED_VALUE"""),"5 087,5[r 13]")</f>
        <v>5 087,5[r 13]</v>
      </c>
      <c r="L16" t="str">
        <f>IFERROR(__xludf.DUMMYFUNCTION("""COMPUTED_VALUE"""),"2 087 658 (2023)")</f>
        <v>2 087 658 (2023)</v>
      </c>
      <c r="M16">
        <f>IFERROR(__xludf.DUMMYFUNCTION("""COMPUTED_VALUE"""),410.4)</f>
        <v>410.4</v>
      </c>
    </row>
    <row r="17">
      <c r="A17">
        <f>IFERROR(__xludf.DUMMYFUNCTION("""COMPUTED_VALUE"""),14.0)</f>
        <v>14</v>
      </c>
      <c r="B17" t="str">
        <f>IFERROR(__xludf.DUMMYFUNCTION("""COMPUTED_VALUE"""),"Calvados
(m.s.)")</f>
        <v>Calvados
(m.s.)</v>
      </c>
      <c r="C17" t="str">
        <f>IFERROR(__xludf.DUMMYFUNCTION("""COMPUTED_VALUE"""),"Caen
(préf. dép.)")</f>
        <v>Caen
(préf. dép.)</v>
      </c>
      <c r="D17">
        <f>IFERROR(__xludf.DUMMYFUNCTION("""COMPUTED_VALUE"""),1790.0)</f>
        <v>1790</v>
      </c>
      <c r="E17">
        <f>IFERROR(__xludf.DUMMYFUNCTION("""COMPUTED_VALUE"""),4.0)</f>
        <v>4</v>
      </c>
      <c r="F17" t="str">
        <f>IFERROR(__xludf.DUMMYFUNCTION("""COMPUTED_VALUE"""),"Bayeux
Caen
Lisieux
Vire")</f>
        <v>Bayeux
Caen
Lisieux
Vire</v>
      </c>
      <c r="G17">
        <f>IFERROR(__xludf.DUMMYFUNCTION("""COMPUTED_VALUE"""),528.0)</f>
        <v>528</v>
      </c>
      <c r="H17">
        <f>IFERROR(__xludf.DUMMYFUNCTION("""COMPUTED_VALUE"""),25.0)</f>
        <v>25</v>
      </c>
      <c r="I17">
        <f>IFERROR(__xludf.DUMMYFUNCTION("""COMPUTED_VALUE"""),6.0)</f>
        <v>6</v>
      </c>
      <c r="J17" t="str">
        <f>IFERROR(__xludf.DUMMYFUNCTION("""COMPUTED_VALUE"""),"Normandie")</f>
        <v>Normandie</v>
      </c>
      <c r="K17" t="str">
        <f>IFERROR(__xludf.DUMMYFUNCTION("""COMPUTED_VALUE"""),"5 534,5[r 14]")</f>
        <v>5 534,5[r 14]</v>
      </c>
      <c r="L17" t="str">
        <f>IFERROR(__xludf.DUMMYFUNCTION("""COMPUTED_VALUE"""),"709 441 (2023)")</f>
        <v>709 441 (2023)</v>
      </c>
      <c r="M17">
        <f>IFERROR(__xludf.DUMMYFUNCTION("""COMPUTED_VALUE"""),127.9)</f>
        <v>127.9</v>
      </c>
    </row>
    <row r="18">
      <c r="A18">
        <f>IFERROR(__xludf.DUMMYFUNCTION("""COMPUTED_VALUE"""),15.0)</f>
        <v>15</v>
      </c>
      <c r="B18" t="str">
        <f>IFERROR(__xludf.DUMMYFUNCTION("""COMPUTED_VALUE"""),"Cantal
(m.s.)")</f>
        <v>Cantal
(m.s.)</v>
      </c>
      <c r="C18" t="str">
        <f>IFERROR(__xludf.DUMMYFUNCTION("""COMPUTED_VALUE"""),"Aurillac
(préf. dép.)")</f>
        <v>Aurillac
(préf. dép.)</v>
      </c>
      <c r="D18">
        <f>IFERROR(__xludf.DUMMYFUNCTION("""COMPUTED_VALUE"""),1790.0)</f>
        <v>1790</v>
      </c>
      <c r="E18">
        <f>IFERROR(__xludf.DUMMYFUNCTION("""COMPUTED_VALUE"""),3.0)</f>
        <v>3</v>
      </c>
      <c r="F18" t="str">
        <f>IFERROR(__xludf.DUMMYFUNCTION("""COMPUTED_VALUE"""),"Aurillac
Mauriac
Saint-Flour")</f>
        <v>Aurillac
Mauriac
Saint-Flour</v>
      </c>
      <c r="G18">
        <f>IFERROR(__xludf.DUMMYFUNCTION("""COMPUTED_VALUE"""),246.0)</f>
        <v>246</v>
      </c>
      <c r="H18">
        <f>IFERROR(__xludf.DUMMYFUNCTION("""COMPUTED_VALUE"""),15.0)</f>
        <v>15</v>
      </c>
      <c r="I18">
        <f>IFERROR(__xludf.DUMMYFUNCTION("""COMPUTED_VALUE"""),2.0)</f>
        <v>2</v>
      </c>
      <c r="J18" t="str">
        <f>IFERROR(__xludf.DUMMYFUNCTION("""COMPUTED_VALUE"""),"Auvergne-Rhône-Alpes")</f>
        <v>Auvergne-Rhône-Alpes</v>
      </c>
      <c r="K18" t="str">
        <f>IFERROR(__xludf.DUMMYFUNCTION("""COMPUTED_VALUE"""),"5 726[r 15]")</f>
        <v>5 726[r 15]</v>
      </c>
      <c r="L18" t="str">
        <f>IFERROR(__xludf.DUMMYFUNCTION("""COMPUTED_VALUE"""),"144 196 (2023)")</f>
        <v>144 196 (2023)</v>
      </c>
      <c r="M18">
        <f>IFERROR(__xludf.DUMMYFUNCTION("""COMPUTED_VALUE"""),25.2)</f>
        <v>25.2</v>
      </c>
    </row>
    <row r="19">
      <c r="A19">
        <f>IFERROR(__xludf.DUMMYFUNCTION("""COMPUTED_VALUE"""),16.0)</f>
        <v>16</v>
      </c>
      <c r="B19" t="str">
        <f>IFERROR(__xludf.DUMMYFUNCTION("""COMPUTED_VALUE"""),"Charente
(f.s.)")</f>
        <v>Charente
(f.s.)</v>
      </c>
      <c r="C19" t="str">
        <f>IFERROR(__xludf.DUMMYFUNCTION("""COMPUTED_VALUE"""),"Angoulême
(préf. dép.)")</f>
        <v>Angoulême
(préf. dép.)</v>
      </c>
      <c r="D19">
        <f>IFERROR(__xludf.DUMMYFUNCTION("""COMPUTED_VALUE"""),1790.0)</f>
        <v>1790</v>
      </c>
      <c r="E19">
        <f>IFERROR(__xludf.DUMMYFUNCTION("""COMPUTED_VALUE"""),3.0)</f>
        <v>3</v>
      </c>
      <c r="F19" t="str">
        <f>IFERROR(__xludf.DUMMYFUNCTION("""COMPUTED_VALUE"""),"Angoulême
Cognac
Confolens")</f>
        <v>Angoulême
Cognac
Confolens</v>
      </c>
      <c r="G19">
        <f>IFERROR(__xludf.DUMMYFUNCTION("""COMPUTED_VALUE"""),362.0)</f>
        <v>362</v>
      </c>
      <c r="H19">
        <f>IFERROR(__xludf.DUMMYFUNCTION("""COMPUTED_VALUE"""),19.0)</f>
        <v>19</v>
      </c>
      <c r="I19">
        <f>IFERROR(__xludf.DUMMYFUNCTION("""COMPUTED_VALUE"""),3.0)</f>
        <v>3</v>
      </c>
      <c r="J19" t="str">
        <f>IFERROR(__xludf.DUMMYFUNCTION("""COMPUTED_VALUE"""),"Nouvelle-Aquitaine")</f>
        <v>Nouvelle-Aquitaine</v>
      </c>
      <c r="K19" t="str">
        <f>IFERROR(__xludf.DUMMYFUNCTION("""COMPUTED_VALUE"""),"5 956[r 16]")</f>
        <v>5 956[r 16]</v>
      </c>
      <c r="L19" t="str">
        <f>IFERROR(__xludf.DUMMYFUNCTION("""COMPUTED_VALUE"""),"352 683 (2023)")</f>
        <v>352 683 (2023)</v>
      </c>
      <c r="M19">
        <f>IFERROR(__xludf.DUMMYFUNCTION("""COMPUTED_VALUE"""),59.2)</f>
        <v>59.2</v>
      </c>
    </row>
    <row r="20">
      <c r="A20">
        <f>IFERROR(__xludf.DUMMYFUNCTION("""COMPUTED_VALUE"""),17.0)</f>
        <v>17</v>
      </c>
      <c r="B20" t="str">
        <f>IFERROR(__xludf.DUMMYFUNCTION("""COMPUTED_VALUE"""),"Charente-Maritime
(f.s.)")</f>
        <v>Charente-Maritime
(f.s.)</v>
      </c>
      <c r="C20" t="str">
        <f>IFERROR(__xludf.DUMMYFUNCTION("""COMPUTED_VALUE"""),"La Rochelle
(préf. dép.)")</f>
        <v>La Rochelle
(préf. dép.)</v>
      </c>
      <c r="D20">
        <f>IFERROR(__xludf.DUMMYFUNCTION("""COMPUTED_VALUE"""),1790.0)</f>
        <v>1790</v>
      </c>
      <c r="E20">
        <f>IFERROR(__xludf.DUMMYFUNCTION("""COMPUTED_VALUE"""),5.0)</f>
        <v>5</v>
      </c>
      <c r="F20" t="str">
        <f>IFERROR(__xludf.DUMMYFUNCTION("""COMPUTED_VALUE"""),"Jonzac
Rochefort
La Rochelle
Saintes
Saint-Jean-d'Angély")</f>
        <v>Jonzac
Rochefort
La Rochelle
Saintes
Saint-Jean-d'Angély</v>
      </c>
      <c r="G20">
        <f>IFERROR(__xludf.DUMMYFUNCTION("""COMPUTED_VALUE"""),463.0)</f>
        <v>463</v>
      </c>
      <c r="H20">
        <f>IFERROR(__xludf.DUMMYFUNCTION("""COMPUTED_VALUE"""),27.0)</f>
        <v>27</v>
      </c>
      <c r="I20">
        <f>IFERROR(__xludf.DUMMYFUNCTION("""COMPUTED_VALUE"""),5.0)</f>
        <v>5</v>
      </c>
      <c r="J20" t="str">
        <f>IFERROR(__xludf.DUMMYFUNCTION("""COMPUTED_VALUE"""),"Nouvelle-Aquitaine")</f>
        <v>Nouvelle-Aquitaine</v>
      </c>
      <c r="K20" t="str">
        <f>IFERROR(__xludf.DUMMYFUNCTION("""COMPUTED_VALUE"""),"6 863,8[r 17]")</f>
        <v>6 863,8[r 17]</v>
      </c>
      <c r="L20" t="str">
        <f>IFERROR(__xludf.DUMMYFUNCTION("""COMPUTED_VALUE"""),"672 279 (2023)")</f>
        <v>672 279 (2023)</v>
      </c>
      <c r="M20">
        <f>IFERROR(__xludf.DUMMYFUNCTION("""COMPUTED_VALUE"""),97.9)</f>
        <v>97.9</v>
      </c>
    </row>
    <row r="21">
      <c r="A21">
        <f>IFERROR(__xludf.DUMMYFUNCTION("""COMPUTED_VALUE"""),18.0)</f>
        <v>18</v>
      </c>
      <c r="B21" t="str">
        <f>IFERROR(__xludf.DUMMYFUNCTION("""COMPUTED_VALUE"""),"Cher
(m.s.)")</f>
        <v>Cher
(m.s.)</v>
      </c>
      <c r="C21" t="str">
        <f>IFERROR(__xludf.DUMMYFUNCTION("""COMPUTED_VALUE"""),"Bourges
(préf. dép.)")</f>
        <v>Bourges
(préf. dép.)</v>
      </c>
      <c r="D21">
        <f>IFERROR(__xludf.DUMMYFUNCTION("""COMPUTED_VALUE"""),1790.0)</f>
        <v>1790</v>
      </c>
      <c r="E21">
        <f>IFERROR(__xludf.DUMMYFUNCTION("""COMPUTED_VALUE"""),3.0)</f>
        <v>3</v>
      </c>
      <c r="F21" t="str">
        <f>IFERROR(__xludf.DUMMYFUNCTION("""COMPUTED_VALUE"""),"Bourges
Saint-Amand-Montrond
Vierzon")</f>
        <v>Bourges
Saint-Amand-Montrond
Vierzon</v>
      </c>
      <c r="G21">
        <f>IFERROR(__xludf.DUMMYFUNCTION("""COMPUTED_VALUE"""),286.0)</f>
        <v>286</v>
      </c>
      <c r="H21">
        <f>IFERROR(__xludf.DUMMYFUNCTION("""COMPUTED_VALUE"""),19.0)</f>
        <v>19</v>
      </c>
      <c r="I21">
        <f>IFERROR(__xludf.DUMMYFUNCTION("""COMPUTED_VALUE"""),3.0)</f>
        <v>3</v>
      </c>
      <c r="J21" t="str">
        <f>IFERROR(__xludf.DUMMYFUNCTION("""COMPUTED_VALUE"""),"Centre-Val de Loire")</f>
        <v>Centre-Val de Loire</v>
      </c>
      <c r="K21" t="str">
        <f>IFERROR(__xludf.DUMMYFUNCTION("""COMPUTED_VALUE"""),"7 235[r 18]")</f>
        <v>7 235[r 18]</v>
      </c>
      <c r="L21" t="str">
        <f>IFERROR(__xludf.DUMMYFUNCTION("""COMPUTED_VALUE"""),"298 660 (2023)")</f>
        <v>298 660 (2023)</v>
      </c>
      <c r="M21">
        <f>IFERROR(__xludf.DUMMYFUNCTION("""COMPUTED_VALUE"""),41.3)</f>
        <v>41.3</v>
      </c>
    </row>
    <row r="22">
      <c r="A22">
        <f>IFERROR(__xludf.DUMMYFUNCTION("""COMPUTED_VALUE"""),19.0)</f>
        <v>19</v>
      </c>
      <c r="B22" t="str">
        <f>IFERROR(__xludf.DUMMYFUNCTION("""COMPUTED_VALUE"""),"Corrèze
(f.s.)")</f>
        <v>Corrèze
(f.s.)</v>
      </c>
      <c r="C22" t="str">
        <f>IFERROR(__xludf.DUMMYFUNCTION("""COMPUTED_VALUE"""),"Tulle
(préf. dép.)")</f>
        <v>Tulle
(préf. dép.)</v>
      </c>
      <c r="D22">
        <f>IFERROR(__xludf.DUMMYFUNCTION("""COMPUTED_VALUE"""),1790.0)</f>
        <v>1790</v>
      </c>
      <c r="E22">
        <f>IFERROR(__xludf.DUMMYFUNCTION("""COMPUTED_VALUE"""),3.0)</f>
        <v>3</v>
      </c>
      <c r="F22" t="str">
        <f>IFERROR(__xludf.DUMMYFUNCTION("""COMPUTED_VALUE"""),"Brive-la-Gaillarde
Tulle
Ussel")</f>
        <v>Brive-la-Gaillarde
Tulle
Ussel</v>
      </c>
      <c r="G22">
        <f>IFERROR(__xludf.DUMMYFUNCTION("""COMPUTED_VALUE"""),279.0)</f>
        <v>279</v>
      </c>
      <c r="H22">
        <f>IFERROR(__xludf.DUMMYFUNCTION("""COMPUTED_VALUE"""),19.0)</f>
        <v>19</v>
      </c>
      <c r="I22">
        <f>IFERROR(__xludf.DUMMYFUNCTION("""COMPUTED_VALUE"""),2.0)</f>
        <v>2</v>
      </c>
      <c r="J22" t="str">
        <f>IFERROR(__xludf.DUMMYFUNCTION("""COMPUTED_VALUE"""),"Nouvelle-Aquitaine")</f>
        <v>Nouvelle-Aquitaine</v>
      </c>
      <c r="K22" t="str">
        <f>IFERROR(__xludf.DUMMYFUNCTION("""COMPUTED_VALUE"""),"5 856,8[r 19]")</f>
        <v>5 856,8[r 19]</v>
      </c>
      <c r="L22" t="str">
        <f>IFERROR(__xludf.DUMMYFUNCTION("""COMPUTED_VALUE"""),"240 826 (2023)")</f>
        <v>240 826 (2023)</v>
      </c>
      <c r="M22">
        <f>IFERROR(__xludf.DUMMYFUNCTION("""COMPUTED_VALUE"""),41.1)</f>
        <v>41.1</v>
      </c>
    </row>
    <row r="23">
      <c r="A23" t="str">
        <f>IFERROR(__xludf.DUMMYFUNCTION("""COMPUTED_VALUE"""),"2A")</f>
        <v>2A</v>
      </c>
      <c r="B23" t="str">
        <f>IFERROR(__xludf.DUMMYFUNCTION("""COMPUTED_VALUE"""),"Corse-du-Sud
(f.s.)")</f>
        <v>Corse-du-Sud
(f.s.)</v>
      </c>
      <c r="C23" t="str">
        <f>IFERROR(__xludf.DUMMYFUNCTION("""COMPUTED_VALUE"""),"Ajaccio
(préf. de Corse)[Note 5]")</f>
        <v>Ajaccio
(préf. de Corse)[Note 5]</v>
      </c>
      <c r="D23">
        <f>IFERROR(__xludf.DUMMYFUNCTION("""COMPUTED_VALUE"""),1976.0)</f>
        <v>1976</v>
      </c>
      <c r="E23">
        <f>IFERROR(__xludf.DUMMYFUNCTION("""COMPUTED_VALUE"""),2.0)</f>
        <v>2</v>
      </c>
      <c r="F23" t="str">
        <f>IFERROR(__xludf.DUMMYFUNCTION("""COMPUTED_VALUE"""),"Ajaccio
Sartène")</f>
        <v>Ajaccio
Sartène</v>
      </c>
      <c r="G23">
        <f>IFERROR(__xludf.DUMMYFUNCTION("""COMPUTED_VALUE"""),124.0)</f>
        <v>124</v>
      </c>
      <c r="H23">
        <f>IFERROR(__xludf.DUMMYFUNCTION("""COMPUTED_VALUE"""),11.0)</f>
        <v>11</v>
      </c>
      <c r="I23">
        <f>IFERROR(__xludf.DUMMYFUNCTION("""COMPUTED_VALUE"""),2.0)</f>
        <v>2</v>
      </c>
      <c r="J23" t="str">
        <f>IFERROR(__xludf.DUMMYFUNCTION("""COMPUTED_VALUE"""),"Corse")</f>
        <v>Corse</v>
      </c>
      <c r="K23" t="str">
        <f>IFERROR(__xludf.DUMMYFUNCTION("""COMPUTED_VALUE"""),"4 014,2[r 20]")</f>
        <v>4 014,2[r 20]</v>
      </c>
      <c r="L23" t="str">
        <f>IFERROR(__xludf.DUMMYFUNCTION("""COMPUTED_VALUE"""),"168 306 (2023)")</f>
        <v>168 306 (2023)</v>
      </c>
      <c r="M23">
        <f>IFERROR(__xludf.DUMMYFUNCTION("""COMPUTED_VALUE"""),41.9)</f>
        <v>41.9</v>
      </c>
    </row>
    <row r="24">
      <c r="A24" t="str">
        <f>IFERROR(__xludf.DUMMYFUNCTION("""COMPUTED_VALUE"""),"2B")</f>
        <v>2B</v>
      </c>
      <c r="B24" t="str">
        <f>IFERROR(__xludf.DUMMYFUNCTION("""COMPUTED_VALUE"""),"Haute-Corse
(f.s.)")</f>
        <v>Haute-Corse
(f.s.)</v>
      </c>
      <c r="C24" t="str">
        <f>IFERROR(__xludf.DUMMYFUNCTION("""COMPUTED_VALUE"""),"Bastia
(préf. dép.)")</f>
        <v>Bastia
(préf. dép.)</v>
      </c>
      <c r="D24">
        <f>IFERROR(__xludf.DUMMYFUNCTION("""COMPUTED_VALUE"""),1976.0)</f>
        <v>1976</v>
      </c>
      <c r="E24">
        <f>IFERROR(__xludf.DUMMYFUNCTION("""COMPUTED_VALUE"""),3.0)</f>
        <v>3</v>
      </c>
      <c r="F24" t="str">
        <f>IFERROR(__xludf.DUMMYFUNCTION("""COMPUTED_VALUE"""),"Bastia
Corte
Calvi")</f>
        <v>Bastia
Corte
Calvi</v>
      </c>
      <c r="G24">
        <f>IFERROR(__xludf.DUMMYFUNCTION("""COMPUTED_VALUE"""),236.0)</f>
        <v>236</v>
      </c>
      <c r="H24">
        <f>IFERROR(__xludf.DUMMYFUNCTION("""COMPUTED_VALUE"""),15.0)</f>
        <v>15</v>
      </c>
      <c r="I24">
        <f>IFERROR(__xludf.DUMMYFUNCTION("""COMPUTED_VALUE"""),2.0)</f>
        <v>2</v>
      </c>
      <c r="J24" t="str">
        <f>IFERROR(__xludf.DUMMYFUNCTION("""COMPUTED_VALUE"""),"Corse")</f>
        <v>Corse</v>
      </c>
      <c r="K24" t="str">
        <f>IFERROR(__xludf.DUMMYFUNCTION("""COMPUTED_VALUE"""),"4 665,6[r 20]")</f>
        <v>4 665,6[r 20]</v>
      </c>
      <c r="L24" t="str">
        <f>IFERROR(__xludf.DUMMYFUNCTION("""COMPUTED_VALUE"""),"187 180 (2023)")</f>
        <v>187 180 (2023)</v>
      </c>
      <c r="M24">
        <f>IFERROR(__xludf.DUMMYFUNCTION("""COMPUTED_VALUE"""),40.1)</f>
        <v>40.1</v>
      </c>
    </row>
    <row r="25">
      <c r="A25">
        <f>IFERROR(__xludf.DUMMYFUNCTION("""COMPUTED_VALUE"""),21.0)</f>
        <v>21</v>
      </c>
      <c r="B25" t="str">
        <f>IFERROR(__xludf.DUMMYFUNCTION("""COMPUTED_VALUE"""),"Côte-d'Or
(f.s.)")</f>
        <v>Côte-d'Or
(f.s.)</v>
      </c>
      <c r="C25" t="str">
        <f>IFERROR(__xludf.DUMMYFUNCTION("""COMPUTED_VALUE"""),"Dijon
(préf. rég. et dép.)")</f>
        <v>Dijon
(préf. rég. et dép.)</v>
      </c>
      <c r="D25">
        <f>IFERROR(__xludf.DUMMYFUNCTION("""COMPUTED_VALUE"""),1790.0)</f>
        <v>1790</v>
      </c>
      <c r="E25">
        <f>IFERROR(__xludf.DUMMYFUNCTION("""COMPUTED_VALUE"""),3.0)</f>
        <v>3</v>
      </c>
      <c r="F25" t="str">
        <f>IFERROR(__xludf.DUMMYFUNCTION("""COMPUTED_VALUE"""),"Beaune
Dijon
Montbard")</f>
        <v>Beaune
Dijon
Montbard</v>
      </c>
      <c r="G25">
        <f>IFERROR(__xludf.DUMMYFUNCTION("""COMPUTED_VALUE"""),698.0)</f>
        <v>698</v>
      </c>
      <c r="H25">
        <f>IFERROR(__xludf.DUMMYFUNCTION("""COMPUTED_VALUE"""),23.0)</f>
        <v>23</v>
      </c>
      <c r="I25">
        <f>IFERROR(__xludf.DUMMYFUNCTION("""COMPUTED_VALUE"""),5.0)</f>
        <v>5</v>
      </c>
      <c r="J25" t="str">
        <f>IFERROR(__xludf.DUMMYFUNCTION("""COMPUTED_VALUE"""),"Bourgogne-Franche-Comté")</f>
        <v>Bourgogne-Franche-Comté</v>
      </c>
      <c r="K25" t="str">
        <f>IFERROR(__xludf.DUMMYFUNCTION("""COMPUTED_VALUE"""),"8 763,2[r 21]")</f>
        <v>8 763,2[r 21]</v>
      </c>
      <c r="L25" t="str">
        <f>IFERROR(__xludf.DUMMYFUNCTION("""COMPUTED_VALUE"""),"540 100 (2023)")</f>
        <v>540 100 (2023)</v>
      </c>
      <c r="M25">
        <f>IFERROR(__xludf.DUMMYFUNCTION("""COMPUTED_VALUE"""),61.6)</f>
        <v>61.6</v>
      </c>
    </row>
    <row r="26">
      <c r="A26">
        <f>IFERROR(__xludf.DUMMYFUNCTION("""COMPUTED_VALUE"""),22.0)</f>
        <v>22</v>
      </c>
      <c r="B26" t="str">
        <f>IFERROR(__xludf.DUMMYFUNCTION("""COMPUTED_VALUE"""),"Côtes-d'Armor
(f.p.)")</f>
        <v>Côtes-d'Armor
(f.p.)</v>
      </c>
      <c r="C26" t="str">
        <f>IFERROR(__xludf.DUMMYFUNCTION("""COMPUTED_VALUE"""),"Saint-Brieuc
(préf. dép.)")</f>
        <v>Saint-Brieuc
(préf. dép.)</v>
      </c>
      <c r="D26">
        <f>IFERROR(__xludf.DUMMYFUNCTION("""COMPUTED_VALUE"""),1790.0)</f>
        <v>1790</v>
      </c>
      <c r="E26">
        <f>IFERROR(__xludf.DUMMYFUNCTION("""COMPUTED_VALUE"""),4.0)</f>
        <v>4</v>
      </c>
      <c r="F26" t="str">
        <f>IFERROR(__xludf.DUMMYFUNCTION("""COMPUTED_VALUE"""),"Dinan
Guingamp
Lannion
Saint-Brieuc")</f>
        <v>Dinan
Guingamp
Lannion
Saint-Brieuc</v>
      </c>
      <c r="G26">
        <f>IFERROR(__xludf.DUMMYFUNCTION("""COMPUTED_VALUE"""),348.0)</f>
        <v>348</v>
      </c>
      <c r="H26">
        <f>IFERROR(__xludf.DUMMYFUNCTION("""COMPUTED_VALUE"""),27.0)</f>
        <v>27</v>
      </c>
      <c r="I26">
        <f>IFERROR(__xludf.DUMMYFUNCTION("""COMPUTED_VALUE"""),5.0)</f>
        <v>5</v>
      </c>
      <c r="J26" t="str">
        <f>IFERROR(__xludf.DUMMYFUNCTION("""COMPUTED_VALUE"""),"Bretagne")</f>
        <v>Bretagne</v>
      </c>
      <c r="K26" t="str">
        <f>IFERROR(__xludf.DUMMYFUNCTION("""COMPUTED_VALUE"""),"6 877,6[r 22]")</f>
        <v>6 877,6[r 22]</v>
      </c>
      <c r="L26" t="str">
        <f>IFERROR(__xludf.DUMMYFUNCTION("""COMPUTED_VALUE"""),"611 859 (2023)")</f>
        <v>611 859 (2023)</v>
      </c>
      <c r="M26">
        <f>IFERROR(__xludf.DUMMYFUNCTION("""COMPUTED_VALUE"""),89.0)</f>
        <v>89</v>
      </c>
    </row>
    <row r="27">
      <c r="A27">
        <f>IFERROR(__xludf.DUMMYFUNCTION("""COMPUTED_VALUE"""),23.0)</f>
        <v>23</v>
      </c>
      <c r="B27" t="str">
        <f>IFERROR(__xludf.DUMMYFUNCTION("""COMPUTED_VALUE"""),"Creuse
(f.s.)")</f>
        <v>Creuse
(f.s.)</v>
      </c>
      <c r="C27" t="str">
        <f>IFERROR(__xludf.DUMMYFUNCTION("""COMPUTED_VALUE"""),"Guéret
(préf. dép.)")</f>
        <v>Guéret
(préf. dép.)</v>
      </c>
      <c r="D27">
        <f>IFERROR(__xludf.DUMMYFUNCTION("""COMPUTED_VALUE"""),1790.0)</f>
        <v>1790</v>
      </c>
      <c r="E27">
        <f>IFERROR(__xludf.DUMMYFUNCTION("""COMPUTED_VALUE"""),2.0)</f>
        <v>2</v>
      </c>
      <c r="F27" t="str">
        <f>IFERROR(__xludf.DUMMYFUNCTION("""COMPUTED_VALUE"""),"Aubusson
Guéret")</f>
        <v>Aubusson
Guéret</v>
      </c>
      <c r="G27">
        <f>IFERROR(__xludf.DUMMYFUNCTION("""COMPUTED_VALUE"""),256.0)</f>
        <v>256</v>
      </c>
      <c r="H27">
        <f>IFERROR(__xludf.DUMMYFUNCTION("""COMPUTED_VALUE"""),15.0)</f>
        <v>15</v>
      </c>
      <c r="I27">
        <f>IFERROR(__xludf.DUMMYFUNCTION("""COMPUTED_VALUE"""),1.0)</f>
        <v>1</v>
      </c>
      <c r="J27" t="str">
        <f>IFERROR(__xludf.DUMMYFUNCTION("""COMPUTED_VALUE"""),"Nouvelle-Aquitaine")</f>
        <v>Nouvelle-Aquitaine</v>
      </c>
      <c r="K27" t="str">
        <f>IFERROR(__xludf.DUMMYFUNCTION("""COMPUTED_VALUE"""),"5 565,4[r 23]")</f>
        <v>5 565,4[r 23]</v>
      </c>
      <c r="L27" t="str">
        <f>IFERROR(__xludf.DUMMYFUNCTION("""COMPUTED_VALUE"""),"115 527 (2023)")</f>
        <v>115 527 (2023)</v>
      </c>
      <c r="M27">
        <f>IFERROR(__xludf.DUMMYFUNCTION("""COMPUTED_VALUE"""),20.8)</f>
        <v>20.8</v>
      </c>
    </row>
    <row r="28">
      <c r="A28">
        <f>IFERROR(__xludf.DUMMYFUNCTION("""COMPUTED_VALUE"""),24.0)</f>
        <v>24</v>
      </c>
      <c r="B28" t="str">
        <f>IFERROR(__xludf.DUMMYFUNCTION("""COMPUTED_VALUE"""),"Dordogne
(f.s.)")</f>
        <v>Dordogne
(f.s.)</v>
      </c>
      <c r="C28" t="str">
        <f>IFERROR(__xludf.DUMMYFUNCTION("""COMPUTED_VALUE"""),"Périgueux
(préf. dép.)")</f>
        <v>Périgueux
(préf. dép.)</v>
      </c>
      <c r="D28">
        <f>IFERROR(__xludf.DUMMYFUNCTION("""COMPUTED_VALUE"""),1790.0)</f>
        <v>1790</v>
      </c>
      <c r="E28">
        <f>IFERROR(__xludf.DUMMYFUNCTION("""COMPUTED_VALUE"""),4.0)</f>
        <v>4</v>
      </c>
      <c r="F28" t="str">
        <f>IFERROR(__xludf.DUMMYFUNCTION("""COMPUTED_VALUE"""),"Bergerac
Nontron
Périgueux
Sarlat-la-Canéda")</f>
        <v>Bergerac
Nontron
Périgueux
Sarlat-la-Canéda</v>
      </c>
      <c r="G28">
        <f>IFERROR(__xludf.DUMMYFUNCTION("""COMPUTED_VALUE"""),503.0)</f>
        <v>503</v>
      </c>
      <c r="H28">
        <f>IFERROR(__xludf.DUMMYFUNCTION("""COMPUTED_VALUE"""),25.0)</f>
        <v>25</v>
      </c>
      <c r="I28">
        <f>IFERROR(__xludf.DUMMYFUNCTION("""COMPUTED_VALUE"""),4.0)</f>
        <v>4</v>
      </c>
      <c r="J28" t="str">
        <f>IFERROR(__xludf.DUMMYFUNCTION("""COMPUTED_VALUE"""),"Nouvelle-Aquitaine")</f>
        <v>Nouvelle-Aquitaine</v>
      </c>
      <c r="K28" t="str">
        <f>IFERROR(__xludf.DUMMYFUNCTION("""COMPUTED_VALUE"""),"9 060[r 24]")</f>
        <v>9 060[r 24]</v>
      </c>
      <c r="L28" t="str">
        <f>IFERROR(__xludf.DUMMYFUNCTION("""COMPUTED_VALUE"""),"417 614 (2023)")</f>
        <v>417 614 (2023)</v>
      </c>
      <c r="M28">
        <f>IFERROR(__xludf.DUMMYFUNCTION("""COMPUTED_VALUE"""),46.1)</f>
        <v>46.1</v>
      </c>
    </row>
    <row r="29">
      <c r="A29">
        <f>IFERROR(__xludf.DUMMYFUNCTION("""COMPUTED_VALUE"""),25.0)</f>
        <v>25</v>
      </c>
      <c r="B29" t="str">
        <f>IFERROR(__xludf.DUMMYFUNCTION("""COMPUTED_VALUE"""),"Doubs
(m.s.)")</f>
        <v>Doubs
(m.s.)</v>
      </c>
      <c r="C29" t="str">
        <f>IFERROR(__xludf.DUMMYFUNCTION("""COMPUTED_VALUE"""),"Besançon
(préf. dép.)")</f>
        <v>Besançon
(préf. dép.)</v>
      </c>
      <c r="D29">
        <f>IFERROR(__xludf.DUMMYFUNCTION("""COMPUTED_VALUE"""),1790.0)</f>
        <v>1790</v>
      </c>
      <c r="E29">
        <f>IFERROR(__xludf.DUMMYFUNCTION("""COMPUTED_VALUE"""),3.0)</f>
        <v>3</v>
      </c>
      <c r="F29" t="str">
        <f>IFERROR(__xludf.DUMMYFUNCTION("""COMPUTED_VALUE"""),"Besançon
Montbéliard
Pontarlier")</f>
        <v>Besançon
Montbéliard
Pontarlier</v>
      </c>
      <c r="G29">
        <f>IFERROR(__xludf.DUMMYFUNCTION("""COMPUTED_VALUE"""),569.0)</f>
        <v>569</v>
      </c>
      <c r="H29">
        <f>IFERROR(__xludf.DUMMYFUNCTION("""COMPUTED_VALUE"""),19.0)</f>
        <v>19</v>
      </c>
      <c r="I29">
        <f>IFERROR(__xludf.DUMMYFUNCTION("""COMPUTED_VALUE"""),5.0)</f>
        <v>5</v>
      </c>
      <c r="J29" t="str">
        <f>IFERROR(__xludf.DUMMYFUNCTION("""COMPUTED_VALUE"""),"Bourgogne-Franche-Comté")</f>
        <v>Bourgogne-Franche-Comté</v>
      </c>
      <c r="K29" t="str">
        <f>IFERROR(__xludf.DUMMYFUNCTION("""COMPUTED_VALUE"""),"5 232,6[r 25]")</f>
        <v>5 232,6[r 25]</v>
      </c>
      <c r="L29" t="str">
        <f>IFERROR(__xludf.DUMMYFUNCTION("""COMPUTED_VALUE"""),"547 163 (2023)")</f>
        <v>547 163 (2023)</v>
      </c>
      <c r="M29">
        <f>IFERROR(__xludf.DUMMYFUNCTION("""COMPUTED_VALUE"""),104.5)</f>
        <v>104.5</v>
      </c>
    </row>
    <row r="30">
      <c r="A30">
        <f>IFERROR(__xludf.DUMMYFUNCTION("""COMPUTED_VALUE"""),26.0)</f>
        <v>26</v>
      </c>
      <c r="B30" t="str">
        <f>IFERROR(__xludf.DUMMYFUNCTION("""COMPUTED_VALUE"""),"Drôme
(f.s.)")</f>
        <v>Drôme
(f.s.)</v>
      </c>
      <c r="C30" t="str">
        <f>IFERROR(__xludf.DUMMYFUNCTION("""COMPUTED_VALUE"""),"Valence
(préf. dép.)")</f>
        <v>Valence
(préf. dép.)</v>
      </c>
      <c r="D30">
        <f>IFERROR(__xludf.DUMMYFUNCTION("""COMPUTED_VALUE"""),1790.0)</f>
        <v>1790</v>
      </c>
      <c r="E30">
        <f>IFERROR(__xludf.DUMMYFUNCTION("""COMPUTED_VALUE"""),3.0)</f>
        <v>3</v>
      </c>
      <c r="F30" t="str">
        <f>IFERROR(__xludf.DUMMYFUNCTION("""COMPUTED_VALUE"""),"Die
Nyons
Valence")</f>
        <v>Die
Nyons
Valence</v>
      </c>
      <c r="G30">
        <f>IFERROR(__xludf.DUMMYFUNCTION("""COMPUTED_VALUE"""),363.0)</f>
        <v>363</v>
      </c>
      <c r="H30">
        <f>IFERROR(__xludf.DUMMYFUNCTION("""COMPUTED_VALUE"""),19.0)</f>
        <v>19</v>
      </c>
      <c r="I30">
        <f>IFERROR(__xludf.DUMMYFUNCTION("""COMPUTED_VALUE"""),4.0)</f>
        <v>4</v>
      </c>
      <c r="J30" t="str">
        <f>IFERROR(__xludf.DUMMYFUNCTION("""COMPUTED_VALUE"""),"Auvergne-Rhône-Alpes")</f>
        <v>Auvergne-Rhône-Alpes</v>
      </c>
      <c r="K30" t="str">
        <f>IFERROR(__xludf.DUMMYFUNCTION("""COMPUTED_VALUE"""),"6 530[r 26]")</f>
        <v>6 530[r 26]</v>
      </c>
      <c r="L30" t="str">
        <f>IFERROR(__xludf.DUMMYFUNCTION("""COMPUTED_VALUE"""),"524 207 (2023)")</f>
        <v>524 207 (2023)</v>
      </c>
      <c r="M30">
        <f>IFERROR(__xludf.DUMMYFUNCTION("""COMPUTED_VALUE"""),80.3)</f>
        <v>80.3</v>
      </c>
    </row>
    <row r="31">
      <c r="A31">
        <f>IFERROR(__xludf.DUMMYFUNCTION("""COMPUTED_VALUE"""),27.0)</f>
        <v>27</v>
      </c>
      <c r="B31" t="str">
        <f>IFERROR(__xludf.DUMMYFUNCTION("""COMPUTED_VALUE"""),"Eure
(f.s.)")</f>
        <v>Eure
(f.s.)</v>
      </c>
      <c r="C31" t="str">
        <f>IFERROR(__xludf.DUMMYFUNCTION("""COMPUTED_VALUE"""),"Évreux
(préf. dép.)")</f>
        <v>Évreux
(préf. dép.)</v>
      </c>
      <c r="D31">
        <f>IFERROR(__xludf.DUMMYFUNCTION("""COMPUTED_VALUE"""),1790.0)</f>
        <v>1790</v>
      </c>
      <c r="E31">
        <f>IFERROR(__xludf.DUMMYFUNCTION("""COMPUTED_VALUE"""),3.0)</f>
        <v>3</v>
      </c>
      <c r="F31" t="str">
        <f>IFERROR(__xludf.DUMMYFUNCTION("""COMPUTED_VALUE"""),"Les Andelys
Bernay
Évreux")</f>
        <v>Les Andelys
Bernay
Évreux</v>
      </c>
      <c r="G31">
        <f>IFERROR(__xludf.DUMMYFUNCTION("""COMPUTED_VALUE"""),585.0)</f>
        <v>585</v>
      </c>
      <c r="H31">
        <f>IFERROR(__xludf.DUMMYFUNCTION("""COMPUTED_VALUE"""),23.0)</f>
        <v>23</v>
      </c>
      <c r="I31">
        <f>IFERROR(__xludf.DUMMYFUNCTION("""COMPUTED_VALUE"""),5.0)</f>
        <v>5</v>
      </c>
      <c r="J31" t="str">
        <f>IFERROR(__xludf.DUMMYFUNCTION("""COMPUTED_VALUE"""),"Normandie")</f>
        <v>Normandie</v>
      </c>
      <c r="K31" t="str">
        <f>IFERROR(__xludf.DUMMYFUNCTION("""COMPUTED_VALUE"""),"6 039,9[r 27]")</f>
        <v>6 039,9[r 27]</v>
      </c>
      <c r="L31" t="str">
        <f>IFERROR(__xludf.DUMMYFUNCTION("""COMPUTED_VALUE"""),"602 714 (2023)")</f>
        <v>602 714 (2023)</v>
      </c>
      <c r="M31">
        <f>IFERROR(__xludf.DUMMYFUNCTION("""COMPUTED_VALUE"""),99.8)</f>
        <v>99.8</v>
      </c>
    </row>
    <row r="32">
      <c r="A32">
        <f>IFERROR(__xludf.DUMMYFUNCTION("""COMPUTED_VALUE"""),28.0)</f>
        <v>28</v>
      </c>
      <c r="B32" t="str">
        <f>IFERROR(__xludf.DUMMYFUNCTION("""COMPUTED_VALUE"""),"Eure-et-Loir
(f.s.)[Note 6]")</f>
        <v>Eure-et-Loir
(f.s.)[Note 6]</v>
      </c>
      <c r="C32" t="str">
        <f>IFERROR(__xludf.DUMMYFUNCTION("""COMPUTED_VALUE"""),"Chartres
(préf. dép.)")</f>
        <v>Chartres
(préf. dép.)</v>
      </c>
      <c r="D32">
        <f>IFERROR(__xludf.DUMMYFUNCTION("""COMPUTED_VALUE"""),1790.0)</f>
        <v>1790</v>
      </c>
      <c r="E32">
        <f>IFERROR(__xludf.DUMMYFUNCTION("""COMPUTED_VALUE"""),4.0)</f>
        <v>4</v>
      </c>
      <c r="F32" t="str">
        <f>IFERROR(__xludf.DUMMYFUNCTION("""COMPUTED_VALUE"""),"Chartres
Châteaudun
Dreux
Nogent-le-Rotrou")</f>
        <v>Chartres
Châteaudun
Dreux
Nogent-le-Rotrou</v>
      </c>
      <c r="G32">
        <f>IFERROR(__xludf.DUMMYFUNCTION("""COMPUTED_VALUE"""),365.0)</f>
        <v>365</v>
      </c>
      <c r="H32">
        <f>IFERROR(__xludf.DUMMYFUNCTION("""COMPUTED_VALUE"""),15.0)</f>
        <v>15</v>
      </c>
      <c r="I32">
        <f>IFERROR(__xludf.DUMMYFUNCTION("""COMPUTED_VALUE"""),4.0)</f>
        <v>4</v>
      </c>
      <c r="J32" t="str">
        <f>IFERROR(__xludf.DUMMYFUNCTION("""COMPUTED_VALUE"""),"Centre-Val de Loire")</f>
        <v>Centre-Val de Loire</v>
      </c>
      <c r="K32" t="str">
        <f>IFERROR(__xludf.DUMMYFUNCTION("""COMPUTED_VALUE"""),"5 880[r 28]")</f>
        <v>5 880[r 28]</v>
      </c>
      <c r="L32" t="str">
        <f>IFERROR(__xludf.DUMMYFUNCTION("""COMPUTED_VALUE"""),"433 129 (2023)")</f>
        <v>433 129 (2023)</v>
      </c>
      <c r="M32">
        <f>IFERROR(__xludf.DUMMYFUNCTION("""COMPUTED_VALUE"""),73.7)</f>
        <v>73.7</v>
      </c>
    </row>
    <row r="33">
      <c r="A33">
        <f>IFERROR(__xludf.DUMMYFUNCTION("""COMPUTED_VALUE"""),29.0)</f>
        <v>29</v>
      </c>
      <c r="B33" t="str">
        <f>IFERROR(__xludf.DUMMYFUNCTION("""COMPUTED_VALUE"""),"Finistère
(m.s.)")</f>
        <v>Finistère
(m.s.)</v>
      </c>
      <c r="C33" t="str">
        <f>IFERROR(__xludf.DUMMYFUNCTION("""COMPUTED_VALUE"""),"Quimper
(préf. dép.)")</f>
        <v>Quimper
(préf. dép.)</v>
      </c>
      <c r="D33">
        <f>IFERROR(__xludf.DUMMYFUNCTION("""COMPUTED_VALUE"""),1790.0)</f>
        <v>1790</v>
      </c>
      <c r="E33">
        <f>IFERROR(__xludf.DUMMYFUNCTION("""COMPUTED_VALUE"""),4.0)</f>
        <v>4</v>
      </c>
      <c r="F33" t="str">
        <f>IFERROR(__xludf.DUMMYFUNCTION("""COMPUTED_VALUE"""),"Brest
Châteaulin
Morlaix
Quimper")</f>
        <v>Brest
Châteaulin
Morlaix
Quimper</v>
      </c>
      <c r="G33">
        <f>IFERROR(__xludf.DUMMYFUNCTION("""COMPUTED_VALUE"""),277.0)</f>
        <v>277</v>
      </c>
      <c r="H33">
        <f>IFERROR(__xludf.DUMMYFUNCTION("""COMPUTED_VALUE"""),27.0)</f>
        <v>27</v>
      </c>
      <c r="I33">
        <f>IFERROR(__xludf.DUMMYFUNCTION("""COMPUTED_VALUE"""),8.0)</f>
        <v>8</v>
      </c>
      <c r="J33" t="str">
        <f>IFERROR(__xludf.DUMMYFUNCTION("""COMPUTED_VALUE"""),"Bretagne")</f>
        <v>Bretagne</v>
      </c>
      <c r="K33" t="str">
        <f>IFERROR(__xludf.DUMMYFUNCTION("""COMPUTED_VALUE"""),"6 733[r 29]")</f>
        <v>6 733[r 29]</v>
      </c>
      <c r="L33" t="str">
        <f>IFERROR(__xludf.DUMMYFUNCTION("""COMPUTED_VALUE"""),"933 455 (2023)")</f>
        <v>933 455 (2023)</v>
      </c>
      <c r="M33">
        <f>IFERROR(__xludf.DUMMYFUNCTION("""COMPUTED_VALUE"""),138.6)</f>
        <v>138.6</v>
      </c>
    </row>
    <row r="34">
      <c r="A34">
        <f>IFERROR(__xludf.DUMMYFUNCTION("""COMPUTED_VALUE"""),30.0)</f>
        <v>30</v>
      </c>
      <c r="B34" t="str">
        <f>IFERROR(__xludf.DUMMYFUNCTION("""COMPUTED_VALUE"""),"Gard
(m.s.)")</f>
        <v>Gard
(m.s.)</v>
      </c>
      <c r="C34" t="str">
        <f>IFERROR(__xludf.DUMMYFUNCTION("""COMPUTED_VALUE"""),"Nîmes
(préf. dép.)")</f>
        <v>Nîmes
(préf. dép.)</v>
      </c>
      <c r="D34">
        <f>IFERROR(__xludf.DUMMYFUNCTION("""COMPUTED_VALUE"""),1790.0)</f>
        <v>1790</v>
      </c>
      <c r="E34">
        <f>IFERROR(__xludf.DUMMYFUNCTION("""COMPUTED_VALUE"""),3.0)</f>
        <v>3</v>
      </c>
      <c r="F34" t="str">
        <f>IFERROR(__xludf.DUMMYFUNCTION("""COMPUTED_VALUE"""),"Alès
Nîmes
Le Vigan")</f>
        <v>Alès
Nîmes
Le Vigan</v>
      </c>
      <c r="G34">
        <f>IFERROR(__xludf.DUMMYFUNCTION("""COMPUTED_VALUE"""),351.0)</f>
        <v>351</v>
      </c>
      <c r="H34">
        <f>IFERROR(__xludf.DUMMYFUNCTION("""COMPUTED_VALUE"""),23.0)</f>
        <v>23</v>
      </c>
      <c r="I34">
        <f>IFERROR(__xludf.DUMMYFUNCTION("""COMPUTED_VALUE"""),6.0)</f>
        <v>6</v>
      </c>
      <c r="J34" t="str">
        <f>IFERROR(__xludf.DUMMYFUNCTION("""COMPUTED_VALUE"""),"Occitanie")</f>
        <v>Occitanie</v>
      </c>
      <c r="K34" t="str">
        <f>IFERROR(__xludf.DUMMYFUNCTION("""COMPUTED_VALUE"""),"5 852,8[r 30]")</f>
        <v>5 852,8[r 30]</v>
      </c>
      <c r="L34" t="str">
        <f>IFERROR(__xludf.DUMMYFUNCTION("""COMPUTED_VALUE"""),"770 940 (2023)")</f>
        <v>770 940 (2023)</v>
      </c>
      <c r="M34">
        <f>IFERROR(__xludf.DUMMYFUNCTION("""COMPUTED_VALUE"""),131.7)</f>
        <v>131.7</v>
      </c>
    </row>
    <row r="35">
      <c r="A35">
        <f>IFERROR(__xludf.DUMMYFUNCTION("""COMPUTED_VALUE"""),31.0)</f>
        <v>31</v>
      </c>
      <c r="B35" t="str">
        <f>IFERROR(__xludf.DUMMYFUNCTION("""COMPUTED_VALUE"""),"Haute-Garonne
(f.s.)")</f>
        <v>Haute-Garonne
(f.s.)</v>
      </c>
      <c r="C35" t="str">
        <f>IFERROR(__xludf.DUMMYFUNCTION("""COMPUTED_VALUE"""),"Toulouse
(préf. rég. et dép.)")</f>
        <v>Toulouse
(préf. rég. et dép.)</v>
      </c>
      <c r="D35">
        <f>IFERROR(__xludf.DUMMYFUNCTION("""COMPUTED_VALUE"""),1790.0)</f>
        <v>1790</v>
      </c>
      <c r="E35">
        <f>IFERROR(__xludf.DUMMYFUNCTION("""COMPUTED_VALUE"""),3.0)</f>
        <v>3</v>
      </c>
      <c r="F35" t="str">
        <f>IFERROR(__xludf.DUMMYFUNCTION("""COMPUTED_VALUE"""),"Muret
Saint-Gaudens
Toulouse")</f>
        <v>Muret
Saint-Gaudens
Toulouse</v>
      </c>
      <c r="G35">
        <f>IFERROR(__xludf.DUMMYFUNCTION("""COMPUTED_VALUE"""),586.0)</f>
        <v>586</v>
      </c>
      <c r="H35">
        <f>IFERROR(__xludf.DUMMYFUNCTION("""COMPUTED_VALUE"""),27.0)</f>
        <v>27</v>
      </c>
      <c r="I35">
        <f>IFERROR(__xludf.DUMMYFUNCTION("""COMPUTED_VALUE"""),10.0)</f>
        <v>10</v>
      </c>
      <c r="J35" t="str">
        <f>IFERROR(__xludf.DUMMYFUNCTION("""COMPUTED_VALUE"""),"Occitanie")</f>
        <v>Occitanie</v>
      </c>
      <c r="K35" t="str">
        <f>IFERROR(__xludf.DUMMYFUNCTION("""COMPUTED_VALUE"""),"6 309,3[r 31]")</f>
        <v>6 309,3[r 31]</v>
      </c>
      <c r="L35" t="str">
        <f>IFERROR(__xludf.DUMMYFUNCTION("""COMPUTED_VALUE"""),"1 471 468 (2023)")</f>
        <v>1 471 468 (2023)</v>
      </c>
      <c r="M35">
        <f>IFERROR(__xludf.DUMMYFUNCTION("""COMPUTED_VALUE"""),233.2)</f>
        <v>233.2</v>
      </c>
    </row>
    <row r="36">
      <c r="A36">
        <f>IFERROR(__xludf.DUMMYFUNCTION("""COMPUTED_VALUE"""),32.0)</f>
        <v>32</v>
      </c>
      <c r="B36" t="str">
        <f>IFERROR(__xludf.DUMMYFUNCTION("""COMPUTED_VALUE"""),"Gers
(m.s.)")</f>
        <v>Gers
(m.s.)</v>
      </c>
      <c r="C36" t="str">
        <f>IFERROR(__xludf.DUMMYFUNCTION("""COMPUTED_VALUE"""),"Auch
(préf. dép.)")</f>
        <v>Auch
(préf. dép.)</v>
      </c>
      <c r="D36">
        <f>IFERROR(__xludf.DUMMYFUNCTION("""COMPUTED_VALUE"""),1790.0)</f>
        <v>1790</v>
      </c>
      <c r="E36">
        <f>IFERROR(__xludf.DUMMYFUNCTION("""COMPUTED_VALUE"""),3.0)</f>
        <v>3</v>
      </c>
      <c r="F36" t="str">
        <f>IFERROR(__xludf.DUMMYFUNCTION("""COMPUTED_VALUE"""),"Auch
Condom
Mirande")</f>
        <v>Auch
Condom
Mirande</v>
      </c>
      <c r="G36">
        <f>IFERROR(__xludf.DUMMYFUNCTION("""COMPUTED_VALUE"""),461.0)</f>
        <v>461</v>
      </c>
      <c r="H36">
        <f>IFERROR(__xludf.DUMMYFUNCTION("""COMPUTED_VALUE"""),17.0)</f>
        <v>17</v>
      </c>
      <c r="I36">
        <f>IFERROR(__xludf.DUMMYFUNCTION("""COMPUTED_VALUE"""),2.0)</f>
        <v>2</v>
      </c>
      <c r="J36" t="str">
        <f>IFERROR(__xludf.DUMMYFUNCTION("""COMPUTED_VALUE"""),"Occitanie")</f>
        <v>Occitanie</v>
      </c>
      <c r="K36" t="str">
        <f>IFERROR(__xludf.DUMMYFUNCTION("""COMPUTED_VALUE"""),"6 256,8[r 32]")</f>
        <v>6 256,8[r 32]</v>
      </c>
      <c r="L36" t="str">
        <f>IFERROR(__xludf.DUMMYFUNCTION("""COMPUTED_VALUE"""),"192 645 (2023)")</f>
        <v>192 645 (2023)</v>
      </c>
      <c r="M36">
        <f>IFERROR(__xludf.DUMMYFUNCTION("""COMPUTED_VALUE"""),30.8)</f>
        <v>30.8</v>
      </c>
    </row>
    <row r="37">
      <c r="A37">
        <f>IFERROR(__xludf.DUMMYFUNCTION("""COMPUTED_VALUE"""),33.0)</f>
        <v>33</v>
      </c>
      <c r="B37" t="str">
        <f>IFERROR(__xludf.DUMMYFUNCTION("""COMPUTED_VALUE"""),"Gironde
(f.s.)")</f>
        <v>Gironde
(f.s.)</v>
      </c>
      <c r="C37" t="str">
        <f>IFERROR(__xludf.DUMMYFUNCTION("""COMPUTED_VALUE"""),"Bordeaux
(préf. rég. et dép.)")</f>
        <v>Bordeaux
(préf. rég. et dép.)</v>
      </c>
      <c r="D37">
        <f>IFERROR(__xludf.DUMMYFUNCTION("""COMPUTED_VALUE"""),1790.0)</f>
        <v>1790</v>
      </c>
      <c r="E37">
        <f>IFERROR(__xludf.DUMMYFUNCTION("""COMPUTED_VALUE"""),6.0)</f>
        <v>6</v>
      </c>
      <c r="F37" t="str">
        <f>IFERROR(__xludf.DUMMYFUNCTION("""COMPUTED_VALUE"""),"Blaye
Bordeaux
Langon
Lesparre-Médoc
Libourne
Arcachon")</f>
        <v>Blaye
Bordeaux
Langon
Lesparre-Médoc
Libourne
Arcachon</v>
      </c>
      <c r="G37">
        <f>IFERROR(__xludf.DUMMYFUNCTION("""COMPUTED_VALUE"""),535.0)</f>
        <v>535</v>
      </c>
      <c r="H37">
        <f>IFERROR(__xludf.DUMMYFUNCTION("""COMPUTED_VALUE"""),33.0)</f>
        <v>33</v>
      </c>
      <c r="I37">
        <f>IFERROR(__xludf.DUMMYFUNCTION("""COMPUTED_VALUE"""),12.0)</f>
        <v>12</v>
      </c>
      <c r="J37" t="str">
        <f>IFERROR(__xludf.DUMMYFUNCTION("""COMPUTED_VALUE"""),"Nouvelle-Aquitaine")</f>
        <v>Nouvelle-Aquitaine</v>
      </c>
      <c r="K37" t="str">
        <f>IFERROR(__xludf.DUMMYFUNCTION("""COMPUTED_VALUE"""),"9 975,6[r 33]")</f>
        <v>9 975,6[r 33]</v>
      </c>
      <c r="L37" t="str">
        <f>IFERROR(__xludf.DUMMYFUNCTION("""COMPUTED_VALUE"""),"1 690 493 (2023)")</f>
        <v>1 690 493 (2023)</v>
      </c>
      <c r="M37">
        <f>IFERROR(__xludf.DUMMYFUNCTION("""COMPUTED_VALUE"""),157.6)</f>
        <v>157.6</v>
      </c>
    </row>
    <row r="38">
      <c r="A38">
        <f>IFERROR(__xludf.DUMMYFUNCTION("""COMPUTED_VALUE"""),34.0)</f>
        <v>34</v>
      </c>
      <c r="B38" t="str">
        <f>IFERROR(__xludf.DUMMYFUNCTION("""COMPUTED_VALUE"""),"Hérault
(m.s.)")</f>
        <v>Hérault
(m.s.)</v>
      </c>
      <c r="C38" t="str">
        <f>IFERROR(__xludf.DUMMYFUNCTION("""COMPUTED_VALUE"""),"Montpellier
(préf. dép.)")</f>
        <v>Montpellier
(préf. dép.)</v>
      </c>
      <c r="D38">
        <f>IFERROR(__xludf.DUMMYFUNCTION("""COMPUTED_VALUE"""),1790.0)</f>
        <v>1790</v>
      </c>
      <c r="E38">
        <f>IFERROR(__xludf.DUMMYFUNCTION("""COMPUTED_VALUE"""),3.0)</f>
        <v>3</v>
      </c>
      <c r="F38" t="str">
        <f>IFERROR(__xludf.DUMMYFUNCTION("""COMPUTED_VALUE"""),"Béziers
Lodève
Montpellier")</f>
        <v>Béziers
Lodève
Montpellier</v>
      </c>
      <c r="G38">
        <f>IFERROR(__xludf.DUMMYFUNCTION("""COMPUTED_VALUE"""),342.0)</f>
        <v>342</v>
      </c>
      <c r="H38">
        <f>IFERROR(__xludf.DUMMYFUNCTION("""COMPUTED_VALUE"""),25.0)</f>
        <v>25</v>
      </c>
      <c r="I38">
        <f>IFERROR(__xludf.DUMMYFUNCTION("""COMPUTED_VALUE"""),9.0)</f>
        <v>9</v>
      </c>
      <c r="J38" t="str">
        <f>IFERROR(__xludf.DUMMYFUNCTION("""COMPUTED_VALUE"""),"Occitanie")</f>
        <v>Occitanie</v>
      </c>
      <c r="K38" t="str">
        <f>IFERROR(__xludf.DUMMYFUNCTION("""COMPUTED_VALUE"""),"6 101[r 34]")</f>
        <v>6 101[r 34]</v>
      </c>
      <c r="L38" t="str">
        <f>IFERROR(__xludf.DUMMYFUNCTION("""COMPUTED_VALUE"""),"1 230 289 (2023)")</f>
        <v>1 230 289 (2023)</v>
      </c>
      <c r="M38">
        <f>IFERROR(__xludf.DUMMYFUNCTION("""COMPUTED_VALUE"""),201.7)</f>
        <v>201.7</v>
      </c>
    </row>
    <row r="39">
      <c r="A39">
        <f>IFERROR(__xludf.DUMMYFUNCTION("""COMPUTED_VALUE"""),35.0)</f>
        <v>35</v>
      </c>
      <c r="B39" t="str">
        <f>IFERROR(__xludf.DUMMYFUNCTION("""COMPUTED_VALUE"""),"Ille-et-Vilaine
(f.s.)")</f>
        <v>Ille-et-Vilaine
(f.s.)</v>
      </c>
      <c r="C39" t="str">
        <f>IFERROR(__xludf.DUMMYFUNCTION("""COMPUTED_VALUE"""),"Rennes
(préf. rég. et dép.)")</f>
        <v>Rennes
(préf. rég. et dép.)</v>
      </c>
      <c r="D39">
        <f>IFERROR(__xludf.DUMMYFUNCTION("""COMPUTED_VALUE"""),1790.0)</f>
        <v>1790</v>
      </c>
      <c r="E39">
        <f>IFERROR(__xludf.DUMMYFUNCTION("""COMPUTED_VALUE"""),4.0)</f>
        <v>4</v>
      </c>
      <c r="F39" t="str">
        <f>IFERROR(__xludf.DUMMYFUNCTION("""COMPUTED_VALUE"""),"Fougères-Vitré
Redon
Rennes
Saint-Malo")</f>
        <v>Fougères-Vitré
Redon
Rennes
Saint-Malo</v>
      </c>
      <c r="G39">
        <f>IFERROR(__xludf.DUMMYFUNCTION("""COMPUTED_VALUE"""),332.0)</f>
        <v>332</v>
      </c>
      <c r="H39">
        <f>IFERROR(__xludf.DUMMYFUNCTION("""COMPUTED_VALUE"""),27.0)</f>
        <v>27</v>
      </c>
      <c r="I39">
        <f>IFERROR(__xludf.DUMMYFUNCTION("""COMPUTED_VALUE"""),8.0)</f>
        <v>8</v>
      </c>
      <c r="J39" t="str">
        <f>IFERROR(__xludf.DUMMYFUNCTION("""COMPUTED_VALUE"""),"Bretagne")</f>
        <v>Bretagne</v>
      </c>
      <c r="K39" t="str">
        <f>IFERROR(__xludf.DUMMYFUNCTION("""COMPUTED_VALUE"""),"6 774,7[r 35]")</f>
        <v>6 774,7[r 35]</v>
      </c>
      <c r="L39" t="str">
        <f>IFERROR(__xludf.DUMMYFUNCTION("""COMPUTED_VALUE"""),"1 120 666 (2023)")</f>
        <v>1 120 666 (2023)</v>
      </c>
      <c r="M39">
        <f>IFERROR(__xludf.DUMMYFUNCTION("""COMPUTED_VALUE"""),165.4)</f>
        <v>165.4</v>
      </c>
    </row>
    <row r="40">
      <c r="A40">
        <f>IFERROR(__xludf.DUMMYFUNCTION("""COMPUTED_VALUE"""),36.0)</f>
        <v>36</v>
      </c>
      <c r="B40" t="str">
        <f>IFERROR(__xludf.DUMMYFUNCTION("""COMPUTED_VALUE"""),"Indre
(f.s.)")</f>
        <v>Indre
(f.s.)</v>
      </c>
      <c r="C40" t="str">
        <f>IFERROR(__xludf.DUMMYFUNCTION("""COMPUTED_VALUE"""),"Châteauroux
(préf. dép.)")</f>
        <v>Châteauroux
(préf. dép.)</v>
      </c>
      <c r="D40">
        <f>IFERROR(__xludf.DUMMYFUNCTION("""COMPUTED_VALUE"""),1790.0)</f>
        <v>1790</v>
      </c>
      <c r="E40">
        <f>IFERROR(__xludf.DUMMYFUNCTION("""COMPUTED_VALUE"""),4.0)</f>
        <v>4</v>
      </c>
      <c r="F40" t="str">
        <f>IFERROR(__xludf.DUMMYFUNCTION("""COMPUTED_VALUE"""),"Le Blanc
Châteauroux
La Châtre
Issoudun")</f>
        <v>Le Blanc
Châteauroux
La Châtre
Issoudun</v>
      </c>
      <c r="G40">
        <f>IFERROR(__xludf.DUMMYFUNCTION("""COMPUTED_VALUE"""),241.0)</f>
        <v>241</v>
      </c>
      <c r="H40">
        <f>IFERROR(__xludf.DUMMYFUNCTION("""COMPUTED_VALUE"""),13.0)</f>
        <v>13</v>
      </c>
      <c r="I40">
        <f>IFERROR(__xludf.DUMMYFUNCTION("""COMPUTED_VALUE"""),2.0)</f>
        <v>2</v>
      </c>
      <c r="J40" t="str">
        <f>IFERROR(__xludf.DUMMYFUNCTION("""COMPUTED_VALUE"""),"Centre-Val de Loire")</f>
        <v>Centre-Val de Loire</v>
      </c>
      <c r="K40" t="str">
        <f>IFERROR(__xludf.DUMMYFUNCTION("""COMPUTED_VALUE"""),"6 790,6[r 36]")</f>
        <v>6 790,6[r 36]</v>
      </c>
      <c r="L40" t="str">
        <f>IFERROR(__xludf.DUMMYFUNCTION("""COMPUTED_VALUE"""),"216 069 (2023)")</f>
        <v>216 069 (2023)</v>
      </c>
      <c r="M40">
        <f>IFERROR(__xludf.DUMMYFUNCTION("""COMPUTED_VALUE"""),31.8)</f>
        <v>31.8</v>
      </c>
    </row>
    <row r="41">
      <c r="A41">
        <f>IFERROR(__xludf.DUMMYFUNCTION("""COMPUTED_VALUE"""),37.0)</f>
        <v>37</v>
      </c>
      <c r="B41" t="str">
        <f>IFERROR(__xludf.DUMMYFUNCTION("""COMPUTED_VALUE"""),"Indre-et-Loire
(f.s.)")</f>
        <v>Indre-et-Loire
(f.s.)</v>
      </c>
      <c r="C41" t="str">
        <f>IFERROR(__xludf.DUMMYFUNCTION("""COMPUTED_VALUE"""),"Tours
(préf. dép.)")</f>
        <v>Tours
(préf. dép.)</v>
      </c>
      <c r="D41">
        <f>IFERROR(__xludf.DUMMYFUNCTION("""COMPUTED_VALUE"""),1790.0)</f>
        <v>1790</v>
      </c>
      <c r="E41">
        <f>IFERROR(__xludf.DUMMYFUNCTION("""COMPUTED_VALUE"""),3.0)</f>
        <v>3</v>
      </c>
      <c r="F41" t="str">
        <f>IFERROR(__xludf.DUMMYFUNCTION("""COMPUTED_VALUE"""),"Chinon
Tours
Loches")</f>
        <v>Chinon
Tours
Loches</v>
      </c>
      <c r="G41">
        <f>IFERROR(__xludf.DUMMYFUNCTION("""COMPUTED_VALUE"""),272.0)</f>
        <v>272</v>
      </c>
      <c r="H41">
        <f>IFERROR(__xludf.DUMMYFUNCTION("""COMPUTED_VALUE"""),19.0)</f>
        <v>19</v>
      </c>
      <c r="I41">
        <f>IFERROR(__xludf.DUMMYFUNCTION("""COMPUTED_VALUE"""),5.0)</f>
        <v>5</v>
      </c>
      <c r="J41" t="str">
        <f>IFERROR(__xludf.DUMMYFUNCTION("""COMPUTED_VALUE"""),"Centre-Val de Loire")</f>
        <v>Centre-Val de Loire</v>
      </c>
      <c r="K41" t="str">
        <f>IFERROR(__xludf.DUMMYFUNCTION("""COMPUTED_VALUE"""),"6 126,7[r 37]")</f>
        <v>6 126,7[r 37]</v>
      </c>
      <c r="L41" t="str">
        <f>IFERROR(__xludf.DUMMYFUNCTION("""COMPUTED_VALUE"""),"619 362 (2023)")</f>
        <v>619 362 (2023)</v>
      </c>
      <c r="M41">
        <f>IFERROR(__xludf.DUMMYFUNCTION("""COMPUTED_VALUE"""),101.1)</f>
        <v>101.1</v>
      </c>
    </row>
    <row r="42">
      <c r="A42">
        <f>IFERROR(__xludf.DUMMYFUNCTION("""COMPUTED_VALUE"""),38.0)</f>
        <v>38</v>
      </c>
      <c r="B42" t="str">
        <f>IFERROR(__xludf.DUMMYFUNCTION("""COMPUTED_VALUE"""),"Isère
(f.s.)")</f>
        <v>Isère
(f.s.)</v>
      </c>
      <c r="C42" t="str">
        <f>IFERROR(__xludf.DUMMYFUNCTION("""COMPUTED_VALUE"""),"Grenoble
(préf. dép.)")</f>
        <v>Grenoble
(préf. dép.)</v>
      </c>
      <c r="D42">
        <f>IFERROR(__xludf.DUMMYFUNCTION("""COMPUTED_VALUE"""),1790.0)</f>
        <v>1790</v>
      </c>
      <c r="E42">
        <f>IFERROR(__xludf.DUMMYFUNCTION("""COMPUTED_VALUE"""),3.0)</f>
        <v>3</v>
      </c>
      <c r="F42" t="str">
        <f>IFERROR(__xludf.DUMMYFUNCTION("""COMPUTED_VALUE"""),"Grenoble
La Tour-du-Pin
Vienne")</f>
        <v>Grenoble
La Tour-du-Pin
Vienne</v>
      </c>
      <c r="G42">
        <f>IFERROR(__xludf.DUMMYFUNCTION("""COMPUTED_VALUE"""),512.0)</f>
        <v>512</v>
      </c>
      <c r="H42">
        <f>IFERROR(__xludf.DUMMYFUNCTION("""COMPUTED_VALUE"""),29.0)</f>
        <v>29</v>
      </c>
      <c r="I42">
        <f>IFERROR(__xludf.DUMMYFUNCTION("""COMPUTED_VALUE"""),10.0)</f>
        <v>10</v>
      </c>
      <c r="J42" t="str">
        <f>IFERROR(__xludf.DUMMYFUNCTION("""COMPUTED_VALUE"""),"Auvergne-Rhône-Alpes")</f>
        <v>Auvergne-Rhône-Alpes</v>
      </c>
      <c r="K42" t="str">
        <f>IFERROR(__xludf.DUMMYFUNCTION("""COMPUTED_VALUE"""),"7 431,5[r 38]")</f>
        <v>7 431,5[r 38]</v>
      </c>
      <c r="L42" t="str">
        <f>IFERROR(__xludf.DUMMYFUNCTION("""COMPUTED_VALUE"""),"1 298 990 (2023)")</f>
        <v>1 298 990 (2023)</v>
      </c>
      <c r="M42">
        <f>IFERROR(__xludf.DUMMYFUNCTION("""COMPUTED_VALUE"""),174.8)</f>
        <v>174.8</v>
      </c>
    </row>
    <row r="43">
      <c r="A43">
        <f>IFERROR(__xludf.DUMMYFUNCTION("""COMPUTED_VALUE"""),39.0)</f>
        <v>39</v>
      </c>
      <c r="B43" t="str">
        <f>IFERROR(__xludf.DUMMYFUNCTION("""COMPUTED_VALUE"""),"Jura
(m.s.)")</f>
        <v>Jura
(m.s.)</v>
      </c>
      <c r="C43" t="str">
        <f>IFERROR(__xludf.DUMMYFUNCTION("""COMPUTED_VALUE"""),"Lons-le-Saunier
(préf. dép.)")</f>
        <v>Lons-le-Saunier
(préf. dép.)</v>
      </c>
      <c r="D43">
        <f>IFERROR(__xludf.DUMMYFUNCTION("""COMPUTED_VALUE"""),1790.0)</f>
        <v>1790</v>
      </c>
      <c r="E43">
        <f>IFERROR(__xludf.DUMMYFUNCTION("""COMPUTED_VALUE"""),3.0)</f>
        <v>3</v>
      </c>
      <c r="F43" t="str">
        <f>IFERROR(__xludf.DUMMYFUNCTION("""COMPUTED_VALUE"""),"Dole
Lons-le-Saunier
Saint-Claude")</f>
        <v>Dole
Lons-le-Saunier
Saint-Claude</v>
      </c>
      <c r="G43">
        <f>IFERROR(__xludf.DUMMYFUNCTION("""COMPUTED_VALUE"""),494.0)</f>
        <v>494</v>
      </c>
      <c r="H43">
        <f>IFERROR(__xludf.DUMMYFUNCTION("""COMPUTED_VALUE"""),17.0)</f>
        <v>17</v>
      </c>
      <c r="I43">
        <f>IFERROR(__xludf.DUMMYFUNCTION("""COMPUTED_VALUE"""),3.0)</f>
        <v>3</v>
      </c>
      <c r="J43" t="str">
        <f>IFERROR(__xludf.DUMMYFUNCTION("""COMPUTED_VALUE"""),"Bourgogne-Franche-Comté")</f>
        <v>Bourgogne-Franche-Comté</v>
      </c>
      <c r="K43" t="str">
        <f>IFERROR(__xludf.DUMMYFUNCTION("""COMPUTED_VALUE"""),"4 999,2[r 39]")</f>
        <v>4 999,2[r 39]</v>
      </c>
      <c r="L43" t="str">
        <f>IFERROR(__xludf.DUMMYFUNCTION("""COMPUTED_VALUE"""),"257 973 (2023)")</f>
        <v>257 973 (2023)</v>
      </c>
      <c r="M43">
        <f>IFERROR(__xludf.DUMMYFUNCTION("""COMPUTED_VALUE"""),51.6)</f>
        <v>51.6</v>
      </c>
    </row>
    <row r="44">
      <c r="A44">
        <f>IFERROR(__xludf.DUMMYFUNCTION("""COMPUTED_VALUE"""),40.0)</f>
        <v>40</v>
      </c>
      <c r="B44" t="str">
        <f>IFERROR(__xludf.DUMMYFUNCTION("""COMPUTED_VALUE"""),"Landes
(f.p.)")</f>
        <v>Landes
(f.p.)</v>
      </c>
      <c r="C44" t="str">
        <f>IFERROR(__xludf.DUMMYFUNCTION("""COMPUTED_VALUE"""),"Mont-de-Marsan
(préf. dép.)")</f>
        <v>Mont-de-Marsan
(préf. dép.)</v>
      </c>
      <c r="D44">
        <f>IFERROR(__xludf.DUMMYFUNCTION("""COMPUTED_VALUE"""),1790.0)</f>
        <v>1790</v>
      </c>
      <c r="E44">
        <f>IFERROR(__xludf.DUMMYFUNCTION("""COMPUTED_VALUE"""),2.0)</f>
        <v>2</v>
      </c>
      <c r="F44" t="str">
        <f>IFERROR(__xludf.DUMMYFUNCTION("""COMPUTED_VALUE"""),"Dax
Mont-de-Marsan")</f>
        <v>Dax
Mont-de-Marsan</v>
      </c>
      <c r="G44">
        <f>IFERROR(__xludf.DUMMYFUNCTION("""COMPUTED_VALUE"""),327.0)</f>
        <v>327</v>
      </c>
      <c r="H44">
        <f>IFERROR(__xludf.DUMMYFUNCTION("""COMPUTED_VALUE"""),15.0)</f>
        <v>15</v>
      </c>
      <c r="I44">
        <f>IFERROR(__xludf.DUMMYFUNCTION("""COMPUTED_VALUE"""),3.0)</f>
        <v>3</v>
      </c>
      <c r="J44" t="str">
        <f>IFERROR(__xludf.DUMMYFUNCTION("""COMPUTED_VALUE"""),"Nouvelle-Aquitaine")</f>
        <v>Nouvelle-Aquitaine</v>
      </c>
      <c r="K44" t="str">
        <f>IFERROR(__xludf.DUMMYFUNCTION("""COMPUTED_VALUE"""),"9 242,6[r 40]")</f>
        <v>9 242,6[r 40]</v>
      </c>
      <c r="L44" t="str">
        <f>IFERROR(__xludf.DUMMYFUNCTION("""COMPUTED_VALUE"""),"433 570 (2023)")</f>
        <v>433 570 (2023)</v>
      </c>
      <c r="M44">
        <f>IFERROR(__xludf.DUMMYFUNCTION("""COMPUTED_VALUE"""),46.9)</f>
        <v>46.9</v>
      </c>
    </row>
    <row r="45">
      <c r="A45">
        <f>IFERROR(__xludf.DUMMYFUNCTION("""COMPUTED_VALUE"""),41.0)</f>
        <v>41</v>
      </c>
      <c r="B45" t="str">
        <f>IFERROR(__xludf.DUMMYFUNCTION("""COMPUTED_VALUE"""),"Loir-et-Cher
(m.s.)")</f>
        <v>Loir-et-Cher
(m.s.)</v>
      </c>
      <c r="C45" t="str">
        <f>IFERROR(__xludf.DUMMYFUNCTION("""COMPUTED_VALUE"""),"Blois
(préf. dép.)")</f>
        <v>Blois
(préf. dép.)</v>
      </c>
      <c r="D45">
        <f>IFERROR(__xludf.DUMMYFUNCTION("""COMPUTED_VALUE"""),1790.0)</f>
        <v>1790</v>
      </c>
      <c r="E45">
        <f>IFERROR(__xludf.DUMMYFUNCTION("""COMPUTED_VALUE"""),3.0)</f>
        <v>3</v>
      </c>
      <c r="F45" t="str">
        <f>IFERROR(__xludf.DUMMYFUNCTION("""COMPUTED_VALUE"""),"Blois
Vendôme
Romorantin-Lanthenay")</f>
        <v>Blois
Vendôme
Romorantin-Lanthenay</v>
      </c>
      <c r="G45">
        <f>IFERROR(__xludf.DUMMYFUNCTION("""COMPUTED_VALUE"""),267.0)</f>
        <v>267</v>
      </c>
      <c r="H45">
        <f>IFERROR(__xludf.DUMMYFUNCTION("""COMPUTED_VALUE"""),15.0)</f>
        <v>15</v>
      </c>
      <c r="I45">
        <f>IFERROR(__xludf.DUMMYFUNCTION("""COMPUTED_VALUE"""),3.0)</f>
        <v>3</v>
      </c>
      <c r="J45" t="str">
        <f>IFERROR(__xludf.DUMMYFUNCTION("""COMPUTED_VALUE"""),"Centre-Val de Loire")</f>
        <v>Centre-Val de Loire</v>
      </c>
      <c r="K45" t="str">
        <f>IFERROR(__xludf.DUMMYFUNCTION("""COMPUTED_VALUE"""),"6 343,4[r 41]")</f>
        <v>6 343,4[r 41]</v>
      </c>
      <c r="L45" t="str">
        <f>IFERROR(__xludf.DUMMYFUNCTION("""COMPUTED_VALUE"""),"328 543 (2023)")</f>
        <v>328 543 (2023)</v>
      </c>
      <c r="M45">
        <f>IFERROR(__xludf.DUMMYFUNCTION("""COMPUTED_VALUE"""),51.8)</f>
        <v>51.8</v>
      </c>
    </row>
    <row r="46">
      <c r="A46">
        <f>IFERROR(__xludf.DUMMYFUNCTION("""COMPUTED_VALUE"""),42.0)</f>
        <v>42</v>
      </c>
      <c r="B46" t="str">
        <f>IFERROR(__xludf.DUMMYFUNCTION("""COMPUTED_VALUE"""),"Loire
(f.s.)")</f>
        <v>Loire
(f.s.)</v>
      </c>
      <c r="C46" t="str">
        <f>IFERROR(__xludf.DUMMYFUNCTION("""COMPUTED_VALUE"""),"Saint-Étienne
(préf. dép.)")</f>
        <v>Saint-Étienne
(préf. dép.)</v>
      </c>
      <c r="D46">
        <f>IFERROR(__xludf.DUMMYFUNCTION("""COMPUTED_VALUE"""),1793.0)</f>
        <v>1793</v>
      </c>
      <c r="E46">
        <f>IFERROR(__xludf.DUMMYFUNCTION("""COMPUTED_VALUE"""),3.0)</f>
        <v>3</v>
      </c>
      <c r="F46" t="str">
        <f>IFERROR(__xludf.DUMMYFUNCTION("""COMPUTED_VALUE"""),"Montbrison
Roanne
Saint-Étienne")</f>
        <v>Montbrison
Roanne
Saint-Étienne</v>
      </c>
      <c r="G46">
        <f>IFERROR(__xludf.DUMMYFUNCTION("""COMPUTED_VALUE"""),323.0)</f>
        <v>323</v>
      </c>
      <c r="H46">
        <f>IFERROR(__xludf.DUMMYFUNCTION("""COMPUTED_VALUE"""),21.0)</f>
        <v>21</v>
      </c>
      <c r="I46">
        <f>IFERROR(__xludf.DUMMYFUNCTION("""COMPUTED_VALUE"""),6.0)</f>
        <v>6</v>
      </c>
      <c r="J46" t="str">
        <f>IFERROR(__xludf.DUMMYFUNCTION("""COMPUTED_VALUE"""),"Auvergne-Rhône-Alpes")</f>
        <v>Auvergne-Rhône-Alpes</v>
      </c>
      <c r="K46" t="str">
        <f>IFERROR(__xludf.DUMMYFUNCTION("""COMPUTED_VALUE"""),"4 780,6[r 42]")</f>
        <v>4 780,6[r 42]</v>
      </c>
      <c r="L46" t="str">
        <f>IFERROR(__xludf.DUMMYFUNCTION("""COMPUTED_VALUE"""),"774 133 (2023)")</f>
        <v>774 133 (2023)</v>
      </c>
      <c r="M46">
        <f>IFERROR(__xludf.DUMMYFUNCTION("""COMPUTED_VALUE"""),161.9)</f>
        <v>161.9</v>
      </c>
    </row>
    <row r="47">
      <c r="A47">
        <f>IFERROR(__xludf.DUMMYFUNCTION("""COMPUTED_VALUE"""),43.0)</f>
        <v>43</v>
      </c>
      <c r="B47" t="str">
        <f>IFERROR(__xludf.DUMMYFUNCTION("""COMPUTED_VALUE"""),"Haute-Loire
(f.s.)")</f>
        <v>Haute-Loire
(f.s.)</v>
      </c>
      <c r="C47" t="str">
        <f>IFERROR(__xludf.DUMMYFUNCTION("""COMPUTED_VALUE"""),"Le Puy-en-Velay
(préf. dép.)")</f>
        <v>Le Puy-en-Velay
(préf. dép.)</v>
      </c>
      <c r="D47">
        <f>IFERROR(__xludf.DUMMYFUNCTION("""COMPUTED_VALUE"""),1790.0)</f>
        <v>1790</v>
      </c>
      <c r="E47">
        <f>IFERROR(__xludf.DUMMYFUNCTION("""COMPUTED_VALUE"""),3.0)</f>
        <v>3</v>
      </c>
      <c r="F47" t="str">
        <f>IFERROR(__xludf.DUMMYFUNCTION("""COMPUTED_VALUE"""),"Brioude
Le Puy-en-Velay
Yssingeaux")</f>
        <v>Brioude
Le Puy-en-Velay
Yssingeaux</v>
      </c>
      <c r="G47">
        <f>IFERROR(__xludf.DUMMYFUNCTION("""COMPUTED_VALUE"""),257.0)</f>
        <v>257</v>
      </c>
      <c r="H47">
        <f>IFERROR(__xludf.DUMMYFUNCTION("""COMPUTED_VALUE"""),19.0)</f>
        <v>19</v>
      </c>
      <c r="I47">
        <f>IFERROR(__xludf.DUMMYFUNCTION("""COMPUTED_VALUE"""),2.0)</f>
        <v>2</v>
      </c>
      <c r="J47" t="str">
        <f>IFERROR(__xludf.DUMMYFUNCTION("""COMPUTED_VALUE"""),"Auvergne-Rhône-Alpes")</f>
        <v>Auvergne-Rhône-Alpes</v>
      </c>
      <c r="K47" t="str">
        <f>IFERROR(__xludf.DUMMYFUNCTION("""COMPUTED_VALUE"""),"4 977,1[r 43]")</f>
        <v>4 977,1[r 43]</v>
      </c>
      <c r="L47" t="str">
        <f>IFERROR(__xludf.DUMMYFUNCTION("""COMPUTED_VALUE"""),"228 654 (2023)")</f>
        <v>228 654 (2023)</v>
      </c>
      <c r="M47">
        <f>IFERROR(__xludf.DUMMYFUNCTION("""COMPUTED_VALUE"""),45.9)</f>
        <v>45.9</v>
      </c>
    </row>
    <row r="48">
      <c r="A48">
        <f>IFERROR(__xludf.DUMMYFUNCTION("""COMPUTED_VALUE"""),44.0)</f>
        <v>44</v>
      </c>
      <c r="B48" t="str">
        <f>IFERROR(__xludf.DUMMYFUNCTION("""COMPUTED_VALUE"""),"Loire-Atlantique
(f.s.)")</f>
        <v>Loire-Atlantique
(f.s.)</v>
      </c>
      <c r="C48" t="str">
        <f>IFERROR(__xludf.DUMMYFUNCTION("""COMPUTED_VALUE"""),"Nantes
(préf. rég. et dép.)")</f>
        <v>Nantes
(préf. rég. et dép.)</v>
      </c>
      <c r="D48">
        <f>IFERROR(__xludf.DUMMYFUNCTION("""COMPUTED_VALUE"""),1790.0)</f>
        <v>1790</v>
      </c>
      <c r="E48">
        <f>IFERROR(__xludf.DUMMYFUNCTION("""COMPUTED_VALUE"""),3.0)</f>
        <v>3</v>
      </c>
      <c r="F48" t="str">
        <f>IFERROR(__xludf.DUMMYFUNCTION("""COMPUTED_VALUE"""),"Nantes
Saint-Nazaire
Châteaubriant-Ancenis")</f>
        <v>Nantes
Saint-Nazaire
Châteaubriant-Ancenis</v>
      </c>
      <c r="G48">
        <f>IFERROR(__xludf.DUMMYFUNCTION("""COMPUTED_VALUE"""),207.0)</f>
        <v>207</v>
      </c>
      <c r="H48">
        <f>IFERROR(__xludf.DUMMYFUNCTION("""COMPUTED_VALUE"""),31.0)</f>
        <v>31</v>
      </c>
      <c r="I48">
        <f>IFERROR(__xludf.DUMMYFUNCTION("""COMPUTED_VALUE"""),10.0)</f>
        <v>10</v>
      </c>
      <c r="J48" t="str">
        <f>IFERROR(__xludf.DUMMYFUNCTION("""COMPUTED_VALUE"""),"Pays de la Loire")</f>
        <v>Pays de la Loire</v>
      </c>
      <c r="K48" t="str">
        <f>IFERROR(__xludf.DUMMYFUNCTION("""COMPUTED_VALUE"""),"6 874,4[r 44]")</f>
        <v>6 874,4[r 44]</v>
      </c>
      <c r="L48" t="str">
        <f>IFERROR(__xludf.DUMMYFUNCTION("""COMPUTED_VALUE"""),"1 487 570 (2023)")</f>
        <v>1 487 570 (2023)</v>
      </c>
      <c r="M48">
        <f>IFERROR(__xludf.DUMMYFUNCTION("""COMPUTED_VALUE"""),218.3)</f>
        <v>218.3</v>
      </c>
    </row>
    <row r="49">
      <c r="A49">
        <f>IFERROR(__xludf.DUMMYFUNCTION("""COMPUTED_VALUE"""),45.0)</f>
        <v>45</v>
      </c>
      <c r="B49" t="str">
        <f>IFERROR(__xludf.DUMMYFUNCTION("""COMPUTED_VALUE"""),"Loiret
(m.s.)")</f>
        <v>Loiret
(m.s.)</v>
      </c>
      <c r="C49" t="str">
        <f>IFERROR(__xludf.DUMMYFUNCTION("""COMPUTED_VALUE"""),"Orléans
(préf. rég. et dép.)")</f>
        <v>Orléans
(préf. rég. et dép.)</v>
      </c>
      <c r="D49">
        <f>IFERROR(__xludf.DUMMYFUNCTION("""COMPUTED_VALUE"""),1790.0)</f>
        <v>1790</v>
      </c>
      <c r="E49">
        <f>IFERROR(__xludf.DUMMYFUNCTION("""COMPUTED_VALUE"""),3.0)</f>
        <v>3</v>
      </c>
      <c r="F49" t="str">
        <f>IFERROR(__xludf.DUMMYFUNCTION("""COMPUTED_VALUE"""),"Montargis
Orléans
Pithiviers")</f>
        <v>Montargis
Orléans
Pithiviers</v>
      </c>
      <c r="G49">
        <f>IFERROR(__xludf.DUMMYFUNCTION("""COMPUTED_VALUE"""),325.0)</f>
        <v>325</v>
      </c>
      <c r="H49">
        <f>IFERROR(__xludf.DUMMYFUNCTION("""COMPUTED_VALUE"""),21.0)</f>
        <v>21</v>
      </c>
      <c r="I49">
        <f>IFERROR(__xludf.DUMMYFUNCTION("""COMPUTED_VALUE"""),6.0)</f>
        <v>6</v>
      </c>
      <c r="J49" t="str">
        <f>IFERROR(__xludf.DUMMYFUNCTION("""COMPUTED_VALUE"""),"Centre-Val de Loire")</f>
        <v>Centre-Val de Loire</v>
      </c>
      <c r="K49" t="str">
        <f>IFERROR(__xludf.DUMMYFUNCTION("""COMPUTED_VALUE"""),"6 775,2[r 45]")</f>
        <v>6 775,2[r 45]</v>
      </c>
      <c r="L49" t="str">
        <f>IFERROR(__xludf.DUMMYFUNCTION("""COMPUTED_VALUE"""),"691 268 (2023)")</f>
        <v>691 268 (2023)</v>
      </c>
      <c r="M49">
        <f>IFERROR(__xludf.DUMMYFUNCTION("""COMPUTED_VALUE"""),102.0)</f>
        <v>102</v>
      </c>
    </row>
    <row r="50">
      <c r="A50">
        <f>IFERROR(__xludf.DUMMYFUNCTION("""COMPUTED_VALUE"""),46.0)</f>
        <v>46</v>
      </c>
      <c r="B50" t="str">
        <f>IFERROR(__xludf.DUMMYFUNCTION("""COMPUTED_VALUE"""),"Lot
(m.s.)")</f>
        <v>Lot
(m.s.)</v>
      </c>
      <c r="C50" t="str">
        <f>IFERROR(__xludf.DUMMYFUNCTION("""COMPUTED_VALUE"""),"Cahors
(préf. dép.)")</f>
        <v>Cahors
(préf. dép.)</v>
      </c>
      <c r="D50">
        <f>IFERROR(__xludf.DUMMYFUNCTION("""COMPUTED_VALUE"""),1790.0)</f>
        <v>1790</v>
      </c>
      <c r="E50">
        <f>IFERROR(__xludf.DUMMYFUNCTION("""COMPUTED_VALUE"""),3.0)</f>
        <v>3</v>
      </c>
      <c r="F50" t="str">
        <f>IFERROR(__xludf.DUMMYFUNCTION("""COMPUTED_VALUE"""),"Cahors
Figeac
Gourdon")</f>
        <v>Cahors
Figeac
Gourdon</v>
      </c>
      <c r="G50">
        <f>IFERROR(__xludf.DUMMYFUNCTION("""COMPUTED_VALUE"""),313.0)</f>
        <v>313</v>
      </c>
      <c r="H50">
        <f>IFERROR(__xludf.DUMMYFUNCTION("""COMPUTED_VALUE"""),17.0)</f>
        <v>17</v>
      </c>
      <c r="I50">
        <f>IFERROR(__xludf.DUMMYFUNCTION("""COMPUTED_VALUE"""),2.0)</f>
        <v>2</v>
      </c>
      <c r="J50" t="str">
        <f>IFERROR(__xludf.DUMMYFUNCTION("""COMPUTED_VALUE"""),"Occitanie")</f>
        <v>Occitanie</v>
      </c>
      <c r="K50" t="str">
        <f>IFERROR(__xludf.DUMMYFUNCTION("""COMPUTED_VALUE"""),"5 216,5[r 46]")</f>
        <v>5 216,5[r 46]</v>
      </c>
      <c r="L50" t="str">
        <f>IFERROR(__xludf.DUMMYFUNCTION("""COMPUTED_VALUE"""),"176 473 (2023)")</f>
        <v>176 473 (2023)</v>
      </c>
      <c r="M50">
        <f>IFERROR(__xludf.DUMMYFUNCTION("""COMPUTED_VALUE"""),33.8)</f>
        <v>33.8</v>
      </c>
    </row>
    <row r="51">
      <c r="A51">
        <f>IFERROR(__xludf.DUMMYFUNCTION("""COMPUTED_VALUE"""),47.0)</f>
        <v>47</v>
      </c>
      <c r="B51" t="str">
        <f>IFERROR(__xludf.DUMMYFUNCTION("""COMPUTED_VALUE"""),"Lot-et-Garonne
(m.s.)")</f>
        <v>Lot-et-Garonne
(m.s.)</v>
      </c>
      <c r="C51" t="str">
        <f>IFERROR(__xludf.DUMMYFUNCTION("""COMPUTED_VALUE"""),"Agen
(préf. dép.)")</f>
        <v>Agen
(préf. dép.)</v>
      </c>
      <c r="D51">
        <f>IFERROR(__xludf.DUMMYFUNCTION("""COMPUTED_VALUE"""),1790.0)</f>
        <v>1790</v>
      </c>
      <c r="E51">
        <f>IFERROR(__xludf.DUMMYFUNCTION("""COMPUTED_VALUE"""),4.0)</f>
        <v>4</v>
      </c>
      <c r="F51" t="str">
        <f>IFERROR(__xludf.DUMMYFUNCTION("""COMPUTED_VALUE"""),"Agen
Marmande
Villeneuve-sur-Lot
Nérac")</f>
        <v>Agen
Marmande
Villeneuve-sur-Lot
Nérac</v>
      </c>
      <c r="G51">
        <f>IFERROR(__xludf.DUMMYFUNCTION("""COMPUTED_VALUE"""),319.0)</f>
        <v>319</v>
      </c>
      <c r="H51">
        <f>IFERROR(__xludf.DUMMYFUNCTION("""COMPUTED_VALUE"""),21.0)</f>
        <v>21</v>
      </c>
      <c r="I51">
        <f>IFERROR(__xludf.DUMMYFUNCTION("""COMPUTED_VALUE"""),3.0)</f>
        <v>3</v>
      </c>
      <c r="J51" t="str">
        <f>IFERROR(__xludf.DUMMYFUNCTION("""COMPUTED_VALUE"""),"Nouvelle-Aquitaine")</f>
        <v>Nouvelle-Aquitaine</v>
      </c>
      <c r="K51" t="str">
        <f>IFERROR(__xludf.DUMMYFUNCTION("""COMPUTED_VALUE"""),"5 360,9[r 47]")</f>
        <v>5 360,9[r 47]</v>
      </c>
      <c r="L51" t="str">
        <f>IFERROR(__xludf.DUMMYFUNCTION("""COMPUTED_VALUE"""),"333 602 (2023)")</f>
        <v>333 602 (2023)</v>
      </c>
      <c r="M51">
        <f>IFERROR(__xludf.DUMMYFUNCTION("""COMPUTED_VALUE"""),62.2)</f>
        <v>62.2</v>
      </c>
    </row>
    <row r="52">
      <c r="A52">
        <f>IFERROR(__xludf.DUMMYFUNCTION("""COMPUTED_VALUE"""),48.0)</f>
        <v>48</v>
      </c>
      <c r="B52" t="str">
        <f>IFERROR(__xludf.DUMMYFUNCTION("""COMPUTED_VALUE"""),"Lozère
(f.s.)")</f>
        <v>Lozère
(f.s.)</v>
      </c>
      <c r="C52" t="str">
        <f>IFERROR(__xludf.DUMMYFUNCTION("""COMPUTED_VALUE"""),"Mende
(préf. dép.)")</f>
        <v>Mende
(préf. dép.)</v>
      </c>
      <c r="D52">
        <f>IFERROR(__xludf.DUMMYFUNCTION("""COMPUTED_VALUE"""),1790.0)</f>
        <v>1790</v>
      </c>
      <c r="E52">
        <f>IFERROR(__xludf.DUMMYFUNCTION("""COMPUTED_VALUE"""),2.0)</f>
        <v>2</v>
      </c>
      <c r="F52" t="str">
        <f>IFERROR(__xludf.DUMMYFUNCTION("""COMPUTED_VALUE"""),"Florac
Mende")</f>
        <v>Florac
Mende</v>
      </c>
      <c r="G52">
        <f>IFERROR(__xludf.DUMMYFUNCTION("""COMPUTED_VALUE"""),152.0)</f>
        <v>152</v>
      </c>
      <c r="H52">
        <f>IFERROR(__xludf.DUMMYFUNCTION("""COMPUTED_VALUE"""),13.0)</f>
        <v>13</v>
      </c>
      <c r="I52">
        <f>IFERROR(__xludf.DUMMYFUNCTION("""COMPUTED_VALUE"""),1.0)</f>
        <v>1</v>
      </c>
      <c r="J52" t="str">
        <f>IFERROR(__xludf.DUMMYFUNCTION("""COMPUTED_VALUE"""),"Occitanie")</f>
        <v>Occitanie</v>
      </c>
      <c r="K52" t="str">
        <f>IFERROR(__xludf.DUMMYFUNCTION("""COMPUTED_VALUE"""),"5 166,9[r 48]")</f>
        <v>5 166,9[r 48]</v>
      </c>
      <c r="L52" t="str">
        <f>IFERROR(__xludf.DUMMYFUNCTION("""COMPUTED_VALUE"""),"76 486 (2023)")</f>
        <v>76 486 (2023)</v>
      </c>
      <c r="M52">
        <f>IFERROR(__xludf.DUMMYFUNCTION("""COMPUTED_VALUE"""),14.8)</f>
        <v>14.8</v>
      </c>
    </row>
    <row r="53">
      <c r="A53">
        <f>IFERROR(__xludf.DUMMYFUNCTION("""COMPUTED_VALUE"""),49.0)</f>
        <v>49</v>
      </c>
      <c r="B53" t="str">
        <f>IFERROR(__xludf.DUMMYFUNCTION("""COMPUTED_VALUE"""),"Maine-et-Loire
(m.s.)[Note 7]")</f>
        <v>Maine-et-Loire
(m.s.)[Note 7]</v>
      </c>
      <c r="C53" t="str">
        <f>IFERROR(__xludf.DUMMYFUNCTION("""COMPUTED_VALUE"""),"Angers
(préf. dép.)")</f>
        <v>Angers
(préf. dép.)</v>
      </c>
      <c r="D53">
        <f>IFERROR(__xludf.DUMMYFUNCTION("""COMPUTED_VALUE"""),1790.0)</f>
        <v>1790</v>
      </c>
      <c r="E53">
        <f>IFERROR(__xludf.DUMMYFUNCTION("""COMPUTED_VALUE"""),4.0)</f>
        <v>4</v>
      </c>
      <c r="F53" t="str">
        <f>IFERROR(__xludf.DUMMYFUNCTION("""COMPUTED_VALUE"""),"Angers
Cholet
Saumur
Segré")</f>
        <v>Angers
Cholet
Saumur
Segré</v>
      </c>
      <c r="G53">
        <f>IFERROR(__xludf.DUMMYFUNCTION("""COMPUTED_VALUE"""),176.0)</f>
        <v>176</v>
      </c>
      <c r="H53">
        <f>IFERROR(__xludf.DUMMYFUNCTION("""COMPUTED_VALUE"""),21.0)</f>
        <v>21</v>
      </c>
      <c r="I53">
        <f>IFERROR(__xludf.DUMMYFUNCTION("""COMPUTED_VALUE"""),7.0)</f>
        <v>7</v>
      </c>
      <c r="J53" t="str">
        <f>IFERROR(__xludf.DUMMYFUNCTION("""COMPUTED_VALUE"""),"Pays de la Loire")</f>
        <v>Pays de la Loire</v>
      </c>
      <c r="K53" t="str">
        <f>IFERROR(__xludf.DUMMYFUNCTION("""COMPUTED_VALUE"""),"7 106,6[r 49]")</f>
        <v>7 106,6[r 49]</v>
      </c>
      <c r="L53" t="str">
        <f>IFERROR(__xludf.DUMMYFUNCTION("""COMPUTED_VALUE"""),"833 776 (2023)")</f>
        <v>833 776 (2023)</v>
      </c>
      <c r="M53">
        <f>IFERROR(__xludf.DUMMYFUNCTION("""COMPUTED_VALUE"""),116.4)</f>
        <v>116.4</v>
      </c>
    </row>
    <row r="54">
      <c r="A54">
        <f>IFERROR(__xludf.DUMMYFUNCTION("""COMPUTED_VALUE"""),50.0)</f>
        <v>50</v>
      </c>
      <c r="B54" t="str">
        <f>IFERROR(__xludf.DUMMYFUNCTION("""COMPUTED_VALUE"""),"Manche
(f.s.)")</f>
        <v>Manche
(f.s.)</v>
      </c>
      <c r="C54" t="str">
        <f>IFERROR(__xludf.DUMMYFUNCTION("""COMPUTED_VALUE"""),"Saint-Lô
(préf. dép.)")</f>
        <v>Saint-Lô
(préf. dép.)</v>
      </c>
      <c r="D54">
        <f>IFERROR(__xludf.DUMMYFUNCTION("""COMPUTED_VALUE"""),1790.0)</f>
        <v>1790</v>
      </c>
      <c r="E54">
        <f>IFERROR(__xludf.DUMMYFUNCTION("""COMPUTED_VALUE"""),4.0)</f>
        <v>4</v>
      </c>
      <c r="F54" t="str">
        <f>IFERROR(__xludf.DUMMYFUNCTION("""COMPUTED_VALUE"""),"Avranches
Cherbourg
Coutances
Saint-Lô")</f>
        <v>Avranches
Cherbourg
Coutances
Saint-Lô</v>
      </c>
      <c r="G54">
        <f>IFERROR(__xludf.DUMMYFUNCTION("""COMPUTED_VALUE"""),445.0)</f>
        <v>445</v>
      </c>
      <c r="H54">
        <f>IFERROR(__xludf.DUMMYFUNCTION("""COMPUTED_VALUE"""),27.0)</f>
        <v>27</v>
      </c>
      <c r="I54">
        <f>IFERROR(__xludf.DUMMYFUNCTION("""COMPUTED_VALUE"""),4.0)</f>
        <v>4</v>
      </c>
      <c r="J54" t="str">
        <f>IFERROR(__xludf.DUMMYFUNCTION("""COMPUTED_VALUE"""),"Normandie")</f>
        <v>Normandie</v>
      </c>
      <c r="K54" t="str">
        <f>IFERROR(__xludf.DUMMYFUNCTION("""COMPUTED_VALUE"""),"5 951,5[r 50]")</f>
        <v>5 951,5[r 50]</v>
      </c>
      <c r="L54" t="str">
        <f>IFERROR(__xludf.DUMMYFUNCTION("""COMPUTED_VALUE"""),"497 522 (2023)")</f>
        <v>497 522 (2023)</v>
      </c>
      <c r="M54">
        <f>IFERROR(__xludf.DUMMYFUNCTION("""COMPUTED_VALUE"""),83.8)</f>
        <v>83.8</v>
      </c>
    </row>
    <row r="55">
      <c r="A55">
        <f>IFERROR(__xludf.DUMMYFUNCTION("""COMPUTED_VALUE"""),51.0)</f>
        <v>51</v>
      </c>
      <c r="B55" t="str">
        <f>IFERROR(__xludf.DUMMYFUNCTION("""COMPUTED_VALUE"""),"Marne
(f.s.)")</f>
        <v>Marne
(f.s.)</v>
      </c>
      <c r="C55" t="str">
        <f>IFERROR(__xludf.DUMMYFUNCTION("""COMPUTED_VALUE"""),"Châlons-en-Champagne
(préf. dép.)")</f>
        <v>Châlons-en-Champagne
(préf. dép.)</v>
      </c>
      <c r="D55">
        <f>IFERROR(__xludf.DUMMYFUNCTION("""COMPUTED_VALUE"""),1790.0)</f>
        <v>1790</v>
      </c>
      <c r="E55">
        <f>IFERROR(__xludf.DUMMYFUNCTION("""COMPUTED_VALUE"""),4.0)</f>
        <v>4</v>
      </c>
      <c r="F55" t="str">
        <f>IFERROR(__xludf.DUMMYFUNCTION("""COMPUTED_VALUE"""),"Châlons-en-Champagne
Épernay
Reims
Vitry-le-François")</f>
        <v>Châlons-en-Champagne
Épernay
Reims
Vitry-le-François</v>
      </c>
      <c r="G55">
        <f>IFERROR(__xludf.DUMMYFUNCTION("""COMPUTED_VALUE"""),611.0)</f>
        <v>611</v>
      </c>
      <c r="H55">
        <f>IFERROR(__xludf.DUMMYFUNCTION("""COMPUTED_VALUE"""),23.0)</f>
        <v>23</v>
      </c>
      <c r="I55">
        <f>IFERROR(__xludf.DUMMYFUNCTION("""COMPUTED_VALUE"""),5.0)</f>
        <v>5</v>
      </c>
      <c r="J55" t="str">
        <f>IFERROR(__xludf.DUMMYFUNCTION("""COMPUTED_VALUE"""),"Grand Est")</f>
        <v>Grand Est</v>
      </c>
      <c r="K55" t="str">
        <f>IFERROR(__xludf.DUMMYFUNCTION("""COMPUTED_VALUE"""),"8 169,1[r 51]")</f>
        <v>8 169,1[r 51]</v>
      </c>
      <c r="L55" t="str">
        <f>IFERROR(__xludf.DUMMYFUNCTION("""COMPUTED_VALUE"""),"563 076 (2023)")</f>
        <v>563 076 (2023)</v>
      </c>
      <c r="M55">
        <f>IFERROR(__xludf.DUMMYFUNCTION("""COMPUTED_VALUE"""),68.9)</f>
        <v>68.9</v>
      </c>
    </row>
    <row r="56">
      <c r="A56">
        <f>IFERROR(__xludf.DUMMYFUNCTION("""COMPUTED_VALUE"""),52.0)</f>
        <v>52</v>
      </c>
      <c r="B56" t="str">
        <f>IFERROR(__xludf.DUMMYFUNCTION("""COMPUTED_VALUE"""),"Haute-Marne
(f.s.)")</f>
        <v>Haute-Marne
(f.s.)</v>
      </c>
      <c r="C56" t="str">
        <f>IFERROR(__xludf.DUMMYFUNCTION("""COMPUTED_VALUE"""),"Chaumont
(préf. dép.)")</f>
        <v>Chaumont
(préf. dép.)</v>
      </c>
      <c r="D56">
        <f>IFERROR(__xludf.DUMMYFUNCTION("""COMPUTED_VALUE"""),1790.0)</f>
        <v>1790</v>
      </c>
      <c r="E56">
        <f>IFERROR(__xludf.DUMMYFUNCTION("""COMPUTED_VALUE"""),3.0)</f>
        <v>3</v>
      </c>
      <c r="F56" t="str">
        <f>IFERROR(__xludf.DUMMYFUNCTION("""COMPUTED_VALUE"""),"Chaumont
Langres
Saint-Dizier")</f>
        <v>Chaumont
Langres
Saint-Dizier</v>
      </c>
      <c r="G56">
        <f>IFERROR(__xludf.DUMMYFUNCTION("""COMPUTED_VALUE"""),426.0)</f>
        <v>426</v>
      </c>
      <c r="H56">
        <f>IFERROR(__xludf.DUMMYFUNCTION("""COMPUTED_VALUE"""),17.0)</f>
        <v>17</v>
      </c>
      <c r="I56">
        <f>IFERROR(__xludf.DUMMYFUNCTION("""COMPUTED_VALUE"""),2.0)</f>
        <v>2</v>
      </c>
      <c r="J56" t="str">
        <f>IFERROR(__xludf.DUMMYFUNCTION("""COMPUTED_VALUE"""),"Grand Est")</f>
        <v>Grand Est</v>
      </c>
      <c r="K56" t="str">
        <f>IFERROR(__xludf.DUMMYFUNCTION("""COMPUTED_VALUE"""),"6 210,6[r 52]")</f>
        <v>6 210,6[r 52]</v>
      </c>
      <c r="L56" t="str">
        <f>IFERROR(__xludf.DUMMYFUNCTION("""COMPUTED_VALUE"""),"168 331 (2023)")</f>
        <v>168 331 (2023)</v>
      </c>
      <c r="M56">
        <f>IFERROR(__xludf.DUMMYFUNCTION("""COMPUTED_VALUE"""),27.1)</f>
        <v>27.1</v>
      </c>
    </row>
    <row r="57">
      <c r="A57">
        <f>IFERROR(__xludf.DUMMYFUNCTION("""COMPUTED_VALUE"""),53.0)</f>
        <v>53</v>
      </c>
      <c r="B57" t="str">
        <f>IFERROR(__xludf.DUMMYFUNCTION("""COMPUTED_VALUE"""),"Mayenne
(f.s.)")</f>
        <v>Mayenne
(f.s.)</v>
      </c>
      <c r="C57" t="str">
        <f>IFERROR(__xludf.DUMMYFUNCTION("""COMPUTED_VALUE"""),"Laval
(préf. dép.)")</f>
        <v>Laval
(préf. dép.)</v>
      </c>
      <c r="D57">
        <f>IFERROR(__xludf.DUMMYFUNCTION("""COMPUTED_VALUE"""),1790.0)</f>
        <v>1790</v>
      </c>
      <c r="E57">
        <f>IFERROR(__xludf.DUMMYFUNCTION("""COMPUTED_VALUE"""),3.0)</f>
        <v>3</v>
      </c>
      <c r="F57" t="str">
        <f>IFERROR(__xludf.DUMMYFUNCTION("""COMPUTED_VALUE"""),"Château-Gontier
Laval
Mayenne")</f>
        <v>Château-Gontier
Laval
Mayenne</v>
      </c>
      <c r="G57">
        <f>IFERROR(__xludf.DUMMYFUNCTION("""COMPUTED_VALUE"""),240.0)</f>
        <v>240</v>
      </c>
      <c r="H57">
        <f>IFERROR(__xludf.DUMMYFUNCTION("""COMPUTED_VALUE"""),17.0)</f>
        <v>17</v>
      </c>
      <c r="I57">
        <f>IFERROR(__xludf.DUMMYFUNCTION("""COMPUTED_VALUE"""),3.0)</f>
        <v>3</v>
      </c>
      <c r="J57" t="str">
        <f>IFERROR(__xludf.DUMMYFUNCTION("""COMPUTED_VALUE"""),"Pays de la Loire")</f>
        <v>Pays de la Loire</v>
      </c>
      <c r="K57" t="str">
        <f>IFERROR(__xludf.DUMMYFUNCTION("""COMPUTED_VALUE"""),"5 175,2[r 53]")</f>
        <v>5 175,2[r 53]</v>
      </c>
      <c r="L57" t="str">
        <f>IFERROR(__xludf.DUMMYFUNCTION("""COMPUTED_VALUE"""),"305 468 (2023)")</f>
        <v>305 468 (2023)</v>
      </c>
      <c r="M57">
        <f>IFERROR(__xludf.DUMMYFUNCTION("""COMPUTED_VALUE"""),59.0)</f>
        <v>59</v>
      </c>
    </row>
    <row r="58">
      <c r="A58">
        <f>IFERROR(__xludf.DUMMYFUNCTION("""COMPUTED_VALUE"""),54.0)</f>
        <v>54</v>
      </c>
      <c r="B58" t="str">
        <f>IFERROR(__xludf.DUMMYFUNCTION("""COMPUTED_VALUE"""),"Meurthe-et-Moselle
(f.s.)")</f>
        <v>Meurthe-et-Moselle
(f.s.)</v>
      </c>
      <c r="C58" t="str">
        <f>IFERROR(__xludf.DUMMYFUNCTION("""COMPUTED_VALUE"""),"Nancy
(préf. dép.)")</f>
        <v>Nancy
(préf. dép.)</v>
      </c>
      <c r="D58" t="str">
        <f>IFERROR(__xludf.DUMMYFUNCTION("""COMPUTED_VALUE"""),"1871[8],[9]")</f>
        <v>1871[8],[9]</v>
      </c>
      <c r="E58">
        <f>IFERROR(__xludf.DUMMYFUNCTION("""COMPUTED_VALUE"""),4.0)</f>
        <v>4</v>
      </c>
      <c r="F58" t="str">
        <f>IFERROR(__xludf.DUMMYFUNCTION("""COMPUTED_VALUE"""),"Val-de-Briey
Lunéville
Nancy
Toul")</f>
        <v>Val-de-Briey
Lunéville
Nancy
Toul</v>
      </c>
      <c r="G58">
        <f>IFERROR(__xludf.DUMMYFUNCTION("""COMPUTED_VALUE"""),591.0)</f>
        <v>591</v>
      </c>
      <c r="H58">
        <f>IFERROR(__xludf.DUMMYFUNCTION("""COMPUTED_VALUE"""),23.0)</f>
        <v>23</v>
      </c>
      <c r="I58">
        <f>IFERROR(__xludf.DUMMYFUNCTION("""COMPUTED_VALUE"""),6.0)</f>
        <v>6</v>
      </c>
      <c r="J58" t="str">
        <f>IFERROR(__xludf.DUMMYFUNCTION("""COMPUTED_VALUE"""),"Grand Est")</f>
        <v>Grand Est</v>
      </c>
      <c r="K58" t="str">
        <f>IFERROR(__xludf.DUMMYFUNCTION("""COMPUTED_VALUE"""),"5 245,9[r 54]")</f>
        <v>5 245,9[r 54]</v>
      </c>
      <c r="L58" t="str">
        <f>IFERROR(__xludf.DUMMYFUNCTION("""COMPUTED_VALUE"""),"732 236 (2023)")</f>
        <v>732 236 (2023)</v>
      </c>
      <c r="M58">
        <f>IFERROR(__xludf.DUMMYFUNCTION("""COMPUTED_VALUE"""),139.6)</f>
        <v>139.6</v>
      </c>
    </row>
    <row r="59">
      <c r="A59">
        <f>IFERROR(__xludf.DUMMYFUNCTION("""COMPUTED_VALUE"""),55.0)</f>
        <v>55</v>
      </c>
      <c r="B59" t="str">
        <f>IFERROR(__xludf.DUMMYFUNCTION("""COMPUTED_VALUE"""),"Meuse
(f.s.)")</f>
        <v>Meuse
(f.s.)</v>
      </c>
      <c r="C59" t="str">
        <f>IFERROR(__xludf.DUMMYFUNCTION("""COMPUTED_VALUE"""),"Bar-le-Duc
(préf. dép.)")</f>
        <v>Bar-le-Duc
(préf. dép.)</v>
      </c>
      <c r="D59">
        <f>IFERROR(__xludf.DUMMYFUNCTION("""COMPUTED_VALUE"""),1790.0)</f>
        <v>1790</v>
      </c>
      <c r="E59">
        <f>IFERROR(__xludf.DUMMYFUNCTION("""COMPUTED_VALUE"""),3.0)</f>
        <v>3</v>
      </c>
      <c r="F59" t="str">
        <f>IFERROR(__xludf.DUMMYFUNCTION("""COMPUTED_VALUE"""),"Bar-le-Duc
Commercy
Verdun")</f>
        <v>Bar-le-Duc
Commercy
Verdun</v>
      </c>
      <c r="G59">
        <f>IFERROR(__xludf.DUMMYFUNCTION("""COMPUTED_VALUE"""),499.0)</f>
        <v>499</v>
      </c>
      <c r="H59">
        <f>IFERROR(__xludf.DUMMYFUNCTION("""COMPUTED_VALUE"""),17.0)</f>
        <v>17</v>
      </c>
      <c r="I59">
        <f>IFERROR(__xludf.DUMMYFUNCTION("""COMPUTED_VALUE"""),2.0)</f>
        <v>2</v>
      </c>
      <c r="J59" t="str">
        <f>IFERROR(__xludf.DUMMYFUNCTION("""COMPUTED_VALUE"""),"Grand Est")</f>
        <v>Grand Est</v>
      </c>
      <c r="K59" t="str">
        <f>IFERROR(__xludf.DUMMYFUNCTION("""COMPUTED_VALUE"""),"6 211,4[r 55]")</f>
        <v>6 211,4[r 55]</v>
      </c>
      <c r="L59" t="str">
        <f>IFERROR(__xludf.DUMMYFUNCTION("""COMPUTED_VALUE"""),"180 290 (2023)")</f>
        <v>180 290 (2023)</v>
      </c>
      <c r="M59">
        <f>IFERROR(__xludf.DUMMYFUNCTION("""COMPUTED_VALUE"""),29.0)</f>
        <v>29</v>
      </c>
    </row>
    <row r="60">
      <c r="A60">
        <f>IFERROR(__xludf.DUMMYFUNCTION("""COMPUTED_VALUE"""),56.0)</f>
        <v>56</v>
      </c>
      <c r="B60" t="str">
        <f>IFERROR(__xludf.DUMMYFUNCTION("""COMPUTED_VALUE"""),"Morbihan
(m.s.)")</f>
        <v>Morbihan
(m.s.)</v>
      </c>
      <c r="C60" t="str">
        <f>IFERROR(__xludf.DUMMYFUNCTION("""COMPUTED_VALUE"""),"Vannes
(préf. dép.)")</f>
        <v>Vannes
(préf. dép.)</v>
      </c>
      <c r="D60">
        <f>IFERROR(__xludf.DUMMYFUNCTION("""COMPUTED_VALUE"""),1790.0)</f>
        <v>1790</v>
      </c>
      <c r="E60">
        <f>IFERROR(__xludf.DUMMYFUNCTION("""COMPUTED_VALUE"""),3.0)</f>
        <v>3</v>
      </c>
      <c r="F60" t="str">
        <f>IFERROR(__xludf.DUMMYFUNCTION("""COMPUTED_VALUE"""),"Lorient
Pontivy
Vannes")</f>
        <v>Lorient
Pontivy
Vannes</v>
      </c>
      <c r="G60">
        <f>IFERROR(__xludf.DUMMYFUNCTION("""COMPUTED_VALUE"""),249.0)</f>
        <v>249</v>
      </c>
      <c r="H60">
        <f>IFERROR(__xludf.DUMMYFUNCTION("""COMPUTED_VALUE"""),21.0)</f>
        <v>21</v>
      </c>
      <c r="I60">
        <f>IFERROR(__xludf.DUMMYFUNCTION("""COMPUTED_VALUE"""),6.0)</f>
        <v>6</v>
      </c>
      <c r="J60" t="str">
        <f>IFERROR(__xludf.DUMMYFUNCTION("""COMPUTED_VALUE"""),"Bretagne")</f>
        <v>Bretagne</v>
      </c>
      <c r="K60" t="str">
        <f>IFERROR(__xludf.DUMMYFUNCTION("""COMPUTED_VALUE"""),"6 822,6[r 56]")</f>
        <v>6 822,6[r 56]</v>
      </c>
      <c r="L60" t="str">
        <f>IFERROR(__xludf.DUMMYFUNCTION("""COMPUTED_VALUE"""),"783 390 (2023)")</f>
        <v>783 390 (2023)</v>
      </c>
      <c r="M60">
        <f>IFERROR(__xludf.DUMMYFUNCTION("""COMPUTED_VALUE"""),114.8)</f>
        <v>114.8</v>
      </c>
    </row>
    <row r="61">
      <c r="A61">
        <f>IFERROR(__xludf.DUMMYFUNCTION("""COMPUTED_VALUE"""),57.0)</f>
        <v>57</v>
      </c>
      <c r="B61" t="str">
        <f>IFERROR(__xludf.DUMMYFUNCTION("""COMPUTED_VALUE"""),"Moselle
(f.s.)")</f>
        <v>Moselle
(f.s.)</v>
      </c>
      <c r="C61" t="str">
        <f>IFERROR(__xludf.DUMMYFUNCTION("""COMPUTED_VALUE"""),"Metz
(préf. dép.)")</f>
        <v>Metz
(préf. dép.)</v>
      </c>
      <c r="D61">
        <f>IFERROR(__xludf.DUMMYFUNCTION("""COMPUTED_VALUE"""),1790.0)</f>
        <v>1790</v>
      </c>
      <c r="E61">
        <f>IFERROR(__xludf.DUMMYFUNCTION("""COMPUTED_VALUE"""),5.0)</f>
        <v>5</v>
      </c>
      <c r="F61" t="str">
        <f>IFERROR(__xludf.DUMMYFUNCTION("""COMPUTED_VALUE"""),"Forbach-Boulay-Moselle
Sarrebourg-Château-Salins
Sarreguemines
Thionville
Metz")</f>
        <v>Forbach-Boulay-Moselle
Sarrebourg-Château-Salins
Sarreguemines
Thionville
Metz</v>
      </c>
      <c r="G61">
        <f>IFERROR(__xludf.DUMMYFUNCTION("""COMPUTED_VALUE"""),725.0)</f>
        <v>725</v>
      </c>
      <c r="H61">
        <f>IFERROR(__xludf.DUMMYFUNCTION("""COMPUTED_VALUE"""),27.0)</f>
        <v>27</v>
      </c>
      <c r="I61">
        <f>IFERROR(__xludf.DUMMYFUNCTION("""COMPUTED_VALUE"""),9.0)</f>
        <v>9</v>
      </c>
      <c r="J61" t="str">
        <f>IFERROR(__xludf.DUMMYFUNCTION("""COMPUTED_VALUE"""),"Grand Est")</f>
        <v>Grand Est</v>
      </c>
      <c r="K61" t="str">
        <f>IFERROR(__xludf.DUMMYFUNCTION("""COMPUTED_VALUE"""),"6 216,3[r 57]")</f>
        <v>6 216,3[r 57]</v>
      </c>
      <c r="L61" t="str">
        <f>IFERROR(__xludf.DUMMYFUNCTION("""COMPUTED_VALUE"""),"1 051 309 (2023)")</f>
        <v>1 051 309 (2023)</v>
      </c>
      <c r="M61">
        <f>IFERROR(__xludf.DUMMYFUNCTION("""COMPUTED_VALUE"""),169.1)</f>
        <v>169.1</v>
      </c>
    </row>
    <row r="62">
      <c r="A62">
        <f>IFERROR(__xludf.DUMMYFUNCTION("""COMPUTED_VALUE"""),58.0)</f>
        <v>58</v>
      </c>
      <c r="B62" t="str">
        <f>IFERROR(__xludf.DUMMYFUNCTION("""COMPUTED_VALUE"""),"Nièvre
(f.s.)")</f>
        <v>Nièvre
(f.s.)</v>
      </c>
      <c r="C62" t="str">
        <f>IFERROR(__xludf.DUMMYFUNCTION("""COMPUTED_VALUE"""),"Nevers
(préf. dép.)")</f>
        <v>Nevers
(préf. dép.)</v>
      </c>
      <c r="D62">
        <f>IFERROR(__xludf.DUMMYFUNCTION("""COMPUTED_VALUE"""),1790.0)</f>
        <v>1790</v>
      </c>
      <c r="E62">
        <f>IFERROR(__xludf.DUMMYFUNCTION("""COMPUTED_VALUE"""),4.0)</f>
        <v>4</v>
      </c>
      <c r="F62" t="str">
        <f>IFERROR(__xludf.DUMMYFUNCTION("""COMPUTED_VALUE"""),"Château-Chinon (Ville)
Clamecy
Nevers
Cosne-Cours-sur-Loire")</f>
        <v>Château-Chinon (Ville)
Clamecy
Nevers
Cosne-Cours-sur-Loire</v>
      </c>
      <c r="G62">
        <f>IFERROR(__xludf.DUMMYFUNCTION("""COMPUTED_VALUE"""),309.0)</f>
        <v>309</v>
      </c>
      <c r="H62">
        <f>IFERROR(__xludf.DUMMYFUNCTION("""COMPUTED_VALUE"""),17.0)</f>
        <v>17</v>
      </c>
      <c r="I62">
        <f>IFERROR(__xludf.DUMMYFUNCTION("""COMPUTED_VALUE"""),2.0)</f>
        <v>2</v>
      </c>
      <c r="J62" t="str">
        <f>IFERROR(__xludf.DUMMYFUNCTION("""COMPUTED_VALUE"""),"Bourgogne-Franche-Comté")</f>
        <v>Bourgogne-Franche-Comté</v>
      </c>
      <c r="K62" t="str">
        <f>IFERROR(__xludf.DUMMYFUNCTION("""COMPUTED_VALUE"""),"6 816,7[r 58]")</f>
        <v>6 816,7[r 58]</v>
      </c>
      <c r="L62" t="str">
        <f>IFERROR(__xludf.DUMMYFUNCTION("""COMPUTED_VALUE"""),"201 417 (2023)")</f>
        <v>201 417 (2023)</v>
      </c>
      <c r="M62">
        <f>IFERROR(__xludf.DUMMYFUNCTION("""COMPUTED_VALUE"""),29.5)</f>
        <v>29.5</v>
      </c>
    </row>
    <row r="63">
      <c r="A63">
        <f>IFERROR(__xludf.DUMMYFUNCTION("""COMPUTED_VALUE"""),59.0)</f>
        <v>59</v>
      </c>
      <c r="B63" t="str">
        <f>IFERROR(__xludf.DUMMYFUNCTION("""COMPUTED_VALUE"""),"Nord
(m.s.)")</f>
        <v>Nord
(m.s.)</v>
      </c>
      <c r="C63" t="str">
        <f>IFERROR(__xludf.DUMMYFUNCTION("""COMPUTED_VALUE"""),"Lille
(préf. rég. et dép.)")</f>
        <v>Lille
(préf. rég. et dép.)</v>
      </c>
      <c r="D63">
        <f>IFERROR(__xludf.DUMMYFUNCTION("""COMPUTED_VALUE"""),1790.0)</f>
        <v>1790</v>
      </c>
      <c r="E63">
        <f>IFERROR(__xludf.DUMMYFUNCTION("""COMPUTED_VALUE"""),6.0)</f>
        <v>6</v>
      </c>
      <c r="F63" t="str">
        <f>IFERROR(__xludf.DUMMYFUNCTION("""COMPUTED_VALUE"""),"Avesnes-sur-Helpe
Cambrai
Douai
Dunkerque
Lille
Valenciennes")</f>
        <v>Avesnes-sur-Helpe
Cambrai
Douai
Dunkerque
Lille
Valenciennes</v>
      </c>
      <c r="G63">
        <f>IFERROR(__xludf.DUMMYFUNCTION("""COMPUTED_VALUE"""),648.0)</f>
        <v>648</v>
      </c>
      <c r="H63">
        <f>IFERROR(__xludf.DUMMYFUNCTION("""COMPUTED_VALUE"""),41.0)</f>
        <v>41</v>
      </c>
      <c r="I63">
        <f>IFERROR(__xludf.DUMMYFUNCTION("""COMPUTED_VALUE"""),21.0)</f>
        <v>21</v>
      </c>
      <c r="J63" t="str">
        <f>IFERROR(__xludf.DUMMYFUNCTION("""COMPUTED_VALUE"""),"Hauts-de-France")</f>
        <v>Hauts-de-France</v>
      </c>
      <c r="K63" t="str">
        <f>IFERROR(__xludf.DUMMYFUNCTION("""COMPUTED_VALUE"""),"5 742,8[r 59]")</f>
        <v>5 742,8[r 59]</v>
      </c>
      <c r="L63" t="str">
        <f>IFERROR(__xludf.DUMMYFUNCTION("""COMPUTED_VALUE"""),"2 615 635 (2023)")</f>
        <v>2 615 635 (2023)</v>
      </c>
      <c r="M63">
        <f>IFERROR(__xludf.DUMMYFUNCTION("""COMPUTED_VALUE"""),455.4)</f>
        <v>455.4</v>
      </c>
    </row>
    <row r="64">
      <c r="A64">
        <f>IFERROR(__xludf.DUMMYFUNCTION("""COMPUTED_VALUE"""),60.0)</f>
        <v>60</v>
      </c>
      <c r="B64" t="str">
        <f>IFERROR(__xludf.DUMMYFUNCTION("""COMPUTED_VALUE"""),"Oise
(f.s.)")</f>
        <v>Oise
(f.s.)</v>
      </c>
      <c r="C64" t="str">
        <f>IFERROR(__xludf.DUMMYFUNCTION("""COMPUTED_VALUE"""),"Beauvais
(préf. dép.)")</f>
        <v>Beauvais
(préf. dép.)</v>
      </c>
      <c r="D64">
        <f>IFERROR(__xludf.DUMMYFUNCTION("""COMPUTED_VALUE"""),1790.0)</f>
        <v>1790</v>
      </c>
      <c r="E64">
        <f>IFERROR(__xludf.DUMMYFUNCTION("""COMPUTED_VALUE"""),4.0)</f>
        <v>4</v>
      </c>
      <c r="F64" t="str">
        <f>IFERROR(__xludf.DUMMYFUNCTION("""COMPUTED_VALUE"""),"Beauvais
Clermont
Compiègne
Senlis")</f>
        <v>Beauvais
Clermont
Compiègne
Senlis</v>
      </c>
      <c r="G64">
        <f>IFERROR(__xludf.DUMMYFUNCTION("""COMPUTED_VALUE"""),680.0)</f>
        <v>680</v>
      </c>
      <c r="H64">
        <f>IFERROR(__xludf.DUMMYFUNCTION("""COMPUTED_VALUE"""),21.0)</f>
        <v>21</v>
      </c>
      <c r="I64">
        <f>IFERROR(__xludf.DUMMYFUNCTION("""COMPUTED_VALUE"""),7.0)</f>
        <v>7</v>
      </c>
      <c r="J64" t="str">
        <f>IFERROR(__xludf.DUMMYFUNCTION("""COMPUTED_VALUE"""),"Hauts-de-France")</f>
        <v>Hauts-de-France</v>
      </c>
      <c r="K64" t="str">
        <f>IFERROR(__xludf.DUMMYFUNCTION("""COMPUTED_VALUE"""),"5 860,2[r 60]")</f>
        <v>5 860,2[r 60]</v>
      </c>
      <c r="L64" t="str">
        <f>IFERROR(__xludf.DUMMYFUNCTION("""COMPUTED_VALUE"""),"829 899 (2023)")</f>
        <v>829 899 (2023)</v>
      </c>
      <c r="M64">
        <f>IFERROR(__xludf.DUMMYFUNCTION("""COMPUTED_VALUE"""),141.6)</f>
        <v>141.6</v>
      </c>
    </row>
    <row r="65">
      <c r="A65">
        <f>IFERROR(__xludf.DUMMYFUNCTION("""COMPUTED_VALUE"""),61.0)</f>
        <v>61</v>
      </c>
      <c r="B65" t="str">
        <f>IFERROR(__xludf.DUMMYFUNCTION("""COMPUTED_VALUE"""),"Orne
(f.s.)")</f>
        <v>Orne
(f.s.)</v>
      </c>
      <c r="C65" t="str">
        <f>IFERROR(__xludf.DUMMYFUNCTION("""COMPUTED_VALUE"""),"Alençon
(préf. dép.)")</f>
        <v>Alençon
(préf. dép.)</v>
      </c>
      <c r="D65">
        <f>IFERROR(__xludf.DUMMYFUNCTION("""COMPUTED_VALUE"""),1790.0)</f>
        <v>1790</v>
      </c>
      <c r="E65">
        <f>IFERROR(__xludf.DUMMYFUNCTION("""COMPUTED_VALUE"""),3.0)</f>
        <v>3</v>
      </c>
      <c r="F65" t="str">
        <f>IFERROR(__xludf.DUMMYFUNCTION("""COMPUTED_VALUE"""),"Alençon
Argentan
Mortagne-au-Perche")</f>
        <v>Alençon
Argentan
Mortagne-au-Perche</v>
      </c>
      <c r="G65">
        <f>IFERROR(__xludf.DUMMYFUNCTION("""COMPUTED_VALUE"""),385.0)</f>
        <v>385</v>
      </c>
      <c r="H65">
        <f>IFERROR(__xludf.DUMMYFUNCTION("""COMPUTED_VALUE"""),21.0)</f>
        <v>21</v>
      </c>
      <c r="I65">
        <f>IFERROR(__xludf.DUMMYFUNCTION("""COMPUTED_VALUE"""),3.0)</f>
        <v>3</v>
      </c>
      <c r="J65" t="str">
        <f>IFERROR(__xludf.DUMMYFUNCTION("""COMPUTED_VALUE"""),"Normandie")</f>
        <v>Normandie</v>
      </c>
      <c r="K65" t="str">
        <f>IFERROR(__xludf.DUMMYFUNCTION("""COMPUTED_VALUE"""),"6 103,4[r 61]")</f>
        <v>6 103,4[r 61]</v>
      </c>
      <c r="L65" t="str">
        <f>IFERROR(__xludf.DUMMYFUNCTION("""COMPUTED_VALUE"""),"275 201 (2023)")</f>
        <v>275 201 (2023)</v>
      </c>
      <c r="M65">
        <f>IFERROR(__xludf.DUMMYFUNCTION("""COMPUTED_VALUE"""),45.1)</f>
        <v>45.1</v>
      </c>
    </row>
    <row r="66">
      <c r="A66">
        <f>IFERROR(__xludf.DUMMYFUNCTION("""COMPUTED_VALUE"""),62.0)</f>
        <v>62</v>
      </c>
      <c r="B66" t="str">
        <f>IFERROR(__xludf.DUMMYFUNCTION("""COMPUTED_VALUE"""),"Pas-de-Calais
(m.s.)")</f>
        <v>Pas-de-Calais
(m.s.)</v>
      </c>
      <c r="C66" t="str">
        <f>IFERROR(__xludf.DUMMYFUNCTION("""COMPUTED_VALUE"""),"Arras
(préf. dép.)")</f>
        <v>Arras
(préf. dép.)</v>
      </c>
      <c r="D66">
        <f>IFERROR(__xludf.DUMMYFUNCTION("""COMPUTED_VALUE"""),1790.0)</f>
        <v>1790</v>
      </c>
      <c r="E66">
        <f>IFERROR(__xludf.DUMMYFUNCTION("""COMPUTED_VALUE"""),7.0)</f>
        <v>7</v>
      </c>
      <c r="F66" t="str">
        <f>IFERROR(__xludf.DUMMYFUNCTION("""COMPUTED_VALUE"""),"Arras
Béthune
Boulogne-sur-Mer
Montreuil
Saint-Omer
Calais
Lens")</f>
        <v>Arras
Béthune
Boulogne-sur-Mer
Montreuil
Saint-Omer
Calais
Lens</v>
      </c>
      <c r="G66">
        <f>IFERROR(__xludf.DUMMYFUNCTION("""COMPUTED_VALUE"""),890.0)</f>
        <v>890</v>
      </c>
      <c r="H66">
        <f>IFERROR(__xludf.DUMMYFUNCTION("""COMPUTED_VALUE"""),39.0)</f>
        <v>39</v>
      </c>
      <c r="I66">
        <f>IFERROR(__xludf.DUMMYFUNCTION("""COMPUTED_VALUE"""),12.0)</f>
        <v>12</v>
      </c>
      <c r="J66" t="str">
        <f>IFERROR(__xludf.DUMMYFUNCTION("""COMPUTED_VALUE"""),"Hauts-de-France")</f>
        <v>Hauts-de-France</v>
      </c>
      <c r="K66" t="str">
        <f>IFERROR(__xludf.DUMMYFUNCTION("""COMPUTED_VALUE"""),"6 671,4[r 62]")</f>
        <v>6 671,4[r 62]</v>
      </c>
      <c r="L66" t="str">
        <f>IFERROR(__xludf.DUMMYFUNCTION("""COMPUTED_VALUE"""),"1 457 905 (2023)")</f>
        <v>1 457 905 (2023)</v>
      </c>
      <c r="M66">
        <f>IFERROR(__xludf.DUMMYFUNCTION("""COMPUTED_VALUE"""),218.5)</f>
        <v>218.5</v>
      </c>
    </row>
    <row r="67">
      <c r="A67">
        <f>IFERROR(__xludf.DUMMYFUNCTION("""COMPUTED_VALUE"""),63.0)</f>
        <v>63</v>
      </c>
      <c r="B67" t="str">
        <f>IFERROR(__xludf.DUMMYFUNCTION("""COMPUTED_VALUE"""),"Puy-de-Dôme
(m.s.)")</f>
        <v>Puy-de-Dôme
(m.s.)</v>
      </c>
      <c r="C67" t="str">
        <f>IFERROR(__xludf.DUMMYFUNCTION("""COMPUTED_VALUE"""),"Clermont-Ferrand
(préf. dép.)")</f>
        <v>Clermont-Ferrand
(préf. dép.)</v>
      </c>
      <c r="D67">
        <f>IFERROR(__xludf.DUMMYFUNCTION("""COMPUTED_VALUE"""),1790.0)</f>
        <v>1790</v>
      </c>
      <c r="E67">
        <f>IFERROR(__xludf.DUMMYFUNCTION("""COMPUTED_VALUE"""),5.0)</f>
        <v>5</v>
      </c>
      <c r="F67" t="str">
        <f>IFERROR(__xludf.DUMMYFUNCTION("""COMPUTED_VALUE"""),"Ambert
Clermont-Ferrand
Issoire
Riom
Thiers")</f>
        <v>Ambert
Clermont-Ferrand
Issoire
Riom
Thiers</v>
      </c>
      <c r="G67">
        <f>IFERROR(__xludf.DUMMYFUNCTION("""COMPUTED_VALUE"""),464.0)</f>
        <v>464</v>
      </c>
      <c r="H67">
        <f>IFERROR(__xludf.DUMMYFUNCTION("""COMPUTED_VALUE"""),31.0)</f>
        <v>31</v>
      </c>
      <c r="I67">
        <f>IFERROR(__xludf.DUMMYFUNCTION("""COMPUTED_VALUE"""),5.0)</f>
        <v>5</v>
      </c>
      <c r="J67" t="str">
        <f>IFERROR(__xludf.DUMMYFUNCTION("""COMPUTED_VALUE"""),"Auvergne-Rhône-Alpes")</f>
        <v>Auvergne-Rhône-Alpes</v>
      </c>
      <c r="K67" t="str">
        <f>IFERROR(__xludf.DUMMYFUNCTION("""COMPUTED_VALUE"""),"7 969,7[r 63]")</f>
        <v>7 969,7[r 63]</v>
      </c>
      <c r="L67" t="str">
        <f>IFERROR(__xludf.DUMMYFUNCTION("""COMPUTED_VALUE"""),"664 453 (2023)")</f>
        <v>664 453 (2023)</v>
      </c>
      <c r="M67">
        <f>IFERROR(__xludf.DUMMYFUNCTION("""COMPUTED_VALUE"""),83.4)</f>
        <v>83.4</v>
      </c>
    </row>
    <row r="68">
      <c r="A68">
        <f>IFERROR(__xludf.DUMMYFUNCTION("""COMPUTED_VALUE"""),64.0)</f>
        <v>64</v>
      </c>
      <c r="B68" t="str">
        <f>IFERROR(__xludf.DUMMYFUNCTION("""COMPUTED_VALUE"""),"Pyrénées-Atlantiques
(f.p.)")</f>
        <v>Pyrénées-Atlantiques
(f.p.)</v>
      </c>
      <c r="C68" t="str">
        <f>IFERROR(__xludf.DUMMYFUNCTION("""COMPUTED_VALUE"""),"Pau
(préf. dép.)")</f>
        <v>Pau
(préf. dép.)</v>
      </c>
      <c r="D68">
        <f>IFERROR(__xludf.DUMMYFUNCTION("""COMPUTED_VALUE"""),1790.0)</f>
        <v>1790</v>
      </c>
      <c r="E68">
        <f>IFERROR(__xludf.DUMMYFUNCTION("""COMPUTED_VALUE"""),3.0)</f>
        <v>3</v>
      </c>
      <c r="F68" t="str">
        <f>IFERROR(__xludf.DUMMYFUNCTION("""COMPUTED_VALUE"""),"Bayonne
Oloron-Sainte-Marie
Pau")</f>
        <v>Bayonne
Oloron-Sainte-Marie
Pau</v>
      </c>
      <c r="G68">
        <f>IFERROR(__xludf.DUMMYFUNCTION("""COMPUTED_VALUE"""),545.0)</f>
        <v>545</v>
      </c>
      <c r="H68">
        <f>IFERROR(__xludf.DUMMYFUNCTION("""COMPUTED_VALUE"""),27.0)</f>
        <v>27</v>
      </c>
      <c r="I68">
        <f>IFERROR(__xludf.DUMMYFUNCTION("""COMPUTED_VALUE"""),6.0)</f>
        <v>6</v>
      </c>
      <c r="J68" t="str">
        <f>IFERROR(__xludf.DUMMYFUNCTION("""COMPUTED_VALUE"""),"Nouvelle-Aquitaine")</f>
        <v>Nouvelle-Aquitaine</v>
      </c>
      <c r="K68" t="str">
        <f>IFERROR(__xludf.DUMMYFUNCTION("""COMPUTED_VALUE"""),"7 644,8[r 64]")</f>
        <v>7 644,8[r 64]</v>
      </c>
      <c r="L68" t="str">
        <f>IFERROR(__xludf.DUMMYFUNCTION("""COMPUTED_VALUE"""),"706 564 (2023)")</f>
        <v>706 564 (2023)</v>
      </c>
      <c r="M68">
        <f>IFERROR(__xludf.DUMMYFUNCTION("""COMPUTED_VALUE"""),92.4)</f>
        <v>92.4</v>
      </c>
    </row>
    <row r="69">
      <c r="A69">
        <f>IFERROR(__xludf.DUMMYFUNCTION("""COMPUTED_VALUE"""),65.0)</f>
        <v>65</v>
      </c>
      <c r="B69" t="str">
        <f>IFERROR(__xludf.DUMMYFUNCTION("""COMPUTED_VALUE"""),"Hautes-Pyrénées
(f.p.)")</f>
        <v>Hautes-Pyrénées
(f.p.)</v>
      </c>
      <c r="C69" t="str">
        <f>IFERROR(__xludf.DUMMYFUNCTION("""COMPUTED_VALUE"""),"Tarbes
(préf. dép.)")</f>
        <v>Tarbes
(préf. dép.)</v>
      </c>
      <c r="D69">
        <f>IFERROR(__xludf.DUMMYFUNCTION("""COMPUTED_VALUE"""),1790.0)</f>
        <v>1790</v>
      </c>
      <c r="E69">
        <f>IFERROR(__xludf.DUMMYFUNCTION("""COMPUTED_VALUE"""),3.0)</f>
        <v>3</v>
      </c>
      <c r="F69" t="str">
        <f>IFERROR(__xludf.DUMMYFUNCTION("""COMPUTED_VALUE"""),"Argelès-Gazost
Bagnères-de-Bigorre
Tarbes")</f>
        <v>Argelès-Gazost
Bagnères-de-Bigorre
Tarbes</v>
      </c>
      <c r="G69">
        <f>IFERROR(__xludf.DUMMYFUNCTION("""COMPUTED_VALUE"""),469.0)</f>
        <v>469</v>
      </c>
      <c r="H69">
        <f>IFERROR(__xludf.DUMMYFUNCTION("""COMPUTED_VALUE"""),17.0)</f>
        <v>17</v>
      </c>
      <c r="I69">
        <f>IFERROR(__xludf.DUMMYFUNCTION("""COMPUTED_VALUE"""),2.0)</f>
        <v>2</v>
      </c>
      <c r="J69" t="str">
        <f>IFERROR(__xludf.DUMMYFUNCTION("""COMPUTED_VALUE"""),"Occitanie")</f>
        <v>Occitanie</v>
      </c>
      <c r="K69" t="str">
        <f>IFERROR(__xludf.DUMMYFUNCTION("""COMPUTED_VALUE"""),"4 464[r 65]")</f>
        <v>4 464[r 65]</v>
      </c>
      <c r="L69" t="str">
        <f>IFERROR(__xludf.DUMMYFUNCTION("""COMPUTED_VALUE"""),"231 349 (2023)")</f>
        <v>231 349 (2023)</v>
      </c>
      <c r="M69">
        <f>IFERROR(__xludf.DUMMYFUNCTION("""COMPUTED_VALUE"""),51.8)</f>
        <v>51.8</v>
      </c>
    </row>
    <row r="70">
      <c r="A70">
        <f>IFERROR(__xludf.DUMMYFUNCTION("""COMPUTED_VALUE"""),66.0)</f>
        <v>66</v>
      </c>
      <c r="B70" t="str">
        <f>IFERROR(__xludf.DUMMYFUNCTION("""COMPUTED_VALUE"""),"Pyrénées-Orientales
(f.p.)")</f>
        <v>Pyrénées-Orientales
(f.p.)</v>
      </c>
      <c r="C70" t="str">
        <f>IFERROR(__xludf.DUMMYFUNCTION("""COMPUTED_VALUE"""),"Perpignan
(préf. dép.)")</f>
        <v>Perpignan
(préf. dép.)</v>
      </c>
      <c r="D70">
        <f>IFERROR(__xludf.DUMMYFUNCTION("""COMPUTED_VALUE"""),1790.0)</f>
        <v>1790</v>
      </c>
      <c r="E70">
        <f>IFERROR(__xludf.DUMMYFUNCTION("""COMPUTED_VALUE"""),3.0)</f>
        <v>3</v>
      </c>
      <c r="F70" t="str">
        <f>IFERROR(__xludf.DUMMYFUNCTION("""COMPUTED_VALUE"""),"Céret
Perpignan
Prades")</f>
        <v>Céret
Perpignan
Prades</v>
      </c>
      <c r="G70">
        <f>IFERROR(__xludf.DUMMYFUNCTION("""COMPUTED_VALUE"""),226.0)</f>
        <v>226</v>
      </c>
      <c r="H70">
        <f>IFERROR(__xludf.DUMMYFUNCTION("""COMPUTED_VALUE"""),17.0)</f>
        <v>17</v>
      </c>
      <c r="I70">
        <f>IFERROR(__xludf.DUMMYFUNCTION("""COMPUTED_VALUE"""),4.0)</f>
        <v>4</v>
      </c>
      <c r="J70" t="str">
        <f>IFERROR(__xludf.DUMMYFUNCTION("""COMPUTED_VALUE"""),"Occitanie")</f>
        <v>Occitanie</v>
      </c>
      <c r="K70" t="str">
        <f>IFERROR(__xludf.DUMMYFUNCTION("""COMPUTED_VALUE"""),"4 116[r 66]")</f>
        <v>4 116[r 66]</v>
      </c>
      <c r="L70" t="str">
        <f>IFERROR(__xludf.DUMMYFUNCTION("""COMPUTED_VALUE"""),"496 855 (2023)")</f>
        <v>496 855 (2023)</v>
      </c>
      <c r="M70">
        <f>IFERROR(__xludf.DUMMYFUNCTION("""COMPUTED_VALUE"""),120.7)</f>
        <v>120.7</v>
      </c>
    </row>
    <row r="71">
      <c r="A71">
        <f>IFERROR(__xludf.DUMMYFUNCTION("""COMPUTED_VALUE"""),67.0)</f>
        <v>67</v>
      </c>
      <c r="B71" t="str">
        <f>IFERROR(__xludf.DUMMYFUNCTION("""COMPUTED_VALUE"""),"Bas-Rhin[10]
(m.s.)")</f>
        <v>Bas-Rhin[10]
(m.s.)</v>
      </c>
      <c r="C71" t="str">
        <f>IFERROR(__xludf.DUMMYFUNCTION("""COMPUTED_VALUE"""),"Strasbourg
(préf. rég. et dép.)")</f>
        <v>Strasbourg
(préf. rég. et dép.)</v>
      </c>
      <c r="D71">
        <f>IFERROR(__xludf.DUMMYFUNCTION("""COMPUTED_VALUE"""),1790.0)</f>
        <v>1790</v>
      </c>
      <c r="E71">
        <f>IFERROR(__xludf.DUMMYFUNCTION("""COMPUTED_VALUE"""),5.0)</f>
        <v>5</v>
      </c>
      <c r="F71" t="str">
        <f>IFERROR(__xludf.DUMMYFUNCTION("""COMPUTED_VALUE"""),"Haguenau-Wissembourg
Molsheim
Saverne
Sélestat-Erstein
Strasbourg")</f>
        <v>Haguenau-Wissembourg
Molsheim
Saverne
Sélestat-Erstein
Strasbourg</v>
      </c>
      <c r="G71">
        <f>IFERROR(__xludf.DUMMYFUNCTION("""COMPUTED_VALUE"""),514.0)</f>
        <v>514</v>
      </c>
      <c r="H71">
        <f>IFERROR(__xludf.DUMMYFUNCTION("""COMPUTED_VALUE"""),23.0)</f>
        <v>23</v>
      </c>
      <c r="I71">
        <f>IFERROR(__xludf.DUMMYFUNCTION("""COMPUTED_VALUE"""),9.0)</f>
        <v>9</v>
      </c>
      <c r="J71" t="str">
        <f>IFERROR(__xludf.DUMMYFUNCTION("""COMPUTED_VALUE"""),"Grand Est")</f>
        <v>Grand Est</v>
      </c>
      <c r="K71" t="str">
        <f>IFERROR(__xludf.DUMMYFUNCTION("""COMPUTED_VALUE"""),"4 755[r 67]")</f>
        <v>4 755[r 67]</v>
      </c>
      <c r="L71" t="str">
        <f>IFERROR(__xludf.DUMMYFUNCTION("""COMPUTED_VALUE"""),"1 163 810 (2023)")</f>
        <v>1 163 810 (2023)</v>
      </c>
      <c r="M71">
        <f>IFERROR(__xludf.DUMMYFUNCTION("""COMPUTED_VALUE"""),244.8)</f>
        <v>244.8</v>
      </c>
    </row>
    <row r="72">
      <c r="A72">
        <f>IFERROR(__xludf.DUMMYFUNCTION("""COMPUTED_VALUE"""),68.0)</f>
        <v>68</v>
      </c>
      <c r="B72" t="str">
        <f>IFERROR(__xludf.DUMMYFUNCTION("""COMPUTED_VALUE"""),"Haut-Rhin[10]
(m.s.)")</f>
        <v>Haut-Rhin[10]
(m.s.)</v>
      </c>
      <c r="C72" t="str">
        <f>IFERROR(__xludf.DUMMYFUNCTION("""COMPUTED_VALUE"""),"Colmar
(préf. dép.)")</f>
        <v>Colmar
(préf. dép.)</v>
      </c>
      <c r="D72">
        <f>IFERROR(__xludf.DUMMYFUNCTION("""COMPUTED_VALUE"""),1790.0)</f>
        <v>1790</v>
      </c>
      <c r="E72">
        <f>IFERROR(__xludf.DUMMYFUNCTION("""COMPUTED_VALUE"""),4.0)</f>
        <v>4</v>
      </c>
      <c r="F72" t="str">
        <f>IFERROR(__xludf.DUMMYFUNCTION("""COMPUTED_VALUE"""),"Altkirch
Colmar-Ribeauvillé
Mulhouse
Thann-Guebwiller")</f>
        <v>Altkirch
Colmar-Ribeauvillé
Mulhouse
Thann-Guebwiller</v>
      </c>
      <c r="G72">
        <f>IFERROR(__xludf.DUMMYFUNCTION("""COMPUTED_VALUE"""),366.0)</f>
        <v>366</v>
      </c>
      <c r="H72">
        <f>IFERROR(__xludf.DUMMYFUNCTION("""COMPUTED_VALUE"""),17.0)</f>
        <v>17</v>
      </c>
      <c r="I72">
        <f>IFERROR(__xludf.DUMMYFUNCTION("""COMPUTED_VALUE"""),6.0)</f>
        <v>6</v>
      </c>
      <c r="J72" t="str">
        <f>IFERROR(__xludf.DUMMYFUNCTION("""COMPUTED_VALUE"""),"Grand Est")</f>
        <v>Grand Est</v>
      </c>
      <c r="K72" t="str">
        <f>IFERROR(__xludf.DUMMYFUNCTION("""COMPUTED_VALUE"""),"3 525,2[r 68]")</f>
        <v>3 525,2[r 68]</v>
      </c>
      <c r="L72" t="str">
        <f>IFERROR(__xludf.DUMMYFUNCTION("""COMPUTED_VALUE"""),"770 738 (2023)")</f>
        <v>770 738 (2023)</v>
      </c>
      <c r="M72">
        <f>IFERROR(__xludf.DUMMYFUNCTION("""COMPUTED_VALUE"""),218.6)</f>
        <v>218.6</v>
      </c>
    </row>
    <row r="73">
      <c r="A73">
        <f>IFERROR(__xludf.DUMMYFUNCTION("""COMPUTED_VALUE"""),69.0)</f>
        <v>69</v>
      </c>
      <c r="B73" t="str">
        <f>IFERROR(__xludf.DUMMYFUNCTION("""COMPUTED_VALUE"""),"Rhône[Note 8]
(m.s.)")</f>
        <v>Rhône[Note 8]
(m.s.)</v>
      </c>
      <c r="C73" t="str">
        <f>IFERROR(__xludf.DUMMYFUNCTION("""COMPUTED_VALUE"""),"Lyon
(préf. rég. et dép.)[Note 9]")</f>
        <v>Lyon
(préf. rég. et dép.)[Note 9]</v>
      </c>
      <c r="D73">
        <f>IFERROR(__xludf.DUMMYFUNCTION("""COMPUTED_VALUE"""),1790.0)</f>
        <v>1790</v>
      </c>
      <c r="E73">
        <f>IFERROR(__xludf.DUMMYFUNCTION("""COMPUTED_VALUE"""),2.0)</f>
        <v>2</v>
      </c>
      <c r="F73" t="str">
        <f>IFERROR(__xludf.DUMMYFUNCTION("""COMPUTED_VALUE"""),"Lyon
Villefranche-sur-Saône")</f>
        <v>Lyon
Villefranche-sur-Saône</v>
      </c>
      <c r="G73">
        <f>IFERROR(__xludf.DUMMYFUNCTION("""COMPUTED_VALUE"""),266.0)</f>
        <v>266</v>
      </c>
      <c r="H73">
        <f>IFERROR(__xludf.DUMMYFUNCTION("""COMPUTED_VALUE"""),13.0)</f>
        <v>13</v>
      </c>
      <c r="I73">
        <f>IFERROR(__xludf.DUMMYFUNCTION("""COMPUTED_VALUE"""),14.0)</f>
        <v>14</v>
      </c>
      <c r="J73" t="str">
        <f>IFERROR(__xludf.DUMMYFUNCTION("""COMPUTED_VALUE"""),"Auvergne-Rhône-Alpes")</f>
        <v>Auvergne-Rhône-Alpes</v>
      </c>
      <c r="K73" t="str">
        <f>IFERROR(__xludf.DUMMYFUNCTION("""COMPUTED_VALUE"""),"3 249,1[r 69]")</f>
        <v>3 249,1[r 69]</v>
      </c>
      <c r="L73" t="str">
        <f>IFERROR(__xludf.DUMMYFUNCTION("""COMPUTED_VALUE"""),"1 914 667 (2023)")</f>
        <v>1 914 667 (2023)</v>
      </c>
      <c r="M73">
        <f>IFERROR(__xludf.DUMMYFUNCTION("""COMPUTED_VALUE"""),589.3)</f>
        <v>589.3</v>
      </c>
    </row>
    <row r="74">
      <c r="A74">
        <f>IFERROR(__xludf.DUMMYFUNCTION("""COMPUTED_VALUE"""),70.0)</f>
        <v>70</v>
      </c>
      <c r="B74" t="str">
        <f>IFERROR(__xludf.DUMMYFUNCTION("""COMPUTED_VALUE"""),"Haute-Saône
(f.s.)")</f>
        <v>Haute-Saône
(f.s.)</v>
      </c>
      <c r="C74" t="str">
        <f>IFERROR(__xludf.DUMMYFUNCTION("""COMPUTED_VALUE"""),"Vesoul
(préf. dép.)")</f>
        <v>Vesoul
(préf. dép.)</v>
      </c>
      <c r="D74">
        <f>IFERROR(__xludf.DUMMYFUNCTION("""COMPUTED_VALUE"""),1790.0)</f>
        <v>1790</v>
      </c>
      <c r="E74">
        <f>IFERROR(__xludf.DUMMYFUNCTION("""COMPUTED_VALUE"""),2.0)</f>
        <v>2</v>
      </c>
      <c r="F74" t="str">
        <f>IFERROR(__xludf.DUMMYFUNCTION("""COMPUTED_VALUE"""),"Lure
Vesoul")</f>
        <v>Lure
Vesoul</v>
      </c>
      <c r="G74">
        <f>IFERROR(__xludf.DUMMYFUNCTION("""COMPUTED_VALUE"""),539.0)</f>
        <v>539</v>
      </c>
      <c r="H74">
        <f>IFERROR(__xludf.DUMMYFUNCTION("""COMPUTED_VALUE"""),17.0)</f>
        <v>17</v>
      </c>
      <c r="I74">
        <f>IFERROR(__xludf.DUMMYFUNCTION("""COMPUTED_VALUE"""),2.0)</f>
        <v>2</v>
      </c>
      <c r="J74" t="str">
        <f>IFERROR(__xludf.DUMMYFUNCTION("""COMPUTED_VALUE"""),"Bourgogne-Franche-Comté")</f>
        <v>Bourgogne-Franche-Comté</v>
      </c>
      <c r="K74" t="str">
        <f>IFERROR(__xludf.DUMMYFUNCTION("""COMPUTED_VALUE"""),"5 360,1[r 70]")</f>
        <v>5 360,1[r 70]</v>
      </c>
      <c r="L74" t="str">
        <f>IFERROR(__xludf.DUMMYFUNCTION("""COMPUTED_VALUE"""),"233 185 (2023)")</f>
        <v>233 185 (2023)</v>
      </c>
      <c r="M74">
        <f>IFERROR(__xludf.DUMMYFUNCTION("""COMPUTED_VALUE"""),43.5)</f>
        <v>43.5</v>
      </c>
    </row>
    <row r="75">
      <c r="A75">
        <f>IFERROR(__xludf.DUMMYFUNCTION("""COMPUTED_VALUE"""),71.0)</f>
        <v>71</v>
      </c>
      <c r="B75" t="str">
        <f>IFERROR(__xludf.DUMMYFUNCTION("""COMPUTED_VALUE"""),"Saône-et-Loire
(f.s.)")</f>
        <v>Saône-et-Loire
(f.s.)</v>
      </c>
      <c r="C75" t="str">
        <f>IFERROR(__xludf.DUMMYFUNCTION("""COMPUTED_VALUE"""),"Mâcon
(préf. dép.)")</f>
        <v>Mâcon
(préf. dép.)</v>
      </c>
      <c r="D75">
        <f>IFERROR(__xludf.DUMMYFUNCTION("""COMPUTED_VALUE"""),1790.0)</f>
        <v>1790</v>
      </c>
      <c r="E75">
        <f>IFERROR(__xludf.DUMMYFUNCTION("""COMPUTED_VALUE"""),5.0)</f>
        <v>5</v>
      </c>
      <c r="F75" t="str">
        <f>IFERROR(__xludf.DUMMYFUNCTION("""COMPUTED_VALUE"""),"Autun
Chalon-sur-Saône
Charolles
Louhans
Mâcon")</f>
        <v>Autun
Chalon-sur-Saône
Charolles
Louhans
Mâcon</v>
      </c>
      <c r="G75">
        <f>IFERROR(__xludf.DUMMYFUNCTION("""COMPUTED_VALUE"""),564.0)</f>
        <v>564</v>
      </c>
      <c r="H75">
        <f>IFERROR(__xludf.DUMMYFUNCTION("""COMPUTED_VALUE"""),29.0)</f>
        <v>29</v>
      </c>
      <c r="I75">
        <f>IFERROR(__xludf.DUMMYFUNCTION("""COMPUTED_VALUE"""),5.0)</f>
        <v>5</v>
      </c>
      <c r="J75" t="str">
        <f>IFERROR(__xludf.DUMMYFUNCTION("""COMPUTED_VALUE"""),"Bourgogne-Franche-Comté")</f>
        <v>Bourgogne-Franche-Comté</v>
      </c>
      <c r="K75" t="str">
        <f>IFERROR(__xludf.DUMMYFUNCTION("""COMPUTED_VALUE"""),"8 574,7[r 71]")</f>
        <v>8 574,7[r 71]</v>
      </c>
      <c r="L75" t="str">
        <f>IFERROR(__xludf.DUMMYFUNCTION("""COMPUTED_VALUE"""),"550 310 (2023)")</f>
        <v>550 310 (2023)</v>
      </c>
      <c r="M75">
        <f>IFERROR(__xludf.DUMMYFUNCTION("""COMPUTED_VALUE"""),64.2)</f>
        <v>64.2</v>
      </c>
    </row>
    <row r="76">
      <c r="A76">
        <f>IFERROR(__xludf.DUMMYFUNCTION("""COMPUTED_VALUE"""),72.0)</f>
        <v>72</v>
      </c>
      <c r="B76" t="str">
        <f>IFERROR(__xludf.DUMMYFUNCTION("""COMPUTED_VALUE"""),"Sarthe
(f.s.)")</f>
        <v>Sarthe
(f.s.)</v>
      </c>
      <c r="C76" t="str">
        <f>IFERROR(__xludf.DUMMYFUNCTION("""COMPUTED_VALUE"""),"Le Mans
(préf. dép.)")</f>
        <v>Le Mans
(préf. dép.)</v>
      </c>
      <c r="D76">
        <f>IFERROR(__xludf.DUMMYFUNCTION("""COMPUTED_VALUE"""),1790.0)</f>
        <v>1790</v>
      </c>
      <c r="E76">
        <f>IFERROR(__xludf.DUMMYFUNCTION("""COMPUTED_VALUE"""),3.0)</f>
        <v>3</v>
      </c>
      <c r="F76" t="str">
        <f>IFERROR(__xludf.DUMMYFUNCTION("""COMPUTED_VALUE"""),"La Flèche
Mamers
Le Mans")</f>
        <v>La Flèche
Mamers
Le Mans</v>
      </c>
      <c r="G76">
        <f>IFERROR(__xludf.DUMMYFUNCTION("""COMPUTED_VALUE"""),354.0)</f>
        <v>354</v>
      </c>
      <c r="H76">
        <f>IFERROR(__xludf.DUMMYFUNCTION("""COMPUTED_VALUE"""),21.0)</f>
        <v>21</v>
      </c>
      <c r="I76">
        <f>IFERROR(__xludf.DUMMYFUNCTION("""COMPUTED_VALUE"""),5.0)</f>
        <v>5</v>
      </c>
      <c r="J76" t="str">
        <f>IFERROR(__xludf.DUMMYFUNCTION("""COMPUTED_VALUE"""),"Pays de la Loire")</f>
        <v>Pays de la Loire</v>
      </c>
      <c r="K76" t="str">
        <f>IFERROR(__xludf.DUMMYFUNCTION("""COMPUTED_VALUE"""),"6 206[r 72]")</f>
        <v>6 206[r 72]</v>
      </c>
      <c r="L76" t="str">
        <f>IFERROR(__xludf.DUMMYFUNCTION("""COMPUTED_VALUE"""),"566 733 (2023)")</f>
        <v>566 733 (2023)</v>
      </c>
      <c r="M76">
        <f>IFERROR(__xludf.DUMMYFUNCTION("""COMPUTED_VALUE"""),91.3)</f>
        <v>91.3</v>
      </c>
    </row>
    <row r="77">
      <c r="A77">
        <f>IFERROR(__xludf.DUMMYFUNCTION("""COMPUTED_VALUE"""),73.0)</f>
        <v>73</v>
      </c>
      <c r="B77" t="str">
        <f>IFERROR(__xludf.DUMMYFUNCTION("""COMPUTED_VALUE"""),"Savoie
(f.s.)")</f>
        <v>Savoie
(f.s.)</v>
      </c>
      <c r="C77" t="str">
        <f>IFERROR(__xludf.DUMMYFUNCTION("""COMPUTED_VALUE"""),"Chambéry
(préf. dép.)")</f>
        <v>Chambéry
(préf. dép.)</v>
      </c>
      <c r="D77">
        <f>IFERROR(__xludf.DUMMYFUNCTION("""COMPUTED_VALUE"""),1860.0)</f>
        <v>1860</v>
      </c>
      <c r="E77">
        <f>IFERROR(__xludf.DUMMYFUNCTION("""COMPUTED_VALUE"""),3.0)</f>
        <v>3</v>
      </c>
      <c r="F77" t="str">
        <f>IFERROR(__xludf.DUMMYFUNCTION("""COMPUTED_VALUE"""),"Albertville
Chambéry
Saint-Jean-de-Maurienne")</f>
        <v>Albertville
Chambéry
Saint-Jean-de-Maurienne</v>
      </c>
      <c r="G77">
        <f>IFERROR(__xludf.DUMMYFUNCTION("""COMPUTED_VALUE"""),273.0)</f>
        <v>273</v>
      </c>
      <c r="H77">
        <f>IFERROR(__xludf.DUMMYFUNCTION("""COMPUTED_VALUE"""),19.0)</f>
        <v>19</v>
      </c>
      <c r="I77">
        <f>IFERROR(__xludf.DUMMYFUNCTION("""COMPUTED_VALUE"""),4.0)</f>
        <v>4</v>
      </c>
      <c r="J77" t="str">
        <f>IFERROR(__xludf.DUMMYFUNCTION("""COMPUTED_VALUE"""),"Auvergne-Rhône-Alpes")</f>
        <v>Auvergne-Rhône-Alpes</v>
      </c>
      <c r="K77" t="str">
        <f>IFERROR(__xludf.DUMMYFUNCTION("""COMPUTED_VALUE"""),"6 028,3[r 73]")</f>
        <v>6 028,3[r 73]</v>
      </c>
      <c r="L77" t="str">
        <f>IFERROR(__xludf.DUMMYFUNCTION("""COMPUTED_VALUE"""),"448 226 (2023)")</f>
        <v>448 226 (2023)</v>
      </c>
      <c r="M77">
        <f>IFERROR(__xludf.DUMMYFUNCTION("""COMPUTED_VALUE"""),74.4)</f>
        <v>74.4</v>
      </c>
    </row>
    <row r="78">
      <c r="A78">
        <f>IFERROR(__xludf.DUMMYFUNCTION("""COMPUTED_VALUE"""),74.0)</f>
        <v>74</v>
      </c>
      <c r="B78" t="str">
        <f>IFERROR(__xludf.DUMMYFUNCTION("""COMPUTED_VALUE"""),"Haute-Savoie
(f.s.)")</f>
        <v>Haute-Savoie
(f.s.)</v>
      </c>
      <c r="C78" t="str">
        <f>IFERROR(__xludf.DUMMYFUNCTION("""COMPUTED_VALUE"""),"Annecy
(préf. dép.)")</f>
        <v>Annecy
(préf. dép.)</v>
      </c>
      <c r="D78">
        <f>IFERROR(__xludf.DUMMYFUNCTION("""COMPUTED_VALUE"""),1860.0)</f>
        <v>1860</v>
      </c>
      <c r="E78">
        <f>IFERROR(__xludf.DUMMYFUNCTION("""COMPUTED_VALUE"""),4.0)</f>
        <v>4</v>
      </c>
      <c r="F78" t="str">
        <f>IFERROR(__xludf.DUMMYFUNCTION("""COMPUTED_VALUE"""),"Annecy
Bonneville
Saint-Julien-en-Genevois
Thonon-les-Bains")</f>
        <v>Annecy
Bonneville
Saint-Julien-en-Genevois
Thonon-les-Bains</v>
      </c>
      <c r="G78">
        <f>IFERROR(__xludf.DUMMYFUNCTION("""COMPUTED_VALUE"""),279.0)</f>
        <v>279</v>
      </c>
      <c r="H78">
        <f>IFERROR(__xludf.DUMMYFUNCTION("""COMPUTED_VALUE"""),17.0)</f>
        <v>17</v>
      </c>
      <c r="I78">
        <f>IFERROR(__xludf.DUMMYFUNCTION("""COMPUTED_VALUE"""),6.0)</f>
        <v>6</v>
      </c>
      <c r="J78" t="str">
        <f>IFERROR(__xludf.DUMMYFUNCTION("""COMPUTED_VALUE"""),"Auvergne-Rhône-Alpes")</f>
        <v>Auvergne-Rhône-Alpes</v>
      </c>
      <c r="K78" t="str">
        <f>IFERROR(__xludf.DUMMYFUNCTION("""COMPUTED_VALUE"""),"4 387,8[r 74]")</f>
        <v>4 387,8[r 74]</v>
      </c>
      <c r="L78" t="str">
        <f>IFERROR(__xludf.DUMMYFUNCTION("""COMPUTED_VALUE"""),"861 158 (2023)")</f>
        <v>861 158 (2023)</v>
      </c>
      <c r="M78">
        <f>IFERROR(__xludf.DUMMYFUNCTION("""COMPUTED_VALUE"""),196.3)</f>
        <v>196.3</v>
      </c>
    </row>
    <row r="79">
      <c r="A79">
        <f>IFERROR(__xludf.DUMMYFUNCTION("""COMPUTED_VALUE"""),75.0)</f>
        <v>75</v>
      </c>
      <c r="B79" t="str">
        <f>IFERROR(__xludf.DUMMYFUNCTION("""COMPUTED_VALUE"""),"Paris
(m.s.)")</f>
        <v>Paris
(m.s.)</v>
      </c>
      <c r="C79" t="str">
        <f>IFERROR(__xludf.DUMMYFUNCTION("""COMPUTED_VALUE"""),"Paris
(préf. de Paris)[Note 10]")</f>
        <v>Paris
(préf. de Paris)[Note 10]</v>
      </c>
      <c r="D79">
        <f>IFERROR(__xludf.DUMMYFUNCTION("""COMPUTED_VALUE"""),1982.0)</f>
        <v>1982</v>
      </c>
      <c r="E79">
        <f>IFERROR(__xludf.DUMMYFUNCTION("""COMPUTED_VALUE"""),1.0)</f>
        <v>1</v>
      </c>
      <c r="F79" t="str">
        <f>IFERROR(__xludf.DUMMYFUNCTION("""COMPUTED_VALUE"""),"Paris")</f>
        <v>Paris</v>
      </c>
      <c r="G79">
        <f>IFERROR(__xludf.DUMMYFUNCTION("""COMPUTED_VALUE"""),1.0)</f>
        <v>1</v>
      </c>
      <c r="H79">
        <f>IFERROR(__xludf.DUMMYFUNCTION("""COMPUTED_VALUE"""),0.0)</f>
        <v>0</v>
      </c>
      <c r="I79">
        <f>IFERROR(__xludf.DUMMYFUNCTION("""COMPUTED_VALUE"""),18.0)</f>
        <v>18</v>
      </c>
      <c r="J79" t="str">
        <f>IFERROR(__xludf.DUMMYFUNCTION("""COMPUTED_VALUE"""),"Île-de-France")</f>
        <v>Île-de-France</v>
      </c>
      <c r="K79" t="str">
        <f>IFERROR(__xludf.DUMMYFUNCTION("""COMPUTED_VALUE"""),"105,4[r 75]")</f>
        <v>105,4[r 75]</v>
      </c>
      <c r="L79" t="str">
        <f>IFERROR(__xludf.DUMMYFUNCTION("""COMPUTED_VALUE"""),"2 103 778 (2023)")</f>
        <v>2 103 778 (2023)</v>
      </c>
      <c r="M79">
        <f>IFERROR(__xludf.DUMMYFUNCTION("""COMPUTED_VALUE"""),19959.9)</f>
        <v>19959.9</v>
      </c>
    </row>
    <row r="80">
      <c r="A80">
        <f>IFERROR(__xludf.DUMMYFUNCTION("""COMPUTED_VALUE"""),76.0)</f>
        <v>76</v>
      </c>
      <c r="B80" t="str">
        <f>IFERROR(__xludf.DUMMYFUNCTION("""COMPUTED_VALUE"""),"Seine-Maritime
(f.s.)")</f>
        <v>Seine-Maritime
(f.s.)</v>
      </c>
      <c r="C80" t="str">
        <f>IFERROR(__xludf.DUMMYFUNCTION("""COMPUTED_VALUE"""),"Rouen
(préf. rég. et dép.)")</f>
        <v>Rouen
(préf. rég. et dép.)</v>
      </c>
      <c r="D80">
        <f>IFERROR(__xludf.DUMMYFUNCTION("""COMPUTED_VALUE"""),1790.0)</f>
        <v>1790</v>
      </c>
      <c r="E80">
        <f>IFERROR(__xludf.DUMMYFUNCTION("""COMPUTED_VALUE"""),3.0)</f>
        <v>3</v>
      </c>
      <c r="F80" t="str">
        <f>IFERROR(__xludf.DUMMYFUNCTION("""COMPUTED_VALUE"""),"Dieppe
Le Havre
Rouen")</f>
        <v>Dieppe
Le Havre
Rouen</v>
      </c>
      <c r="G80">
        <f>IFERROR(__xludf.DUMMYFUNCTION("""COMPUTED_VALUE"""),708.0)</f>
        <v>708</v>
      </c>
      <c r="H80">
        <f>IFERROR(__xludf.DUMMYFUNCTION("""COMPUTED_VALUE"""),35.0)</f>
        <v>35</v>
      </c>
      <c r="I80">
        <f>IFERROR(__xludf.DUMMYFUNCTION("""COMPUTED_VALUE"""),10.0)</f>
        <v>10</v>
      </c>
      <c r="J80" t="str">
        <f>IFERROR(__xludf.DUMMYFUNCTION("""COMPUTED_VALUE"""),"Normandie")</f>
        <v>Normandie</v>
      </c>
      <c r="K80" t="str">
        <f>IFERROR(__xludf.DUMMYFUNCTION("""COMPUTED_VALUE"""),"6 277,6[r 76]")</f>
        <v>6 277,6[r 76]</v>
      </c>
      <c r="L80" t="str">
        <f>IFERROR(__xludf.DUMMYFUNCTION("""COMPUTED_VALUE"""),"1 260 964 (2023)")</f>
        <v>1 260 964 (2023)</v>
      </c>
      <c r="M80">
        <f>IFERROR(__xludf.DUMMYFUNCTION("""COMPUTED_VALUE"""),200.9)</f>
        <v>200.9</v>
      </c>
    </row>
    <row r="81">
      <c r="A81">
        <f>IFERROR(__xludf.DUMMYFUNCTION("""COMPUTED_VALUE"""),77.0)</f>
        <v>77</v>
      </c>
      <c r="B81" t="str">
        <f>IFERROR(__xludf.DUMMYFUNCTION("""COMPUTED_VALUE"""),"Seine-et-Marne
(f.s.)")</f>
        <v>Seine-et-Marne
(f.s.)</v>
      </c>
      <c r="C81" t="str">
        <f>IFERROR(__xludf.DUMMYFUNCTION("""COMPUTED_VALUE"""),"Melun
(préf. dép.)")</f>
        <v>Melun
(préf. dép.)</v>
      </c>
      <c r="D81">
        <f>IFERROR(__xludf.DUMMYFUNCTION("""COMPUTED_VALUE"""),1790.0)</f>
        <v>1790</v>
      </c>
      <c r="E81">
        <f>IFERROR(__xludf.DUMMYFUNCTION("""COMPUTED_VALUE"""),5.0)</f>
        <v>5</v>
      </c>
      <c r="F81" t="str">
        <f>IFERROR(__xludf.DUMMYFUNCTION("""COMPUTED_VALUE"""),"Meaux
Melun
Provins
Fontainebleau
Torcy")</f>
        <v>Meaux
Melun
Provins
Fontainebleau
Torcy</v>
      </c>
      <c r="G81">
        <f>IFERROR(__xludf.DUMMYFUNCTION("""COMPUTED_VALUE"""),507.0)</f>
        <v>507</v>
      </c>
      <c r="H81">
        <f>IFERROR(__xludf.DUMMYFUNCTION("""COMPUTED_VALUE"""),23.0)</f>
        <v>23</v>
      </c>
      <c r="I81">
        <f>IFERROR(__xludf.DUMMYFUNCTION("""COMPUTED_VALUE"""),11.0)</f>
        <v>11</v>
      </c>
      <c r="J81" t="str">
        <f>IFERROR(__xludf.DUMMYFUNCTION("""COMPUTED_VALUE"""),"Île-de-France")</f>
        <v>Île-de-France</v>
      </c>
      <c r="K81" t="str">
        <f>IFERROR(__xludf.DUMMYFUNCTION("""COMPUTED_VALUE"""),"5 915,3[r 77]")</f>
        <v>5 915,3[r 77]</v>
      </c>
      <c r="L81" t="str">
        <f>IFERROR(__xludf.DUMMYFUNCTION("""COMPUTED_VALUE"""),"1 468 108 (2023)")</f>
        <v>1 468 108 (2023)</v>
      </c>
      <c r="M81">
        <f>IFERROR(__xludf.DUMMYFUNCTION("""COMPUTED_VALUE"""),248.2)</f>
        <v>248.2</v>
      </c>
    </row>
    <row r="82">
      <c r="A82">
        <f>IFERROR(__xludf.DUMMYFUNCTION("""COMPUTED_VALUE"""),78.0)</f>
        <v>78</v>
      </c>
      <c r="B82" t="str">
        <f>IFERROR(__xludf.DUMMYFUNCTION("""COMPUTED_VALUE"""),"Yvelines
(f.p.)")</f>
        <v>Yvelines
(f.p.)</v>
      </c>
      <c r="C82" t="str">
        <f>IFERROR(__xludf.DUMMYFUNCTION("""COMPUTED_VALUE"""),"Versailles
(préf. dép.)")</f>
        <v>Versailles
(préf. dép.)</v>
      </c>
      <c r="D82">
        <f>IFERROR(__xludf.DUMMYFUNCTION("""COMPUTED_VALUE"""),1968.0)</f>
        <v>1968</v>
      </c>
      <c r="E82">
        <f>IFERROR(__xludf.DUMMYFUNCTION("""COMPUTED_VALUE"""),4.0)</f>
        <v>4</v>
      </c>
      <c r="F82" t="str">
        <f>IFERROR(__xludf.DUMMYFUNCTION("""COMPUTED_VALUE"""),"Mantes-la-Jolie
Rambouillet
Saint-Germain-en-Laye
Versailles")</f>
        <v>Mantes-la-Jolie
Rambouillet
Saint-Germain-en-Laye
Versailles</v>
      </c>
      <c r="G82">
        <f>IFERROR(__xludf.DUMMYFUNCTION("""COMPUTED_VALUE"""),259.0)</f>
        <v>259</v>
      </c>
      <c r="H82">
        <f>IFERROR(__xludf.DUMMYFUNCTION("""COMPUTED_VALUE"""),21.0)</f>
        <v>21</v>
      </c>
      <c r="I82">
        <f>IFERROR(__xludf.DUMMYFUNCTION("""COMPUTED_VALUE"""),12.0)</f>
        <v>12</v>
      </c>
      <c r="J82" t="str">
        <f>IFERROR(__xludf.DUMMYFUNCTION("""COMPUTED_VALUE"""),"Île-de-France")</f>
        <v>Île-de-France</v>
      </c>
      <c r="K82" t="str">
        <f>IFERROR(__xludf.DUMMYFUNCTION("""COMPUTED_VALUE"""),"2 284,4[r 78]")</f>
        <v>2 284,4[r 78]</v>
      </c>
      <c r="L82" t="str">
        <f>IFERROR(__xludf.DUMMYFUNCTION("""COMPUTED_VALUE"""),"1 485 086 (2023)")</f>
        <v>1 485 086 (2023)</v>
      </c>
      <c r="M82">
        <f>IFERROR(__xludf.DUMMYFUNCTION("""COMPUTED_VALUE"""),650.2)</f>
        <v>650.2</v>
      </c>
    </row>
    <row r="83">
      <c r="A83">
        <f>IFERROR(__xludf.DUMMYFUNCTION("""COMPUTED_VALUE"""),79.0)</f>
        <v>79</v>
      </c>
      <c r="B83" t="str">
        <f>IFERROR(__xludf.DUMMYFUNCTION("""COMPUTED_VALUE"""),"Deux-Sèvres
(f.p.)")</f>
        <v>Deux-Sèvres
(f.p.)</v>
      </c>
      <c r="C83" t="str">
        <f>IFERROR(__xludf.DUMMYFUNCTION("""COMPUTED_VALUE"""),"Niort
(préf. dép.)")</f>
        <v>Niort
(préf. dép.)</v>
      </c>
      <c r="D83">
        <f>IFERROR(__xludf.DUMMYFUNCTION("""COMPUTED_VALUE"""),1790.0)</f>
        <v>1790</v>
      </c>
      <c r="E83">
        <f>IFERROR(__xludf.DUMMYFUNCTION("""COMPUTED_VALUE"""),3.0)</f>
        <v>3</v>
      </c>
      <c r="F83" t="str">
        <f>IFERROR(__xludf.DUMMYFUNCTION("""COMPUTED_VALUE"""),"Bressuire
Niort
Parthenay")</f>
        <v>Bressuire
Niort
Parthenay</v>
      </c>
      <c r="G83">
        <f>IFERROR(__xludf.DUMMYFUNCTION("""COMPUTED_VALUE"""),256.0)</f>
        <v>256</v>
      </c>
      <c r="H83">
        <f>IFERROR(__xludf.DUMMYFUNCTION("""COMPUTED_VALUE"""),17.0)</f>
        <v>17</v>
      </c>
      <c r="I83">
        <f>IFERROR(__xludf.DUMMYFUNCTION("""COMPUTED_VALUE"""),3.0)</f>
        <v>3</v>
      </c>
      <c r="J83" t="str">
        <f>IFERROR(__xludf.DUMMYFUNCTION("""COMPUTED_VALUE"""),"Nouvelle-Aquitaine")</f>
        <v>Nouvelle-Aquitaine</v>
      </c>
      <c r="K83" t="str">
        <f>IFERROR(__xludf.DUMMYFUNCTION("""COMPUTED_VALUE"""),"5 999,4[r 79]")</f>
        <v>5 999,4[r 79]</v>
      </c>
      <c r="L83" t="str">
        <f>IFERROR(__xludf.DUMMYFUNCTION("""COMPUTED_VALUE"""),"375 229 (2023)")</f>
        <v>375 229 (2023)</v>
      </c>
      <c r="M83">
        <f>IFERROR(__xludf.DUMMYFUNCTION("""COMPUTED_VALUE"""),62.5)</f>
        <v>62.5</v>
      </c>
    </row>
    <row r="84">
      <c r="A84">
        <f>IFERROR(__xludf.DUMMYFUNCTION("""COMPUTED_VALUE"""),80.0)</f>
        <v>80</v>
      </c>
      <c r="B84" t="str">
        <f>IFERROR(__xludf.DUMMYFUNCTION("""COMPUTED_VALUE"""),"Somme
(f.s.)")</f>
        <v>Somme
(f.s.)</v>
      </c>
      <c r="C84" t="str">
        <f>IFERROR(__xludf.DUMMYFUNCTION("""COMPUTED_VALUE"""),"Amiens
(préf. dép.)")</f>
        <v>Amiens
(préf. dép.)</v>
      </c>
      <c r="D84">
        <f>IFERROR(__xludf.DUMMYFUNCTION("""COMPUTED_VALUE"""),1790.0)</f>
        <v>1790</v>
      </c>
      <c r="E84">
        <f>IFERROR(__xludf.DUMMYFUNCTION("""COMPUTED_VALUE"""),4.0)</f>
        <v>4</v>
      </c>
      <c r="F84" t="str">
        <f>IFERROR(__xludf.DUMMYFUNCTION("""COMPUTED_VALUE"""),"Abbeville
Amiens
Montdidier
Péronne")</f>
        <v>Abbeville
Amiens
Montdidier
Péronne</v>
      </c>
      <c r="G84">
        <f>IFERROR(__xludf.DUMMYFUNCTION("""COMPUTED_VALUE"""),772.0)</f>
        <v>772</v>
      </c>
      <c r="H84">
        <f>IFERROR(__xludf.DUMMYFUNCTION("""COMPUTED_VALUE"""),23.0)</f>
        <v>23</v>
      </c>
      <c r="I84">
        <f>IFERROR(__xludf.DUMMYFUNCTION("""COMPUTED_VALUE"""),5.0)</f>
        <v>5</v>
      </c>
      <c r="J84" t="str">
        <f>IFERROR(__xludf.DUMMYFUNCTION("""COMPUTED_VALUE"""),"Hauts-de-France")</f>
        <v>Hauts-de-France</v>
      </c>
      <c r="K84" t="str">
        <f>IFERROR(__xludf.DUMMYFUNCTION("""COMPUTED_VALUE"""),"6 170,1[r 80]")</f>
        <v>6 170,1[r 80]</v>
      </c>
      <c r="L84" t="str">
        <f>IFERROR(__xludf.DUMMYFUNCTION("""COMPUTED_VALUE"""),"565 413 (2023)")</f>
        <v>565 413 (2023)</v>
      </c>
      <c r="M84">
        <f>IFERROR(__xludf.DUMMYFUNCTION("""COMPUTED_VALUE"""),91.6)</f>
        <v>91.6</v>
      </c>
    </row>
    <row r="85">
      <c r="A85">
        <f>IFERROR(__xludf.DUMMYFUNCTION("""COMPUTED_VALUE"""),81.0)</f>
        <v>81</v>
      </c>
      <c r="B85" t="str">
        <f>IFERROR(__xludf.DUMMYFUNCTION("""COMPUTED_VALUE"""),"Tarn
(m.s.)")</f>
        <v>Tarn
(m.s.)</v>
      </c>
      <c r="C85" t="str">
        <f>IFERROR(__xludf.DUMMYFUNCTION("""COMPUTED_VALUE"""),"Albi
(préf. dép.)")</f>
        <v>Albi
(préf. dép.)</v>
      </c>
      <c r="D85">
        <f>IFERROR(__xludf.DUMMYFUNCTION("""COMPUTED_VALUE"""),1790.0)</f>
        <v>1790</v>
      </c>
      <c r="E85">
        <f>IFERROR(__xludf.DUMMYFUNCTION("""COMPUTED_VALUE"""),2.0)</f>
        <v>2</v>
      </c>
      <c r="F85" t="str">
        <f>IFERROR(__xludf.DUMMYFUNCTION("""COMPUTED_VALUE"""),"Albi
Castres")</f>
        <v>Albi
Castres</v>
      </c>
      <c r="G85">
        <f>IFERROR(__xludf.DUMMYFUNCTION("""COMPUTED_VALUE"""),314.0)</f>
        <v>314</v>
      </c>
      <c r="H85">
        <f>IFERROR(__xludf.DUMMYFUNCTION("""COMPUTED_VALUE"""),23.0)</f>
        <v>23</v>
      </c>
      <c r="I85">
        <f>IFERROR(__xludf.DUMMYFUNCTION("""COMPUTED_VALUE"""),3.0)</f>
        <v>3</v>
      </c>
      <c r="J85" t="str">
        <f>IFERROR(__xludf.DUMMYFUNCTION("""COMPUTED_VALUE"""),"Occitanie")</f>
        <v>Occitanie</v>
      </c>
      <c r="K85" t="str">
        <f>IFERROR(__xludf.DUMMYFUNCTION("""COMPUTED_VALUE"""),"5 757,9[r 81]")</f>
        <v>5 757,9[r 81]</v>
      </c>
      <c r="L85" t="str">
        <f>IFERROR(__xludf.DUMMYFUNCTION("""COMPUTED_VALUE"""),"397 352 (2023)")</f>
        <v>397 352 (2023)</v>
      </c>
      <c r="M85">
        <f>IFERROR(__xludf.DUMMYFUNCTION("""COMPUTED_VALUE"""),69.0)</f>
        <v>69</v>
      </c>
    </row>
    <row r="86">
      <c r="A86">
        <f>IFERROR(__xludf.DUMMYFUNCTION("""COMPUTED_VALUE"""),82.0)</f>
        <v>82</v>
      </c>
      <c r="B86" t="str">
        <f>IFERROR(__xludf.DUMMYFUNCTION("""COMPUTED_VALUE"""),"Tarn-et-Garonne
(m.s.)")</f>
        <v>Tarn-et-Garonne
(m.s.)</v>
      </c>
      <c r="C86" t="str">
        <f>IFERROR(__xludf.DUMMYFUNCTION("""COMPUTED_VALUE"""),"Montauban
(préf. dép.)")</f>
        <v>Montauban
(préf. dép.)</v>
      </c>
      <c r="D86">
        <f>IFERROR(__xludf.DUMMYFUNCTION("""COMPUTED_VALUE"""),1808.0)</f>
        <v>1808</v>
      </c>
      <c r="E86">
        <f>IFERROR(__xludf.DUMMYFUNCTION("""COMPUTED_VALUE"""),2.0)</f>
        <v>2</v>
      </c>
      <c r="F86" t="str">
        <f>IFERROR(__xludf.DUMMYFUNCTION("""COMPUTED_VALUE"""),"Castelsarrasin
Montauban")</f>
        <v>Castelsarrasin
Montauban</v>
      </c>
      <c r="G86">
        <f>IFERROR(__xludf.DUMMYFUNCTION("""COMPUTED_VALUE"""),195.0)</f>
        <v>195</v>
      </c>
      <c r="H86">
        <f>IFERROR(__xludf.DUMMYFUNCTION("""COMPUTED_VALUE"""),15.0)</f>
        <v>15</v>
      </c>
      <c r="I86">
        <f>IFERROR(__xludf.DUMMYFUNCTION("""COMPUTED_VALUE"""),2.0)</f>
        <v>2</v>
      </c>
      <c r="J86" t="str">
        <f>IFERROR(__xludf.DUMMYFUNCTION("""COMPUTED_VALUE"""),"Occitanie")</f>
        <v>Occitanie</v>
      </c>
      <c r="K86" t="str">
        <f>IFERROR(__xludf.DUMMYFUNCTION("""COMPUTED_VALUE"""),"3 718,3[r 82]")</f>
        <v>3 718,3[r 82]</v>
      </c>
      <c r="L86" t="str">
        <f>IFERROR(__xludf.DUMMYFUNCTION("""COMPUTED_VALUE"""),"265 817 (2023)")</f>
        <v>265 817 (2023)</v>
      </c>
      <c r="M86">
        <f>IFERROR(__xludf.DUMMYFUNCTION("""COMPUTED_VALUE"""),71.5)</f>
        <v>71.5</v>
      </c>
    </row>
    <row r="87">
      <c r="A87">
        <f>IFERROR(__xludf.DUMMYFUNCTION("""COMPUTED_VALUE"""),83.0)</f>
        <v>83</v>
      </c>
      <c r="B87" t="str">
        <f>IFERROR(__xludf.DUMMYFUNCTION("""COMPUTED_VALUE"""),"Var
(m.s.)")</f>
        <v>Var
(m.s.)</v>
      </c>
      <c r="C87" t="str">
        <f>IFERROR(__xludf.DUMMYFUNCTION("""COMPUTED_VALUE"""),"Toulon
(préf. dép.)")</f>
        <v>Toulon
(préf. dép.)</v>
      </c>
      <c r="D87">
        <f>IFERROR(__xludf.DUMMYFUNCTION("""COMPUTED_VALUE"""),1790.0)</f>
        <v>1790</v>
      </c>
      <c r="E87">
        <f>IFERROR(__xludf.DUMMYFUNCTION("""COMPUTED_VALUE"""),3.0)</f>
        <v>3</v>
      </c>
      <c r="F87" t="str">
        <f>IFERROR(__xludf.DUMMYFUNCTION("""COMPUTED_VALUE"""),"Draguignan
Toulon
Brignoles")</f>
        <v>Draguignan
Toulon
Brignoles</v>
      </c>
      <c r="G87">
        <f>IFERROR(__xludf.DUMMYFUNCTION("""COMPUTED_VALUE"""),153.0)</f>
        <v>153</v>
      </c>
      <c r="H87">
        <f>IFERROR(__xludf.DUMMYFUNCTION("""COMPUTED_VALUE"""),23.0)</f>
        <v>23</v>
      </c>
      <c r="I87">
        <f>IFERROR(__xludf.DUMMYFUNCTION("""COMPUTED_VALUE"""),8.0)</f>
        <v>8</v>
      </c>
      <c r="J87" t="str">
        <f>IFERROR(__xludf.DUMMYFUNCTION("""COMPUTED_VALUE"""),"Provence-Alpes-Côte d'Azur")</f>
        <v>Provence-Alpes-Côte d'Azur</v>
      </c>
      <c r="K87" t="str">
        <f>IFERROR(__xludf.DUMMYFUNCTION("""COMPUTED_VALUE"""),"5 972,5[r 83]")</f>
        <v>5 972,5[r 83]</v>
      </c>
      <c r="L87" t="str">
        <f>IFERROR(__xludf.DUMMYFUNCTION("""COMPUTED_VALUE"""),"1 119 307 (2023)")</f>
        <v>1 119 307 (2023)</v>
      </c>
      <c r="M87">
        <f>IFERROR(__xludf.DUMMYFUNCTION("""COMPUTED_VALUE"""),187.4)</f>
        <v>187.4</v>
      </c>
    </row>
    <row r="88">
      <c r="A88">
        <f>IFERROR(__xludf.DUMMYFUNCTION("""COMPUTED_VALUE"""),84.0)</f>
        <v>84</v>
      </c>
      <c r="B88" t="str">
        <f>IFERROR(__xludf.DUMMYFUNCTION("""COMPUTED_VALUE"""),"Vaucluse
(m.s.)")</f>
        <v>Vaucluse
(m.s.)</v>
      </c>
      <c r="C88" t="str">
        <f>IFERROR(__xludf.DUMMYFUNCTION("""COMPUTED_VALUE"""),"Avignon
(préf. dép.)")</f>
        <v>Avignon
(préf. dép.)</v>
      </c>
      <c r="D88">
        <f>IFERROR(__xludf.DUMMYFUNCTION("""COMPUTED_VALUE"""),1793.0)</f>
        <v>1793</v>
      </c>
      <c r="E88">
        <f>IFERROR(__xludf.DUMMYFUNCTION("""COMPUTED_VALUE"""),3.0)</f>
        <v>3</v>
      </c>
      <c r="F88" t="str">
        <f>IFERROR(__xludf.DUMMYFUNCTION("""COMPUTED_VALUE"""),"Apt
Avignon
Carpentras")</f>
        <v>Apt
Avignon
Carpentras</v>
      </c>
      <c r="G88">
        <f>IFERROR(__xludf.DUMMYFUNCTION("""COMPUTED_VALUE"""),151.0)</f>
        <v>151</v>
      </c>
      <c r="H88">
        <f>IFERROR(__xludf.DUMMYFUNCTION("""COMPUTED_VALUE"""),17.0)</f>
        <v>17</v>
      </c>
      <c r="I88">
        <f>IFERROR(__xludf.DUMMYFUNCTION("""COMPUTED_VALUE"""),5.0)</f>
        <v>5</v>
      </c>
      <c r="J88" t="str">
        <f>IFERROR(__xludf.DUMMYFUNCTION("""COMPUTED_VALUE"""),"Provence-Alpes-Côte d'Azur")</f>
        <v>Provence-Alpes-Côte d'Azur</v>
      </c>
      <c r="K88" t="str">
        <f>IFERROR(__xludf.DUMMYFUNCTION("""COMPUTED_VALUE"""),"3 567,3[r 84]")</f>
        <v>3 567,3[r 84]</v>
      </c>
      <c r="L88" t="str">
        <f>IFERROR(__xludf.DUMMYFUNCTION("""COMPUTED_VALUE"""),"572 056 (2023)")</f>
        <v>572 056 (2023)</v>
      </c>
      <c r="M88">
        <f>IFERROR(__xludf.DUMMYFUNCTION("""COMPUTED_VALUE"""),160.4)</f>
        <v>160.4</v>
      </c>
    </row>
    <row r="89">
      <c r="A89">
        <f>IFERROR(__xludf.DUMMYFUNCTION("""COMPUTED_VALUE"""),85.0)</f>
        <v>85</v>
      </c>
      <c r="B89" t="str">
        <f>IFERROR(__xludf.DUMMYFUNCTION("""COMPUTED_VALUE"""),"Vendée
(f.s.)")</f>
        <v>Vendée
(f.s.)</v>
      </c>
      <c r="C89" t="str">
        <f>IFERROR(__xludf.DUMMYFUNCTION("""COMPUTED_VALUE"""),"La Roche-sur-Yon
(préf. dép.)")</f>
        <v>La Roche-sur-Yon
(préf. dép.)</v>
      </c>
      <c r="D89">
        <f>IFERROR(__xludf.DUMMYFUNCTION("""COMPUTED_VALUE"""),1790.0)</f>
        <v>1790</v>
      </c>
      <c r="E89">
        <f>IFERROR(__xludf.DUMMYFUNCTION("""COMPUTED_VALUE"""),3.0)</f>
        <v>3</v>
      </c>
      <c r="F89" t="str">
        <f>IFERROR(__xludf.DUMMYFUNCTION("""COMPUTED_VALUE"""),"Fontenay-le-Comte
La Roche-sur-Yon
Les Sables-d'Olonne")</f>
        <v>Fontenay-le-Comte
La Roche-sur-Yon
Les Sables-d'Olonne</v>
      </c>
      <c r="G89">
        <f>IFERROR(__xludf.DUMMYFUNCTION("""COMPUTED_VALUE"""),255.0)</f>
        <v>255</v>
      </c>
      <c r="H89">
        <f>IFERROR(__xludf.DUMMYFUNCTION("""COMPUTED_VALUE"""),17.0)</f>
        <v>17</v>
      </c>
      <c r="I89">
        <f>IFERROR(__xludf.DUMMYFUNCTION("""COMPUTED_VALUE"""),5.0)</f>
        <v>5</v>
      </c>
      <c r="J89" t="str">
        <f>IFERROR(__xludf.DUMMYFUNCTION("""COMPUTED_VALUE"""),"Pays de la Loire")</f>
        <v>Pays de la Loire</v>
      </c>
      <c r="K89" t="str">
        <f>IFERROR(__xludf.DUMMYFUNCTION("""COMPUTED_VALUE"""),"6 719,6[r 85]")</f>
        <v>6 719,6[r 85]</v>
      </c>
      <c r="L89" t="str">
        <f>IFERROR(__xludf.DUMMYFUNCTION("""COMPUTED_VALUE"""),"713 609 (2023)")</f>
        <v>713 609 (2023)</v>
      </c>
      <c r="M89">
        <f>IFERROR(__xludf.DUMMYFUNCTION("""COMPUTED_VALUE"""),106.2)</f>
        <v>106.2</v>
      </c>
    </row>
    <row r="90">
      <c r="A90">
        <f>IFERROR(__xludf.DUMMYFUNCTION("""COMPUTED_VALUE"""),86.0)</f>
        <v>86</v>
      </c>
      <c r="B90" t="str">
        <f>IFERROR(__xludf.DUMMYFUNCTION("""COMPUTED_VALUE"""),"Vienne
(f.s.)")</f>
        <v>Vienne
(f.s.)</v>
      </c>
      <c r="C90" t="str">
        <f>IFERROR(__xludf.DUMMYFUNCTION("""COMPUTED_VALUE"""),"Poitiers
(préf. dép.)")</f>
        <v>Poitiers
(préf. dép.)</v>
      </c>
      <c r="D90">
        <f>IFERROR(__xludf.DUMMYFUNCTION("""COMPUTED_VALUE"""),1790.0)</f>
        <v>1790</v>
      </c>
      <c r="E90">
        <f>IFERROR(__xludf.DUMMYFUNCTION("""COMPUTED_VALUE"""),3.0)</f>
        <v>3</v>
      </c>
      <c r="F90" t="str">
        <f>IFERROR(__xludf.DUMMYFUNCTION("""COMPUTED_VALUE"""),"Châtellerault
Montmorillon
Poitiers")</f>
        <v>Châtellerault
Montmorillon
Poitiers</v>
      </c>
      <c r="G90">
        <f>IFERROR(__xludf.DUMMYFUNCTION("""COMPUTED_VALUE"""),265.0)</f>
        <v>265</v>
      </c>
      <c r="H90">
        <f>IFERROR(__xludf.DUMMYFUNCTION("""COMPUTED_VALUE"""),19.0)</f>
        <v>19</v>
      </c>
      <c r="I90">
        <f>IFERROR(__xludf.DUMMYFUNCTION("""COMPUTED_VALUE"""),4.0)</f>
        <v>4</v>
      </c>
      <c r="J90" t="str">
        <f>IFERROR(__xludf.DUMMYFUNCTION("""COMPUTED_VALUE"""),"Nouvelle-Aquitaine")</f>
        <v>Nouvelle-Aquitaine</v>
      </c>
      <c r="K90" t="str">
        <f>IFERROR(__xludf.DUMMYFUNCTION("""COMPUTED_VALUE"""),"6 990,4[r 86]")</f>
        <v>6 990,4[r 86]</v>
      </c>
      <c r="L90" t="str">
        <f>IFERROR(__xludf.DUMMYFUNCTION("""COMPUTED_VALUE"""),"438 897 (2023)")</f>
        <v>438 897 (2023)</v>
      </c>
      <c r="M90">
        <f>IFERROR(__xludf.DUMMYFUNCTION("""COMPUTED_VALUE"""),62.8)</f>
        <v>62.8</v>
      </c>
    </row>
    <row r="91">
      <c r="A91">
        <f>IFERROR(__xludf.DUMMYFUNCTION("""COMPUTED_VALUE"""),87.0)</f>
        <v>87</v>
      </c>
      <c r="B91" t="str">
        <f>IFERROR(__xludf.DUMMYFUNCTION("""COMPUTED_VALUE"""),"Haute-Vienne
(f.s.)")</f>
        <v>Haute-Vienne
(f.s.)</v>
      </c>
      <c r="C91" t="str">
        <f>IFERROR(__xludf.DUMMYFUNCTION("""COMPUTED_VALUE"""),"Limoges
(préf. dép.)")</f>
        <v>Limoges
(préf. dép.)</v>
      </c>
      <c r="D91">
        <f>IFERROR(__xludf.DUMMYFUNCTION("""COMPUTED_VALUE"""),1790.0)</f>
        <v>1790</v>
      </c>
      <c r="E91">
        <f>IFERROR(__xludf.DUMMYFUNCTION("""COMPUTED_VALUE"""),3.0)</f>
        <v>3</v>
      </c>
      <c r="F91" t="str">
        <f>IFERROR(__xludf.DUMMYFUNCTION("""COMPUTED_VALUE"""),"Bellac
Limoges
Rochechouart")</f>
        <v>Bellac
Limoges
Rochechouart</v>
      </c>
      <c r="G91">
        <f>IFERROR(__xludf.DUMMYFUNCTION("""COMPUTED_VALUE"""),195.0)</f>
        <v>195</v>
      </c>
      <c r="H91">
        <f>IFERROR(__xludf.DUMMYFUNCTION("""COMPUTED_VALUE"""),21.0)</f>
        <v>21</v>
      </c>
      <c r="I91">
        <f>IFERROR(__xludf.DUMMYFUNCTION("""COMPUTED_VALUE"""),3.0)</f>
        <v>3</v>
      </c>
      <c r="J91" t="str">
        <f>IFERROR(__xludf.DUMMYFUNCTION("""COMPUTED_VALUE"""),"Nouvelle-Aquitaine")</f>
        <v>Nouvelle-Aquitaine</v>
      </c>
      <c r="K91" t="str">
        <f>IFERROR(__xludf.DUMMYFUNCTION("""COMPUTED_VALUE"""),"5 520,1[r 87]")</f>
        <v>5 520,1[r 87]</v>
      </c>
      <c r="L91" t="str">
        <f>IFERROR(__xludf.DUMMYFUNCTION("""COMPUTED_VALUE"""),"373 167 (2023)")</f>
        <v>373 167 (2023)</v>
      </c>
      <c r="M91">
        <f>IFERROR(__xludf.DUMMYFUNCTION("""COMPUTED_VALUE"""),67.6)</f>
        <v>67.6</v>
      </c>
    </row>
    <row r="92">
      <c r="A92">
        <f>IFERROR(__xludf.DUMMYFUNCTION("""COMPUTED_VALUE"""),88.0)</f>
        <v>88</v>
      </c>
      <c r="B92" t="str">
        <f>IFERROR(__xludf.DUMMYFUNCTION("""COMPUTED_VALUE"""),"Vosges
(f.p.)")</f>
        <v>Vosges
(f.p.)</v>
      </c>
      <c r="C92" t="str">
        <f>IFERROR(__xludf.DUMMYFUNCTION("""COMPUTED_VALUE"""),"Épinal
(préf. dép.)")</f>
        <v>Épinal
(préf. dép.)</v>
      </c>
      <c r="D92">
        <f>IFERROR(__xludf.DUMMYFUNCTION("""COMPUTED_VALUE"""),1790.0)</f>
        <v>1790</v>
      </c>
      <c r="E92">
        <f>IFERROR(__xludf.DUMMYFUNCTION("""COMPUTED_VALUE"""),3.0)</f>
        <v>3</v>
      </c>
      <c r="F92" t="str">
        <f>IFERROR(__xludf.DUMMYFUNCTION("""COMPUTED_VALUE"""),"Épinal
Neufchâteau
Saint-Dié-des-Vosges")</f>
        <v>Épinal
Neufchâteau
Saint-Dié-des-Vosges</v>
      </c>
      <c r="G92">
        <f>IFERROR(__xludf.DUMMYFUNCTION("""COMPUTED_VALUE"""),507.0)</f>
        <v>507</v>
      </c>
      <c r="H92">
        <f>IFERROR(__xludf.DUMMYFUNCTION("""COMPUTED_VALUE"""),17.0)</f>
        <v>17</v>
      </c>
      <c r="I92">
        <f>IFERROR(__xludf.DUMMYFUNCTION("""COMPUTED_VALUE"""),4.0)</f>
        <v>4</v>
      </c>
      <c r="J92" t="str">
        <f>IFERROR(__xludf.DUMMYFUNCTION("""COMPUTED_VALUE"""),"Grand Est")</f>
        <v>Grand Est</v>
      </c>
      <c r="K92" t="str">
        <f>IFERROR(__xludf.DUMMYFUNCTION("""COMPUTED_VALUE"""),"5 873,8[r 88]")</f>
        <v>5 873,8[r 88]</v>
      </c>
      <c r="L92" t="str">
        <f>IFERROR(__xludf.DUMMYFUNCTION("""COMPUTED_VALUE"""),"357 248 (2023)")</f>
        <v>357 248 (2023)</v>
      </c>
      <c r="M92">
        <f>IFERROR(__xludf.DUMMYFUNCTION("""COMPUTED_VALUE"""),60.8)</f>
        <v>60.8</v>
      </c>
    </row>
    <row r="93">
      <c r="A93">
        <f>IFERROR(__xludf.DUMMYFUNCTION("""COMPUTED_VALUE"""),89.0)</f>
        <v>89</v>
      </c>
      <c r="B93" t="str">
        <f>IFERROR(__xludf.DUMMYFUNCTION("""COMPUTED_VALUE"""),"Yonne
(f.s.)")</f>
        <v>Yonne
(f.s.)</v>
      </c>
      <c r="C93" t="str">
        <f>IFERROR(__xludf.DUMMYFUNCTION("""COMPUTED_VALUE"""),"Auxerre
(préf. dép.)")</f>
        <v>Auxerre
(préf. dép.)</v>
      </c>
      <c r="D93">
        <f>IFERROR(__xludf.DUMMYFUNCTION("""COMPUTED_VALUE"""),1790.0)</f>
        <v>1790</v>
      </c>
      <c r="E93">
        <f>IFERROR(__xludf.DUMMYFUNCTION("""COMPUTED_VALUE"""),3.0)</f>
        <v>3</v>
      </c>
      <c r="F93" t="str">
        <f>IFERROR(__xludf.DUMMYFUNCTION("""COMPUTED_VALUE"""),"Auxerre
Avallon
Sens")</f>
        <v>Auxerre
Avallon
Sens</v>
      </c>
      <c r="G93">
        <f>IFERROR(__xludf.DUMMYFUNCTION("""COMPUTED_VALUE"""),423.0)</f>
        <v>423</v>
      </c>
      <c r="H93">
        <f>IFERROR(__xludf.DUMMYFUNCTION("""COMPUTED_VALUE"""),21.0)</f>
        <v>21</v>
      </c>
      <c r="I93">
        <f>IFERROR(__xludf.DUMMYFUNCTION("""COMPUTED_VALUE"""),3.0)</f>
        <v>3</v>
      </c>
      <c r="J93" t="str">
        <f>IFERROR(__xludf.DUMMYFUNCTION("""COMPUTED_VALUE"""),"Bourgogne-Franche-Comté")</f>
        <v>Bourgogne-Franche-Comté</v>
      </c>
      <c r="K93" t="str">
        <f>IFERROR(__xludf.DUMMYFUNCTION("""COMPUTED_VALUE"""),"7 427,4[r 89]")</f>
        <v>7 427,4[r 89]</v>
      </c>
      <c r="L93" t="str">
        <f>IFERROR(__xludf.DUMMYFUNCTION("""COMPUTED_VALUE"""),"332 267 (2023)")</f>
        <v>332 267 (2023)</v>
      </c>
      <c r="M93">
        <f>IFERROR(__xludf.DUMMYFUNCTION("""COMPUTED_VALUE"""),44.7)</f>
        <v>44.7</v>
      </c>
    </row>
    <row r="94">
      <c r="A94">
        <f>IFERROR(__xludf.DUMMYFUNCTION("""COMPUTED_VALUE"""),90.0)</f>
        <v>90</v>
      </c>
      <c r="B94" t="str">
        <f>IFERROR(__xludf.DUMMYFUNCTION("""COMPUTED_VALUE"""),"Territoire de Belfort
(m.s.)")</f>
        <v>Territoire de Belfort
(m.s.)</v>
      </c>
      <c r="C94" t="str">
        <f>IFERROR(__xludf.DUMMYFUNCTION("""COMPUTED_VALUE"""),"Belfort
(préf. dép.)")</f>
        <v>Belfort
(préf. dép.)</v>
      </c>
      <c r="D94">
        <f>IFERROR(__xludf.DUMMYFUNCTION("""COMPUTED_VALUE"""),1922.0)</f>
        <v>1922</v>
      </c>
      <c r="E94">
        <f>IFERROR(__xludf.DUMMYFUNCTION("""COMPUTED_VALUE"""),1.0)</f>
        <v>1</v>
      </c>
      <c r="F94" t="str">
        <f>IFERROR(__xludf.DUMMYFUNCTION("""COMPUTED_VALUE"""),"Belfort")</f>
        <v>Belfort</v>
      </c>
      <c r="G94">
        <f>IFERROR(__xludf.DUMMYFUNCTION("""COMPUTED_VALUE"""),101.0)</f>
        <v>101</v>
      </c>
      <c r="H94">
        <f>IFERROR(__xludf.DUMMYFUNCTION("""COMPUTED_VALUE"""),9.0)</f>
        <v>9</v>
      </c>
      <c r="I94">
        <f>IFERROR(__xludf.DUMMYFUNCTION("""COMPUTED_VALUE"""),2.0)</f>
        <v>2</v>
      </c>
      <c r="J94" t="str">
        <f>IFERROR(__xludf.DUMMYFUNCTION("""COMPUTED_VALUE"""),"Bourgogne-Franche-Comté")</f>
        <v>Bourgogne-Franche-Comté</v>
      </c>
      <c r="K94" t="str">
        <f>IFERROR(__xludf.DUMMYFUNCTION("""COMPUTED_VALUE"""),"609,4[r 90]")</f>
        <v>609,4[r 90]</v>
      </c>
      <c r="L94" t="str">
        <f>IFERROR(__xludf.DUMMYFUNCTION("""COMPUTED_VALUE"""),"140 255 (2023)")</f>
        <v>140 255 (2023)</v>
      </c>
      <c r="M94">
        <f>IFERROR(__xludf.DUMMYFUNCTION("""COMPUTED_VALUE"""),230.3)</f>
        <v>230.3</v>
      </c>
    </row>
    <row r="95">
      <c r="A95">
        <f>IFERROR(__xludf.DUMMYFUNCTION("""COMPUTED_VALUE"""),91.0)</f>
        <v>91</v>
      </c>
      <c r="B95" t="str">
        <f>IFERROR(__xludf.DUMMYFUNCTION("""COMPUTED_VALUE"""),"Essonne
(f.s.)")</f>
        <v>Essonne
(f.s.)</v>
      </c>
      <c r="C95" t="str">
        <f>IFERROR(__xludf.DUMMYFUNCTION("""COMPUTED_VALUE"""),"Évry-Courcouronnes
(préf. dép.)")</f>
        <v>Évry-Courcouronnes
(préf. dép.)</v>
      </c>
      <c r="D95">
        <f>IFERROR(__xludf.DUMMYFUNCTION("""COMPUTED_VALUE"""),1968.0)</f>
        <v>1968</v>
      </c>
      <c r="E95">
        <f>IFERROR(__xludf.DUMMYFUNCTION("""COMPUTED_VALUE"""),3.0)</f>
        <v>3</v>
      </c>
      <c r="F95" t="str">
        <f>IFERROR(__xludf.DUMMYFUNCTION("""COMPUTED_VALUE"""),"Étampes
Évry
Palaiseau")</f>
        <v>Étampes
Évry
Palaiseau</v>
      </c>
      <c r="G95">
        <f>IFERROR(__xludf.DUMMYFUNCTION("""COMPUTED_VALUE"""),194.0)</f>
        <v>194</v>
      </c>
      <c r="H95">
        <f>IFERROR(__xludf.DUMMYFUNCTION("""COMPUTED_VALUE"""),21.0)</f>
        <v>21</v>
      </c>
      <c r="I95">
        <f>IFERROR(__xludf.DUMMYFUNCTION("""COMPUTED_VALUE"""),10.0)</f>
        <v>10</v>
      </c>
      <c r="J95" t="str">
        <f>IFERROR(__xludf.DUMMYFUNCTION("""COMPUTED_VALUE"""),"Île-de-France")</f>
        <v>Île-de-France</v>
      </c>
      <c r="K95" t="str">
        <f>IFERROR(__xludf.DUMMYFUNCTION("""COMPUTED_VALUE"""),"1 804,4[r 91]")</f>
        <v>1 804,4[r 91]</v>
      </c>
      <c r="L95" t="str">
        <f>IFERROR(__xludf.DUMMYFUNCTION("""COMPUTED_VALUE"""),"1 338 485 (2023)")</f>
        <v>1 338 485 (2023)</v>
      </c>
      <c r="M95">
        <f>IFERROR(__xludf.DUMMYFUNCTION("""COMPUTED_VALUE"""),742.0)</f>
        <v>742</v>
      </c>
    </row>
    <row r="96">
      <c r="A96">
        <f>IFERROR(__xludf.DUMMYFUNCTION("""COMPUTED_VALUE"""),92.0)</f>
        <v>92</v>
      </c>
      <c r="B96" t="str">
        <f>IFERROR(__xludf.DUMMYFUNCTION("""COMPUTED_VALUE"""),"Hauts-de-Seine
(m.p.)")</f>
        <v>Hauts-de-Seine
(m.p.)</v>
      </c>
      <c r="C96" t="str">
        <f>IFERROR(__xludf.DUMMYFUNCTION("""COMPUTED_VALUE"""),"Nanterre
(préf. dép.)")</f>
        <v>Nanterre
(préf. dép.)</v>
      </c>
      <c r="D96">
        <f>IFERROR(__xludf.DUMMYFUNCTION("""COMPUTED_VALUE"""),1968.0)</f>
        <v>1968</v>
      </c>
      <c r="E96">
        <f>IFERROR(__xludf.DUMMYFUNCTION("""COMPUTED_VALUE"""),3.0)</f>
        <v>3</v>
      </c>
      <c r="F96" t="str">
        <f>IFERROR(__xludf.DUMMYFUNCTION("""COMPUTED_VALUE"""),"Antony
Nanterre
Boulogne-Billancourt")</f>
        <v>Antony
Nanterre
Boulogne-Billancourt</v>
      </c>
      <c r="G96">
        <f>IFERROR(__xludf.DUMMYFUNCTION("""COMPUTED_VALUE"""),36.0)</f>
        <v>36</v>
      </c>
      <c r="H96">
        <f>IFERROR(__xludf.DUMMYFUNCTION("""COMPUTED_VALUE"""),23.0)</f>
        <v>23</v>
      </c>
      <c r="I96">
        <f>IFERROR(__xludf.DUMMYFUNCTION("""COMPUTED_VALUE"""),13.0)</f>
        <v>13</v>
      </c>
      <c r="J96" t="str">
        <f>IFERROR(__xludf.DUMMYFUNCTION("""COMPUTED_VALUE"""),"Île-de-France")</f>
        <v>Île-de-France</v>
      </c>
      <c r="K96" t="str">
        <f>IFERROR(__xludf.DUMMYFUNCTION("""COMPUTED_VALUE"""),"175,6[r 92]")</f>
        <v>175,6[r 92]</v>
      </c>
      <c r="L96" t="str">
        <f>IFERROR(__xludf.DUMMYFUNCTION("""COMPUTED_VALUE"""),"1 654 712 (2023)")</f>
        <v>1 654 712 (2023)</v>
      </c>
      <c r="M96">
        <f>IFERROR(__xludf.DUMMYFUNCTION("""COMPUTED_VALUE"""),9401.8)</f>
        <v>9401.8</v>
      </c>
    </row>
    <row r="97">
      <c r="A97">
        <f>IFERROR(__xludf.DUMMYFUNCTION("""COMPUTED_VALUE"""),93.0)</f>
        <v>93</v>
      </c>
      <c r="B97" t="str">
        <f>IFERROR(__xludf.DUMMYFUNCTION("""COMPUTED_VALUE"""),"Seine-Saint-Denis
(f.s.)")</f>
        <v>Seine-Saint-Denis
(f.s.)</v>
      </c>
      <c r="C97" t="str">
        <f>IFERROR(__xludf.DUMMYFUNCTION("""COMPUTED_VALUE"""),"Bobigny
(préf. dép.)")</f>
        <v>Bobigny
(préf. dép.)</v>
      </c>
      <c r="D97">
        <f>IFERROR(__xludf.DUMMYFUNCTION("""COMPUTED_VALUE"""),1968.0)</f>
        <v>1968</v>
      </c>
      <c r="E97">
        <f>IFERROR(__xludf.DUMMYFUNCTION("""COMPUTED_VALUE"""),3.0)</f>
        <v>3</v>
      </c>
      <c r="F97" t="str">
        <f>IFERROR(__xludf.DUMMYFUNCTION("""COMPUTED_VALUE"""),"Bobigny
Le Raincy
Saint-Denis")</f>
        <v>Bobigny
Le Raincy
Saint-Denis</v>
      </c>
      <c r="G97">
        <f>IFERROR(__xludf.DUMMYFUNCTION("""COMPUTED_VALUE"""),40.0)</f>
        <v>40</v>
      </c>
      <c r="H97">
        <f>IFERROR(__xludf.DUMMYFUNCTION("""COMPUTED_VALUE"""),21.0)</f>
        <v>21</v>
      </c>
      <c r="I97">
        <f>IFERROR(__xludf.DUMMYFUNCTION("""COMPUTED_VALUE"""),12.0)</f>
        <v>12</v>
      </c>
      <c r="J97" t="str">
        <f>IFERROR(__xludf.DUMMYFUNCTION("""COMPUTED_VALUE"""),"Île-de-France")</f>
        <v>Île-de-France</v>
      </c>
      <c r="K97" t="str">
        <f>IFERROR(__xludf.DUMMYFUNCTION("""COMPUTED_VALUE"""),"236,2[r 93]")</f>
        <v>236,2[r 93]</v>
      </c>
      <c r="L97" t="str">
        <f>IFERROR(__xludf.DUMMYFUNCTION("""COMPUTED_VALUE"""),"1 704 316 (2023)")</f>
        <v>1 704 316 (2023)</v>
      </c>
      <c r="M97">
        <f>IFERROR(__xludf.DUMMYFUNCTION("""COMPUTED_VALUE"""),7221.7)</f>
        <v>7221.7</v>
      </c>
    </row>
    <row r="98">
      <c r="A98">
        <f>IFERROR(__xludf.DUMMYFUNCTION("""COMPUTED_VALUE"""),94.0)</f>
        <v>94</v>
      </c>
      <c r="B98" t="str">
        <f>IFERROR(__xludf.DUMMYFUNCTION("""COMPUTED_VALUE"""),"Val-de-Marne
(m.s.)")</f>
        <v>Val-de-Marne
(m.s.)</v>
      </c>
      <c r="C98" t="str">
        <f>IFERROR(__xludf.DUMMYFUNCTION("""COMPUTED_VALUE"""),"Créteil
(préf. dép.)")</f>
        <v>Créteil
(préf. dép.)</v>
      </c>
      <c r="D98">
        <f>IFERROR(__xludf.DUMMYFUNCTION("""COMPUTED_VALUE"""),1968.0)</f>
        <v>1968</v>
      </c>
      <c r="E98">
        <f>IFERROR(__xludf.DUMMYFUNCTION("""COMPUTED_VALUE"""),3.0)</f>
        <v>3</v>
      </c>
      <c r="F98" t="str">
        <f>IFERROR(__xludf.DUMMYFUNCTION("""COMPUTED_VALUE"""),"Créteil
Nogent-sur-Marne
L'Haÿ-les-Roses")</f>
        <v>Créteil
Nogent-sur-Marne
L'Haÿ-les-Roses</v>
      </c>
      <c r="G98">
        <f>IFERROR(__xludf.DUMMYFUNCTION("""COMPUTED_VALUE"""),47.0)</f>
        <v>47</v>
      </c>
      <c r="H98">
        <f>IFERROR(__xludf.DUMMYFUNCTION("""COMPUTED_VALUE"""),25.0)</f>
        <v>25</v>
      </c>
      <c r="I98">
        <f>IFERROR(__xludf.DUMMYFUNCTION("""COMPUTED_VALUE"""),11.0)</f>
        <v>11</v>
      </c>
      <c r="J98" t="str">
        <f>IFERROR(__xludf.DUMMYFUNCTION("""COMPUTED_VALUE"""),"Île-de-France")</f>
        <v>Île-de-France</v>
      </c>
      <c r="K98" t="str">
        <f>IFERROR(__xludf.DUMMYFUNCTION("""COMPUTED_VALUE"""),"245[r 94]")</f>
        <v>245[r 94]</v>
      </c>
      <c r="L98" t="str">
        <f>IFERROR(__xludf.DUMMYFUNCTION("""COMPUTED_VALUE"""),"1 426 929 (2023)")</f>
        <v>1 426 929 (2023)</v>
      </c>
      <c r="M98">
        <f>IFERROR(__xludf.DUMMYFUNCTION("""COMPUTED_VALUE"""),5824.2)</f>
        <v>5824.2</v>
      </c>
    </row>
    <row r="99">
      <c r="A99">
        <f>IFERROR(__xludf.DUMMYFUNCTION("""COMPUTED_VALUE"""),95.0)</f>
        <v>95</v>
      </c>
      <c r="B99" t="str">
        <f>IFERROR(__xludf.DUMMYFUNCTION("""COMPUTED_VALUE"""),"Val-d'Oise
(m.s.)")</f>
        <v>Val-d'Oise
(m.s.)</v>
      </c>
      <c r="C99" t="str">
        <f>IFERROR(__xludf.DUMMYFUNCTION("""COMPUTED_VALUE"""),"Pontoise
(sous-préf.)[Note 11]")</f>
        <v>Pontoise
(sous-préf.)[Note 11]</v>
      </c>
      <c r="D99">
        <f>IFERROR(__xludf.DUMMYFUNCTION("""COMPUTED_VALUE"""),1968.0)</f>
        <v>1968</v>
      </c>
      <c r="E99">
        <f>IFERROR(__xludf.DUMMYFUNCTION("""COMPUTED_VALUE"""),3.0)</f>
        <v>3</v>
      </c>
      <c r="F99" t="str">
        <f>IFERROR(__xludf.DUMMYFUNCTION("""COMPUTED_VALUE"""),"Argenteuil
Sarcelles
Pontoise")</f>
        <v>Argenteuil
Sarcelles
Pontoise</v>
      </c>
      <c r="G99">
        <f>IFERROR(__xludf.DUMMYFUNCTION("""COMPUTED_VALUE"""),183.0)</f>
        <v>183</v>
      </c>
      <c r="H99">
        <f>IFERROR(__xludf.DUMMYFUNCTION("""COMPUTED_VALUE"""),21.0)</f>
        <v>21</v>
      </c>
      <c r="I99">
        <f>IFERROR(__xludf.DUMMYFUNCTION("""COMPUTED_VALUE"""),10.0)</f>
        <v>10</v>
      </c>
      <c r="J99" t="str">
        <f>IFERROR(__xludf.DUMMYFUNCTION("""COMPUTED_VALUE"""),"Île-de-France")</f>
        <v>Île-de-France</v>
      </c>
      <c r="K99" t="str">
        <f>IFERROR(__xludf.DUMMYFUNCTION("""COMPUTED_VALUE"""),"1 245,9[r 95]")</f>
        <v>1 245,9[r 95]</v>
      </c>
      <c r="L99" t="str">
        <f>IFERROR(__xludf.DUMMYFUNCTION("""COMPUTED_VALUE"""),"1 281 653 (2023)")</f>
        <v>1 281 653 (2023)</v>
      </c>
      <c r="M99">
        <f>IFERROR(__xludf.DUMMYFUNCTION("""COMPUTED_VALUE"""),1028.6)</f>
        <v>1028.6</v>
      </c>
    </row>
    <row r="101">
      <c r="A101">
        <f>IFERROR(__xludf.DUMMYFUNCTION("""COMPUTED_VALUE"""),971.0)</f>
        <v>971</v>
      </c>
      <c r="B101" t="str">
        <f>IFERROR(__xludf.DUMMYFUNCTION("""COMPUTED_VALUE"""),"Guadeloupe
(f.s.)")</f>
        <v>Guadeloupe
(f.s.)</v>
      </c>
      <c r="C101" t="str">
        <f>IFERROR(__xludf.DUMMYFUNCTION("""COMPUTED_VALUE"""),"Basse-Terre
(préf. dép.)")</f>
        <v>Basse-Terre
(préf. dép.)</v>
      </c>
      <c r="D101">
        <f>IFERROR(__xludf.DUMMYFUNCTION("""COMPUTED_VALUE"""),1946.0)</f>
        <v>1946</v>
      </c>
      <c r="E101">
        <f>IFERROR(__xludf.DUMMYFUNCTION("""COMPUTED_VALUE"""),2.0)</f>
        <v>2</v>
      </c>
      <c r="F101" t="str">
        <f>IFERROR(__xludf.DUMMYFUNCTION("""COMPUTED_VALUE"""),"Basse-Terre
Pointe-à-Pitre")</f>
        <v>Basse-Terre
Pointe-à-Pitre</v>
      </c>
      <c r="G101">
        <f>IFERROR(__xludf.DUMMYFUNCTION("""COMPUTED_VALUE"""),32.0)</f>
        <v>32</v>
      </c>
      <c r="H101">
        <f>IFERROR(__xludf.DUMMYFUNCTION("""COMPUTED_VALUE"""),21.0)</f>
        <v>21</v>
      </c>
      <c r="I101">
        <f>IFERROR(__xludf.DUMMYFUNCTION("""COMPUTED_VALUE"""),4.0)</f>
        <v>4</v>
      </c>
      <c r="J101" t="str">
        <f>IFERROR(__xludf.DUMMYFUNCTION("""COMPUTED_VALUE"""),"Guadeloupe")</f>
        <v>Guadeloupe</v>
      </c>
      <c r="K101" t="str">
        <f>IFERROR(__xludf.DUMMYFUNCTION("""COMPUTED_VALUE"""),"1 628,4[r 96]")</f>
        <v>1 628,4[r 96]</v>
      </c>
      <c r="L101" t="str">
        <f>IFERROR(__xludf.DUMMYFUNCTION("""COMPUTED_VALUE"""),"384 160 (2023)")</f>
        <v>384 160 (2023)</v>
      </c>
      <c r="M101">
        <f>IFERROR(__xludf.DUMMYFUNCTION("""COMPUTED_VALUE"""),235.9)</f>
        <v>235.9</v>
      </c>
    </row>
    <row r="102">
      <c r="A102">
        <f>IFERROR(__xludf.DUMMYFUNCTION("""COMPUTED_VALUE"""),972.0)</f>
        <v>972</v>
      </c>
      <c r="B102" t="str">
        <f>IFERROR(__xludf.DUMMYFUNCTION("""COMPUTED_VALUE"""),"Martinique
(f.s.)")</f>
        <v>Martinique
(f.s.)</v>
      </c>
      <c r="C102" t="str">
        <f>IFERROR(__xludf.DUMMYFUNCTION("""COMPUTED_VALUE"""),"Fort-de-France
(préf. dép.)")</f>
        <v>Fort-de-France
(préf. dép.)</v>
      </c>
      <c r="D102">
        <f>IFERROR(__xludf.DUMMYFUNCTION("""COMPUTED_VALUE"""),1946.0)</f>
        <v>1946</v>
      </c>
      <c r="E102">
        <f>IFERROR(__xludf.DUMMYFUNCTION("""COMPUTED_VALUE"""),4.0)</f>
        <v>4</v>
      </c>
      <c r="F102" t="str">
        <f>IFERROR(__xludf.DUMMYFUNCTION("""COMPUTED_VALUE"""),"Fort-de-France
La Trinité
Le Marin
Saint-Pierre")</f>
        <v>Fort-de-France
La Trinité
Le Marin
Saint-Pierre</v>
      </c>
      <c r="G102">
        <f>IFERROR(__xludf.DUMMYFUNCTION("""COMPUTED_VALUE"""),34.0)</f>
        <v>34</v>
      </c>
      <c r="H102">
        <f>IFERROR(__xludf.DUMMYFUNCTION("""COMPUTED_VALUE"""),0.0)</f>
        <v>0</v>
      </c>
      <c r="I102">
        <f>IFERROR(__xludf.DUMMYFUNCTION("""COMPUTED_VALUE"""),4.0)</f>
        <v>4</v>
      </c>
      <c r="J102" t="str">
        <f>IFERROR(__xludf.DUMMYFUNCTION("""COMPUTED_VALUE"""),"Martinique")</f>
        <v>Martinique</v>
      </c>
      <c r="K102" t="str">
        <f>IFERROR(__xludf.DUMMYFUNCTION("""COMPUTED_VALUE"""),"1 128[r 96]")</f>
        <v>1 128[r 96]</v>
      </c>
      <c r="L102" t="str">
        <f>IFERROR(__xludf.DUMMYFUNCTION("""COMPUTED_VALUE"""),"360 630 (2023)")</f>
        <v>360 630 (2023)</v>
      </c>
      <c r="M102">
        <f>IFERROR(__xludf.DUMMYFUNCTION("""COMPUTED_VALUE"""),319.7)</f>
        <v>319.7</v>
      </c>
    </row>
    <row r="103">
      <c r="A103">
        <f>IFERROR(__xludf.DUMMYFUNCTION("""COMPUTED_VALUE"""),973.0)</f>
        <v>973</v>
      </c>
      <c r="B103" t="str">
        <f>IFERROR(__xludf.DUMMYFUNCTION("""COMPUTED_VALUE"""),"Guyane
(f.s.)")</f>
        <v>Guyane
(f.s.)</v>
      </c>
      <c r="C103" t="str">
        <f>IFERROR(__xludf.DUMMYFUNCTION("""COMPUTED_VALUE"""),"Cayenne
(préf. dép.)")</f>
        <v>Cayenne
(préf. dép.)</v>
      </c>
      <c r="D103">
        <f>IFERROR(__xludf.DUMMYFUNCTION("""COMPUTED_VALUE"""),1946.0)</f>
        <v>1946</v>
      </c>
      <c r="E103">
        <f>IFERROR(__xludf.DUMMYFUNCTION("""COMPUTED_VALUE"""),3.0)</f>
        <v>3</v>
      </c>
      <c r="F103" t="str">
        <f>IFERROR(__xludf.DUMMYFUNCTION("""COMPUTED_VALUE"""),"Cayenne
Saint-Laurent-du-Maroni
Saint-Georges")</f>
        <v>Cayenne
Saint-Laurent-du-Maroni
Saint-Georges</v>
      </c>
      <c r="G103">
        <f>IFERROR(__xludf.DUMMYFUNCTION("""COMPUTED_VALUE"""),22.0)</f>
        <v>22</v>
      </c>
      <c r="H103">
        <f>IFERROR(__xludf.DUMMYFUNCTION("""COMPUTED_VALUE"""),0.0)</f>
        <v>0</v>
      </c>
      <c r="I103">
        <f>IFERROR(__xludf.DUMMYFUNCTION("""COMPUTED_VALUE"""),2.0)</f>
        <v>2</v>
      </c>
      <c r="J103" t="str">
        <f>IFERROR(__xludf.DUMMYFUNCTION("""COMPUTED_VALUE"""),"Guyane")</f>
        <v>Guyane</v>
      </c>
      <c r="K103" t="str">
        <f>IFERROR(__xludf.DUMMYFUNCTION("""COMPUTED_VALUE"""),"83 533,9[r 96]")</f>
        <v>83 533,9[r 96]</v>
      </c>
      <c r="L103" t="str">
        <f>IFERROR(__xludf.DUMMYFUNCTION("""COMPUTED_VALUE"""),"293 996 (2023)")</f>
        <v>293 996 (2023)</v>
      </c>
      <c r="M103">
        <f>IFERROR(__xludf.DUMMYFUNCTION("""COMPUTED_VALUE"""),3.5)</f>
        <v>3.5</v>
      </c>
    </row>
    <row r="104">
      <c r="A104">
        <f>IFERROR(__xludf.DUMMYFUNCTION("""COMPUTED_VALUE"""),974.0)</f>
        <v>974</v>
      </c>
      <c r="B104" t="str">
        <f>IFERROR(__xludf.DUMMYFUNCTION("""COMPUTED_VALUE"""),"La Réunion
(f.s.)")</f>
        <v>La Réunion
(f.s.)</v>
      </c>
      <c r="C104" t="str">
        <f>IFERROR(__xludf.DUMMYFUNCTION("""COMPUTED_VALUE"""),"Saint-Denis
(préf. dép.)")</f>
        <v>Saint-Denis
(préf. dép.)</v>
      </c>
      <c r="D104">
        <f>IFERROR(__xludf.DUMMYFUNCTION("""COMPUTED_VALUE"""),1946.0)</f>
        <v>1946</v>
      </c>
      <c r="E104">
        <f>IFERROR(__xludf.DUMMYFUNCTION("""COMPUTED_VALUE"""),4.0)</f>
        <v>4</v>
      </c>
      <c r="F104" t="str">
        <f>IFERROR(__xludf.DUMMYFUNCTION("""COMPUTED_VALUE"""),"Saint-Denis
Saint-Pierre
Saint-Benoît
Saint-Paul")</f>
        <v>Saint-Denis
Saint-Pierre
Saint-Benoît
Saint-Paul</v>
      </c>
      <c r="G104">
        <f>IFERROR(__xludf.DUMMYFUNCTION("""COMPUTED_VALUE"""),24.0)</f>
        <v>24</v>
      </c>
      <c r="H104">
        <f>IFERROR(__xludf.DUMMYFUNCTION("""COMPUTED_VALUE"""),25.0)</f>
        <v>25</v>
      </c>
      <c r="I104">
        <f>IFERROR(__xludf.DUMMYFUNCTION("""COMPUTED_VALUE"""),7.0)</f>
        <v>7</v>
      </c>
      <c r="J104" t="str">
        <f>IFERROR(__xludf.DUMMYFUNCTION("""COMPUTED_VALUE"""),"La Réunion")</f>
        <v>La Réunion</v>
      </c>
      <c r="K104" t="str">
        <f>IFERROR(__xludf.DUMMYFUNCTION("""COMPUTED_VALUE"""),"2 503,7[r 96]")</f>
        <v>2 503,7[r 96]</v>
      </c>
      <c r="L104" t="str">
        <f>IFERROR(__xludf.DUMMYFUNCTION("""COMPUTED_VALUE"""),"889 679 (2023)")</f>
        <v>889 679 (2023)</v>
      </c>
      <c r="M104">
        <f>IFERROR(__xludf.DUMMYFUNCTION("""COMPUTED_VALUE"""),355.3)</f>
        <v>355.3</v>
      </c>
    </row>
    <row r="105">
      <c r="A105">
        <f>IFERROR(__xludf.DUMMYFUNCTION("""COMPUTED_VALUE"""),976.0)</f>
        <v>976</v>
      </c>
      <c r="B105" t="str">
        <f>IFERROR(__xludf.DUMMYFUNCTION("""COMPUTED_VALUE"""),"Mayotte
(f.s.)")</f>
        <v>Mayotte
(f.s.)</v>
      </c>
      <c r="C105" t="str">
        <f>IFERROR(__xludf.DUMMYFUNCTION("""COMPUTED_VALUE"""),"Mamoudzou[11]
(préf. dép.)")</f>
        <v>Mamoudzou[11]
(préf. dép.)</v>
      </c>
      <c r="D105">
        <f>IFERROR(__xludf.DUMMYFUNCTION("""COMPUTED_VALUE"""),2011.0)</f>
        <v>2011</v>
      </c>
      <c r="E105" t="str">
        <f>IFERROR(__xludf.DUMMYFUNCTION("""COMPUTED_VALUE"""),"-")</f>
        <v>-</v>
      </c>
      <c r="F105" t="str">
        <f>IFERROR(__xludf.DUMMYFUNCTION("""COMPUTED_VALUE"""),"-")</f>
        <v>-</v>
      </c>
      <c r="G105" t="str">
        <f>IFERROR(__xludf.DUMMYFUNCTION("""COMPUTED_VALUE"""),"17[12]")</f>
        <v>17[12]</v>
      </c>
      <c r="H105">
        <f>IFERROR(__xludf.DUMMYFUNCTION("""COMPUTED_VALUE"""),13.0)</f>
        <v>13</v>
      </c>
      <c r="I105">
        <f>IFERROR(__xludf.DUMMYFUNCTION("""COMPUTED_VALUE"""),2.0)</f>
        <v>2</v>
      </c>
      <c r="J105" t="str">
        <f>IFERROR(__xludf.DUMMYFUNCTION("""COMPUTED_VALUE"""),"Mayotte[13]")</f>
        <v>Mayotte[13]</v>
      </c>
      <c r="K105">
        <f>IFERROR(__xludf.DUMMYFUNCTION("""COMPUTED_VALUE"""),376.0)</f>
        <v>376</v>
      </c>
      <c r="L105" t="str">
        <f>IFERROR(__xludf.DUMMYFUNCTION("""COMPUTED_VALUE"""),"256 518
(2017)")</f>
        <v>256 518
(2017)</v>
      </c>
      <c r="M105">
        <f>IFERROR(__xludf.DUMMYFUNCTION("""COMPUTED_VALUE"""),682.2)</f>
        <v>682.2</v>
      </c>
    </row>
    <row r="106">
      <c r="A106" t="str">
        <f>IFERROR(__xludf.DUMMYFUNCTION("""COMPUTED_VALUE"""),"*France métropolitaine*")</f>
        <v>*France métropolitaine*</v>
      </c>
      <c r="E106" t="str">
        <f>IFERROR(__xludf.DUMMYFUNCTION("""COMPUTED_VALUE"""),"*320*")</f>
        <v>*320*</v>
      </c>
      <c r="G106" t="str">
        <f>IFERROR(__xludf.DUMMYFUNCTION("""COMPUTED_VALUE"""),"*34 816*")</f>
        <v>*34 816*</v>
      </c>
      <c r="H106" t="str">
        <f>IFERROR(__xludf.DUMMYFUNCTION("""COMPUTED_VALUE"""),"*1 995*")</f>
        <v>*1 995*</v>
      </c>
      <c r="I106" t="str">
        <f>IFERROR(__xludf.DUMMYFUNCTION("""COMPUTED_VALUE"""),"*539*")</f>
        <v>*539*</v>
      </c>
      <c r="K106" t="str">
        <f>IFERROR(__xludf.DUMMYFUNCTION("""COMPUTED_VALUE"""),"*543 940*")</f>
        <v>*543 940*</v>
      </c>
      <c r="L106" t="str">
        <f>IFERROR(__xludf.DUMMYFUNCTION("""COMPUTED_VALUE"""),"*66 165 815*")</f>
        <v>*66 165 815*</v>
      </c>
      <c r="M106">
        <f>IFERROR(__xludf.DUMMYFUNCTION("""COMPUTED_VALUE"""),121.6)</f>
        <v>121.6</v>
      </c>
    </row>
    <row r="107">
      <c r="A107" t="str">
        <f>IFERROR(__xludf.DUMMYFUNCTION("""COMPUTED_VALUE"""),"*Départements d'outre-mer*")</f>
        <v>*Départements d'outre-mer*</v>
      </c>
      <c r="E107" t="str">
        <f>IFERROR(__xludf.DUMMYFUNCTION("""COMPUTED_VALUE"""),"*13*")</f>
        <v>*13*</v>
      </c>
      <c r="G107" t="str">
        <f>IFERROR(__xludf.DUMMYFUNCTION("""COMPUTED_VALUE"""),"*129*")</f>
        <v>*129*</v>
      </c>
      <c r="H107" t="str">
        <f>IFERROR(__xludf.DUMMYFUNCTION("""COMPUTED_VALUE"""),"*59*")</f>
        <v>*59*</v>
      </c>
      <c r="I107" t="str">
        <f>IFERROR(__xludf.DUMMYFUNCTION("""COMPUTED_VALUE"""),"*19*")</f>
        <v>*19*</v>
      </c>
      <c r="K107" t="str">
        <f>IFERROR(__xludf.DUMMYFUNCTION("""COMPUTED_VALUE"""),"*89 170*[Note 12]")</f>
        <v>*89 170*[Note 12]</v>
      </c>
      <c r="L107" t="str">
        <f>IFERROR(__xludf.DUMMYFUNCTION("""COMPUTED_VALUE"""),"*1 928 465[Note 12]*")</f>
        <v>*1 928 465[Note 12]*</v>
      </c>
      <c r="M107" t="str">
        <f>IFERROR(__xludf.DUMMYFUNCTION("""COMPUTED_VALUE"""),"21,6[Note 12]")</f>
        <v>21,6[Note 12]</v>
      </c>
    </row>
    <row r="108">
      <c r="A108" t="str">
        <f>IFERROR(__xludf.DUMMYFUNCTION("""COMPUTED_VALUE"""),"*France (DROM inclus, hors COM)*")</f>
        <v>*France (DROM inclus, hors COM)*</v>
      </c>
      <c r="E108" t="str">
        <f>IFERROR(__xludf.DUMMYFUNCTION("""COMPUTED_VALUE"""),"*333*")</f>
        <v>*333*</v>
      </c>
      <c r="G108" t="str">
        <f>IFERROR(__xludf.DUMMYFUNCTION("""COMPUTED_VALUE"""),"*34 945*")</f>
        <v>*34 945*</v>
      </c>
      <c r="H108" t="str">
        <f>IFERROR(__xludf.DUMMYFUNCTION("""COMPUTED_VALUE"""),"*2 054*")</f>
        <v>*2 054*</v>
      </c>
      <c r="I108" t="str">
        <f>IFERROR(__xludf.DUMMYFUNCTION("""COMPUTED_VALUE"""),"*558*")</f>
        <v>*558*</v>
      </c>
      <c r="K108" t="str">
        <f>IFERROR(__xludf.DUMMYFUNCTION("""COMPUTED_VALUE"""),"*633 110*[Note 12]")</f>
        <v>*633 110*[Note 12]</v>
      </c>
      <c r="L108" t="str">
        <f>IFERROR(__xludf.DUMMYFUNCTION("""COMPUTED_VALUE"""),"*68 094 280*[Note 12]")</f>
        <v>*68 094 280*[Note 12]</v>
      </c>
      <c r="M108" t="str">
        <f>IFERROR(__xludf.DUMMYFUNCTION("""COMPUTED_VALUE"""),"107,6[Note 12]")</f>
        <v>107,6[Note 12]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s>
  <sheetData>
    <row r="1">
      <c r="A1" t="s">
        <v>5571</v>
      </c>
      <c r="B1" s="1" t="s">
        <v>5572</v>
      </c>
    </row>
    <row r="2">
      <c r="A2">
        <v>1.0</v>
      </c>
      <c r="B2" t="s">
        <v>5573</v>
      </c>
      <c r="C2" t="str">
        <f>IFERROR(__xludf.DUMMYFUNCTION("SPLIT(B2,"" "")"),"Ain")</f>
        <v>Ain</v>
      </c>
      <c r="D2" t="str">
        <f>IFERROR(__xludf.DUMMYFUNCTION("""COMPUTED_VALUE"""),"(m.s.)")</f>
        <v>(m.s.)</v>
      </c>
      <c r="E2" t="str">
        <f>VLOOKUP(C2,edition1!J2:J39,1)</f>
        <v>#N/A</v>
      </c>
    </row>
    <row r="3">
      <c r="A3">
        <v>2.0</v>
      </c>
      <c r="B3" t="s">
        <v>5574</v>
      </c>
      <c r="C3" t="str">
        <f>IFERROR(__xludf.DUMMYFUNCTION("SPLIT(B3,"" "")"),"Aisne")</f>
        <v>Aisne</v>
      </c>
      <c r="D3" t="str">
        <f>IFERROR(__xludf.DUMMYFUNCTION("""COMPUTED_VALUE"""),"(f.s.)")</f>
        <v>(f.s.)</v>
      </c>
    </row>
    <row r="4">
      <c r="A4">
        <v>3.0</v>
      </c>
      <c r="B4" t="s">
        <v>5575</v>
      </c>
      <c r="C4" t="str">
        <f>IFERROR(__xludf.DUMMYFUNCTION("SPLIT(B4,"" "")"),"Allier")</f>
        <v>Allier</v>
      </c>
      <c r="D4" t="str">
        <f>IFERROR(__xludf.DUMMYFUNCTION("""COMPUTED_VALUE"""),"(m.s.)")</f>
        <v>(m.s.)</v>
      </c>
    </row>
    <row r="5">
      <c r="A5">
        <v>4.0</v>
      </c>
      <c r="B5" t="s">
        <v>5576</v>
      </c>
      <c r="C5" t="str">
        <f>IFERROR(__xludf.DUMMYFUNCTION("SPLIT(B5,"" "")"),"Alpes-de-Haute-Provence")</f>
        <v>Alpes-de-Haute-Provence</v>
      </c>
      <c r="D5" t="str">
        <f>IFERROR(__xludf.DUMMYFUNCTION("""COMPUTED_VALUE"""),"(f.p.)")</f>
        <v>(f.p.)</v>
      </c>
    </row>
    <row r="6">
      <c r="A6">
        <v>5.0</v>
      </c>
      <c r="B6" t="s">
        <v>5577</v>
      </c>
      <c r="C6" t="str">
        <f>IFERROR(__xludf.DUMMYFUNCTION("SPLIT(B6,"" "")"),"Hautes-Alpes")</f>
        <v>Hautes-Alpes</v>
      </c>
      <c r="D6" t="str">
        <f>IFERROR(__xludf.DUMMYFUNCTION("""COMPUTED_VALUE"""),"(f.p.)")</f>
        <v>(f.p.)</v>
      </c>
    </row>
    <row r="7">
      <c r="A7">
        <v>6.0</v>
      </c>
      <c r="B7" t="s">
        <v>5578</v>
      </c>
      <c r="C7" t="str">
        <f>IFERROR(__xludf.DUMMYFUNCTION("SPLIT(B7,"" "")"),"Alpes-Maritimes")</f>
        <v>Alpes-Maritimes</v>
      </c>
      <c r="D7" t="str">
        <f>IFERROR(__xludf.DUMMYFUNCTION("""COMPUTED_VALUE"""),"(f.p.)")</f>
        <v>(f.p.)</v>
      </c>
    </row>
    <row r="8">
      <c r="A8">
        <v>7.0</v>
      </c>
      <c r="B8" t="s">
        <v>5579</v>
      </c>
      <c r="C8" t="str">
        <f>IFERROR(__xludf.DUMMYFUNCTION("SPLIT(B8,"" "")"),"Ardèche")</f>
        <v>Ardèche</v>
      </c>
      <c r="D8" t="str">
        <f>IFERROR(__xludf.DUMMYFUNCTION("""COMPUTED_VALUE"""),"(f.s.)")</f>
        <v>(f.s.)</v>
      </c>
    </row>
    <row r="9">
      <c r="A9">
        <v>8.0</v>
      </c>
      <c r="B9" t="s">
        <v>5580</v>
      </c>
      <c r="C9" t="str">
        <f>IFERROR(__xludf.DUMMYFUNCTION("SPLIT(B9,"" "")"),"Ardennes")</f>
        <v>Ardennes</v>
      </c>
      <c r="D9" t="str">
        <f>IFERROR(__xludf.DUMMYFUNCTION("""COMPUTED_VALUE"""),"(f.p.)")</f>
        <v>(f.p.)</v>
      </c>
    </row>
    <row r="10">
      <c r="A10">
        <v>9.0</v>
      </c>
      <c r="B10" t="s">
        <v>5581</v>
      </c>
      <c r="C10" t="str">
        <f>IFERROR(__xludf.DUMMYFUNCTION("SPLIT(B10,"" "")"),"Ariège")</f>
        <v>Ariège</v>
      </c>
      <c r="D10" t="str">
        <f>IFERROR(__xludf.DUMMYFUNCTION("""COMPUTED_VALUE"""),"(f.s.)")</f>
        <v>(f.s.)</v>
      </c>
    </row>
    <row r="11">
      <c r="A11">
        <v>10.0</v>
      </c>
      <c r="B11" t="s">
        <v>5582</v>
      </c>
      <c r="C11" t="str">
        <f>IFERROR(__xludf.DUMMYFUNCTION("SPLIT(B11,"" "")"),"Aube")</f>
        <v>Aube</v>
      </c>
      <c r="D11" t="str">
        <f>IFERROR(__xludf.DUMMYFUNCTION("""COMPUTED_VALUE"""),"(f.s.)")</f>
        <v>(f.s.)</v>
      </c>
    </row>
    <row r="12">
      <c r="A12">
        <v>11.0</v>
      </c>
      <c r="B12" t="s">
        <v>5583</v>
      </c>
      <c r="C12" t="str">
        <f>IFERROR(__xludf.DUMMYFUNCTION("SPLIT(B12,"" "")"),"Aude")</f>
        <v>Aude</v>
      </c>
      <c r="D12" t="str">
        <f>IFERROR(__xludf.DUMMYFUNCTION("""COMPUTED_VALUE"""),"(f.s.)")</f>
        <v>(f.s.)</v>
      </c>
    </row>
    <row r="13">
      <c r="A13">
        <v>12.0</v>
      </c>
      <c r="B13" t="s">
        <v>5584</v>
      </c>
      <c r="C13" t="str">
        <f>IFERROR(__xludf.DUMMYFUNCTION("SPLIT(B13,"" "")"),"Aveyron")</f>
        <v>Aveyron</v>
      </c>
      <c r="D13" t="str">
        <f>IFERROR(__xludf.DUMMYFUNCTION("""COMPUTED_VALUE"""),"(m.s.)")</f>
        <v>(m.s.)</v>
      </c>
    </row>
    <row r="14">
      <c r="A14">
        <v>13.0</v>
      </c>
      <c r="B14" t="s">
        <v>5585</v>
      </c>
      <c r="C14" t="str">
        <f>IFERROR(__xludf.DUMMYFUNCTION("SPLIT(B14,"" "")"),"Bouches-du-Rhône")</f>
        <v>Bouches-du-Rhône</v>
      </c>
      <c r="D14" t="str">
        <f>IFERROR(__xludf.DUMMYFUNCTION("""COMPUTED_VALUE"""),"(f.p.)")</f>
        <v>(f.p.)</v>
      </c>
    </row>
    <row r="15">
      <c r="A15">
        <v>14.0</v>
      </c>
      <c r="B15" t="s">
        <v>5586</v>
      </c>
      <c r="C15" t="str">
        <f>IFERROR(__xludf.DUMMYFUNCTION("SPLIT(B15,"" "")"),"Calvados")</f>
        <v>Calvados</v>
      </c>
      <c r="D15" t="str">
        <f>IFERROR(__xludf.DUMMYFUNCTION("""COMPUTED_VALUE"""),"(m.s.)")</f>
        <v>(m.s.)</v>
      </c>
    </row>
    <row r="16">
      <c r="A16">
        <v>15.0</v>
      </c>
      <c r="B16" t="s">
        <v>5587</v>
      </c>
      <c r="C16" t="str">
        <f>IFERROR(__xludf.DUMMYFUNCTION("SPLIT(B16,"" "")"),"Cantal")</f>
        <v>Cantal</v>
      </c>
      <c r="D16" t="str">
        <f>IFERROR(__xludf.DUMMYFUNCTION("""COMPUTED_VALUE"""),"(m.s.)")</f>
        <v>(m.s.)</v>
      </c>
    </row>
    <row r="17">
      <c r="A17">
        <v>16.0</v>
      </c>
      <c r="B17" t="s">
        <v>5588</v>
      </c>
      <c r="C17" t="str">
        <f>IFERROR(__xludf.DUMMYFUNCTION("SPLIT(B17,"" "")"),"Charente")</f>
        <v>Charente</v>
      </c>
      <c r="D17" t="str">
        <f>IFERROR(__xludf.DUMMYFUNCTION("""COMPUTED_VALUE"""),"(f.s.)")</f>
        <v>(f.s.)</v>
      </c>
    </row>
    <row r="18">
      <c r="A18">
        <v>17.0</v>
      </c>
      <c r="B18" t="s">
        <v>5589</v>
      </c>
      <c r="C18" t="str">
        <f>IFERROR(__xludf.DUMMYFUNCTION("SPLIT(B18,"" "")"),"Charente-Maritime")</f>
        <v>Charente-Maritime</v>
      </c>
      <c r="D18" t="str">
        <f>IFERROR(__xludf.DUMMYFUNCTION("""COMPUTED_VALUE"""),"(f.s.)")</f>
        <v>(f.s.)</v>
      </c>
    </row>
    <row r="19">
      <c r="A19">
        <v>18.0</v>
      </c>
      <c r="B19" t="s">
        <v>5590</v>
      </c>
      <c r="C19" t="str">
        <f>IFERROR(__xludf.DUMMYFUNCTION("SPLIT(B19,"" "")"),"Cher")</f>
        <v>Cher</v>
      </c>
      <c r="D19" t="str">
        <f>IFERROR(__xludf.DUMMYFUNCTION("""COMPUTED_VALUE"""),"(m.s.)")</f>
        <v>(m.s.)</v>
      </c>
    </row>
    <row r="20">
      <c r="A20">
        <v>19.0</v>
      </c>
      <c r="B20" t="s">
        <v>5591</v>
      </c>
      <c r="C20" t="str">
        <f>IFERROR(__xludf.DUMMYFUNCTION("SPLIT(B20,"" "")"),"Corrèze")</f>
        <v>Corrèze</v>
      </c>
      <c r="D20" t="str">
        <f>IFERROR(__xludf.DUMMYFUNCTION("""COMPUTED_VALUE"""),"(f.s.)")</f>
        <v>(f.s.)</v>
      </c>
    </row>
    <row r="21">
      <c r="A21" t="s">
        <v>5592</v>
      </c>
      <c r="B21" t="s">
        <v>5593</v>
      </c>
      <c r="C21" t="str">
        <f>IFERROR(__xludf.DUMMYFUNCTION("SPLIT(B21,"" "")"),"Corse-du-Sud")</f>
        <v>Corse-du-Sud</v>
      </c>
      <c r="D21" t="str">
        <f>IFERROR(__xludf.DUMMYFUNCTION("""COMPUTED_VALUE"""),"(f.s.)")</f>
        <v>(f.s.)</v>
      </c>
    </row>
    <row r="22">
      <c r="A22" t="s">
        <v>5594</v>
      </c>
      <c r="B22" t="s">
        <v>5595</v>
      </c>
      <c r="C22" t="str">
        <f>IFERROR(__xludf.DUMMYFUNCTION("SPLIT(B22,"" "")"),"Haute-Corse")</f>
        <v>Haute-Corse</v>
      </c>
      <c r="D22" t="str">
        <f>IFERROR(__xludf.DUMMYFUNCTION("""COMPUTED_VALUE"""),"(f.s.)")</f>
        <v>(f.s.)</v>
      </c>
    </row>
    <row r="23">
      <c r="A23">
        <v>21.0</v>
      </c>
      <c r="B23" t="s">
        <v>5596</v>
      </c>
      <c r="C23" t="str">
        <f>IFERROR(__xludf.DUMMYFUNCTION("SPLIT(B23,"" "")"),"Côte-d'Or")</f>
        <v>Côte-d'Or</v>
      </c>
      <c r="D23" t="str">
        <f>IFERROR(__xludf.DUMMYFUNCTION("""COMPUTED_VALUE"""),"(f.s.)")</f>
        <v>(f.s.)</v>
      </c>
    </row>
    <row r="24">
      <c r="A24">
        <v>22.0</v>
      </c>
      <c r="B24" t="s">
        <v>5597</v>
      </c>
      <c r="C24" t="str">
        <f>IFERROR(__xludf.DUMMYFUNCTION("SPLIT(B24,"" "")"),"Côtes-d'Armor")</f>
        <v>Côtes-d'Armor</v>
      </c>
      <c r="D24" t="str">
        <f>IFERROR(__xludf.DUMMYFUNCTION("""COMPUTED_VALUE"""),"(f.p.)")</f>
        <v>(f.p.)</v>
      </c>
    </row>
    <row r="25">
      <c r="A25">
        <v>23.0</v>
      </c>
      <c r="B25" t="s">
        <v>5598</v>
      </c>
      <c r="C25" t="str">
        <f>IFERROR(__xludf.DUMMYFUNCTION("SPLIT(B25,"" "")"),"Creuse")</f>
        <v>Creuse</v>
      </c>
      <c r="D25" t="str">
        <f>IFERROR(__xludf.DUMMYFUNCTION("""COMPUTED_VALUE"""),"(f.s.)")</f>
        <v>(f.s.)</v>
      </c>
    </row>
    <row r="26">
      <c r="A26">
        <v>24.0</v>
      </c>
      <c r="B26" t="s">
        <v>5599</v>
      </c>
      <c r="C26" t="str">
        <f>IFERROR(__xludf.DUMMYFUNCTION("SPLIT(B26,"" "")"),"Dordogne")</f>
        <v>Dordogne</v>
      </c>
      <c r="D26" t="str">
        <f>IFERROR(__xludf.DUMMYFUNCTION("""COMPUTED_VALUE"""),"(f.s.)")</f>
        <v>(f.s.)</v>
      </c>
    </row>
    <row r="27">
      <c r="A27">
        <v>25.0</v>
      </c>
      <c r="B27" t="s">
        <v>5600</v>
      </c>
      <c r="C27" t="str">
        <f>IFERROR(__xludf.DUMMYFUNCTION("SPLIT(B27,"" "")"),"Doubs")</f>
        <v>Doubs</v>
      </c>
      <c r="D27" t="str">
        <f>IFERROR(__xludf.DUMMYFUNCTION("""COMPUTED_VALUE"""),"(m.s.)")</f>
        <v>(m.s.)</v>
      </c>
    </row>
    <row r="28">
      <c r="A28">
        <v>26.0</v>
      </c>
      <c r="B28" t="s">
        <v>5601</v>
      </c>
      <c r="C28" t="str">
        <f>IFERROR(__xludf.DUMMYFUNCTION("SPLIT(B28,"" "")"),"Drôme")</f>
        <v>Drôme</v>
      </c>
      <c r="D28" t="str">
        <f>IFERROR(__xludf.DUMMYFUNCTION("""COMPUTED_VALUE"""),"(f.s.)")</f>
        <v>(f.s.)</v>
      </c>
    </row>
    <row r="29">
      <c r="A29">
        <v>27.0</v>
      </c>
      <c r="B29" t="s">
        <v>5602</v>
      </c>
      <c r="C29" t="str">
        <f>IFERROR(__xludf.DUMMYFUNCTION("SPLIT(B29,"" "")"),"Eure")</f>
        <v>Eure</v>
      </c>
      <c r="D29" t="str">
        <f>IFERROR(__xludf.DUMMYFUNCTION("""COMPUTED_VALUE"""),"(f.s.)")</f>
        <v>(f.s.)</v>
      </c>
    </row>
    <row r="30">
      <c r="A30">
        <v>28.0</v>
      </c>
      <c r="B30" t="s">
        <v>5603</v>
      </c>
      <c r="C30" t="str">
        <f>IFERROR(__xludf.DUMMYFUNCTION("SPLIT(B30,"" "")"),"Eure-et-Loir")</f>
        <v>Eure-et-Loir</v>
      </c>
      <c r="D30" t="str">
        <f>IFERROR(__xludf.DUMMYFUNCTION("""COMPUTED_VALUE"""),"(f.s.)[b]")</f>
        <v>(f.s.)[b]</v>
      </c>
    </row>
    <row r="31">
      <c r="A31">
        <v>29.0</v>
      </c>
      <c r="B31" t="s">
        <v>5604</v>
      </c>
      <c r="C31" t="str">
        <f>IFERROR(__xludf.DUMMYFUNCTION("SPLIT(B31,"" "")"),"Finistère")</f>
        <v>Finistère</v>
      </c>
      <c r="D31" t="str">
        <f>IFERROR(__xludf.DUMMYFUNCTION("""COMPUTED_VALUE"""),"(m.s.)")</f>
        <v>(m.s.)</v>
      </c>
    </row>
    <row r="32">
      <c r="A32">
        <v>30.0</v>
      </c>
      <c r="B32" t="s">
        <v>5605</v>
      </c>
      <c r="C32" t="str">
        <f>IFERROR(__xludf.DUMMYFUNCTION("SPLIT(B32,"" "")"),"Gard")</f>
        <v>Gard</v>
      </c>
      <c r="D32" t="str">
        <f>IFERROR(__xludf.DUMMYFUNCTION("""COMPUTED_VALUE"""),"(m.s.)")</f>
        <v>(m.s.)</v>
      </c>
    </row>
    <row r="33">
      <c r="A33">
        <v>31.0</v>
      </c>
      <c r="B33" t="s">
        <v>5606</v>
      </c>
      <c r="C33" t="str">
        <f>IFERROR(__xludf.DUMMYFUNCTION("SPLIT(B33,"" "")"),"Haute-Garonne")</f>
        <v>Haute-Garonne</v>
      </c>
      <c r="D33" t="str">
        <f>IFERROR(__xludf.DUMMYFUNCTION("""COMPUTED_VALUE"""),"(f.s.)")</f>
        <v>(f.s.)</v>
      </c>
    </row>
    <row r="34">
      <c r="A34">
        <v>32.0</v>
      </c>
      <c r="B34" t="s">
        <v>5607</v>
      </c>
      <c r="C34" t="str">
        <f>IFERROR(__xludf.DUMMYFUNCTION("SPLIT(B34,"" "")"),"Gers")</f>
        <v>Gers</v>
      </c>
      <c r="D34" t="str">
        <f>IFERROR(__xludf.DUMMYFUNCTION("""COMPUTED_VALUE"""),"(m.s.)")</f>
        <v>(m.s.)</v>
      </c>
    </row>
    <row r="35">
      <c r="A35">
        <v>33.0</v>
      </c>
      <c r="B35" t="s">
        <v>5608</v>
      </c>
      <c r="C35" t="str">
        <f>IFERROR(__xludf.DUMMYFUNCTION("SPLIT(B35,"" "")"),"Gironde")</f>
        <v>Gironde</v>
      </c>
      <c r="D35" t="str">
        <f>IFERROR(__xludf.DUMMYFUNCTION("""COMPUTED_VALUE"""),"(f.s.)")</f>
        <v>(f.s.)</v>
      </c>
    </row>
    <row r="36">
      <c r="A36">
        <v>34.0</v>
      </c>
      <c r="B36" t="s">
        <v>5609</v>
      </c>
      <c r="C36" t="str">
        <f>IFERROR(__xludf.DUMMYFUNCTION("SPLIT(B36,"" "")"),"Hérault")</f>
        <v>Hérault</v>
      </c>
      <c r="D36" t="str">
        <f>IFERROR(__xludf.DUMMYFUNCTION("""COMPUTED_VALUE"""),"(m.s.)")</f>
        <v>(m.s.)</v>
      </c>
    </row>
    <row r="37">
      <c r="A37">
        <v>35.0</v>
      </c>
      <c r="B37" t="s">
        <v>5610</v>
      </c>
      <c r="C37" t="str">
        <f>IFERROR(__xludf.DUMMYFUNCTION("SPLIT(B37,"" "")"),"Ille-et-Vilaine")</f>
        <v>Ille-et-Vilaine</v>
      </c>
      <c r="D37" t="str">
        <f>IFERROR(__xludf.DUMMYFUNCTION("""COMPUTED_VALUE"""),"(f.s.)")</f>
        <v>(f.s.)</v>
      </c>
    </row>
    <row r="38">
      <c r="A38">
        <v>36.0</v>
      </c>
      <c r="B38" t="s">
        <v>5611</v>
      </c>
      <c r="C38" t="str">
        <f>IFERROR(__xludf.DUMMYFUNCTION("SPLIT(B38,"" "")"),"Indre")</f>
        <v>Indre</v>
      </c>
      <c r="D38" t="str">
        <f>IFERROR(__xludf.DUMMYFUNCTION("""COMPUTED_VALUE"""),"(f.s.)")</f>
        <v>(f.s.)</v>
      </c>
    </row>
    <row r="39">
      <c r="A39">
        <v>37.0</v>
      </c>
      <c r="B39" t="s">
        <v>5612</v>
      </c>
      <c r="C39" t="str">
        <f>IFERROR(__xludf.DUMMYFUNCTION("SPLIT(B39,"" "")"),"Indre-et-Loire")</f>
        <v>Indre-et-Loire</v>
      </c>
      <c r="D39" t="str">
        <f>IFERROR(__xludf.DUMMYFUNCTION("""COMPUTED_VALUE"""),"(f.s.)")</f>
        <v>(f.s.)</v>
      </c>
    </row>
    <row r="40">
      <c r="A40">
        <v>38.0</v>
      </c>
      <c r="B40" t="s">
        <v>5613</v>
      </c>
      <c r="C40" t="str">
        <f>IFERROR(__xludf.DUMMYFUNCTION("SPLIT(B40,"" "")"),"Isère")</f>
        <v>Isère</v>
      </c>
      <c r="D40" t="str">
        <f>IFERROR(__xludf.DUMMYFUNCTION("""COMPUTED_VALUE"""),"(f.s.)")</f>
        <v>(f.s.)</v>
      </c>
    </row>
    <row r="41">
      <c r="A41">
        <v>39.0</v>
      </c>
      <c r="B41" t="s">
        <v>5614</v>
      </c>
      <c r="C41" t="str">
        <f>IFERROR(__xludf.DUMMYFUNCTION("SPLIT(B41,"" "")"),"Jura")</f>
        <v>Jura</v>
      </c>
      <c r="D41" t="str">
        <f>IFERROR(__xludf.DUMMYFUNCTION("""COMPUTED_VALUE"""),"(m.s.)")</f>
        <v>(m.s.)</v>
      </c>
    </row>
    <row r="42">
      <c r="A42">
        <v>40.0</v>
      </c>
      <c r="B42" t="s">
        <v>5615</v>
      </c>
      <c r="C42" t="str">
        <f>IFERROR(__xludf.DUMMYFUNCTION("SPLIT(B42,"" "")"),"Landes")</f>
        <v>Landes</v>
      </c>
      <c r="D42" t="str">
        <f>IFERROR(__xludf.DUMMYFUNCTION("""COMPUTED_VALUE"""),"(f.p.)")</f>
        <v>(f.p.)</v>
      </c>
    </row>
    <row r="43">
      <c r="A43">
        <v>41.0</v>
      </c>
      <c r="B43" t="s">
        <v>5616</v>
      </c>
      <c r="C43" t="str">
        <f>IFERROR(__xludf.DUMMYFUNCTION("SPLIT(B43,"" "")"),"Loir-et-Cher")</f>
        <v>Loir-et-Cher</v>
      </c>
      <c r="D43" t="str">
        <f>IFERROR(__xludf.DUMMYFUNCTION("""COMPUTED_VALUE"""),"(m.s.)")</f>
        <v>(m.s.)</v>
      </c>
    </row>
    <row r="44">
      <c r="A44">
        <v>42.0</v>
      </c>
      <c r="B44" t="s">
        <v>5617</v>
      </c>
      <c r="C44" t="str">
        <f>IFERROR(__xludf.DUMMYFUNCTION("SPLIT(B44,"" "")"),"Loire")</f>
        <v>Loire</v>
      </c>
      <c r="D44" t="str">
        <f>IFERROR(__xludf.DUMMYFUNCTION("""COMPUTED_VALUE"""),"(f.s.)")</f>
        <v>(f.s.)</v>
      </c>
    </row>
    <row r="45">
      <c r="A45">
        <v>43.0</v>
      </c>
      <c r="B45" t="s">
        <v>5618</v>
      </c>
      <c r="C45" t="str">
        <f>IFERROR(__xludf.DUMMYFUNCTION("SPLIT(B45,"" "")"),"Haute-Loire")</f>
        <v>Haute-Loire</v>
      </c>
      <c r="D45" t="str">
        <f>IFERROR(__xludf.DUMMYFUNCTION("""COMPUTED_VALUE"""),"(f.s.)")</f>
        <v>(f.s.)</v>
      </c>
    </row>
    <row r="46">
      <c r="A46">
        <v>44.0</v>
      </c>
      <c r="B46" t="s">
        <v>5619</v>
      </c>
      <c r="C46" t="str">
        <f>IFERROR(__xludf.DUMMYFUNCTION("SPLIT(B46,"" "")"),"Loire-Atlantique")</f>
        <v>Loire-Atlantique</v>
      </c>
      <c r="D46" t="str">
        <f>IFERROR(__xludf.DUMMYFUNCTION("""COMPUTED_VALUE"""),"(f.s.)")</f>
        <v>(f.s.)</v>
      </c>
    </row>
    <row r="47">
      <c r="A47">
        <v>45.0</v>
      </c>
      <c r="B47" t="s">
        <v>5620</v>
      </c>
      <c r="C47" t="str">
        <f>IFERROR(__xludf.DUMMYFUNCTION("SPLIT(B47,"" "")"),"Loiret")</f>
        <v>Loiret</v>
      </c>
      <c r="D47" t="str">
        <f>IFERROR(__xludf.DUMMYFUNCTION("""COMPUTED_VALUE"""),"(m.s.)")</f>
        <v>(m.s.)</v>
      </c>
    </row>
    <row r="48">
      <c r="A48">
        <v>46.0</v>
      </c>
      <c r="B48" t="s">
        <v>5621</v>
      </c>
      <c r="C48" t="str">
        <f>IFERROR(__xludf.DUMMYFUNCTION("SPLIT(B48,"" "")"),"Lot")</f>
        <v>Lot</v>
      </c>
      <c r="D48" t="str">
        <f>IFERROR(__xludf.DUMMYFUNCTION("""COMPUTED_VALUE"""),"(m.s.)")</f>
        <v>(m.s.)</v>
      </c>
    </row>
    <row r="49">
      <c r="A49">
        <v>47.0</v>
      </c>
      <c r="B49" t="s">
        <v>5622</v>
      </c>
      <c r="C49" t="str">
        <f>IFERROR(__xludf.DUMMYFUNCTION("SPLIT(B49,"" "")"),"Lot-et-Garonne")</f>
        <v>Lot-et-Garonne</v>
      </c>
      <c r="D49" t="str">
        <f>IFERROR(__xludf.DUMMYFUNCTION("""COMPUTED_VALUE"""),"(m.s.)")</f>
        <v>(m.s.)</v>
      </c>
    </row>
    <row r="50">
      <c r="A50">
        <v>48.0</v>
      </c>
      <c r="B50" t="s">
        <v>5623</v>
      </c>
      <c r="C50" t="str">
        <f>IFERROR(__xludf.DUMMYFUNCTION("SPLIT(B50,"" "")"),"Lozère")</f>
        <v>Lozère</v>
      </c>
      <c r="D50" t="str">
        <f>IFERROR(__xludf.DUMMYFUNCTION("""COMPUTED_VALUE"""),"(f.s.)")</f>
        <v>(f.s.)</v>
      </c>
    </row>
    <row r="51">
      <c r="A51">
        <v>49.0</v>
      </c>
      <c r="B51" t="s">
        <v>5624</v>
      </c>
      <c r="C51" t="str">
        <f>IFERROR(__xludf.DUMMYFUNCTION("SPLIT(B51,"" "")"),"Maine-et-Loire")</f>
        <v>Maine-et-Loire</v>
      </c>
      <c r="D51" t="str">
        <f>IFERROR(__xludf.DUMMYFUNCTION("""COMPUTED_VALUE"""),"(m.s.)[c]")</f>
        <v>(m.s.)[c]</v>
      </c>
    </row>
    <row r="52">
      <c r="A52">
        <v>50.0</v>
      </c>
      <c r="B52" t="s">
        <v>5625</v>
      </c>
      <c r="C52" t="str">
        <f>IFERROR(__xludf.DUMMYFUNCTION("SPLIT(B52,"" "")"),"Manche")</f>
        <v>Manche</v>
      </c>
      <c r="D52" t="str">
        <f>IFERROR(__xludf.DUMMYFUNCTION("""COMPUTED_VALUE"""),"(f.s.)")</f>
        <v>(f.s.)</v>
      </c>
    </row>
    <row r="53">
      <c r="A53">
        <v>51.0</v>
      </c>
      <c r="B53" t="s">
        <v>5626</v>
      </c>
      <c r="C53" t="str">
        <f>IFERROR(__xludf.DUMMYFUNCTION("SPLIT(B53,"" "")"),"Marne")</f>
        <v>Marne</v>
      </c>
      <c r="D53" t="str">
        <f>IFERROR(__xludf.DUMMYFUNCTION("""COMPUTED_VALUE"""),"(f.s.)")</f>
        <v>(f.s.)</v>
      </c>
    </row>
    <row r="54">
      <c r="A54">
        <v>52.0</v>
      </c>
      <c r="B54" t="s">
        <v>5627</v>
      </c>
      <c r="C54" t="str">
        <f>IFERROR(__xludf.DUMMYFUNCTION("SPLIT(B54,"" "")"),"Haute-Marne")</f>
        <v>Haute-Marne</v>
      </c>
      <c r="D54" t="str">
        <f>IFERROR(__xludf.DUMMYFUNCTION("""COMPUTED_VALUE"""),"(f.s.)")</f>
        <v>(f.s.)</v>
      </c>
    </row>
    <row r="55">
      <c r="A55">
        <v>53.0</v>
      </c>
      <c r="B55" t="s">
        <v>5628</v>
      </c>
      <c r="C55" t="str">
        <f>IFERROR(__xludf.DUMMYFUNCTION("SPLIT(B55,"" "")"),"Mayenne")</f>
        <v>Mayenne</v>
      </c>
      <c r="D55" t="str">
        <f>IFERROR(__xludf.DUMMYFUNCTION("""COMPUTED_VALUE"""),"(f.s.)")</f>
        <v>(f.s.)</v>
      </c>
    </row>
    <row r="56">
      <c r="A56">
        <v>54.0</v>
      </c>
      <c r="B56" t="s">
        <v>5629</v>
      </c>
      <c r="C56" t="str">
        <f>IFERROR(__xludf.DUMMYFUNCTION("SPLIT(B56,"" "")"),"Meurthe-et-Moselle")</f>
        <v>Meurthe-et-Moselle</v>
      </c>
      <c r="D56" t="str">
        <f>IFERROR(__xludf.DUMMYFUNCTION("""COMPUTED_VALUE"""),"(f.s.)")</f>
        <v>(f.s.)</v>
      </c>
    </row>
    <row r="57">
      <c r="A57">
        <v>55.0</v>
      </c>
      <c r="B57" t="s">
        <v>5630</v>
      </c>
      <c r="C57" t="str">
        <f>IFERROR(__xludf.DUMMYFUNCTION("SPLIT(B57,"" "")"),"Meuse")</f>
        <v>Meuse</v>
      </c>
      <c r="D57" t="str">
        <f>IFERROR(__xludf.DUMMYFUNCTION("""COMPUTED_VALUE"""),"(f.s.)")</f>
        <v>(f.s.)</v>
      </c>
    </row>
    <row r="58">
      <c r="A58">
        <v>56.0</v>
      </c>
      <c r="B58" t="s">
        <v>5631</v>
      </c>
      <c r="C58" t="str">
        <f>IFERROR(__xludf.DUMMYFUNCTION("SPLIT(B58,"" "")"),"Morbihan")</f>
        <v>Morbihan</v>
      </c>
      <c r="D58" t="str">
        <f>IFERROR(__xludf.DUMMYFUNCTION("""COMPUTED_VALUE"""),"(m.s.)")</f>
        <v>(m.s.)</v>
      </c>
    </row>
    <row r="59">
      <c r="A59">
        <v>57.0</v>
      </c>
      <c r="B59" t="s">
        <v>5632</v>
      </c>
      <c r="C59" t="str">
        <f>IFERROR(__xludf.DUMMYFUNCTION("SPLIT(B59,"" "")"),"Moselle")</f>
        <v>Moselle</v>
      </c>
      <c r="D59" t="str">
        <f>IFERROR(__xludf.DUMMYFUNCTION("""COMPUTED_VALUE"""),"(f.s.)")</f>
        <v>(f.s.)</v>
      </c>
    </row>
    <row r="60">
      <c r="A60">
        <v>58.0</v>
      </c>
      <c r="B60" t="s">
        <v>5633</v>
      </c>
      <c r="C60" t="str">
        <f>IFERROR(__xludf.DUMMYFUNCTION("SPLIT(B60,"" "")"),"Nièvre")</f>
        <v>Nièvre</v>
      </c>
      <c r="D60" t="str">
        <f>IFERROR(__xludf.DUMMYFUNCTION("""COMPUTED_VALUE"""),"(f.s.)")</f>
        <v>(f.s.)</v>
      </c>
    </row>
    <row r="61">
      <c r="A61">
        <v>59.0</v>
      </c>
      <c r="B61" t="s">
        <v>5634</v>
      </c>
      <c r="C61" t="str">
        <f>IFERROR(__xludf.DUMMYFUNCTION("SPLIT(B61,"" "")"),"Nord")</f>
        <v>Nord</v>
      </c>
      <c r="D61" t="str">
        <f>IFERROR(__xludf.DUMMYFUNCTION("""COMPUTED_VALUE"""),"(m.s.)")</f>
        <v>(m.s.)</v>
      </c>
    </row>
    <row r="62">
      <c r="A62">
        <v>60.0</v>
      </c>
      <c r="B62" t="s">
        <v>5635</v>
      </c>
      <c r="C62" t="str">
        <f>IFERROR(__xludf.DUMMYFUNCTION("SPLIT(B62,"" "")"),"Oise")</f>
        <v>Oise</v>
      </c>
      <c r="D62" t="str">
        <f>IFERROR(__xludf.DUMMYFUNCTION("""COMPUTED_VALUE"""),"(f.s.)")</f>
        <v>(f.s.)</v>
      </c>
    </row>
    <row r="63">
      <c r="A63">
        <v>61.0</v>
      </c>
      <c r="B63" t="s">
        <v>5636</v>
      </c>
      <c r="C63" t="str">
        <f>IFERROR(__xludf.DUMMYFUNCTION("SPLIT(B63,"" "")"),"Orne")</f>
        <v>Orne</v>
      </c>
      <c r="D63" t="str">
        <f>IFERROR(__xludf.DUMMYFUNCTION("""COMPUTED_VALUE"""),"(f.s.)")</f>
        <v>(f.s.)</v>
      </c>
    </row>
    <row r="64">
      <c r="A64">
        <v>62.0</v>
      </c>
      <c r="B64" t="s">
        <v>5637</v>
      </c>
      <c r="C64" t="str">
        <f>IFERROR(__xludf.DUMMYFUNCTION("SPLIT(B64,"" "")"),"Pas-de-Calais")</f>
        <v>Pas-de-Calais</v>
      </c>
      <c r="D64" t="str">
        <f>IFERROR(__xludf.DUMMYFUNCTION("""COMPUTED_VALUE"""),"(m.s.)")</f>
        <v>(m.s.)</v>
      </c>
    </row>
    <row r="65">
      <c r="A65">
        <v>63.0</v>
      </c>
      <c r="B65" t="s">
        <v>5638</v>
      </c>
      <c r="C65" t="str">
        <f>IFERROR(__xludf.DUMMYFUNCTION("SPLIT(B65,"" "")"),"Puy-de-Dôme")</f>
        <v>Puy-de-Dôme</v>
      </c>
      <c r="D65" t="str">
        <f>IFERROR(__xludf.DUMMYFUNCTION("""COMPUTED_VALUE"""),"(m.s.)")</f>
        <v>(m.s.)</v>
      </c>
    </row>
    <row r="66">
      <c r="A66">
        <v>64.0</v>
      </c>
      <c r="B66" t="s">
        <v>5639</v>
      </c>
      <c r="C66" t="str">
        <f>IFERROR(__xludf.DUMMYFUNCTION("SPLIT(B66,"" "")"),"Pyrénées-Atlantiques")</f>
        <v>Pyrénées-Atlantiques</v>
      </c>
      <c r="D66" t="str">
        <f>IFERROR(__xludf.DUMMYFUNCTION("""COMPUTED_VALUE"""),"(f.p.)")</f>
        <v>(f.p.)</v>
      </c>
    </row>
    <row r="67">
      <c r="A67">
        <v>65.0</v>
      </c>
      <c r="B67" t="s">
        <v>5640</v>
      </c>
      <c r="C67" t="str">
        <f>IFERROR(__xludf.DUMMYFUNCTION("SPLIT(B67,"" "")"),"Hautes-Pyrénées")</f>
        <v>Hautes-Pyrénées</v>
      </c>
      <c r="D67" t="str">
        <f>IFERROR(__xludf.DUMMYFUNCTION("""COMPUTED_VALUE"""),"(f.p.)")</f>
        <v>(f.p.)</v>
      </c>
    </row>
    <row r="68">
      <c r="A68">
        <v>66.0</v>
      </c>
      <c r="B68" t="s">
        <v>5641</v>
      </c>
      <c r="C68" t="str">
        <f>IFERROR(__xludf.DUMMYFUNCTION("SPLIT(B68,"" "")"),"Pyrénées-Orientales")</f>
        <v>Pyrénées-Orientales</v>
      </c>
      <c r="D68" t="str">
        <f>IFERROR(__xludf.DUMMYFUNCTION("""COMPUTED_VALUE"""),"(f.p.)")</f>
        <v>(f.p.)</v>
      </c>
    </row>
    <row r="69">
      <c r="A69">
        <v>67.0</v>
      </c>
      <c r="B69" t="s">
        <v>5642</v>
      </c>
      <c r="C69" t="str">
        <f>IFERROR(__xludf.DUMMYFUNCTION("SPLIT(B69,"" "")"),"Bas-Rhin")</f>
        <v>Bas-Rhin</v>
      </c>
      <c r="D69" t="str">
        <f>IFERROR(__xludf.DUMMYFUNCTION("""COMPUTED_VALUE"""),"(m.s.)")</f>
        <v>(m.s.)</v>
      </c>
    </row>
    <row r="70">
      <c r="A70">
        <v>68.0</v>
      </c>
      <c r="B70" t="s">
        <v>5643</v>
      </c>
      <c r="C70" t="str">
        <f>IFERROR(__xludf.DUMMYFUNCTION("SPLIT(B70,"" "")"),"Haut-Rhin")</f>
        <v>Haut-Rhin</v>
      </c>
      <c r="D70" t="str">
        <f>IFERROR(__xludf.DUMMYFUNCTION("""COMPUTED_VALUE"""),"(m.s.)")</f>
        <v>(m.s.)</v>
      </c>
    </row>
    <row r="71">
      <c r="A71">
        <v>69.0</v>
      </c>
      <c r="B71" t="s">
        <v>5644</v>
      </c>
      <c r="C71" t="str">
        <f>IFERROR(__xludf.DUMMYFUNCTION("SPLIT(B71,"" "")"),"Circonscription")</f>
        <v>Circonscription</v>
      </c>
      <c r="D71" t="str">
        <f>IFERROR(__xludf.DUMMYFUNCTION("""COMPUTED_VALUE"""),"départementale")</f>
        <v>départementale</v>
      </c>
      <c r="E71" t="str">
        <f>IFERROR(__xludf.DUMMYFUNCTION("""COMPUTED_VALUE"""),"du")</f>
        <v>du</v>
      </c>
      <c r="F71" t="str">
        <f>IFERROR(__xludf.DUMMYFUNCTION("""COMPUTED_VALUE"""),"Rhône,")</f>
        <v>Rhône,</v>
      </c>
      <c r="G71" t="str">
        <f>IFERROR(__xludf.DUMMYFUNCTION("""COMPUTED_VALUE"""),"incluant")</f>
        <v>incluant</v>
      </c>
      <c r="H71" t="str">
        <f>IFERROR(__xludf.DUMMYFUNCTION("""COMPUTED_VALUE"""),"le")</f>
        <v>le</v>
      </c>
      <c r="I71" t="str">
        <f>IFERROR(__xludf.DUMMYFUNCTION("""COMPUTED_VALUE"""),"département")</f>
        <v>département</v>
      </c>
      <c r="J71" t="str">
        <f>IFERROR(__xludf.DUMMYFUNCTION("""COMPUTED_VALUE"""),"du")</f>
        <v>du</v>
      </c>
      <c r="K71" t="str">
        <f>IFERROR(__xludf.DUMMYFUNCTION("""COMPUTED_VALUE"""),"Rhône")</f>
        <v>Rhône</v>
      </c>
      <c r="L71" t="str">
        <f>IFERROR(__xludf.DUMMYFUNCTION("""COMPUTED_VALUE"""),"
(69D)")</f>
        <v>
(69D)</v>
      </c>
      <c r="M71" t="str">
        <f>IFERROR(__xludf.DUMMYFUNCTION("""COMPUTED_VALUE"""),"(m.s.)")</f>
        <v>(m.s.)</v>
      </c>
      <c r="N71" t="str">
        <f>IFERROR(__xludf.DUMMYFUNCTION("""COMPUTED_VALUE"""),"et")</f>
        <v>et</v>
      </c>
      <c r="O71" t="str">
        <f>IFERROR(__xludf.DUMMYFUNCTION("""COMPUTED_VALUE"""),"la")</f>
        <v>la</v>
      </c>
      <c r="P71" t="str">
        <f>IFERROR(__xludf.DUMMYFUNCTION("""COMPUTED_VALUE"""),"métropole")</f>
        <v>métropole</v>
      </c>
      <c r="Q71" t="str">
        <f>IFERROR(__xludf.DUMMYFUNCTION("""COMPUTED_VALUE"""),"de")</f>
        <v>de</v>
      </c>
      <c r="R71" t="str">
        <f>IFERROR(__xludf.DUMMYFUNCTION("""COMPUTED_VALUE"""),"Lyon")</f>
        <v>Lyon</v>
      </c>
      <c r="S71" t="str">
        <f>IFERROR(__xludf.DUMMYFUNCTION("""COMPUTED_VALUE"""),"(69M)[d]")</f>
        <v>(69M)[d]</v>
      </c>
    </row>
    <row r="72">
      <c r="A72">
        <v>70.0</v>
      </c>
      <c r="B72" t="s">
        <v>5645</v>
      </c>
      <c r="C72" t="str">
        <f>IFERROR(__xludf.DUMMYFUNCTION("SPLIT(B72,"" "")"),"Haute-Saône")</f>
        <v>Haute-Saône</v>
      </c>
      <c r="D72" t="str">
        <f>IFERROR(__xludf.DUMMYFUNCTION("""COMPUTED_VALUE"""),"(f.s.)")</f>
        <v>(f.s.)</v>
      </c>
    </row>
    <row r="73">
      <c r="A73">
        <v>71.0</v>
      </c>
      <c r="B73" t="s">
        <v>5646</v>
      </c>
      <c r="C73" t="str">
        <f>IFERROR(__xludf.DUMMYFUNCTION("SPLIT(B73,"" "")"),"Saône-et-Loire")</f>
        <v>Saône-et-Loire</v>
      </c>
      <c r="D73" t="str">
        <f>IFERROR(__xludf.DUMMYFUNCTION("""COMPUTED_VALUE"""),"(f.s.)")</f>
        <v>(f.s.)</v>
      </c>
    </row>
    <row r="74">
      <c r="A74">
        <v>72.0</v>
      </c>
      <c r="B74" t="s">
        <v>5647</v>
      </c>
      <c r="C74" t="str">
        <f>IFERROR(__xludf.DUMMYFUNCTION("SPLIT(B74,"" "")"),"Sarthe")</f>
        <v>Sarthe</v>
      </c>
      <c r="D74" t="str">
        <f>IFERROR(__xludf.DUMMYFUNCTION("""COMPUTED_VALUE"""),"(f.s.)")</f>
        <v>(f.s.)</v>
      </c>
    </row>
    <row r="75">
      <c r="A75">
        <v>73.0</v>
      </c>
      <c r="B75" t="s">
        <v>5648</v>
      </c>
      <c r="C75" t="str">
        <f>IFERROR(__xludf.DUMMYFUNCTION("SPLIT(B75,"" "")"),"Savoie")</f>
        <v>Savoie</v>
      </c>
      <c r="D75" t="str">
        <f>IFERROR(__xludf.DUMMYFUNCTION("""COMPUTED_VALUE"""),"(f.s.)")</f>
        <v>(f.s.)</v>
      </c>
    </row>
    <row r="76">
      <c r="A76">
        <v>74.0</v>
      </c>
      <c r="B76" t="s">
        <v>5649</v>
      </c>
      <c r="C76" t="str">
        <f>IFERROR(__xludf.DUMMYFUNCTION("SPLIT(B76,"" "")"),"Haute-Savoie")</f>
        <v>Haute-Savoie</v>
      </c>
      <c r="D76" t="str">
        <f>IFERROR(__xludf.DUMMYFUNCTION("""COMPUTED_VALUE"""),"(f.s.)")</f>
        <v>(f.s.)</v>
      </c>
    </row>
    <row r="77">
      <c r="A77">
        <v>75.0</v>
      </c>
      <c r="B77" t="s">
        <v>5650</v>
      </c>
      <c r="C77" t="str">
        <f>IFERROR(__xludf.DUMMYFUNCTION("SPLIT(B77,"" "")"),"Paris")</f>
        <v>Paris</v>
      </c>
      <c r="D77" t="str">
        <f>IFERROR(__xludf.DUMMYFUNCTION("""COMPUTED_VALUE"""),"(m.s.)[f]")</f>
        <v>(m.s.)[f]</v>
      </c>
    </row>
    <row r="78">
      <c r="A78">
        <v>76.0</v>
      </c>
      <c r="B78" t="s">
        <v>5651</v>
      </c>
      <c r="C78" t="str">
        <f>IFERROR(__xludf.DUMMYFUNCTION("SPLIT(B78,"" "")"),"Seine-Maritime")</f>
        <v>Seine-Maritime</v>
      </c>
      <c r="D78" t="str">
        <f>IFERROR(__xludf.DUMMYFUNCTION("""COMPUTED_VALUE"""),"(f.s.)")</f>
        <v>(f.s.)</v>
      </c>
    </row>
    <row r="79">
      <c r="A79">
        <v>77.0</v>
      </c>
      <c r="B79" t="s">
        <v>5652</v>
      </c>
      <c r="C79" t="str">
        <f>IFERROR(__xludf.DUMMYFUNCTION("SPLIT(B79,"" "")"),"Seine-et-Marne")</f>
        <v>Seine-et-Marne</v>
      </c>
      <c r="D79" t="str">
        <f>IFERROR(__xludf.DUMMYFUNCTION("""COMPUTED_VALUE"""),"(f.s.)")</f>
        <v>(f.s.)</v>
      </c>
    </row>
    <row r="80">
      <c r="A80">
        <v>78.0</v>
      </c>
      <c r="B80" t="s">
        <v>5653</v>
      </c>
      <c r="C80" t="str">
        <f>IFERROR(__xludf.DUMMYFUNCTION("SPLIT(B80,"" "")"),"Yvelines")</f>
        <v>Yvelines</v>
      </c>
      <c r="D80" t="str">
        <f>IFERROR(__xludf.DUMMYFUNCTION("""COMPUTED_VALUE"""),"(f.p.)")</f>
        <v>(f.p.)</v>
      </c>
    </row>
    <row r="81">
      <c r="A81">
        <v>79.0</v>
      </c>
      <c r="B81" t="s">
        <v>5654</v>
      </c>
      <c r="C81" t="str">
        <f>IFERROR(__xludf.DUMMYFUNCTION("SPLIT(B81,"" "")"),"Deux-Sèvres")</f>
        <v>Deux-Sèvres</v>
      </c>
      <c r="D81" t="str">
        <f>IFERROR(__xludf.DUMMYFUNCTION("""COMPUTED_VALUE"""),"(f.p.)")</f>
        <v>(f.p.)</v>
      </c>
    </row>
    <row r="82">
      <c r="A82">
        <v>80.0</v>
      </c>
      <c r="B82" t="s">
        <v>5655</v>
      </c>
      <c r="C82" t="str">
        <f>IFERROR(__xludf.DUMMYFUNCTION("SPLIT(B82,"" "")"),"Somme")</f>
        <v>Somme</v>
      </c>
      <c r="D82" t="str">
        <f>IFERROR(__xludf.DUMMYFUNCTION("""COMPUTED_VALUE"""),"(f.s.)")</f>
        <v>(f.s.)</v>
      </c>
    </row>
    <row r="83">
      <c r="A83">
        <v>81.0</v>
      </c>
      <c r="B83" t="s">
        <v>5656</v>
      </c>
      <c r="C83" t="str">
        <f>IFERROR(__xludf.DUMMYFUNCTION("SPLIT(B83,"" "")"),"Tarn")</f>
        <v>Tarn</v>
      </c>
      <c r="D83" t="str">
        <f>IFERROR(__xludf.DUMMYFUNCTION("""COMPUTED_VALUE"""),"(m.s.)")</f>
        <v>(m.s.)</v>
      </c>
    </row>
    <row r="84">
      <c r="A84">
        <v>82.0</v>
      </c>
      <c r="B84" t="s">
        <v>5657</v>
      </c>
      <c r="C84" t="str">
        <f>IFERROR(__xludf.DUMMYFUNCTION("SPLIT(B84,"" "")"),"Tarn-et-Garonne")</f>
        <v>Tarn-et-Garonne</v>
      </c>
      <c r="D84" t="str">
        <f>IFERROR(__xludf.DUMMYFUNCTION("""COMPUTED_VALUE"""),"(m.s.)")</f>
        <v>(m.s.)</v>
      </c>
    </row>
    <row r="85">
      <c r="A85">
        <v>83.0</v>
      </c>
      <c r="B85" t="s">
        <v>5658</v>
      </c>
      <c r="C85" t="str">
        <f>IFERROR(__xludf.DUMMYFUNCTION("SPLIT(B85,"" "")"),"Var")</f>
        <v>Var</v>
      </c>
      <c r="D85" t="str">
        <f>IFERROR(__xludf.DUMMYFUNCTION("""COMPUTED_VALUE"""),"(m.s.)")</f>
        <v>(m.s.)</v>
      </c>
    </row>
    <row r="86">
      <c r="A86">
        <v>84.0</v>
      </c>
      <c r="B86" t="s">
        <v>5659</v>
      </c>
      <c r="C86" t="str">
        <f>IFERROR(__xludf.DUMMYFUNCTION("SPLIT(B86,"" "")"),"Vaucluse")</f>
        <v>Vaucluse</v>
      </c>
      <c r="D86" t="str">
        <f>IFERROR(__xludf.DUMMYFUNCTION("""COMPUTED_VALUE"""),"(m.s.)[g]")</f>
        <v>(m.s.)[g]</v>
      </c>
    </row>
    <row r="87">
      <c r="A87">
        <v>85.0</v>
      </c>
      <c r="B87" t="s">
        <v>5660</v>
      </c>
      <c r="C87" t="str">
        <f>IFERROR(__xludf.DUMMYFUNCTION("SPLIT(B87,"" "")"),"Vendée")</f>
        <v>Vendée</v>
      </c>
      <c r="D87" t="str">
        <f>IFERROR(__xludf.DUMMYFUNCTION("""COMPUTED_VALUE"""),"(f.s.)")</f>
        <v>(f.s.)</v>
      </c>
    </row>
    <row r="88">
      <c r="A88">
        <v>86.0</v>
      </c>
      <c r="B88" t="s">
        <v>5661</v>
      </c>
      <c r="C88" t="str">
        <f>IFERROR(__xludf.DUMMYFUNCTION("SPLIT(B88,"" "")"),"Vienne")</f>
        <v>Vienne</v>
      </c>
      <c r="D88" t="str">
        <f>IFERROR(__xludf.DUMMYFUNCTION("""COMPUTED_VALUE"""),"(f.s.)")</f>
        <v>(f.s.)</v>
      </c>
    </row>
    <row r="89">
      <c r="A89">
        <v>87.0</v>
      </c>
      <c r="B89" t="s">
        <v>5662</v>
      </c>
      <c r="C89" t="str">
        <f>IFERROR(__xludf.DUMMYFUNCTION("SPLIT(B89,"" "")"),"Haute-Vienne")</f>
        <v>Haute-Vienne</v>
      </c>
      <c r="D89" t="str">
        <f>IFERROR(__xludf.DUMMYFUNCTION("""COMPUTED_VALUE"""),"(f.s.)")</f>
        <v>(f.s.)</v>
      </c>
    </row>
    <row r="90">
      <c r="A90">
        <v>88.0</v>
      </c>
      <c r="B90" t="s">
        <v>5663</v>
      </c>
      <c r="C90" t="str">
        <f>IFERROR(__xludf.DUMMYFUNCTION("SPLIT(B90,"" "")"),"Vosges")</f>
        <v>Vosges</v>
      </c>
      <c r="D90" t="str">
        <f>IFERROR(__xludf.DUMMYFUNCTION("""COMPUTED_VALUE"""),"(f.p.)")</f>
        <v>(f.p.)</v>
      </c>
    </row>
    <row r="91">
      <c r="A91">
        <v>89.0</v>
      </c>
      <c r="B91" t="s">
        <v>5664</v>
      </c>
      <c r="C91" t="str">
        <f>IFERROR(__xludf.DUMMYFUNCTION("SPLIT(B91,"" "")"),"Yonne")</f>
        <v>Yonne</v>
      </c>
      <c r="D91" t="str">
        <f>IFERROR(__xludf.DUMMYFUNCTION("""COMPUTED_VALUE"""),"(f.s.)")</f>
        <v>(f.s.)</v>
      </c>
    </row>
    <row r="92">
      <c r="A92">
        <v>90.0</v>
      </c>
      <c r="B92" t="s">
        <v>5665</v>
      </c>
      <c r="C92" t="str">
        <f>IFERROR(__xludf.DUMMYFUNCTION("SPLIT(B92,"" "")"),"Territoire")</f>
        <v>Territoire</v>
      </c>
      <c r="D92" t="str">
        <f>IFERROR(__xludf.DUMMYFUNCTION("""COMPUTED_VALUE"""),"de")</f>
        <v>de</v>
      </c>
      <c r="E92" t="str">
        <f>IFERROR(__xludf.DUMMYFUNCTION("""COMPUTED_VALUE"""),"Belfort")</f>
        <v>Belfort</v>
      </c>
      <c r="F92" t="str">
        <f>IFERROR(__xludf.DUMMYFUNCTION("""COMPUTED_VALUE"""),"(m.s.)")</f>
        <v>(m.s.)</v>
      </c>
    </row>
    <row r="93">
      <c r="A93">
        <v>91.0</v>
      </c>
      <c r="B93" t="s">
        <v>5666</v>
      </c>
      <c r="C93" t="str">
        <f>IFERROR(__xludf.DUMMYFUNCTION("SPLIT(B93,"" "")"),"Essonne")</f>
        <v>Essonne</v>
      </c>
      <c r="D93" t="str">
        <f>IFERROR(__xludf.DUMMYFUNCTION("""COMPUTED_VALUE"""),"(f.s.)")</f>
        <v>(f.s.)</v>
      </c>
    </row>
    <row r="94">
      <c r="A94">
        <v>92.0</v>
      </c>
      <c r="B94" t="s">
        <v>5667</v>
      </c>
      <c r="C94" t="str">
        <f>IFERROR(__xludf.DUMMYFUNCTION("SPLIT(B94,"" "")"),"Hauts-de-Seine")</f>
        <v>Hauts-de-Seine</v>
      </c>
      <c r="D94" t="str">
        <f>IFERROR(__xludf.DUMMYFUNCTION("""COMPUTED_VALUE"""),"(m.p.)")</f>
        <v>(m.p.)</v>
      </c>
    </row>
    <row r="95">
      <c r="A95">
        <v>93.0</v>
      </c>
      <c r="B95" t="s">
        <v>5668</v>
      </c>
      <c r="C95" t="str">
        <f>IFERROR(__xludf.DUMMYFUNCTION("SPLIT(B95,"" "")"),"Seine-Saint-Denis")</f>
        <v>Seine-Saint-Denis</v>
      </c>
      <c r="D95" t="str">
        <f>IFERROR(__xludf.DUMMYFUNCTION("""COMPUTED_VALUE"""),"(f.s.)")</f>
        <v>(f.s.)</v>
      </c>
    </row>
    <row r="96">
      <c r="A96">
        <v>94.0</v>
      </c>
      <c r="B96" t="s">
        <v>5669</v>
      </c>
      <c r="C96" t="str">
        <f>IFERROR(__xludf.DUMMYFUNCTION("SPLIT(B96,"" "")"),"Val-de-Marne")</f>
        <v>Val-de-Marne</v>
      </c>
      <c r="D96" t="str">
        <f>IFERROR(__xludf.DUMMYFUNCTION("""COMPUTED_VALUE"""),"(m.s.)")</f>
        <v>(m.s.)</v>
      </c>
    </row>
    <row r="97">
      <c r="A97">
        <v>95.0</v>
      </c>
      <c r="B97" t="s">
        <v>5670</v>
      </c>
      <c r="C97" t="str">
        <f>IFERROR(__xludf.DUMMYFUNCTION("SPLIT(B97,"" "")"),"Val-d'Oise")</f>
        <v>Val-d'Oise</v>
      </c>
      <c r="D97" t="str">
        <f>IFERROR(__xludf.DUMMYFUNCTION("""COMPUTED_VALUE"""),"(m.s.)")</f>
        <v>(m.s.)</v>
      </c>
    </row>
    <row r="98">
      <c r="A98">
        <v>971.0</v>
      </c>
      <c r="B98" t="s">
        <v>5671</v>
      </c>
      <c r="C98" t="str">
        <f>IFERROR(__xludf.DUMMYFUNCTION("SPLIT(B98,"" "")"),"Guadeloupe")</f>
        <v>Guadeloupe</v>
      </c>
      <c r="D98" t="str">
        <f>IFERROR(__xludf.DUMMYFUNCTION("""COMPUTED_VALUE"""),"(f.s.)")</f>
        <v>(f.s.)</v>
      </c>
    </row>
    <row r="99">
      <c r="A99">
        <v>972.0</v>
      </c>
      <c r="B99" t="s">
        <v>5672</v>
      </c>
      <c r="C99" t="str">
        <f>IFERROR(__xludf.DUMMYFUNCTION("SPLIT(B99,"" "")"),"Martinique")</f>
        <v>Martinique</v>
      </c>
      <c r="D99" t="str">
        <f>IFERROR(__xludf.DUMMYFUNCTION("""COMPUTED_VALUE"""),"(f.s.)")</f>
        <v>(f.s.)</v>
      </c>
    </row>
    <row r="100">
      <c r="A100">
        <v>973.0</v>
      </c>
      <c r="B100" t="s">
        <v>5673</v>
      </c>
      <c r="C100" t="str">
        <f>IFERROR(__xludf.DUMMYFUNCTION("SPLIT(B100,"" "")"),"Guyane")</f>
        <v>Guyane</v>
      </c>
      <c r="D100" t="str">
        <f>IFERROR(__xludf.DUMMYFUNCTION("""COMPUTED_VALUE"""),"(f.s.)")</f>
        <v>(f.s.)</v>
      </c>
    </row>
    <row r="101">
      <c r="A101">
        <v>974.0</v>
      </c>
      <c r="B101" t="s">
        <v>5674</v>
      </c>
      <c r="C101" t="str">
        <f>IFERROR(__xludf.DUMMYFUNCTION("SPLIT(B101,"" "")"),"La")</f>
        <v>La</v>
      </c>
      <c r="D101" t="str">
        <f>IFERROR(__xludf.DUMMYFUNCTION("""COMPUTED_VALUE"""),"Réunion")</f>
        <v>Réunion</v>
      </c>
      <c r="E101" t="str">
        <f>IFERROR(__xludf.DUMMYFUNCTION("""COMPUTED_VALUE"""),"(f.s.)")</f>
        <v>(f.s.)</v>
      </c>
    </row>
    <row r="102">
      <c r="A102">
        <v>976.0</v>
      </c>
      <c r="B102" t="s">
        <v>5675</v>
      </c>
      <c r="C102" t="str">
        <f>IFERROR(__xludf.DUMMYFUNCTION("SPLIT(B102,"" "")"),"Mayotte")</f>
        <v>Mayotte</v>
      </c>
      <c r="D102" t="str">
        <f>IFERROR(__xludf.DUMMYFUNCTION("""COMPUTED_VALUE"""),"(f.s.)")</f>
        <v>(f.s.)</v>
      </c>
    </row>
  </sheetData>
  <drawing r:id="rId1"/>
</worksheet>
</file>
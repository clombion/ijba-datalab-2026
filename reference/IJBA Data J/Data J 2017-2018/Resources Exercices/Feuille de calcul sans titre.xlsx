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Copie de Feuille 1" sheetId="2" r:id="rId5"/>
    <sheet state="visible" name="Feuille 2" sheetId="3" r:id="rId6"/>
    <sheet state="visible" name="Tableau croisé dynamique 2" sheetId="4" r:id="rId7"/>
    <sheet state="visible" name="Tableau croisé dynamique 1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<sst xmlns="http://schemas.openxmlformats.org/spreadsheetml/2006/main" count="433" uniqueCount="257">
  <si>
    <t>record buts</t>
  </si>
  <si>
    <t>Sexe</t>
  </si>
  <si>
    <t>Joueur</t>
  </si>
  <si>
    <t>Equipe</t>
  </si>
  <si>
    <t>Buts</t>
  </si>
  <si>
    <t>dont champ.</t>
  </si>
  <si>
    <t>Matchs</t>
  </si>
  <si>
    <t>Min/But(*)</t>
  </si>
  <si>
    <t>F</t>
  </si>
  <si>
    <t>*H. KANE*</t>
  </si>
  <si>
    <t>Tottenham</t>
  </si>
  <si>
    <t>31 *(2 p.)*</t>
  </si>
  <si>
    <t>32 *(0,97 b/m)*</t>
  </si>
  <si>
    <t>88'</t>
  </si>
  <si>
    <t>*MOHAMED SALAH*</t>
  </si>
  <si>
    <t>Liverpool</t>
  </si>
  <si>
    <t>28 *(1 p.)*</t>
  </si>
  <si>
    <t>34 *(0,82 b/m)*</t>
  </si>
  <si>
    <t>97'</t>
  </si>
  <si>
    <t>*E. CAVANI*</t>
  </si>
  <si>
    <t>Paris SG</t>
  </si>
  <si>
    <t>28 *(3 p.)*</t>
  </si>
  <si>
    <t>33 *(0,85 b/m)*</t>
  </si>
  <si>
    <t>98'</t>
  </si>
  <si>
    <t>*NEYMAR*</t>
  </si>
  <si>
    <t>27 *(5 p.)*</t>
  </si>
  <si>
    <t>26 *(1,04 b/m)*</t>
  </si>
  <si>
    <t>87'</t>
  </si>
  <si>
    <t>*L. MESSI*</t>
  </si>
  <si>
    <t>FC Barcelone</t>
  </si>
  <si>
    <t>27 *(3 p.)*</t>
  </si>
  <si>
    <t>34 *(0,79 b/m)*</t>
  </si>
  <si>
    <t>106'</t>
  </si>
  <si>
    <t>*C. IMMOBILE*</t>
  </si>
  <si>
    <t>Lazio Rome</t>
  </si>
  <si>
    <t>26 *(6 p.)*</t>
  </si>
  <si>
    <t>27 *(0,96 b/m)*</t>
  </si>
  <si>
    <t>82'</t>
  </si>
  <si>
    <t>*R. LEWANDOWSKI*</t>
  </si>
  <si>
    <t>Bayern Munich</t>
  </si>
  <si>
    <t>25 *(5 p.)*</t>
  </si>
  <si>
    <t>30 *(0,83 b/m)*</t>
  </si>
  <si>
    <t>100'</t>
  </si>
  <si>
    <t>H</t>
  </si>
  <si>
    <t>*S. AGÜERO*</t>
  </si>
  <si>
    <t>Manchester City</t>
  </si>
  <si>
    <t>24 *(5 p.)*</t>
  </si>
  <si>
    <t>31 *(0,77 b/m)*</t>
  </si>
  <si>
    <t>99'</t>
  </si>
  <si>
    <t>*FALCAO*</t>
  </si>
  <si>
    <t>Monaco</t>
  </si>
  <si>
    <t>23 *(3 p.)*</t>
  </si>
  <si>
    <t>29 *(0,79 b/m)*</t>
  </si>
  <si>
    <t>102'</t>
  </si>
  <si>
    <t>*P. AUBAMEYANG*</t>
  </si>
  <si>
    <t>Arsenal</t>
  </si>
  <si>
    <t>22 *(4 p.)*</t>
  </si>
  <si>
    <t>25 *(0,88 b/m)*</t>
  </si>
  <si>
    <t>103'</t>
  </si>
  <si>
    <t>*CRISTIANO RONALDO*</t>
  </si>
  <si>
    <t>Real Madrid</t>
  </si>
  <si>
    <t>20 *(5 p.)*</t>
  </si>
  <si>
    <t>27 *(0,74 b/m)*</t>
  </si>
  <si>
    <t>113'</t>
  </si>
  <si>
    <t>*N. FEKIR*</t>
  </si>
  <si>
    <t>Lyon</t>
  </si>
  <si>
    <t>20 *(4 p.)*</t>
  </si>
  <si>
    <t>29 *(0,69 b/m)*</t>
  </si>
  <si>
    <t>127'</t>
  </si>
  <si>
    <t>*M. BALOTELLI*</t>
  </si>
  <si>
    <t>Nice</t>
  </si>
  <si>
    <t>19 *(5 p.)*</t>
  </si>
  <si>
    <t>25 *(0,76 b/m)*</t>
  </si>
  <si>
    <t>101'</t>
  </si>
  <si>
    <t>*R. STERLING*</t>
  </si>
  <si>
    <t>19 *(1 p.)*</t>
  </si>
  <si>
    <t>34 *(0,56 b/m)*</t>
  </si>
  <si>
    <t>138'</t>
  </si>
  <si>
    <t>*L. SUÁREZ*</t>
  </si>
  <si>
    <t>31 *(0,61 b/m)*</t>
  </si>
  <si>
    <t>143'</t>
  </si>
  <si>
    <t>*ROBERTO FIRMINO*</t>
  </si>
  <si>
    <t>35 *(0,54 b/m)*</t>
  </si>
  <si>
    <t>*R. LUKAKU*</t>
  </si>
  <si>
    <t>Manchester Utd</t>
  </si>
  <si>
    <t>36 *(0,53 b/m)*</t>
  </si>
  <si>
    <t>152'</t>
  </si>
  <si>
    <t>*M. ICARDI*</t>
  </si>
  <si>
    <t>Inter Milan</t>
  </si>
  <si>
    <t>18 *(4 p.)*</t>
  </si>
  <si>
    <t>24 *(0,75 b/m)*</t>
  </si>
  <si>
    <t>117'</t>
  </si>
  <si>
    <t>*D. MERTENS*</t>
  </si>
  <si>
    <t>Naples</t>
  </si>
  <si>
    <t>33 *(0,55 b/m)*</t>
  </si>
  <si>
    <t>149'</t>
  </si>
  <si>
    <t>*P. DYBALA*</t>
  </si>
  <si>
    <t>Juventus Turin</t>
  </si>
  <si>
    <t>17 *(1 p.)*</t>
  </si>
  <si>
    <t>28 *(0,61 b/m)*</t>
  </si>
  <si>
    <t>122'</t>
  </si>
  <si>
    <t>*G. HIGUAÍN*</t>
  </si>
  <si>
    <t>32 *(0,53 b/m)*</t>
  </si>
  <si>
    <t>151'</t>
  </si>
  <si>
    <t>*F. QUAGLIARELLA*</t>
  </si>
  <si>
    <t>Sampdoria Gênes</t>
  </si>
  <si>
    <t>16 *(5 p.)*</t>
  </si>
  <si>
    <t>23 *(0,70 b/m)*</t>
  </si>
  <si>
    <t>*W. BEN YEDDER*</t>
  </si>
  <si>
    <t>FC Seville</t>
  </si>
  <si>
    <t>16 *(2 p.)*</t>
  </si>
  <si>
    <t>28 *(0,57 b/m)*</t>
  </si>
  <si>
    <t>121'</t>
  </si>
  <si>
    <t>*IAGO ASPAS*</t>
  </si>
  <si>
    <t>Celta Vigo</t>
  </si>
  <si>
    <t>16 *(3 p.)*</t>
  </si>
  <si>
    <t>24 *(0,67 b/m)*</t>
  </si>
  <si>
    <t>128'</t>
  </si>
  <si>
    <t>*WILLIAN JOSÉ*</t>
  </si>
  <si>
    <t>Real Sociedad</t>
  </si>
  <si>
    <t>141'</t>
  </si>
  <si>
    <t>*MARIANO DÍAZ*</t>
  </si>
  <si>
    <t>16 *(1 p.)*</t>
  </si>
  <si>
    <t>30 *(0,53 b/m)*</t>
  </si>
  <si>
    <t>142'</t>
  </si>
  <si>
    <t>*ADURIZ*</t>
  </si>
  <si>
    <t>Athletic Bilbao</t>
  </si>
  <si>
    <t>16 *(6 p.)*</t>
  </si>
  <si>
    <t>33 *(0,48 b/m)*</t>
  </si>
  <si>
    <t>150'</t>
  </si>
  <si>
    <t>*K. MBAPPÉ*</t>
  </si>
  <si>
    <t>30 *(0,50 b/m)*</t>
  </si>
  <si>
    <t>153'</t>
  </si>
  <si>
    <t>*N. PETERSEN*</t>
  </si>
  <si>
    <t>Fribourg</t>
  </si>
  <si>
    <t>14 *(4 p.)*</t>
  </si>
  <si>
    <t>24 *(0,58 b/m)*</t>
  </si>
  <si>
    <t>111'</t>
  </si>
  <si>
    <t>*T. WERNER*</t>
  </si>
  <si>
    <t>RB Leipzig</t>
  </si>
  <si>
    <t>14 *(3 p.)*</t>
  </si>
  <si>
    <t>27 *(0,52 b/m)*</t>
  </si>
  <si>
    <t>*F. THAUVIN*</t>
  </si>
  <si>
    <t>Marseille</t>
  </si>
  <si>
    <t>14 *(1 p.)*</t>
  </si>
  <si>
    <t>34 *(0,41 b/m)*</t>
  </si>
  <si>
    <t>189'</t>
  </si>
  <si>
    <t>*Á. DI MARÍA*</t>
  </si>
  <si>
    <t>28 *(0,46 b/m)*</t>
  </si>
  <si>
    <t>*M. UTH*</t>
  </si>
  <si>
    <t>Hoffenheim</t>
  </si>
  <si>
    <t>26 *(0,50 b/m)*</t>
  </si>
  <si>
    <t>*V. GERMAIN*</t>
  </si>
  <si>
    <t>35 *(0,37 b/m)*</t>
  </si>
  <si>
    <t>168'</t>
  </si>
  <si>
    <t>*J. VARDY*</t>
  </si>
  <si>
    <t>Leicester City</t>
  </si>
  <si>
    <t>13 *(5 p.)*</t>
  </si>
  <si>
    <t>174'</t>
  </si>
  <si>
    <t>*E. HAZARD*</t>
  </si>
  <si>
    <t>Chelsea</t>
  </si>
  <si>
    <t>13 *(3 p.)*</t>
  </si>
  <si>
    <t>34 *(0,38 b/m)*</t>
  </si>
  <si>
    <t>181'</t>
  </si>
  <si>
    <t>*E. DZEKO*</t>
  </si>
  <si>
    <t>AS Rome</t>
  </si>
  <si>
    <t>30 *(0,43 b/m)*</t>
  </si>
  <si>
    <t>195'</t>
  </si>
  <si>
    <t>*M. BATSHUAYI*</t>
  </si>
  <si>
    <t>Borussia Dortmund</t>
  </si>
  <si>
    <t>26 *(0,46 b/m)*</t>
  </si>
  <si>
    <t>*C. STUANI*</t>
  </si>
  <si>
    <t>Gérone FC</t>
  </si>
  <si>
    <t>12 *(2 p.)*</t>
  </si>
  <si>
    <t>19 *(0,63 b/m)*</t>
  </si>
  <si>
    <t>132'</t>
  </si>
  <si>
    <t>*PHILIPPE COUTINHO*</t>
  </si>
  <si>
    <t>12 *(1 p.)*</t>
  </si>
  <si>
    <t>24 *(0,50 b/m)*</t>
  </si>
  <si>
    <t>*J. LINGARD*</t>
  </si>
  <si>
    <t>32 *(0,38 b/m)*</t>
  </si>
  <si>
    <t>*RODRIGO*</t>
  </si>
  <si>
    <t>FC Valence</t>
  </si>
  <si>
    <t>28 *(0,43 b/m)*</t>
  </si>
  <si>
    <t>160'</t>
  </si>
  <si>
    <t>*S. HALLER*</t>
  </si>
  <si>
    <t>Eintracht Francfort</t>
  </si>
  <si>
    <t>172'</t>
  </si>
  <si>
    <t>*ÁLVARO MORATA*</t>
  </si>
  <si>
    <t>31 *(0,39 b/m)*</t>
  </si>
  <si>
    <t>*GERARD MORENO*</t>
  </si>
  <si>
    <t>Espanyol Barcelone</t>
  </si>
  <si>
    <t>204'</t>
  </si>
  <si>
    <t>*SANTI MINA*</t>
  </si>
  <si>
    <t>11 *(1 p.)*</t>
  </si>
  <si>
    <t>28 *(0,39 b/m)*</t>
  </si>
  <si>
    <t>114'</t>
  </si>
  <si>
    <t>*N. FÜLLKRUG*</t>
  </si>
  <si>
    <t>Hanovre 96</t>
  </si>
  <si>
    <t>11 *(3 p.)*</t>
  </si>
  <si>
    <t>23 *(0,48 b/m)*</t>
  </si>
  <si>
    <t>*A. FINNBOGASON*</t>
  </si>
  <si>
    <t>Augsbourg</t>
  </si>
  <si>
    <t>19 *(0,58 b/m)*</t>
  </si>
  <si>
    <t>*A. MARTIAL*</t>
  </si>
  <si>
    <t>11 *(2 p.)*</t>
  </si>
  <si>
    <t>34 *(0,32 b/m)*</t>
  </si>
  <si>
    <t>164'</t>
  </si>
  <si>
    <t>*K. TOKO EKAMBI*</t>
  </si>
  <si>
    <t>Angers</t>
  </si>
  <si>
    <t>25 *(0,44 b/m)*</t>
  </si>
  <si>
    <t>178'</t>
  </si>
  <si>
    <t>*IAGO FALQUÉ*</t>
  </si>
  <si>
    <t>Torino</t>
  </si>
  <si>
    <t>26 *(0,42 b/m)*</t>
  </si>
  <si>
    <t>*M. DEPAY*</t>
  </si>
  <si>
    <t>32 *(0,34 b/m)*</t>
  </si>
  <si>
    <t>207'</t>
  </si>
  <si>
    <t>*SON HEUNG-MIN*</t>
  </si>
  <si>
    <t>35 *(0,31 b/m)*</t>
  </si>
  <si>
    <t>*W. ROONEY*</t>
  </si>
  <si>
    <t>Everton</t>
  </si>
  <si>
    <t>30 *(0,37 b/m)*</t>
  </si>
  <si>
    <t>208'</t>
  </si>
  <si>
    <t>*A. GRIEZMANN*</t>
  </si>
  <si>
    <t>Atl. Madrid</t>
  </si>
  <si>
    <t>209'</t>
  </si>
  <si>
    <t>*L. SANÉ*</t>
  </si>
  <si>
    <t>33 *(0,33 b/m)*</t>
  </si>
  <si>
    <t>211'</t>
  </si>
  <si>
    <t>*K. DE BRUYNE*</t>
  </si>
  <si>
    <t>36 *(0,31 b/m)*</t>
  </si>
  <si>
    <t>270'</t>
  </si>
  <si>
    <t>Valeurs</t>
  </si>
  <si>
    <t>Total général</t>
  </si>
  <si>
    <t>SUM de dont champ.</t>
  </si>
  <si>
    <t>COUNTA de Joueur</t>
  </si>
  <si>
    <t>Alaves</t>
  </si>
  <si>
    <t>AS Rome / Aston Villa</t>
  </si>
  <si>
    <t>Bayer Leverkusen</t>
  </si>
  <si>
    <t>Bologne</t>
  </si>
  <si>
    <t>Borussia M'Gladbach</t>
  </si>
  <si>
    <t>Brentford</t>
  </si>
  <si>
    <t>Leeds United</t>
  </si>
  <si>
    <t>Lens</t>
  </si>
  <si>
    <t>Manchester City / Bournemouth (10)</t>
  </si>
  <si>
    <t>Mayence</t>
  </si>
  <si>
    <t>Milan AC</t>
  </si>
  <si>
    <t>Newcastle</t>
  </si>
  <si>
    <t>Newcastle / VfB Stuttgart</t>
  </si>
  <si>
    <t>Nottingham Forest</t>
  </si>
  <si>
    <t>Osasuna</t>
  </si>
  <si>
    <t>Real Majorque</t>
  </si>
  <si>
    <t>Rennes / Angers (1)</t>
  </si>
  <si>
    <t>Strasbourg</t>
  </si>
  <si>
    <t>VfB Stuttgart</t>
  </si>
  <si>
    <t>Villarreal / Lyon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</si>
</sst>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8" sheet="Feuille 2"/>
  </cacheSource>
  <cacheFields>
    <cacheField name="Sexe" numFmtId="0">
      <sharedItems>
        <s v="F"/>
        <s v="H"/>
      </sharedItems>
    </cacheField>
    <cacheField name="Joueur" numFmtId="0">
      <sharedItems>
        <s v="*H. KANE*"/>
        <s v="*MOHAMED SALAH*"/>
        <s v="*E. CAVANI*"/>
        <s v="*NEYMAR*"/>
        <s v="*L. MESSI*"/>
        <s v="*C. IMMOBILE*"/>
        <s v="*R. LEWANDOWSKI*"/>
        <s v="*S. AGÜERO*"/>
        <s v="*FALCAO*"/>
        <s v="*P. AUBAMEYANG*"/>
        <s v="*CRISTIANO RONALDO*"/>
        <s v="*N. FEKIR*"/>
        <s v="*M. BALOTELLI*"/>
        <s v="*R. STERLING*"/>
        <s v="*L. SUÁREZ*"/>
        <s v="*ROBERTO FIRMINO*"/>
        <s v="*R. LUKAKU*"/>
        <s v="*M. ICARDI*"/>
        <s v="*D. MERTENS*"/>
        <s v="*P. DYBALA*"/>
        <s v="*G. HIGUAÍN*"/>
        <s v="*F. QUAGLIARELLA*"/>
        <s v="*W. BEN YEDDER*"/>
        <s v="*IAGO ASPAS*"/>
        <s v="*WILLIAN JOSÉ*"/>
        <s v="*MARIANO DÍAZ*"/>
        <s v="*ADURIZ*"/>
        <s v="*K. MBAPPÉ*"/>
        <s v="*N. PETERSEN*"/>
        <s v="*T. WERNER*"/>
        <s v="*F. THAUVIN*"/>
        <s v="*Á. DI MARÍA*"/>
        <s v="*M. UTH*"/>
        <s v="*V. GERMAIN*"/>
        <s v="*J. VARDY*"/>
        <s v="*E. HAZARD*"/>
        <s v="*E. DZEKO*"/>
        <s v="*M. BATSHUAYI*"/>
        <s v="*C. STUANI*"/>
        <s v="*PHILIPPE COUTINHO*"/>
        <s v="*J. LINGARD*"/>
        <s v="*RODRIGO*"/>
        <s v="*S. HALLER*"/>
        <s v="*ÁLVARO MORATA*"/>
        <s v="*GERARD MORENO*"/>
        <s v="*SANTI MINA*"/>
        <s v="*N. FÜLLKRUG*"/>
        <s v="*A. FINNBOGASON*"/>
        <s v="*A. MARTIAL*"/>
        <s v="*K. TOKO EKAMBI*"/>
        <s v="*IAGO FALQUÉ*"/>
        <s v="*M. DEPAY*"/>
        <s v="*SON HEUNG-MIN*"/>
        <s v="*W. ROONEY*"/>
        <s v="*A. GRIEZMANN*"/>
        <s v="*L. SANÉ*"/>
        <s v="*K. DE BRUYNE*"/>
      </sharedItems>
    </cacheField>
    <cacheField name="Equipe" numFmtId="0">
      <sharedItems>
        <s v="Tottenham"/>
        <s v="Liverpool"/>
        <s v="Paris SG"/>
        <s v="FC Barcelone"/>
        <s v="Lazio Rome"/>
        <s v="Bayern Munich"/>
        <s v="Manchester City"/>
        <s v="Monaco"/>
        <s v="Arsenal"/>
        <s v="Real Madrid"/>
        <s v="Lyon"/>
        <s v="Nice"/>
        <s v="Manchester Utd"/>
        <s v="Inter Milan"/>
        <s v="Naples"/>
        <s v="Juventus Turin"/>
        <s v="Sampdoria Gênes"/>
        <s v="FC Seville"/>
        <s v="Celta Vigo"/>
        <s v="Real Sociedad"/>
        <s v="Athletic Bilbao"/>
        <s v="Fribourg"/>
        <s v="RB Leipzig"/>
        <s v="Marseille"/>
        <s v="Hoffenheim"/>
        <s v="Leicester City"/>
        <s v="Chelsea"/>
        <s v="AS Rome"/>
        <s v="Borussia Dortmund"/>
        <s v="Gérone FC"/>
        <s v="FC Valence"/>
        <s v="Eintracht Francfort"/>
        <s v="Espanyol Barcelone"/>
        <s v="Hanovre 96"/>
        <s v="Augsbourg"/>
        <s v="Angers"/>
        <s v="Torino"/>
        <s v="Everton"/>
        <s v="Atl. Madrid"/>
      </sharedItems>
    </cacheField>
    <cacheField name="Buts">
      <sharedItems containsMixedTypes="1" containsNumber="1" containsInteger="1">
        <s v="31 *(2 p.)*"/>
        <s v="28 *(1 p.)*"/>
        <s v="28 *(3 p.)*"/>
        <s v="27 *(5 p.)*"/>
        <s v="27 *(3 p.)*"/>
        <s v="26 *(6 p.)*"/>
        <s v="25 *(5 p.)*"/>
        <s v="24 *(5 p.)*"/>
        <s v="23 *(3 p.)*"/>
        <s v="22 *(4 p.)*"/>
        <s v="20 *(5 p.)*"/>
        <s v="20 *(4 p.)*"/>
        <s v="19 *(5 p.)*"/>
        <s v="19 *(1 p.)*"/>
        <n v="19.0"/>
        <s v="18 *(4 p.)*"/>
        <s v="17 *(1 p.)*"/>
        <s v="16 *(5 p.)*"/>
        <s v="16 *(2 p.)*"/>
        <s v="16 *(3 p.)*"/>
        <s v="16 *(1 p.)*"/>
        <s v="16 *(6 p.)*"/>
        <n v="15.0"/>
        <s v="14 *(4 p.)*"/>
        <s v="14 *(3 p.)*"/>
        <s v="14 *(1 p.)*"/>
        <n v="13.0"/>
        <s v="13 *(5 p.)*"/>
        <s v="13 *(3 p.)*"/>
        <n v="12.0"/>
        <s v="12 *(2 p.)*"/>
        <s v="12 *(1 p.)*"/>
        <s v="11 *(1 p.)*"/>
        <s v="11 *(3 p.)*"/>
        <s v="11 *(2 p.)*"/>
        <n v="11.0"/>
      </sharedItems>
    </cacheField>
    <cacheField name="dont champ." numFmtId="0">
      <sharedItems containsSemiMixedTypes="0" containsString="0" containsNumber="1" containsInteger="1">
        <n v="22.0"/>
        <n v="21.0"/>
        <n v="18.0"/>
        <n v="20.0"/>
        <n v="17.0"/>
        <n v="14.0"/>
        <n v="8.0"/>
        <n v="16.0"/>
        <n v="13.0"/>
        <n v="11.0"/>
        <n v="12.0"/>
        <n v="5.0"/>
        <n v="15.0"/>
        <n v="9.0"/>
        <n v="10.0"/>
        <n v="6.0"/>
        <n v="4.0"/>
        <n v="7.0"/>
      </sharedItems>
    </cacheField>
    <cacheField name="Matchs" numFmtId="0">
      <sharedItems>
        <s v="32 *(0,97 b/m)*"/>
        <s v="34 *(0,82 b/m)*"/>
        <s v="33 *(0,85 b/m)*"/>
        <s v="26 *(1,04 b/m)*"/>
        <s v="34 *(0,79 b/m)*"/>
        <s v="27 *(0,96 b/m)*"/>
        <s v="30 *(0,83 b/m)*"/>
        <s v="31 *(0,77 b/m)*"/>
        <s v="29 *(0,79 b/m)*"/>
        <s v="25 *(0,88 b/m)*"/>
        <s v="27 *(0,74 b/m)*"/>
        <s v="29 *(0,69 b/m)*"/>
        <s v="25 *(0,76 b/m)*"/>
        <s v="34 *(0,56 b/m)*"/>
        <s v="31 *(0,61 b/m)*"/>
        <s v="35 *(0,54 b/m)*"/>
        <s v="36 *(0,53 b/m)*"/>
        <s v="24 *(0,75 b/m)*"/>
        <s v="33 *(0,55 b/m)*"/>
        <s v="28 *(0,61 b/m)*"/>
        <s v="32 *(0,53 b/m)*"/>
        <s v="23 *(0,70 b/m)*"/>
        <s v="28 *(0,57 b/m)*"/>
        <s v="24 *(0,67 b/m)*"/>
        <s v="30 *(0,53 b/m)*"/>
        <s v="33 *(0,48 b/m)*"/>
        <s v="30 *(0,50 b/m)*"/>
        <s v="24 *(0,58 b/m)*"/>
        <s v="27 *(0,52 b/m)*"/>
        <s v="34 *(0,41 b/m)*"/>
        <s v="28 *(0,46 b/m)*"/>
        <s v="26 *(0,50 b/m)*"/>
        <s v="35 *(0,37 b/m)*"/>
        <s v="34 *(0,38 b/m)*"/>
        <s v="30 *(0,43 b/m)*"/>
        <s v="26 *(0,46 b/m)*"/>
        <s v="19 *(0,63 b/m)*"/>
        <s v="24 *(0,50 b/m)*"/>
        <s v="32 *(0,38 b/m)*"/>
        <s v="28 *(0,43 b/m)*"/>
        <s v="31 *(0,39 b/m)*"/>
        <s v="28 *(0,39 b/m)*"/>
        <s v="23 *(0,48 b/m)*"/>
        <s v="19 *(0,58 b/m)*"/>
        <s v="34 *(0,32 b/m)*"/>
        <s v="25 *(0,44 b/m)*"/>
        <s v="26 *(0,42 b/m)*"/>
        <s v="32 *(0,34 b/m)*"/>
        <s v="35 *(0,31 b/m)*"/>
        <s v="30 *(0,37 b/m)*"/>
        <s v="33 *(0,33 b/m)*"/>
        <s v="36 *(0,31 b/m)*"/>
      </sharedItems>
    </cacheField>
    <cacheField name="Min/But(*)" numFmtId="0">
      <sharedItems>
        <s v="88'"/>
        <s v="97'"/>
        <s v="98'"/>
        <s v="87'"/>
        <s v="106'"/>
        <s v="82'"/>
        <s v="100'"/>
        <s v="99'"/>
        <s v="102'"/>
        <s v="103'"/>
        <s v="113'"/>
        <s v="127'"/>
        <s v="101'"/>
        <s v="138'"/>
        <s v="143'"/>
        <s v="152'"/>
        <s v="117'"/>
        <s v="149'"/>
        <s v="122'"/>
        <s v="151'"/>
        <s v="121'"/>
        <s v="128'"/>
        <s v="141'"/>
        <s v="142'"/>
        <s v="150'"/>
        <s v="153'"/>
        <s v="111'"/>
        <s v="189'"/>
        <s v="168'"/>
        <s v="174'"/>
        <s v="181'"/>
        <s v="195'"/>
        <s v="132'"/>
        <s v="160'"/>
        <s v="172'"/>
        <s v="204'"/>
        <s v="114'"/>
        <s v="164'"/>
        <s v="178'"/>
        <s v="207'"/>
        <s v="208'"/>
        <s v="209'"/>
        <s v="211'"/>
        <s v="270'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G62" sheet="Copie de Feuille 1"/>
  </cacheSource>
  <cacheFields>
    <cacheField name="Pl." numFmtId="0">
      <sharedItems>
        <s v="1."/>
        <s v="2."/>
        <s v="3."/>
        <s v="4."/>
        <s v="5."/>
        <s v="6."/>
        <s v="."/>
        <s v="8."/>
        <s v="11."/>
        <s v="15."/>
        <s v="18."/>
        <s v="25."/>
        <s v="33."/>
        <s v="47."/>
      </sharedItems>
    </cacheField>
    <cacheField name="Joueur" numFmtId="0">
      <sharedItems>
        <s v="*H. KANE*"/>
        <s v="*K. MBAPPÉ*"/>
        <s v="*E. HAALAND*"/>
        <s v="*M. GREENWOOD*"/>
        <s v="*L. DÍAZ*"/>
        <s v="*THIAGO*"/>
        <s v="*L. MARTÍNEZ*"/>
        <s v="*FERRAN TORRES*"/>
        <s v="*V. MURIQI*"/>
        <s v="*D. UNDAV*"/>
        <s v="*H. EKITIKE*"/>
        <s v="*S. GUIRASSY*"/>
        <s v="*A. SEMENYO*"/>
        <s v="*LAMINE YAMAL*"/>
        <s v="*BORJA IGLESIAS*"/>
        <s v="*N. AMIRI*"/>
        <s v="*J. PANICHELLI*"/>
        <s v="*RAPHINHA*"/>
        <s v="*R. LEWANDOWSKI*"/>
        <s v="*A. BUDIMIR*"/>
        <s v="*P. SULC*"/>
        <s v="*V. GYÖKERES*"/>
        <s v="*JOÃO PEDRO*"/>
        <s v="*M. OLISE*"/>
        <s v="*A. GRIEZMANN*"/>
        <s v="*D. MALEN*"/>
        <s v="*H. TABAKOVIC*"/>
        <s v="*M. THURAM*"/>
        <s v="*C. BAUMGARTNER*"/>
        <s v="*H. BARNES*"/>
        <s v="*J. ÁLVAREZ*"/>
        <s v="*R. HØJLUND*"/>
        <s v="*RAÚL GARCÍA*"/>
        <s v="*O. DEMBÉLÉ*"/>
        <s v="*J. BURKARDT*"/>
        <s v="*MARTINELLI*"/>
        <s v="*M. GODO*"/>
        <s v="*P. SCHICK*"/>
        <s v="*E. LEPAUL*"/>
        <s v="*IGOR JESUS*"/>
        <s v="*R. ORSOLINI*"/>
        <s v="*MIKEL OYARZABAL*"/>
        <s v="*GORKA GURUZETA*"/>
        <s v="*N. WOLTEMADE*"/>
        <s v="*ÁLEX GRIMALDO*"/>
        <s v="*E. FERNÁNDEZ*"/>
        <s v="*C. PULISIC*"/>
        <s v="*GONÇALO RAMOS*"/>
        <s v="*E. DEMIROVIC*"/>
        <s v="*CARLOS VICENTE*"/>
        <s v="*A. KRAMARIC*"/>
        <s v="*J. BRANDT*"/>
        <s v="*W. SAÏD*"/>
        <s v="*A. SØRLOTH*"/>
        <s v="*D. CALVERT-LEWIN*"/>
        <s v="*G. MIKAUTADZE*"/>
        <s v="*V. GRIFO*"/>
      </sharedItems>
    </cacheField>
    <cacheField name="Equipe" numFmtId="0">
      <sharedItems>
        <s v="Bayern Munich"/>
        <s v="Real Madrid"/>
        <s v="Manchester City"/>
        <s v="Marseille"/>
        <s v="Brentford"/>
        <s v="Inter Milan"/>
        <s v="FC Barcelone"/>
        <s v="Real Majorque"/>
        <s v="VfB Stuttgart"/>
        <s v="Liverpool"/>
        <s v="Borussia Dortmund"/>
        <s v="Manchester City / Bournemouth (10)"/>
        <s v="Celta Vigo"/>
        <s v="Mayence"/>
        <s v="Strasbourg"/>
        <s v="Osasuna"/>
        <s v="Lyon"/>
        <s v="Arsenal"/>
        <s v="Chelsea"/>
        <s v="Atl. Madrid"/>
        <s v="AS Rome / Aston Villa"/>
        <s v="Borussia M'Gladbach"/>
        <s v="RB Leipzig"/>
        <s v="Newcastle"/>
        <s v="Naples"/>
        <s v="Paris SG"/>
        <s v="Eintracht Francfort"/>
        <s v="Bayer Leverkusen"/>
        <s v="Rennes / Angers (1)"/>
        <s v="Nottingham Forest"/>
        <s v="Bologne"/>
        <s v="Real Sociedad"/>
        <s v="Athletic Bilbao"/>
        <s v="Newcastle / VfB Stuttgart"/>
        <s v="Milan AC"/>
        <s v="Alaves"/>
        <s v="Hoffenheim"/>
        <s v="Lens"/>
        <s v="Leeds United"/>
        <s v="Villarreal / Lyon"/>
        <s v="Fribourg"/>
      </sharedItems>
    </cacheField>
    <cacheField name="Buts">
      <sharedItems containsMixedTypes="1" containsNumber="1" containsInteger="1">
        <s v="41 *(13 p.)*"/>
        <s v="38 *(12 p.)*"/>
        <s v="29 *(4 p.)*"/>
        <s v="23 *(6 p.)*"/>
        <n v="19.0"/>
        <s v="18 *(6 p.)*"/>
        <n v="18.0"/>
        <n v="16.0"/>
        <s v="16 *(5 p.)*"/>
        <n v="15.0"/>
        <s v="15 *(1 p.)*"/>
        <s v="15 *(3 p.)*"/>
        <s v="14 *(3 p.)*"/>
        <s v="14 *(9 p.)*"/>
        <s v="14 *(4 p.)*"/>
        <s v="13 *(2 p.)*"/>
        <s v="13 *(1 p.)*"/>
        <s v="13 *(3 p.)*"/>
        <n v="13.0"/>
        <n v="12.0"/>
        <s v="12 *(2 p.)*"/>
        <s v="12 *(3 p.)*"/>
        <s v="12 *(1 p.)*"/>
        <s v="11 *(2 p.)*"/>
        <s v="11 *(3 p.)*"/>
        <s v="11 *(1 p.)*"/>
        <n v="11.0"/>
        <s v="11 *(4 p.)*"/>
        <s v="11 *(5 p.)*"/>
        <n v="10.0"/>
        <s v="10 *(1 p.)*"/>
        <s v="10 *(4 p.)*"/>
        <s v="10 *(2 p.)*"/>
        <s v="10 *(6 p.)*"/>
      </sharedItems>
    </cacheField>
    <cacheField name="dont champ." numFmtId="0">
      <sharedItems containsSemiMixedTypes="0" containsString="0" containsNumber="1" containsInteger="1">
        <n v="26.0"/>
        <n v="23.0"/>
        <n v="22.0"/>
        <n v="14.0"/>
        <n v="13.0"/>
        <n v="17.0"/>
        <n v="12.0"/>
        <n v="16.0"/>
        <n v="10.0"/>
        <n v="11.0"/>
        <n v="9.0"/>
        <n v="8.0"/>
        <n v="6.0"/>
        <n v="7.0"/>
        <n v="5.0"/>
        <n v="4.0"/>
        <n v="1.0"/>
        <n v="2.0"/>
      </sharedItems>
    </cacheField>
    <cacheField name="Matchs" numFmtId="0">
      <sharedItems>
        <s v="35 *(1,17 b/m)*"/>
        <s v="31 *(1,23 b/m)*"/>
        <s v="37 *(0,78 b/m)*"/>
        <s v="32 *(0,72 b/m)*"/>
        <s v="32 *(0,59 b/m)*"/>
        <s v="27 *(0,67 b/m)*"/>
        <s v="34 *(0,53 b/m)*"/>
        <s v="32 *(0,50 b/m)*"/>
        <s v="23 *(0,70 b/m)*"/>
        <s v="29 *(0,55 b/m)*"/>
        <s v="35 *(0,43 b/m)*"/>
        <s v="32 *(0,47 b/m)*"/>
        <s v="30 *(0,50 b/m)*"/>
        <s v="31 *(0,48 b/m)*"/>
        <s v="32 *(0,44 b/m)*"/>
        <s v="27 *(0,52 b/m)*"/>
        <s v="31 *(0,45 b/m)*"/>
        <s v="22 *(0,59 b/m)*"/>
        <s v="29 *(0,45 b/m)*"/>
        <s v="26 *(0,50 b/m)*"/>
        <s v="30 *(0,43 b/m)*"/>
        <s v="34 *(0,38 b/m)*"/>
        <s v="35 *(0,37 b/m)*"/>
        <s v="32 *(0,38 b/m)*"/>
        <s v="34 *(0,35 b/m)*"/>
        <s v="24 *(0,50 b/m)*"/>
        <s v="29 *(0,41 b/m)*"/>
        <s v="25 *(0,48 b/m)*"/>
        <s v="40 *(0,30 b/m)*"/>
        <s v="27 *(0,41 b/m)*"/>
        <s v="22 *(0,50 b/m)*"/>
        <s v="17 *(0,65 b/m)*"/>
        <s v="32 *(0,34 b/m)*"/>
        <s v="25 *(0,44 b/m)*"/>
        <s v="24 *(0,46 b/m)*"/>
        <s v="33 *(0,33 b/m)*"/>
        <s v="34 *(0,32 b/m)*"/>
        <s v="41 *(0,27 b/m)*"/>
        <s v="29 *(0,38 b/m)*"/>
        <s v="39 *(0,28 b/m)*"/>
        <s v="21 *(0,48 b/m)*"/>
        <s v="31 *(0,32 b/m)*"/>
        <s v="20 *(0,50 b/m)*"/>
        <s v="25 *(0,40 b/m)*"/>
        <s v="24 *(0,42 b/m)*"/>
        <s v="27 *(0,37 b/m)*"/>
        <s v="33 *(0,30 b/m)*"/>
        <s v="30 *(0,33 b/m)*"/>
        <s v="34 *(0,29 b/m)*"/>
      </sharedItems>
    </cacheField>
    <cacheField name="Min/But(*)" numFmtId="0">
      <sharedItems>
        <s v="69'"/>
        <s v="70'"/>
        <s v="101'"/>
        <s v="113'"/>
        <s v="139'"/>
        <s v="124'"/>
        <s v="131'"/>
        <s v="115'"/>
        <s v="118'"/>
        <s v="137'"/>
        <s v="149'"/>
        <s v="154'"/>
        <s v="170'"/>
        <s v="172'"/>
        <s v="128'"/>
        <s v="162'"/>
        <s v="167'"/>
        <s v="108'"/>
        <s v="119'"/>
        <s v="140'"/>
        <s v="146'"/>
        <s v="168'"/>
        <s v="193'"/>
        <s v="206'"/>
        <s v="117'"/>
        <s v="125'"/>
        <s v="150'"/>
        <s v="153'"/>
        <s v="192'"/>
        <s v="209'"/>
        <s v="217'"/>
        <s v="97'"/>
        <s v="106'"/>
        <s v="109'"/>
        <s v="129'"/>
        <s v="164'"/>
        <s v="182'"/>
        <s v="190'"/>
        <s v="201'"/>
        <s v="223'"/>
        <s v="228'"/>
        <s v="280'"/>
        <s v="123'"/>
        <s v="173'"/>
        <s v="174'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 2" cacheId="0" dataCaption="" compact="0" compactData="0">
  <location ref="A1:G43" firstHeaderRow="0" firstDataRow="2" firstDataCol="1"/>
  <pivotFields>
    <pivotField name="Sexe" axis="axisCol" compact="0" outline="0" multipleItemSelectionAllowed="1" showAll="0" sortType="ascending">
      <items>
        <item x="0"/>
        <item x="1"/>
        <item t="default"/>
      </items>
    </pivotField>
    <pivotField name="Joueu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quipe" axis="axisRow" compact="0" outline="0" multipleItemSelectionAllowed="1" showAll="0" sortType="ascending">
      <items>
        <item x="35"/>
        <item x="8"/>
        <item x="27"/>
        <item x="20"/>
        <item x="38"/>
        <item x="34"/>
        <item x="5"/>
        <item x="28"/>
        <item x="18"/>
        <item x="26"/>
        <item x="31"/>
        <item x="32"/>
        <item x="37"/>
        <item x="3"/>
        <item x="17"/>
        <item x="30"/>
        <item x="21"/>
        <item x="29"/>
        <item x="33"/>
        <item x="24"/>
        <item x="13"/>
        <item x="15"/>
        <item x="4"/>
        <item x="25"/>
        <item x="1"/>
        <item x="10"/>
        <item x="6"/>
        <item x="12"/>
        <item x="23"/>
        <item x="7"/>
        <item x="14"/>
        <item x="11"/>
        <item x="2"/>
        <item x="22"/>
        <item x="9"/>
        <item x="19"/>
        <item x="16"/>
        <item x="36"/>
        <item x="0"/>
        <item t="default"/>
      </items>
    </pivotField>
    <pivotField name="Bu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ont champ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tc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Min/But(*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2"/>
  </rowFields>
  <colFields>
    <field x="0"/>
    <field x="-2"/>
  </colFields>
  <dataFields>
    <dataField name="SUM of dont champ." fld="4" baseField="0"/>
    <dataField name="COUNTA of Joueur" fld="1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Tableau croisé dynamique 1" cacheId="1" dataCaption="" compact="0" compactData="0">
  <location ref="A1:C43" firstHeaderRow="0" firstDataRow="2" firstDataCol="0"/>
  <pivotFields>
    <pivotField name="P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ueu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quipe" axis="axisRow" compact="0" outline="0" multipleItemSelectionAllowed="1" showAll="0" sortType="ascending">
      <items>
        <item x="35"/>
        <item x="17"/>
        <item x="20"/>
        <item x="32"/>
        <item x="19"/>
        <item x="27"/>
        <item x="0"/>
        <item x="30"/>
        <item x="10"/>
        <item x="21"/>
        <item x="4"/>
        <item x="12"/>
        <item x="18"/>
        <item x="26"/>
        <item x="6"/>
        <item x="40"/>
        <item x="36"/>
        <item x="5"/>
        <item x="38"/>
        <item x="37"/>
        <item x="9"/>
        <item x="16"/>
        <item x="2"/>
        <item x="11"/>
        <item x="3"/>
        <item x="13"/>
        <item x="34"/>
        <item x="24"/>
        <item x="23"/>
        <item x="33"/>
        <item x="29"/>
        <item x="15"/>
        <item x="25"/>
        <item x="22"/>
        <item x="1"/>
        <item x="7"/>
        <item x="31"/>
        <item x="28"/>
        <item x="14"/>
        <item x="8"/>
        <item x="39"/>
        <item t="default"/>
      </items>
    </pivotField>
    <pivotField name="Bu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ont champ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tc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Min/But(*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2"/>
  </rowFields>
  <colFields>
    <field x="-2"/>
  </colFields>
  <dataFields>
    <dataField name="COUNTA of Joueur" fld="1" subtotal="count" baseField="0"/>
    <dataField name="SUM of dont champ." fld="4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>IFERROR(__xludf.DUMMYFUNCTION("IMPORTHTML(""http://www.maxifoot.fr/classement-buteur-europe.htm"",""table"")"),"Pl.")</f>
        <v>Pl.</v>
      </c>
      <c r="B1" t="str">
        <f>IFERROR(__xludf.DUMMYFUNCTION("""COMPUTED_VALUE"""),"Joueur")</f>
        <v>Joueur</v>
      </c>
      <c r="C1" t="str">
        <f>IFERROR(__xludf.DUMMYFUNCTION("""COMPUTED_VALUE"""),"Equipe")</f>
        <v>Equipe</v>
      </c>
      <c r="D1" t="str">
        <f>IFERROR(__xludf.DUMMYFUNCTION("""COMPUTED_VALUE"""),"Buts")</f>
        <v>Buts</v>
      </c>
      <c r="E1" t="str">
        <f>IFERROR(__xludf.DUMMYFUNCTION("""COMPUTED_VALUE"""),"dont champ.")</f>
        <v>dont champ.</v>
      </c>
      <c r="F1" t="str">
        <f>IFERROR(__xludf.DUMMYFUNCTION("""COMPUTED_VALUE"""),"Matchs")</f>
        <v>Matchs</v>
      </c>
      <c r="G1" t="str">
        <f>IFERROR(__xludf.DUMMYFUNCTION("""COMPUTED_VALUE"""),"Min/But(*)")</f>
        <v>Min/But(*)</v>
      </c>
    </row>
    <row r="2">
      <c r="A2" t="str">
        <f>IFERROR(__xludf.DUMMYFUNCTION("""COMPUTED_VALUE"""),"1.")</f>
        <v>1.</v>
      </c>
      <c r="B2" t="str">
        <f>IFERROR(__xludf.DUMMYFUNCTION("""COMPUTED_VALUE"""),"*H. KANE*")</f>
        <v>*H. KANE*</v>
      </c>
      <c r="C2" t="str">
        <f>IFERROR(__xludf.DUMMYFUNCTION("""COMPUTED_VALUE"""),"Bayern Munich")</f>
        <v>Bayern Munich</v>
      </c>
      <c r="D2" t="str">
        <f>IFERROR(__xludf.DUMMYFUNCTION("""COMPUTED_VALUE"""),"41 *(13 p.)*")</f>
        <v>41 *(13 p.)*</v>
      </c>
      <c r="E2">
        <f>IFERROR(__xludf.DUMMYFUNCTION("""COMPUTED_VALUE"""),26.0)</f>
        <v>26</v>
      </c>
      <c r="F2" t="str">
        <f>IFERROR(__xludf.DUMMYFUNCTION("""COMPUTED_VALUE"""),"35 *(1,17 b/m)*")</f>
        <v>35 *(1,17 b/m)*</v>
      </c>
      <c r="G2" t="str">
        <f>IFERROR(__xludf.DUMMYFUNCTION("""COMPUTED_VALUE"""),"69'")</f>
        <v>69'</v>
      </c>
    </row>
    <row r="3">
      <c r="A3" t="str">
        <f>IFERROR(__xludf.DUMMYFUNCTION("""COMPUTED_VALUE"""),"2.")</f>
        <v>2.</v>
      </c>
      <c r="B3" t="str">
        <f>IFERROR(__xludf.DUMMYFUNCTION("""COMPUTED_VALUE"""),"*K. MBAPPÉ*")</f>
        <v>*K. MBAPPÉ*</v>
      </c>
      <c r="C3" t="str">
        <f>IFERROR(__xludf.DUMMYFUNCTION("""COMPUTED_VALUE"""),"Real Madrid")</f>
        <v>Real Madrid</v>
      </c>
      <c r="D3" t="str">
        <f>IFERROR(__xludf.DUMMYFUNCTION("""COMPUTED_VALUE"""),"38 *(12 p.)*")</f>
        <v>38 *(12 p.)*</v>
      </c>
      <c r="E3">
        <f>IFERROR(__xludf.DUMMYFUNCTION("""COMPUTED_VALUE"""),23.0)</f>
        <v>23</v>
      </c>
      <c r="F3" t="str">
        <f>IFERROR(__xludf.DUMMYFUNCTION("""COMPUTED_VALUE"""),"31 *(1,23 b/m)*")</f>
        <v>31 *(1,23 b/m)*</v>
      </c>
      <c r="G3" t="str">
        <f>IFERROR(__xludf.DUMMYFUNCTION("""COMPUTED_VALUE"""),"70'")</f>
        <v>70'</v>
      </c>
    </row>
    <row r="4">
      <c r="A4" t="str">
        <f>IFERROR(__xludf.DUMMYFUNCTION("""COMPUTED_VALUE"""),"3.")</f>
        <v>3.</v>
      </c>
      <c r="B4" t="str">
        <f>IFERROR(__xludf.DUMMYFUNCTION("""COMPUTED_VALUE"""),"*E. HAALAND*")</f>
        <v>*E. HAALAND*</v>
      </c>
      <c r="C4" t="str">
        <f>IFERROR(__xludf.DUMMYFUNCTION("""COMPUTED_VALUE"""),"Manchester City")</f>
        <v>Manchester City</v>
      </c>
      <c r="D4" t="str">
        <f>IFERROR(__xludf.DUMMYFUNCTION("""COMPUTED_VALUE"""),"29 *(4 p.)*")</f>
        <v>29 *(4 p.)*</v>
      </c>
      <c r="E4">
        <f>IFERROR(__xludf.DUMMYFUNCTION("""COMPUTED_VALUE"""),22.0)</f>
        <v>22</v>
      </c>
      <c r="F4" t="str">
        <f>IFERROR(__xludf.DUMMYFUNCTION("""COMPUTED_VALUE"""),"37 *(0,78 b/m)*")</f>
        <v>37 *(0,78 b/m)*</v>
      </c>
      <c r="G4" t="str">
        <f>IFERROR(__xludf.DUMMYFUNCTION("""COMPUTED_VALUE"""),"101'")</f>
        <v>101'</v>
      </c>
    </row>
    <row r="5">
      <c r="A5" t="str">
        <f>IFERROR(__xludf.DUMMYFUNCTION("""COMPUTED_VALUE"""),"4.")</f>
        <v>4.</v>
      </c>
      <c r="B5" t="str">
        <f>IFERROR(__xludf.DUMMYFUNCTION("""COMPUTED_VALUE"""),"*M. GREENWOOD*")</f>
        <v>*M. GREENWOOD*</v>
      </c>
      <c r="C5" t="str">
        <f>IFERROR(__xludf.DUMMYFUNCTION("""COMPUTED_VALUE"""),"Marseille")</f>
        <v>Marseille</v>
      </c>
      <c r="D5" t="str">
        <f>IFERROR(__xludf.DUMMYFUNCTION("""COMPUTED_VALUE"""),"23 *(6 p.)*")</f>
        <v>23 *(6 p.)*</v>
      </c>
      <c r="E5">
        <f>IFERROR(__xludf.DUMMYFUNCTION("""COMPUTED_VALUE"""),14.0)</f>
        <v>14</v>
      </c>
      <c r="F5" t="str">
        <f>IFERROR(__xludf.DUMMYFUNCTION("""COMPUTED_VALUE"""),"32 *(0,72 b/m)*")</f>
        <v>32 *(0,72 b/m)*</v>
      </c>
      <c r="G5" t="str">
        <f>IFERROR(__xludf.DUMMYFUNCTION("""COMPUTED_VALUE"""),"113'")</f>
        <v>113'</v>
      </c>
    </row>
    <row r="6">
      <c r="A6" t="str">
        <f>IFERROR(__xludf.DUMMYFUNCTION("""COMPUTED_VALUE"""),"5.")</f>
        <v>5.</v>
      </c>
      <c r="B6" t="str">
        <f>IFERROR(__xludf.DUMMYFUNCTION("""COMPUTED_VALUE"""),"*L. DÍAZ*")</f>
        <v>*L. DÍAZ*</v>
      </c>
      <c r="C6" t="str">
        <f>IFERROR(__xludf.DUMMYFUNCTION("""COMPUTED_VALUE"""),"Bayern Munich")</f>
        <v>Bayern Munich</v>
      </c>
      <c r="D6">
        <f>IFERROR(__xludf.DUMMYFUNCTION("""COMPUTED_VALUE"""),19.0)</f>
        <v>19</v>
      </c>
      <c r="E6">
        <f>IFERROR(__xludf.DUMMYFUNCTION("""COMPUTED_VALUE"""),13.0)</f>
        <v>13</v>
      </c>
      <c r="F6" t="str">
        <f>IFERROR(__xludf.DUMMYFUNCTION("""COMPUTED_VALUE"""),"32 *(0,59 b/m)*")</f>
        <v>32 *(0,59 b/m)*</v>
      </c>
      <c r="G6" t="str">
        <f>IFERROR(__xludf.DUMMYFUNCTION("""COMPUTED_VALUE"""),"139'")</f>
        <v>139'</v>
      </c>
    </row>
    <row r="7">
      <c r="A7" t="str">
        <f>IFERROR(__xludf.DUMMYFUNCTION("""COMPUTED_VALUE"""),"6.")</f>
        <v>6.</v>
      </c>
      <c r="B7" t="str">
        <f>IFERROR(__xludf.DUMMYFUNCTION("""COMPUTED_VALUE"""),"*THIAGO*")</f>
        <v>*THIAGO*</v>
      </c>
      <c r="C7" t="str">
        <f>IFERROR(__xludf.DUMMYFUNCTION("""COMPUTED_VALUE"""),"Brentford")</f>
        <v>Brentford</v>
      </c>
      <c r="D7" t="str">
        <f>IFERROR(__xludf.DUMMYFUNCTION("""COMPUTED_VALUE"""),"18 *(6 p.)*")</f>
        <v>18 *(6 p.)*</v>
      </c>
      <c r="E7">
        <f>IFERROR(__xludf.DUMMYFUNCTION("""COMPUTED_VALUE"""),17.0)</f>
        <v>17</v>
      </c>
      <c r="F7" t="str">
        <f>IFERROR(__xludf.DUMMYFUNCTION("""COMPUTED_VALUE"""),"27 *(0,67 b/m)*")</f>
        <v>27 *(0,67 b/m)*</v>
      </c>
      <c r="G7" t="str">
        <f>IFERROR(__xludf.DUMMYFUNCTION("""COMPUTED_VALUE"""),"124'")</f>
        <v>124'</v>
      </c>
    </row>
    <row r="8">
      <c r="A8" t="str">
        <f>IFERROR(__xludf.DUMMYFUNCTION("""COMPUTED_VALUE"""),".")</f>
        <v>.</v>
      </c>
      <c r="B8" t="str">
        <f>IFERROR(__xludf.DUMMYFUNCTION("""COMPUTED_VALUE"""),"*L. MARTÍNEZ*")</f>
        <v>*L. MARTÍNEZ*</v>
      </c>
      <c r="C8" t="str">
        <f>IFERROR(__xludf.DUMMYFUNCTION("""COMPUTED_VALUE"""),"Inter Milan")</f>
        <v>Inter Milan</v>
      </c>
      <c r="D8">
        <f>IFERROR(__xludf.DUMMYFUNCTION("""COMPUTED_VALUE"""),18.0)</f>
        <v>18</v>
      </c>
      <c r="E8">
        <f>IFERROR(__xludf.DUMMYFUNCTION("""COMPUTED_VALUE"""),14.0)</f>
        <v>14</v>
      </c>
      <c r="F8" t="str">
        <f>IFERROR(__xludf.DUMMYFUNCTION("""COMPUTED_VALUE"""),"34 *(0,53 b/m)*")</f>
        <v>34 *(0,53 b/m)*</v>
      </c>
      <c r="G8" t="str">
        <f>IFERROR(__xludf.DUMMYFUNCTION("""COMPUTED_VALUE"""),"131'")</f>
        <v>131'</v>
      </c>
    </row>
    <row r="9">
      <c r="A9" t="str">
        <f>IFERROR(__xludf.DUMMYFUNCTION("""COMPUTED_VALUE"""),"8.")</f>
        <v>8.</v>
      </c>
      <c r="B9" t="str">
        <f>IFERROR(__xludf.DUMMYFUNCTION("""COMPUTED_VALUE"""),"*FERRAN TORRES*")</f>
        <v>*FERRAN TORRES*</v>
      </c>
      <c r="C9" t="str">
        <f>IFERROR(__xludf.DUMMYFUNCTION("""COMPUTED_VALUE"""),"FC Barcelone")</f>
        <v>FC Barcelone</v>
      </c>
      <c r="D9">
        <f>IFERROR(__xludf.DUMMYFUNCTION("""COMPUTED_VALUE"""),16.0)</f>
        <v>16</v>
      </c>
      <c r="E9">
        <f>IFERROR(__xludf.DUMMYFUNCTION("""COMPUTED_VALUE"""),12.0)</f>
        <v>12</v>
      </c>
      <c r="F9" t="str">
        <f>IFERROR(__xludf.DUMMYFUNCTION("""COMPUTED_VALUE"""),"32 *(0,50 b/m)*")</f>
        <v>32 *(0,50 b/m)*</v>
      </c>
      <c r="G9" t="str">
        <f>IFERROR(__xludf.DUMMYFUNCTION("""COMPUTED_VALUE"""),"115'")</f>
        <v>115'</v>
      </c>
    </row>
    <row r="10">
      <c r="A10" t="str">
        <f>IFERROR(__xludf.DUMMYFUNCTION("""COMPUTED_VALUE"""),".")</f>
        <v>.</v>
      </c>
      <c r="B10" t="str">
        <f>IFERROR(__xludf.DUMMYFUNCTION("""COMPUTED_VALUE"""),"*V. MURIQI*")</f>
        <v>*V. MURIQI*</v>
      </c>
      <c r="C10" t="str">
        <f>IFERROR(__xludf.DUMMYFUNCTION("""COMPUTED_VALUE"""),"Real Majorque")</f>
        <v>Real Majorque</v>
      </c>
      <c r="D10" t="str">
        <f>IFERROR(__xludf.DUMMYFUNCTION("""COMPUTED_VALUE"""),"16 *(5 p.)*")</f>
        <v>16 *(5 p.)*</v>
      </c>
      <c r="E10">
        <f>IFERROR(__xludf.DUMMYFUNCTION("""COMPUTED_VALUE"""),16.0)</f>
        <v>16</v>
      </c>
      <c r="F10" t="str">
        <f>IFERROR(__xludf.DUMMYFUNCTION("""COMPUTED_VALUE"""),"23 *(0,70 b/m)*")</f>
        <v>23 *(0,70 b/m)*</v>
      </c>
      <c r="G10" t="str">
        <f>IFERROR(__xludf.DUMMYFUNCTION("""COMPUTED_VALUE"""),"118'")</f>
        <v>118'</v>
      </c>
    </row>
    <row r="11">
      <c r="A11" t="str">
        <f>IFERROR(__xludf.DUMMYFUNCTION("""COMPUTED_VALUE"""),".")</f>
        <v>.</v>
      </c>
      <c r="B11" t="str">
        <f>IFERROR(__xludf.DUMMYFUNCTION("""COMPUTED_VALUE"""),"*D. UNDAV*")</f>
        <v>*D. UNDAV*</v>
      </c>
      <c r="C11" t="str">
        <f>IFERROR(__xludf.DUMMYFUNCTION("""COMPUTED_VALUE"""),"VfB Stuttgart")</f>
        <v>VfB Stuttgart</v>
      </c>
      <c r="D11">
        <f>IFERROR(__xludf.DUMMYFUNCTION("""COMPUTED_VALUE"""),16.0)</f>
        <v>16</v>
      </c>
      <c r="E11">
        <f>IFERROR(__xludf.DUMMYFUNCTION("""COMPUTED_VALUE"""),12.0)</f>
        <v>12</v>
      </c>
      <c r="F11" t="str">
        <f>IFERROR(__xludf.DUMMYFUNCTION("""COMPUTED_VALUE"""),"29 *(0,55 b/m)*")</f>
        <v>29 *(0,55 b/m)*</v>
      </c>
      <c r="G11" t="str">
        <f>IFERROR(__xludf.DUMMYFUNCTION("""COMPUTED_VALUE"""),"137'")</f>
        <v>137'</v>
      </c>
    </row>
    <row r="12">
      <c r="A12" t="str">
        <f>IFERROR(__xludf.DUMMYFUNCTION("""COMPUTED_VALUE"""),"11.")</f>
        <v>11.</v>
      </c>
      <c r="B12" t="str">
        <f>IFERROR(__xludf.DUMMYFUNCTION("""COMPUTED_VALUE"""),"*H. EKITIKE*")</f>
        <v>*H. EKITIKE*</v>
      </c>
      <c r="C12" t="str">
        <f>IFERROR(__xludf.DUMMYFUNCTION("""COMPUTED_VALUE"""),"Liverpool")</f>
        <v>Liverpool</v>
      </c>
      <c r="D12">
        <f>IFERROR(__xludf.DUMMYFUNCTION("""COMPUTED_VALUE"""),15.0)</f>
        <v>15</v>
      </c>
      <c r="E12">
        <f>IFERROR(__xludf.DUMMYFUNCTION("""COMPUTED_VALUE"""),10.0)</f>
        <v>10</v>
      </c>
      <c r="F12" t="str">
        <f>IFERROR(__xludf.DUMMYFUNCTION("""COMPUTED_VALUE"""),"35 *(0,43 b/m)*")</f>
        <v>35 *(0,43 b/m)*</v>
      </c>
      <c r="G12" t="str">
        <f>IFERROR(__xludf.DUMMYFUNCTION("""COMPUTED_VALUE"""),"149'")</f>
        <v>149'</v>
      </c>
    </row>
    <row r="13">
      <c r="A13" t="str">
        <f>IFERROR(__xludf.DUMMYFUNCTION("""COMPUTED_VALUE"""),".")</f>
        <v>.</v>
      </c>
      <c r="B13" t="str">
        <f>IFERROR(__xludf.DUMMYFUNCTION("""COMPUTED_VALUE"""),"*S. GUIRASSY*")</f>
        <v>*S. GUIRASSY*</v>
      </c>
      <c r="C13" t="str">
        <f>IFERROR(__xludf.DUMMYFUNCTION("""COMPUTED_VALUE"""),"Borussia Dortmund")</f>
        <v>Borussia Dortmund</v>
      </c>
      <c r="D13" t="str">
        <f>IFERROR(__xludf.DUMMYFUNCTION("""COMPUTED_VALUE"""),"15 *(1 p.)*")</f>
        <v>15 *(1 p.)*</v>
      </c>
      <c r="E13">
        <f>IFERROR(__xludf.DUMMYFUNCTION("""COMPUTED_VALUE"""),11.0)</f>
        <v>11</v>
      </c>
      <c r="F13" t="str">
        <f>IFERROR(__xludf.DUMMYFUNCTION("""COMPUTED_VALUE"""),"32 *(0,47 b/m)*")</f>
        <v>32 *(0,47 b/m)*</v>
      </c>
      <c r="G13" t="str">
        <f>IFERROR(__xludf.DUMMYFUNCTION("""COMPUTED_VALUE"""),"154'")</f>
        <v>154'</v>
      </c>
    </row>
    <row r="14">
      <c r="A14" t="str">
        <f>IFERROR(__xludf.DUMMYFUNCTION("""COMPUTED_VALUE"""),".")</f>
        <v>.</v>
      </c>
      <c r="B14" t="str">
        <f>IFERROR(__xludf.DUMMYFUNCTION("""COMPUTED_VALUE"""),"*A. SEMENYO*")</f>
        <v>*A. SEMENYO*</v>
      </c>
      <c r="C14" t="str">
        <f>IFERROR(__xludf.DUMMYFUNCTION("""COMPUTED_VALUE"""),"Manchester City / Bournemouth (10)")</f>
        <v>Manchester City / Bournemouth (10)</v>
      </c>
      <c r="D14" t="str">
        <f>IFERROR(__xludf.DUMMYFUNCTION("""COMPUTED_VALUE"""),"15 *(1 p.)*")</f>
        <v>15 *(1 p.)*</v>
      </c>
      <c r="E14">
        <f>IFERROR(__xludf.DUMMYFUNCTION("""COMPUTED_VALUE"""),13.0)</f>
        <v>13</v>
      </c>
      <c r="F14" t="str">
        <f>IFERROR(__xludf.DUMMYFUNCTION("""COMPUTED_VALUE"""),"30 *(0,50 b/m)*")</f>
        <v>30 *(0,50 b/m)*</v>
      </c>
      <c r="G14" t="str">
        <f>IFERROR(__xludf.DUMMYFUNCTION("""COMPUTED_VALUE"""),"170'")</f>
        <v>170'</v>
      </c>
    </row>
    <row r="15">
      <c r="A15" t="str">
        <f>IFERROR(__xludf.DUMMYFUNCTION("""COMPUTED_VALUE"""),".")</f>
        <v>.</v>
      </c>
      <c r="B15" t="str">
        <f>IFERROR(__xludf.DUMMYFUNCTION("""COMPUTED_VALUE"""),"*LAMINE YAMAL*")</f>
        <v>*LAMINE YAMAL*</v>
      </c>
      <c r="C15" t="str">
        <f>IFERROR(__xludf.DUMMYFUNCTION("""COMPUTED_VALUE"""),"FC Barcelone")</f>
        <v>FC Barcelone</v>
      </c>
      <c r="D15" t="str">
        <f>IFERROR(__xludf.DUMMYFUNCTION("""COMPUTED_VALUE"""),"15 *(3 p.)*")</f>
        <v>15 *(3 p.)*</v>
      </c>
      <c r="E15">
        <f>IFERROR(__xludf.DUMMYFUNCTION("""COMPUTED_VALUE"""),10.0)</f>
        <v>10</v>
      </c>
      <c r="F15" t="str">
        <f>IFERROR(__xludf.DUMMYFUNCTION("""COMPUTED_VALUE"""),"31 *(0,48 b/m)*")</f>
        <v>31 *(0,48 b/m)*</v>
      </c>
      <c r="G15" t="str">
        <f>IFERROR(__xludf.DUMMYFUNCTION("""COMPUTED_VALUE"""),"172'")</f>
        <v>172'</v>
      </c>
    </row>
    <row r="16">
      <c r="A16" t="str">
        <f>IFERROR(__xludf.DUMMYFUNCTION("""COMPUTED_VALUE"""),"15.")</f>
        <v>15.</v>
      </c>
      <c r="B16" t="str">
        <f>IFERROR(__xludf.DUMMYFUNCTION("""COMPUTED_VALUE"""),"*BORJA IGLESIAS*")</f>
        <v>*BORJA IGLESIAS*</v>
      </c>
      <c r="C16" t="str">
        <f>IFERROR(__xludf.DUMMYFUNCTION("""COMPUTED_VALUE"""),"Celta Vigo")</f>
        <v>Celta Vigo</v>
      </c>
      <c r="D16" t="str">
        <f>IFERROR(__xludf.DUMMYFUNCTION("""COMPUTED_VALUE"""),"14 *(3 p.)*")</f>
        <v>14 *(3 p.)*</v>
      </c>
      <c r="E16">
        <f>IFERROR(__xludf.DUMMYFUNCTION("""COMPUTED_VALUE"""),10.0)</f>
        <v>10</v>
      </c>
      <c r="F16" t="str">
        <f>IFERROR(__xludf.DUMMYFUNCTION("""COMPUTED_VALUE"""),"32 *(0,44 b/m)*")</f>
        <v>32 *(0,44 b/m)*</v>
      </c>
      <c r="G16" t="str">
        <f>IFERROR(__xludf.DUMMYFUNCTION("""COMPUTED_VALUE"""),"128'")</f>
        <v>128'</v>
      </c>
    </row>
    <row r="17">
      <c r="A17" t="str">
        <f>IFERROR(__xludf.DUMMYFUNCTION("""COMPUTED_VALUE"""),".")</f>
        <v>.</v>
      </c>
      <c r="B17" t="str">
        <f>IFERROR(__xludf.DUMMYFUNCTION("""COMPUTED_VALUE"""),"*N. AMIRI*")</f>
        <v>*N. AMIRI*</v>
      </c>
      <c r="C17" t="str">
        <f>IFERROR(__xludf.DUMMYFUNCTION("""COMPUTED_VALUE"""),"Mayence")</f>
        <v>Mayence</v>
      </c>
      <c r="D17" t="str">
        <f>IFERROR(__xludf.DUMMYFUNCTION("""COMPUTED_VALUE"""),"14 *(9 p.)*")</f>
        <v>14 *(9 p.)*</v>
      </c>
      <c r="E17">
        <f>IFERROR(__xludf.DUMMYFUNCTION("""COMPUTED_VALUE"""),9.0)</f>
        <v>9</v>
      </c>
      <c r="F17" t="str">
        <f>IFERROR(__xludf.DUMMYFUNCTION("""COMPUTED_VALUE"""),"27 *(0,52 b/m)*")</f>
        <v>27 *(0,52 b/m)*</v>
      </c>
      <c r="G17" t="str">
        <f>IFERROR(__xludf.DUMMYFUNCTION("""COMPUTED_VALUE"""),"162'")</f>
        <v>162'</v>
      </c>
    </row>
    <row r="18">
      <c r="A18" t="str">
        <f>IFERROR(__xludf.DUMMYFUNCTION("""COMPUTED_VALUE"""),".")</f>
        <v>.</v>
      </c>
      <c r="B18" t="str">
        <f>IFERROR(__xludf.DUMMYFUNCTION("""COMPUTED_VALUE"""),"*J. PANICHELLI*")</f>
        <v>*J. PANICHELLI*</v>
      </c>
      <c r="C18" t="str">
        <f>IFERROR(__xludf.DUMMYFUNCTION("""COMPUTED_VALUE"""),"Strasbourg")</f>
        <v>Strasbourg</v>
      </c>
      <c r="D18" t="str">
        <f>IFERROR(__xludf.DUMMYFUNCTION("""COMPUTED_VALUE"""),"14 *(4 p.)*")</f>
        <v>14 *(4 p.)*</v>
      </c>
      <c r="E18">
        <f>IFERROR(__xludf.DUMMYFUNCTION("""COMPUTED_VALUE"""),12.0)</f>
        <v>12</v>
      </c>
      <c r="F18" t="str">
        <f>IFERROR(__xludf.DUMMYFUNCTION("""COMPUTED_VALUE"""),"31 *(0,45 b/m)*")</f>
        <v>31 *(0,45 b/m)*</v>
      </c>
      <c r="G18" t="str">
        <f>IFERROR(__xludf.DUMMYFUNCTION("""COMPUTED_VALUE"""),"167'")</f>
        <v>167'</v>
      </c>
    </row>
    <row r="19">
      <c r="A19" t="str">
        <f>IFERROR(__xludf.DUMMYFUNCTION("""COMPUTED_VALUE"""),"18.")</f>
        <v>18.</v>
      </c>
      <c r="B19" t="str">
        <f>IFERROR(__xludf.DUMMYFUNCTION("""COMPUTED_VALUE"""),"*RAPHINHA*")</f>
        <v>*RAPHINHA*</v>
      </c>
      <c r="C19" t="str">
        <f>IFERROR(__xludf.DUMMYFUNCTION("""COMPUTED_VALUE"""),"FC Barcelone")</f>
        <v>FC Barcelone</v>
      </c>
      <c r="D19" t="str">
        <f>IFERROR(__xludf.DUMMYFUNCTION("""COMPUTED_VALUE"""),"13 *(2 p.)*")</f>
        <v>13 *(2 p.)*</v>
      </c>
      <c r="E19">
        <f>IFERROR(__xludf.DUMMYFUNCTION("""COMPUTED_VALUE"""),8.0)</f>
        <v>8</v>
      </c>
      <c r="F19" t="str">
        <f>IFERROR(__xludf.DUMMYFUNCTION("""COMPUTED_VALUE"""),"22 *(0,59 b/m)*")</f>
        <v>22 *(0,59 b/m)*</v>
      </c>
      <c r="G19" t="str">
        <f>IFERROR(__xludf.DUMMYFUNCTION("""COMPUTED_VALUE"""),"108'")</f>
        <v>108'</v>
      </c>
    </row>
    <row r="20">
      <c r="A20" t="str">
        <f>IFERROR(__xludf.DUMMYFUNCTION("""COMPUTED_VALUE"""),".")</f>
        <v>.</v>
      </c>
      <c r="B20" t="str">
        <f>IFERROR(__xludf.DUMMYFUNCTION("""COMPUTED_VALUE"""),"*R. LEWANDOWSKI*")</f>
        <v>*R. LEWANDOWSKI*</v>
      </c>
      <c r="C20" t="str">
        <f>IFERROR(__xludf.DUMMYFUNCTION("""COMPUTED_VALUE"""),"FC Barcelone")</f>
        <v>FC Barcelone</v>
      </c>
      <c r="D20" t="str">
        <f>IFERROR(__xludf.DUMMYFUNCTION("""COMPUTED_VALUE"""),"13 *(1 p.)*")</f>
        <v>13 *(1 p.)*</v>
      </c>
      <c r="E20">
        <f>IFERROR(__xludf.DUMMYFUNCTION("""COMPUTED_VALUE"""),10.0)</f>
        <v>10</v>
      </c>
      <c r="F20" t="str">
        <f>IFERROR(__xludf.DUMMYFUNCTION("""COMPUTED_VALUE"""),"29 *(0,45 b/m)*")</f>
        <v>29 *(0,45 b/m)*</v>
      </c>
      <c r="G20" t="str">
        <f>IFERROR(__xludf.DUMMYFUNCTION("""COMPUTED_VALUE"""),"119'")</f>
        <v>119'</v>
      </c>
    </row>
    <row r="21">
      <c r="A21" t="str">
        <f>IFERROR(__xludf.DUMMYFUNCTION("""COMPUTED_VALUE"""),".")</f>
        <v>.</v>
      </c>
      <c r="B21" t="str">
        <f>IFERROR(__xludf.DUMMYFUNCTION("""COMPUTED_VALUE"""),"*A. BUDIMIR*")</f>
        <v>*A. BUDIMIR*</v>
      </c>
      <c r="C21" t="str">
        <f>IFERROR(__xludf.DUMMYFUNCTION("""COMPUTED_VALUE"""),"Osasuna")</f>
        <v>Osasuna</v>
      </c>
      <c r="D21" t="str">
        <f>IFERROR(__xludf.DUMMYFUNCTION("""COMPUTED_VALUE"""),"13 *(3 p.)*")</f>
        <v>13 *(3 p.)*</v>
      </c>
      <c r="E21">
        <f>IFERROR(__xludf.DUMMYFUNCTION("""COMPUTED_VALUE"""),11.0)</f>
        <v>11</v>
      </c>
      <c r="F21" t="str">
        <f>IFERROR(__xludf.DUMMYFUNCTION("""COMPUTED_VALUE"""),"26 *(0,50 b/m)*")</f>
        <v>26 *(0,50 b/m)*</v>
      </c>
      <c r="G21" t="str">
        <f>IFERROR(__xludf.DUMMYFUNCTION("""COMPUTED_VALUE"""),"140'")</f>
        <v>140'</v>
      </c>
    </row>
    <row r="22">
      <c r="A22" t="str">
        <f>IFERROR(__xludf.DUMMYFUNCTION("""COMPUTED_VALUE"""),".")</f>
        <v>.</v>
      </c>
      <c r="B22" t="str">
        <f>IFERROR(__xludf.DUMMYFUNCTION("""COMPUTED_VALUE"""),"*P. SULC*")</f>
        <v>*P. SULC*</v>
      </c>
      <c r="C22" t="str">
        <f>IFERROR(__xludf.DUMMYFUNCTION("""COMPUTED_VALUE"""),"Lyon")</f>
        <v>Lyon</v>
      </c>
      <c r="D22">
        <f>IFERROR(__xludf.DUMMYFUNCTION("""COMPUTED_VALUE"""),13.0)</f>
        <v>13</v>
      </c>
      <c r="E22">
        <f>IFERROR(__xludf.DUMMYFUNCTION("""COMPUTED_VALUE"""),10.0)</f>
        <v>10</v>
      </c>
      <c r="F22" t="str">
        <f>IFERROR(__xludf.DUMMYFUNCTION("""COMPUTED_VALUE"""),"30 *(0,43 b/m)*")</f>
        <v>30 *(0,43 b/m)*</v>
      </c>
      <c r="G22" t="str">
        <f>IFERROR(__xludf.DUMMYFUNCTION("""COMPUTED_VALUE"""),"146'")</f>
        <v>146'</v>
      </c>
    </row>
    <row r="23">
      <c r="A23" t="str">
        <f>IFERROR(__xludf.DUMMYFUNCTION("""COMPUTED_VALUE"""),".")</f>
        <v>.</v>
      </c>
      <c r="B23" t="str">
        <f>IFERROR(__xludf.DUMMYFUNCTION("""COMPUTED_VALUE"""),"*V. GYÖKERES*")</f>
        <v>*V. GYÖKERES*</v>
      </c>
      <c r="C23" t="str">
        <f>IFERROR(__xludf.DUMMYFUNCTION("""COMPUTED_VALUE"""),"Arsenal")</f>
        <v>Arsenal</v>
      </c>
      <c r="D23" t="str">
        <f>IFERROR(__xludf.DUMMYFUNCTION("""COMPUTED_VALUE"""),"13 *(2 p.)*")</f>
        <v>13 *(2 p.)*</v>
      </c>
      <c r="E23">
        <f>IFERROR(__xludf.DUMMYFUNCTION("""COMPUTED_VALUE"""),8.0)</f>
        <v>8</v>
      </c>
      <c r="F23" t="str">
        <f>IFERROR(__xludf.DUMMYFUNCTION("""COMPUTED_VALUE"""),"34 *(0,38 b/m)*")</f>
        <v>34 *(0,38 b/m)*</v>
      </c>
      <c r="G23" t="str">
        <f>IFERROR(__xludf.DUMMYFUNCTION("""COMPUTED_VALUE"""),"168'")</f>
        <v>168'</v>
      </c>
    </row>
    <row r="24">
      <c r="A24" t="str">
        <f>IFERROR(__xludf.DUMMYFUNCTION("""COMPUTED_VALUE"""),".")</f>
        <v>.</v>
      </c>
      <c r="B24" t="str">
        <f>IFERROR(__xludf.DUMMYFUNCTION("""COMPUTED_VALUE"""),"*JOÃO PEDRO*")</f>
        <v>*JOÃO PEDRO*</v>
      </c>
      <c r="C24" t="str">
        <f>IFERROR(__xludf.DUMMYFUNCTION("""COMPUTED_VALUE"""),"Chelsea")</f>
        <v>Chelsea</v>
      </c>
      <c r="D24">
        <f>IFERROR(__xludf.DUMMYFUNCTION("""COMPUTED_VALUE"""),13.0)</f>
        <v>13</v>
      </c>
      <c r="E24">
        <f>IFERROR(__xludf.DUMMYFUNCTION("""COMPUTED_VALUE"""),10.0)</f>
        <v>10</v>
      </c>
      <c r="F24" t="str">
        <f>IFERROR(__xludf.DUMMYFUNCTION("""COMPUTED_VALUE"""),"35 *(0,37 b/m)*")</f>
        <v>35 *(0,37 b/m)*</v>
      </c>
      <c r="G24" t="str">
        <f>IFERROR(__xludf.DUMMYFUNCTION("""COMPUTED_VALUE"""),"193'")</f>
        <v>193'</v>
      </c>
    </row>
    <row r="25">
      <c r="A25" t="str">
        <f>IFERROR(__xludf.DUMMYFUNCTION("""COMPUTED_VALUE"""),".")</f>
        <v>.</v>
      </c>
      <c r="B25" t="str">
        <f>IFERROR(__xludf.DUMMYFUNCTION("""COMPUTED_VALUE"""),"*M. OLISE*")</f>
        <v>*M. OLISE*</v>
      </c>
      <c r="C25" t="str">
        <f>IFERROR(__xludf.DUMMYFUNCTION("""COMPUTED_VALUE"""),"Bayern Munich")</f>
        <v>Bayern Munich</v>
      </c>
      <c r="D25">
        <f>IFERROR(__xludf.DUMMYFUNCTION("""COMPUTED_VALUE"""),13.0)</f>
        <v>13</v>
      </c>
      <c r="E25">
        <f>IFERROR(__xludf.DUMMYFUNCTION("""COMPUTED_VALUE"""),10.0)</f>
        <v>10</v>
      </c>
      <c r="F25" t="str">
        <f>IFERROR(__xludf.DUMMYFUNCTION("""COMPUTED_VALUE"""),"34 *(0,38 b/m)*")</f>
        <v>34 *(0,38 b/m)*</v>
      </c>
      <c r="G25" t="str">
        <f>IFERROR(__xludf.DUMMYFUNCTION("""COMPUTED_VALUE"""),"206'")</f>
        <v>206'</v>
      </c>
    </row>
    <row r="26">
      <c r="A26" t="str">
        <f>IFERROR(__xludf.DUMMYFUNCTION("""COMPUTED_VALUE"""),"25.")</f>
        <v>25.</v>
      </c>
      <c r="B26" t="str">
        <f>IFERROR(__xludf.DUMMYFUNCTION("""COMPUTED_VALUE"""),"*A. GRIEZMANN*")</f>
        <v>*A. GRIEZMANN*</v>
      </c>
      <c r="C26" t="str">
        <f>IFERROR(__xludf.DUMMYFUNCTION("""COMPUTED_VALUE"""),"Atl. Madrid")</f>
        <v>Atl. Madrid</v>
      </c>
      <c r="D26">
        <f>IFERROR(__xludf.DUMMYFUNCTION("""COMPUTED_VALUE"""),12.0)</f>
        <v>12</v>
      </c>
      <c r="E26">
        <f>IFERROR(__xludf.DUMMYFUNCTION("""COMPUTED_VALUE"""),6.0)</f>
        <v>6</v>
      </c>
      <c r="F26" t="str">
        <f>IFERROR(__xludf.DUMMYFUNCTION("""COMPUTED_VALUE"""),"32 *(0,38 b/m)*")</f>
        <v>32 *(0,38 b/m)*</v>
      </c>
      <c r="G26" t="str">
        <f>IFERROR(__xludf.DUMMYFUNCTION("""COMPUTED_VALUE"""),"117'")</f>
        <v>117'</v>
      </c>
    </row>
    <row r="27">
      <c r="A27" t="str">
        <f>IFERROR(__xludf.DUMMYFUNCTION("""COMPUTED_VALUE"""),".")</f>
        <v>.</v>
      </c>
      <c r="B27" t="str">
        <f>IFERROR(__xludf.DUMMYFUNCTION("""COMPUTED_VALUE"""),"*D. MALEN*")</f>
        <v>*D. MALEN*</v>
      </c>
      <c r="C27" t="str">
        <f>IFERROR(__xludf.DUMMYFUNCTION("""COMPUTED_VALUE"""),"AS Rome / Aston Villa")</f>
        <v>AS Rome / Aston Villa</v>
      </c>
      <c r="D27" t="str">
        <f>IFERROR(__xludf.DUMMYFUNCTION("""COMPUTED_VALUE"""),"12 *(2 p.)*")</f>
        <v>12 *(2 p.)*</v>
      </c>
      <c r="E27">
        <f>IFERROR(__xludf.DUMMYFUNCTION("""COMPUTED_VALUE"""),9.0)</f>
        <v>9</v>
      </c>
      <c r="F27" t="str">
        <f>IFERROR(__xludf.DUMMYFUNCTION("""COMPUTED_VALUE"""),"34 *(0,35 b/m)*")</f>
        <v>34 *(0,35 b/m)*</v>
      </c>
      <c r="G27" t="str">
        <f>IFERROR(__xludf.DUMMYFUNCTION("""COMPUTED_VALUE"""),"125'")</f>
        <v>125'</v>
      </c>
    </row>
    <row r="28">
      <c r="A28" t="str">
        <f>IFERROR(__xludf.DUMMYFUNCTION("""COMPUTED_VALUE"""),".")</f>
        <v>.</v>
      </c>
      <c r="B28" t="str">
        <f>IFERROR(__xludf.DUMMYFUNCTION("""COMPUTED_VALUE"""),"*H. TABAKOVIC*")</f>
        <v>*H. TABAKOVIC*</v>
      </c>
      <c r="C28" t="str">
        <f>IFERROR(__xludf.DUMMYFUNCTION("""COMPUTED_VALUE"""),"Borussia M'Gladbach")</f>
        <v>Borussia M'Gladbach</v>
      </c>
      <c r="D28">
        <f>IFERROR(__xludf.DUMMYFUNCTION("""COMPUTED_VALUE"""),12.0)</f>
        <v>12</v>
      </c>
      <c r="E28">
        <f>IFERROR(__xludf.DUMMYFUNCTION("""COMPUTED_VALUE"""),10.0)</f>
        <v>10</v>
      </c>
      <c r="F28" t="str">
        <f>IFERROR(__xludf.DUMMYFUNCTION("""COMPUTED_VALUE"""),"24 *(0,50 b/m)*")</f>
        <v>24 *(0,50 b/m)*</v>
      </c>
      <c r="G28" t="str">
        <f>IFERROR(__xludf.DUMMYFUNCTION("""COMPUTED_VALUE"""),"150'")</f>
        <v>150'</v>
      </c>
    </row>
    <row r="29">
      <c r="A29" t="str">
        <f>IFERROR(__xludf.DUMMYFUNCTION("""COMPUTED_VALUE"""),".")</f>
        <v>.</v>
      </c>
      <c r="B29" t="str">
        <f>IFERROR(__xludf.DUMMYFUNCTION("""COMPUTED_VALUE"""),"*M. THURAM*")</f>
        <v>*M. THURAM*</v>
      </c>
      <c r="C29" t="str">
        <f>IFERROR(__xludf.DUMMYFUNCTION("""COMPUTED_VALUE"""),"Inter Milan")</f>
        <v>Inter Milan</v>
      </c>
      <c r="D29">
        <f>IFERROR(__xludf.DUMMYFUNCTION("""COMPUTED_VALUE"""),12.0)</f>
        <v>12</v>
      </c>
      <c r="E29">
        <f>IFERROR(__xludf.DUMMYFUNCTION("""COMPUTED_VALUE"""),7.0)</f>
        <v>7</v>
      </c>
      <c r="F29" t="str">
        <f>IFERROR(__xludf.DUMMYFUNCTION("""COMPUTED_VALUE"""),"29 *(0,41 b/m)*")</f>
        <v>29 *(0,41 b/m)*</v>
      </c>
      <c r="G29" t="str">
        <f>IFERROR(__xludf.DUMMYFUNCTION("""COMPUTED_VALUE"""),"153'")</f>
        <v>153'</v>
      </c>
    </row>
    <row r="30">
      <c r="A30" t="str">
        <f>IFERROR(__xludf.DUMMYFUNCTION("""COMPUTED_VALUE"""),".")</f>
        <v>.</v>
      </c>
      <c r="B30" t="str">
        <f>IFERROR(__xludf.DUMMYFUNCTION("""COMPUTED_VALUE"""),"*C. BAUMGARTNER*")</f>
        <v>*C. BAUMGARTNER*</v>
      </c>
      <c r="C30" t="str">
        <f>IFERROR(__xludf.DUMMYFUNCTION("""COMPUTED_VALUE"""),"RB Leipzig")</f>
        <v>RB Leipzig</v>
      </c>
      <c r="D30">
        <f>IFERROR(__xludf.DUMMYFUNCTION("""COMPUTED_VALUE"""),12.0)</f>
        <v>12</v>
      </c>
      <c r="E30">
        <f>IFERROR(__xludf.DUMMYFUNCTION("""COMPUTED_VALUE"""),8.0)</f>
        <v>8</v>
      </c>
      <c r="F30" t="str">
        <f>IFERROR(__xludf.DUMMYFUNCTION("""COMPUTED_VALUE"""),"25 *(0,48 b/m)*")</f>
        <v>25 *(0,48 b/m)*</v>
      </c>
      <c r="G30" t="str">
        <f>IFERROR(__xludf.DUMMYFUNCTION("""COMPUTED_VALUE"""),"162'")</f>
        <v>162'</v>
      </c>
    </row>
    <row r="31">
      <c r="A31" t="str">
        <f>IFERROR(__xludf.DUMMYFUNCTION("""COMPUTED_VALUE"""),".")</f>
        <v>.</v>
      </c>
      <c r="B31" t="str">
        <f>IFERROR(__xludf.DUMMYFUNCTION("""COMPUTED_VALUE"""),"*H. BARNES*")</f>
        <v>*H. BARNES*</v>
      </c>
      <c r="C31" t="str">
        <f>IFERROR(__xludf.DUMMYFUNCTION("""COMPUTED_VALUE"""),"Newcastle")</f>
        <v>Newcastle</v>
      </c>
      <c r="D31">
        <f>IFERROR(__xludf.DUMMYFUNCTION("""COMPUTED_VALUE"""),12.0)</f>
        <v>12</v>
      </c>
      <c r="E31">
        <f>IFERROR(__xludf.DUMMYFUNCTION("""COMPUTED_VALUE"""),5.0)</f>
        <v>5</v>
      </c>
      <c r="F31" t="str">
        <f>IFERROR(__xludf.DUMMYFUNCTION("""COMPUTED_VALUE"""),"40 *(0,30 b/m)*")</f>
        <v>40 *(0,30 b/m)*</v>
      </c>
      <c r="G31" t="str">
        <f>IFERROR(__xludf.DUMMYFUNCTION("""COMPUTED_VALUE"""),"192'")</f>
        <v>192'</v>
      </c>
    </row>
    <row r="32">
      <c r="A32" t="str">
        <f>IFERROR(__xludf.DUMMYFUNCTION("""COMPUTED_VALUE"""),".")</f>
        <v>.</v>
      </c>
      <c r="B32" t="str">
        <f>IFERROR(__xludf.DUMMYFUNCTION("""COMPUTED_VALUE"""),"*J. ÁLVAREZ*")</f>
        <v>*J. ÁLVAREZ*</v>
      </c>
      <c r="C32" t="str">
        <f>IFERROR(__xludf.DUMMYFUNCTION("""COMPUTED_VALUE"""),"Atl. Madrid")</f>
        <v>Atl. Madrid</v>
      </c>
      <c r="D32" t="str">
        <f>IFERROR(__xludf.DUMMYFUNCTION("""COMPUTED_VALUE"""),"12 *(3 p.)*")</f>
        <v>12 *(3 p.)*</v>
      </c>
      <c r="E32">
        <f>IFERROR(__xludf.DUMMYFUNCTION("""COMPUTED_VALUE"""),7.0)</f>
        <v>7</v>
      </c>
      <c r="F32" t="str">
        <f>IFERROR(__xludf.DUMMYFUNCTION("""COMPUTED_VALUE"""),"34 *(0,35 b/m)*")</f>
        <v>34 *(0,35 b/m)*</v>
      </c>
      <c r="G32" t="str">
        <f>IFERROR(__xludf.DUMMYFUNCTION("""COMPUTED_VALUE"""),"209'")</f>
        <v>209'</v>
      </c>
    </row>
    <row r="33">
      <c r="A33" t="str">
        <f>IFERROR(__xludf.DUMMYFUNCTION("""COMPUTED_VALUE"""),".")</f>
        <v>.</v>
      </c>
      <c r="B33" t="str">
        <f>IFERROR(__xludf.DUMMYFUNCTION("""COMPUTED_VALUE"""),"*R. HØJLUND*")</f>
        <v>*R. HØJLUND*</v>
      </c>
      <c r="C33" t="str">
        <f>IFERROR(__xludf.DUMMYFUNCTION("""COMPUTED_VALUE"""),"Naples")</f>
        <v>Naples</v>
      </c>
      <c r="D33" t="str">
        <f>IFERROR(__xludf.DUMMYFUNCTION("""COMPUTED_VALUE"""),"12 *(1 p.)*")</f>
        <v>12 *(1 p.)*</v>
      </c>
      <c r="E33">
        <f>IFERROR(__xludf.DUMMYFUNCTION("""COMPUTED_VALUE"""),8.0)</f>
        <v>8</v>
      </c>
      <c r="F33" t="str">
        <f>IFERROR(__xludf.DUMMYFUNCTION("""COMPUTED_VALUE"""),"32 *(0,38 b/m)*")</f>
        <v>32 *(0,38 b/m)*</v>
      </c>
      <c r="G33" t="str">
        <f>IFERROR(__xludf.DUMMYFUNCTION("""COMPUTED_VALUE"""),"217'")</f>
        <v>217'</v>
      </c>
    </row>
    <row r="34">
      <c r="A34" t="str">
        <f>IFERROR(__xludf.DUMMYFUNCTION("""COMPUTED_VALUE"""),"33.")</f>
        <v>33.</v>
      </c>
      <c r="B34" t="str">
        <f>IFERROR(__xludf.DUMMYFUNCTION("""COMPUTED_VALUE"""),"*RAÚL GARCÍA*")</f>
        <v>*RAÚL GARCÍA*</v>
      </c>
      <c r="C34" t="str">
        <f>IFERROR(__xludf.DUMMYFUNCTION("""COMPUTED_VALUE"""),"Osasuna")</f>
        <v>Osasuna</v>
      </c>
      <c r="D34" t="str">
        <f>IFERROR(__xludf.DUMMYFUNCTION("""COMPUTED_VALUE"""),"11 *(2 p.)*")</f>
        <v>11 *(2 p.)*</v>
      </c>
      <c r="E34">
        <f>IFERROR(__xludf.DUMMYFUNCTION("""COMPUTED_VALUE"""),4.0)</f>
        <v>4</v>
      </c>
      <c r="F34" t="str">
        <f>IFERROR(__xludf.DUMMYFUNCTION("""COMPUTED_VALUE"""),"27 *(0,41 b/m)*")</f>
        <v>27 *(0,41 b/m)*</v>
      </c>
      <c r="G34" t="str">
        <f>IFERROR(__xludf.DUMMYFUNCTION("""COMPUTED_VALUE"""),"97'")</f>
        <v>97'</v>
      </c>
    </row>
    <row r="35">
      <c r="A35" t="str">
        <f>IFERROR(__xludf.DUMMYFUNCTION("""COMPUTED_VALUE"""),".")</f>
        <v>.</v>
      </c>
      <c r="B35" t="str">
        <f>IFERROR(__xludf.DUMMYFUNCTION("""COMPUTED_VALUE"""),"*O. DEMBÉLÉ*")</f>
        <v>*O. DEMBÉLÉ*</v>
      </c>
      <c r="C35" t="str">
        <f>IFERROR(__xludf.DUMMYFUNCTION("""COMPUTED_VALUE"""),"Paris SG")</f>
        <v>Paris SG</v>
      </c>
      <c r="D35" t="str">
        <f>IFERROR(__xludf.DUMMYFUNCTION("""COMPUTED_VALUE"""),"11 *(3 p.)*")</f>
        <v>11 *(3 p.)*</v>
      </c>
      <c r="E35">
        <f>IFERROR(__xludf.DUMMYFUNCTION("""COMPUTED_VALUE"""),8.0)</f>
        <v>8</v>
      </c>
      <c r="F35" t="str">
        <f>IFERROR(__xludf.DUMMYFUNCTION("""COMPUTED_VALUE"""),"22 *(0,50 b/m)*")</f>
        <v>22 *(0,50 b/m)*</v>
      </c>
      <c r="G35" t="str">
        <f>IFERROR(__xludf.DUMMYFUNCTION("""COMPUTED_VALUE"""),"106'")</f>
        <v>106'</v>
      </c>
    </row>
    <row r="36">
      <c r="A36" t="str">
        <f>IFERROR(__xludf.DUMMYFUNCTION("""COMPUTED_VALUE"""),".")</f>
        <v>.</v>
      </c>
      <c r="B36" t="str">
        <f>IFERROR(__xludf.DUMMYFUNCTION("""COMPUTED_VALUE"""),"*J. BURKARDT*")</f>
        <v>*J. BURKARDT*</v>
      </c>
      <c r="C36" t="str">
        <f>IFERROR(__xludf.DUMMYFUNCTION("""COMPUTED_VALUE"""),"Eintracht Francfort")</f>
        <v>Eintracht Francfort</v>
      </c>
      <c r="D36" t="str">
        <f>IFERROR(__xludf.DUMMYFUNCTION("""COMPUTED_VALUE"""),"11 *(1 p.)*")</f>
        <v>11 *(1 p.)*</v>
      </c>
      <c r="E36">
        <f>IFERROR(__xludf.DUMMYFUNCTION("""COMPUTED_VALUE"""),8.0)</f>
        <v>8</v>
      </c>
      <c r="F36" t="str">
        <f>IFERROR(__xludf.DUMMYFUNCTION("""COMPUTED_VALUE"""),"17 *(0,65 b/m)*")</f>
        <v>17 *(0,65 b/m)*</v>
      </c>
      <c r="G36" t="str">
        <f>IFERROR(__xludf.DUMMYFUNCTION("""COMPUTED_VALUE"""),"109'")</f>
        <v>109'</v>
      </c>
    </row>
    <row r="37">
      <c r="A37" t="str">
        <f>IFERROR(__xludf.DUMMYFUNCTION("""COMPUTED_VALUE"""),".")</f>
        <v>.</v>
      </c>
      <c r="B37" t="str">
        <f>IFERROR(__xludf.DUMMYFUNCTION("""COMPUTED_VALUE"""),"*MARTINELLI*")</f>
        <v>*MARTINELLI*</v>
      </c>
      <c r="C37" t="str">
        <f>IFERROR(__xludf.DUMMYFUNCTION("""COMPUTED_VALUE"""),"Arsenal")</f>
        <v>Arsenal</v>
      </c>
      <c r="D37">
        <f>IFERROR(__xludf.DUMMYFUNCTION("""COMPUTED_VALUE"""),11.0)</f>
        <v>11</v>
      </c>
      <c r="E37">
        <f>IFERROR(__xludf.DUMMYFUNCTION("""COMPUTED_VALUE"""),1.0)</f>
        <v>1</v>
      </c>
      <c r="F37" t="str">
        <f>IFERROR(__xludf.DUMMYFUNCTION("""COMPUTED_VALUE"""),"32 *(0,34 b/m)*")</f>
        <v>32 *(0,34 b/m)*</v>
      </c>
      <c r="G37" t="str">
        <f>IFERROR(__xludf.DUMMYFUNCTION("""COMPUTED_VALUE"""),"129'")</f>
        <v>129'</v>
      </c>
    </row>
    <row r="38">
      <c r="A38" t="str">
        <f>IFERROR(__xludf.DUMMYFUNCTION("""COMPUTED_VALUE"""),".")</f>
        <v>.</v>
      </c>
      <c r="B38" t="str">
        <f>IFERROR(__xludf.DUMMYFUNCTION("""COMPUTED_VALUE"""),"*M. GODO*")</f>
        <v>*M. GODO*</v>
      </c>
      <c r="C38" t="str">
        <f>IFERROR(__xludf.DUMMYFUNCTION("""COMPUTED_VALUE"""),"Strasbourg")</f>
        <v>Strasbourg</v>
      </c>
      <c r="D38">
        <f>IFERROR(__xludf.DUMMYFUNCTION("""COMPUTED_VALUE"""),11.0)</f>
        <v>11</v>
      </c>
      <c r="E38">
        <f>IFERROR(__xludf.DUMMYFUNCTION("""COMPUTED_VALUE"""),6.0)</f>
        <v>6</v>
      </c>
      <c r="F38" t="str">
        <f>IFERROR(__xludf.DUMMYFUNCTION("""COMPUTED_VALUE"""),"25 *(0,44 b/m)*")</f>
        <v>25 *(0,44 b/m)*</v>
      </c>
      <c r="G38" t="str">
        <f>IFERROR(__xludf.DUMMYFUNCTION("""COMPUTED_VALUE"""),"131'")</f>
        <v>131'</v>
      </c>
    </row>
    <row r="39">
      <c r="A39" t="str">
        <f>IFERROR(__xludf.DUMMYFUNCTION("""COMPUTED_VALUE"""),".")</f>
        <v>.</v>
      </c>
      <c r="B39" t="str">
        <f>IFERROR(__xludf.DUMMYFUNCTION("""COMPUTED_VALUE"""),"*P. SCHICK*")</f>
        <v>*P. SCHICK*</v>
      </c>
      <c r="C39" t="str">
        <f>IFERROR(__xludf.DUMMYFUNCTION("""COMPUTED_VALUE"""),"Bayer Leverkusen")</f>
        <v>Bayer Leverkusen</v>
      </c>
      <c r="D39" t="str">
        <f>IFERROR(__xludf.DUMMYFUNCTION("""COMPUTED_VALUE"""),"11 *(2 p.)*")</f>
        <v>11 *(2 p.)*</v>
      </c>
      <c r="E39">
        <f>IFERROR(__xludf.DUMMYFUNCTION("""COMPUTED_VALUE"""),7.0)</f>
        <v>7</v>
      </c>
      <c r="F39" t="str">
        <f>IFERROR(__xludf.DUMMYFUNCTION("""COMPUTED_VALUE"""),"27 *(0,41 b/m)*")</f>
        <v>27 *(0,41 b/m)*</v>
      </c>
      <c r="G39" t="str">
        <f>IFERROR(__xludf.DUMMYFUNCTION("""COMPUTED_VALUE"""),"162'")</f>
        <v>162'</v>
      </c>
    </row>
    <row r="40">
      <c r="A40" t="str">
        <f>IFERROR(__xludf.DUMMYFUNCTION("""COMPUTED_VALUE"""),".")</f>
        <v>.</v>
      </c>
      <c r="B40" t="str">
        <f>IFERROR(__xludf.DUMMYFUNCTION("""COMPUTED_VALUE"""),"*E. LEPAUL*")</f>
        <v>*E. LEPAUL*</v>
      </c>
      <c r="C40" t="str">
        <f>IFERROR(__xludf.DUMMYFUNCTION("""COMPUTED_VALUE"""),"Rennes / Angers (1)")</f>
        <v>Rennes / Angers (1)</v>
      </c>
      <c r="D40">
        <f>IFERROR(__xludf.DUMMYFUNCTION("""COMPUTED_VALUE"""),11.0)</f>
        <v>11</v>
      </c>
      <c r="E40">
        <f>IFERROR(__xludf.DUMMYFUNCTION("""COMPUTED_VALUE"""),11.0)</f>
        <v>11</v>
      </c>
      <c r="F40" t="str">
        <f>IFERROR(__xludf.DUMMYFUNCTION("""COMPUTED_VALUE"""),"24 *(0,46 b/m)*")</f>
        <v>24 *(0,46 b/m)*</v>
      </c>
      <c r="G40" t="str">
        <f>IFERROR(__xludf.DUMMYFUNCTION("""COMPUTED_VALUE"""),"164'")</f>
        <v>164'</v>
      </c>
    </row>
    <row r="41">
      <c r="A41" t="str">
        <f>IFERROR(__xludf.DUMMYFUNCTION("""COMPUTED_VALUE"""),".")</f>
        <v>.</v>
      </c>
      <c r="B41" t="str">
        <f>IFERROR(__xludf.DUMMYFUNCTION("""COMPUTED_VALUE"""),"*IGOR JESUS*")</f>
        <v>*IGOR JESUS*</v>
      </c>
      <c r="C41" t="str">
        <f>IFERROR(__xludf.DUMMYFUNCTION("""COMPUTED_VALUE"""),"Nottingham Forest")</f>
        <v>Nottingham Forest</v>
      </c>
      <c r="D41" t="str">
        <f>IFERROR(__xludf.DUMMYFUNCTION("""COMPUTED_VALUE"""),"11 *(1 p.)*")</f>
        <v>11 *(1 p.)*</v>
      </c>
      <c r="E41">
        <f>IFERROR(__xludf.DUMMYFUNCTION("""COMPUTED_VALUE"""),2.0)</f>
        <v>2</v>
      </c>
      <c r="F41" t="str">
        <f>IFERROR(__xludf.DUMMYFUNCTION("""COMPUTED_VALUE"""),"33 *(0,33 b/m)*")</f>
        <v>33 *(0,33 b/m)*</v>
      </c>
      <c r="G41" t="str">
        <f>IFERROR(__xludf.DUMMYFUNCTION("""COMPUTED_VALUE"""),"172'")</f>
        <v>172'</v>
      </c>
    </row>
    <row r="42">
      <c r="A42" t="str">
        <f>IFERROR(__xludf.DUMMYFUNCTION("""COMPUTED_VALUE"""),".")</f>
        <v>.</v>
      </c>
      <c r="B42" t="str">
        <f>IFERROR(__xludf.DUMMYFUNCTION("""COMPUTED_VALUE"""),"*R. ORSOLINI*")</f>
        <v>*R. ORSOLINI*</v>
      </c>
      <c r="C42" t="str">
        <f>IFERROR(__xludf.DUMMYFUNCTION("""COMPUTED_VALUE"""),"Bologne")</f>
        <v>Bologne</v>
      </c>
      <c r="D42" t="str">
        <f>IFERROR(__xludf.DUMMYFUNCTION("""COMPUTED_VALUE"""),"11 *(4 p.)*")</f>
        <v>11 *(4 p.)*</v>
      </c>
      <c r="E42">
        <f>IFERROR(__xludf.DUMMYFUNCTION("""COMPUTED_VALUE"""),7.0)</f>
        <v>7</v>
      </c>
      <c r="F42" t="str">
        <f>IFERROR(__xludf.DUMMYFUNCTION("""COMPUTED_VALUE"""),"34 *(0,32 b/m)*")</f>
        <v>34 *(0,32 b/m)*</v>
      </c>
      <c r="G42" t="str">
        <f>IFERROR(__xludf.DUMMYFUNCTION("""COMPUTED_VALUE"""),"182'")</f>
        <v>182'</v>
      </c>
    </row>
    <row r="43">
      <c r="A43" t="str">
        <f>IFERROR(__xludf.DUMMYFUNCTION("""COMPUTED_VALUE"""),".")</f>
        <v>.</v>
      </c>
      <c r="B43" t="str">
        <f>IFERROR(__xludf.DUMMYFUNCTION("""COMPUTED_VALUE"""),"*MIKEL OYARZABAL*")</f>
        <v>*MIKEL OYARZABAL*</v>
      </c>
      <c r="C43" t="str">
        <f>IFERROR(__xludf.DUMMYFUNCTION("""COMPUTED_VALUE"""),"Real Sociedad")</f>
        <v>Real Sociedad</v>
      </c>
      <c r="D43" t="str">
        <f>IFERROR(__xludf.DUMMYFUNCTION("""COMPUTED_VALUE"""),"11 *(4 p.)*")</f>
        <v>11 *(4 p.)*</v>
      </c>
      <c r="E43">
        <f>IFERROR(__xludf.DUMMYFUNCTION("""COMPUTED_VALUE"""),10.0)</f>
        <v>10</v>
      </c>
      <c r="F43" t="str">
        <f>IFERROR(__xludf.DUMMYFUNCTION("""COMPUTED_VALUE"""),"25 *(0,44 b/m)*")</f>
        <v>25 *(0,44 b/m)*</v>
      </c>
      <c r="G43" t="str">
        <f>IFERROR(__xludf.DUMMYFUNCTION("""COMPUTED_VALUE"""),"190'")</f>
        <v>190'</v>
      </c>
    </row>
    <row r="44">
      <c r="A44" t="str">
        <f>IFERROR(__xludf.DUMMYFUNCTION("""COMPUTED_VALUE"""),".")</f>
        <v>.</v>
      </c>
      <c r="B44" t="str">
        <f>IFERROR(__xludf.DUMMYFUNCTION("""COMPUTED_VALUE"""),"*GORKA GURUZETA*")</f>
        <v>*GORKA GURUZETA*</v>
      </c>
      <c r="C44" t="str">
        <f>IFERROR(__xludf.DUMMYFUNCTION("""COMPUTED_VALUE"""),"Athletic Bilbao")</f>
        <v>Athletic Bilbao</v>
      </c>
      <c r="D44">
        <f>IFERROR(__xludf.DUMMYFUNCTION("""COMPUTED_VALUE"""),11.0)</f>
        <v>11</v>
      </c>
      <c r="E44">
        <f>IFERROR(__xludf.DUMMYFUNCTION("""COMPUTED_VALUE"""),4.0)</f>
        <v>4</v>
      </c>
      <c r="F44" t="str">
        <f>IFERROR(__xludf.DUMMYFUNCTION("""COMPUTED_VALUE"""),"33 *(0,33 b/m)*")</f>
        <v>33 *(0,33 b/m)*</v>
      </c>
      <c r="G44" t="str">
        <f>IFERROR(__xludf.DUMMYFUNCTION("""COMPUTED_VALUE"""),"201'")</f>
        <v>201'</v>
      </c>
    </row>
    <row r="45">
      <c r="A45" t="str">
        <f>IFERROR(__xludf.DUMMYFUNCTION("""COMPUTED_VALUE"""),".")</f>
        <v>.</v>
      </c>
      <c r="B45" t="str">
        <f>IFERROR(__xludf.DUMMYFUNCTION("""COMPUTED_VALUE"""),"*N. WOLTEMADE*")</f>
        <v>*N. WOLTEMADE*</v>
      </c>
      <c r="C45" t="str">
        <f>IFERROR(__xludf.DUMMYFUNCTION("""COMPUTED_VALUE"""),"Newcastle / VfB Stuttgart")</f>
        <v>Newcastle / VfB Stuttgart</v>
      </c>
      <c r="D45" t="str">
        <f>IFERROR(__xludf.DUMMYFUNCTION("""COMPUTED_VALUE"""),"11 *(1 p.)*")</f>
        <v>11 *(1 p.)*</v>
      </c>
      <c r="E45">
        <f>IFERROR(__xludf.DUMMYFUNCTION("""COMPUTED_VALUE"""),7.0)</f>
        <v>7</v>
      </c>
      <c r="F45" t="str">
        <f>IFERROR(__xludf.DUMMYFUNCTION("""COMPUTED_VALUE"""),"41 *(0,27 b/m)*")</f>
        <v>41 *(0,27 b/m)*</v>
      </c>
      <c r="G45" t="str">
        <f>IFERROR(__xludf.DUMMYFUNCTION("""COMPUTED_VALUE"""),"223'")</f>
        <v>223'</v>
      </c>
    </row>
    <row r="46">
      <c r="A46" t="str">
        <f>IFERROR(__xludf.DUMMYFUNCTION("""COMPUTED_VALUE"""),".")</f>
        <v>.</v>
      </c>
      <c r="B46" t="str">
        <f>IFERROR(__xludf.DUMMYFUNCTION("""COMPUTED_VALUE"""),"*ÁLEX GRIMALDO*")</f>
        <v>*ÁLEX GRIMALDO*</v>
      </c>
      <c r="C46" t="str">
        <f>IFERROR(__xludf.DUMMYFUNCTION("""COMPUTED_VALUE"""),"Bayer Leverkusen")</f>
        <v>Bayer Leverkusen</v>
      </c>
      <c r="D46" t="str">
        <f>IFERROR(__xludf.DUMMYFUNCTION("""COMPUTED_VALUE"""),"11 *(3 p.)*")</f>
        <v>11 *(3 p.)*</v>
      </c>
      <c r="E46">
        <f>IFERROR(__xludf.DUMMYFUNCTION("""COMPUTED_VALUE"""),5.0)</f>
        <v>5</v>
      </c>
      <c r="F46" t="str">
        <f>IFERROR(__xludf.DUMMYFUNCTION("""COMPUTED_VALUE"""),"29 *(0,38 b/m)*")</f>
        <v>29 *(0,38 b/m)*</v>
      </c>
      <c r="G46" t="str">
        <f>IFERROR(__xludf.DUMMYFUNCTION("""COMPUTED_VALUE"""),"228'")</f>
        <v>228'</v>
      </c>
    </row>
    <row r="47">
      <c r="A47" t="str">
        <f>IFERROR(__xludf.DUMMYFUNCTION("""COMPUTED_VALUE"""),".")</f>
        <v>.</v>
      </c>
      <c r="B47" t="str">
        <f>IFERROR(__xludf.DUMMYFUNCTION("""COMPUTED_VALUE"""),"*E. FERNÁNDEZ*")</f>
        <v>*E. FERNÁNDEZ*</v>
      </c>
      <c r="C47" t="str">
        <f>IFERROR(__xludf.DUMMYFUNCTION("""COMPUTED_VALUE"""),"Chelsea")</f>
        <v>Chelsea</v>
      </c>
      <c r="D47" t="str">
        <f>IFERROR(__xludf.DUMMYFUNCTION("""COMPUTED_VALUE"""),"11 *(5 p.)*")</f>
        <v>11 *(5 p.)*</v>
      </c>
      <c r="E47">
        <f>IFERROR(__xludf.DUMMYFUNCTION("""COMPUTED_VALUE"""),8.0)</f>
        <v>8</v>
      </c>
      <c r="F47" t="str">
        <f>IFERROR(__xludf.DUMMYFUNCTION("""COMPUTED_VALUE"""),"39 *(0,28 b/m)*")</f>
        <v>39 *(0,28 b/m)*</v>
      </c>
      <c r="G47" t="str">
        <f>IFERROR(__xludf.DUMMYFUNCTION("""COMPUTED_VALUE"""),"280'")</f>
        <v>280'</v>
      </c>
    </row>
    <row r="48">
      <c r="A48" t="str">
        <f>IFERROR(__xludf.DUMMYFUNCTION("""COMPUTED_VALUE"""),"47.")</f>
        <v>47.</v>
      </c>
      <c r="B48" t="str">
        <f>IFERROR(__xludf.DUMMYFUNCTION("""COMPUTED_VALUE"""),"*C. PULISIC*")</f>
        <v>*C. PULISIC*</v>
      </c>
      <c r="C48" t="str">
        <f>IFERROR(__xludf.DUMMYFUNCTION("""COMPUTED_VALUE"""),"Milan AC")</f>
        <v>Milan AC</v>
      </c>
      <c r="D48">
        <f>IFERROR(__xludf.DUMMYFUNCTION("""COMPUTED_VALUE"""),10.0)</f>
        <v>10</v>
      </c>
      <c r="E48">
        <f>IFERROR(__xludf.DUMMYFUNCTION("""COMPUTED_VALUE"""),8.0)</f>
        <v>8</v>
      </c>
      <c r="F48" t="str">
        <f>IFERROR(__xludf.DUMMYFUNCTION("""COMPUTED_VALUE"""),"21 *(0,48 b/m)*")</f>
        <v>21 *(0,48 b/m)*</v>
      </c>
      <c r="G48" t="str">
        <f>IFERROR(__xludf.DUMMYFUNCTION("""COMPUTED_VALUE"""),"109'")</f>
        <v>109'</v>
      </c>
    </row>
    <row r="49">
      <c r="A49" t="str">
        <f>IFERROR(__xludf.DUMMYFUNCTION("""COMPUTED_VALUE"""),".")</f>
        <v>.</v>
      </c>
      <c r="B49" t="str">
        <f>IFERROR(__xludf.DUMMYFUNCTION("""COMPUTED_VALUE"""),"*GONÇALO RAMOS*")</f>
        <v>*GONÇALO RAMOS*</v>
      </c>
      <c r="C49" t="str">
        <f>IFERROR(__xludf.DUMMYFUNCTION("""COMPUTED_VALUE"""),"Paris SG")</f>
        <v>Paris SG</v>
      </c>
      <c r="D49" t="str">
        <f>IFERROR(__xludf.DUMMYFUNCTION("""COMPUTED_VALUE"""),"10 *(1 p.)*")</f>
        <v>10 *(1 p.)*</v>
      </c>
      <c r="E49">
        <f>IFERROR(__xludf.DUMMYFUNCTION("""COMPUTED_VALUE"""),4.0)</f>
        <v>4</v>
      </c>
      <c r="F49" t="str">
        <f>IFERROR(__xludf.DUMMYFUNCTION("""COMPUTED_VALUE"""),"31 *(0,32 b/m)*")</f>
        <v>31 *(0,32 b/m)*</v>
      </c>
      <c r="G49" t="str">
        <f>IFERROR(__xludf.DUMMYFUNCTION("""COMPUTED_VALUE"""),"118'")</f>
        <v>118'</v>
      </c>
    </row>
    <row r="50">
      <c r="A50" t="str">
        <f>IFERROR(__xludf.DUMMYFUNCTION("""COMPUTED_VALUE"""),".")</f>
        <v>.</v>
      </c>
      <c r="B50" t="str">
        <f>IFERROR(__xludf.DUMMYFUNCTION("""COMPUTED_VALUE"""),"*E. DEMIROVIC*")</f>
        <v>*E. DEMIROVIC*</v>
      </c>
      <c r="C50" t="str">
        <f>IFERROR(__xludf.DUMMYFUNCTION("""COMPUTED_VALUE"""),"VfB Stuttgart")</f>
        <v>VfB Stuttgart</v>
      </c>
      <c r="D50" t="str">
        <f>IFERROR(__xludf.DUMMYFUNCTION("""COMPUTED_VALUE"""),"10 *(1 p.)*")</f>
        <v>10 *(1 p.)*</v>
      </c>
      <c r="E50">
        <f>IFERROR(__xludf.DUMMYFUNCTION("""COMPUTED_VALUE"""),7.0)</f>
        <v>7</v>
      </c>
      <c r="F50" t="str">
        <f>IFERROR(__xludf.DUMMYFUNCTION("""COMPUTED_VALUE"""),"20 *(0,50 b/m)*")</f>
        <v>20 *(0,50 b/m)*</v>
      </c>
      <c r="G50" t="str">
        <f>IFERROR(__xludf.DUMMYFUNCTION("""COMPUTED_VALUE"""),"123'")</f>
        <v>123'</v>
      </c>
    </row>
    <row r="51">
      <c r="A51" t="str">
        <f>IFERROR(__xludf.DUMMYFUNCTION("""COMPUTED_VALUE"""),".")</f>
        <v>.</v>
      </c>
      <c r="B51" t="str">
        <f>IFERROR(__xludf.DUMMYFUNCTION("""COMPUTED_VALUE"""),"*CARLOS VICENTE*")</f>
        <v>*CARLOS VICENTE*</v>
      </c>
      <c r="C51" t="str">
        <f>IFERROR(__xludf.DUMMYFUNCTION("""COMPUTED_VALUE"""),"Alaves")</f>
        <v>Alaves</v>
      </c>
      <c r="D51" t="str">
        <f>IFERROR(__xludf.DUMMYFUNCTION("""COMPUTED_VALUE"""),"10 *(4 p.)*")</f>
        <v>10 *(4 p.)*</v>
      </c>
      <c r="E51">
        <f>IFERROR(__xludf.DUMMYFUNCTION("""COMPUTED_VALUE"""),5.0)</f>
        <v>5</v>
      </c>
      <c r="F51" t="str">
        <f>IFERROR(__xludf.DUMMYFUNCTION("""COMPUTED_VALUE"""),"25 *(0,40 b/m)*")</f>
        <v>25 *(0,40 b/m)*</v>
      </c>
      <c r="G51" t="str">
        <f>IFERROR(__xludf.DUMMYFUNCTION("""COMPUTED_VALUE"""),"154'")</f>
        <v>154'</v>
      </c>
    </row>
    <row r="52">
      <c r="A52" t="str">
        <f>IFERROR(__xludf.DUMMYFUNCTION("""COMPUTED_VALUE"""),".")</f>
        <v>.</v>
      </c>
      <c r="B52" t="str">
        <f>IFERROR(__xludf.DUMMYFUNCTION("""COMPUTED_VALUE"""),"*A. KRAMARIC*")</f>
        <v>*A. KRAMARIC*</v>
      </c>
      <c r="C52" t="str">
        <f>IFERROR(__xludf.DUMMYFUNCTION("""COMPUTED_VALUE"""),"Hoffenheim")</f>
        <v>Hoffenheim</v>
      </c>
      <c r="D52" t="str">
        <f>IFERROR(__xludf.DUMMYFUNCTION("""COMPUTED_VALUE"""),"10 *(4 p.)*")</f>
        <v>10 *(4 p.)*</v>
      </c>
      <c r="E52">
        <f>IFERROR(__xludf.DUMMYFUNCTION("""COMPUTED_VALUE"""),9.0)</f>
        <v>9</v>
      </c>
      <c r="F52" t="str">
        <f>IFERROR(__xludf.DUMMYFUNCTION("""COMPUTED_VALUE"""),"24 *(0,42 b/m)*")</f>
        <v>24 *(0,42 b/m)*</v>
      </c>
      <c r="G52" t="str">
        <f>IFERROR(__xludf.DUMMYFUNCTION("""COMPUTED_VALUE"""),"154'")</f>
        <v>154'</v>
      </c>
    </row>
    <row r="53">
      <c r="A53" t="str">
        <f>IFERROR(__xludf.DUMMYFUNCTION("""COMPUTED_VALUE"""),".")</f>
        <v>.</v>
      </c>
      <c r="B53" t="str">
        <f>IFERROR(__xludf.DUMMYFUNCTION("""COMPUTED_VALUE"""),"*J. BRANDT*")</f>
        <v>*J. BRANDT*</v>
      </c>
      <c r="C53" t="str">
        <f>IFERROR(__xludf.DUMMYFUNCTION("""COMPUTED_VALUE"""),"Borussia Dortmund")</f>
        <v>Borussia Dortmund</v>
      </c>
      <c r="D53">
        <f>IFERROR(__xludf.DUMMYFUNCTION("""COMPUTED_VALUE"""),10.0)</f>
        <v>10</v>
      </c>
      <c r="E53">
        <f>IFERROR(__xludf.DUMMYFUNCTION("""COMPUTED_VALUE"""),6.0)</f>
        <v>6</v>
      </c>
      <c r="F53" t="str">
        <f>IFERROR(__xludf.DUMMYFUNCTION("""COMPUTED_VALUE"""),"27 *(0,37 b/m)*")</f>
        <v>27 *(0,37 b/m)*</v>
      </c>
      <c r="G53" t="str">
        <f>IFERROR(__xludf.DUMMYFUNCTION("""COMPUTED_VALUE"""),"154'")</f>
        <v>154'</v>
      </c>
    </row>
    <row r="54">
      <c r="A54" t="str">
        <f>IFERROR(__xludf.DUMMYFUNCTION("""COMPUTED_VALUE"""),".")</f>
        <v>.</v>
      </c>
      <c r="B54" t="str">
        <f>IFERROR(__xludf.DUMMYFUNCTION("""COMPUTED_VALUE"""),"*W. SAÏD*")</f>
        <v>*W. SAÏD*</v>
      </c>
      <c r="C54" t="str">
        <f>IFERROR(__xludf.DUMMYFUNCTION("""COMPUTED_VALUE"""),"Lens")</f>
        <v>Lens</v>
      </c>
      <c r="D54" t="str">
        <f>IFERROR(__xludf.DUMMYFUNCTION("""COMPUTED_VALUE"""),"10 *(1 p.)*")</f>
        <v>10 *(1 p.)*</v>
      </c>
      <c r="E54">
        <f>IFERROR(__xludf.DUMMYFUNCTION("""COMPUTED_VALUE"""),10.0)</f>
        <v>10</v>
      </c>
      <c r="F54" t="str">
        <f>IFERROR(__xludf.DUMMYFUNCTION("""COMPUTED_VALUE"""),"25 *(0,40 b/m)*")</f>
        <v>25 *(0,40 b/m)*</v>
      </c>
      <c r="G54" t="str">
        <f>IFERROR(__xludf.DUMMYFUNCTION("""COMPUTED_VALUE"""),"168'")</f>
        <v>168'</v>
      </c>
    </row>
    <row r="55">
      <c r="A55" t="str">
        <f>IFERROR(__xludf.DUMMYFUNCTION("""COMPUTED_VALUE"""),".")</f>
        <v>.</v>
      </c>
      <c r="B55" t="str">
        <f>IFERROR(__xludf.DUMMYFUNCTION("""COMPUTED_VALUE"""),"*A. SØRLOTH*")</f>
        <v>*A. SØRLOTH*</v>
      </c>
      <c r="C55" t="str">
        <f>IFERROR(__xludf.DUMMYFUNCTION("""COMPUTED_VALUE"""),"Atl. Madrid")</f>
        <v>Atl. Madrid</v>
      </c>
      <c r="D55">
        <f>IFERROR(__xludf.DUMMYFUNCTION("""COMPUTED_VALUE"""),10.0)</f>
        <v>10</v>
      </c>
      <c r="E55">
        <f>IFERROR(__xludf.DUMMYFUNCTION("""COMPUTED_VALUE"""),7.0)</f>
        <v>7</v>
      </c>
      <c r="F55" t="str">
        <f>IFERROR(__xludf.DUMMYFUNCTION("""COMPUTED_VALUE"""),"33 *(0,30 b/m)*")</f>
        <v>33 *(0,30 b/m)*</v>
      </c>
      <c r="G55" t="str">
        <f>IFERROR(__xludf.DUMMYFUNCTION("""COMPUTED_VALUE"""),"173'")</f>
        <v>173'</v>
      </c>
    </row>
    <row r="56">
      <c r="A56" t="str">
        <f>IFERROR(__xludf.DUMMYFUNCTION("""COMPUTED_VALUE"""),".")</f>
        <v>.</v>
      </c>
      <c r="B56" t="str">
        <f>IFERROR(__xludf.DUMMYFUNCTION("""COMPUTED_VALUE"""),"*D. CALVERT-LEWIN*")</f>
        <v>*D. CALVERT-LEWIN*</v>
      </c>
      <c r="C56" t="str">
        <f>IFERROR(__xludf.DUMMYFUNCTION("""COMPUTED_VALUE"""),"Leeds United")</f>
        <v>Leeds United</v>
      </c>
      <c r="D56" t="str">
        <f>IFERROR(__xludf.DUMMYFUNCTION("""COMPUTED_VALUE"""),"10 *(2 p.)*")</f>
        <v>10 *(2 p.)*</v>
      </c>
      <c r="E56">
        <f>IFERROR(__xludf.DUMMYFUNCTION("""COMPUTED_VALUE"""),10.0)</f>
        <v>10</v>
      </c>
      <c r="F56" t="str">
        <f>IFERROR(__xludf.DUMMYFUNCTION("""COMPUTED_VALUE"""),"24 *(0,42 b/m)*")</f>
        <v>24 *(0,42 b/m)*</v>
      </c>
      <c r="G56" t="str">
        <f>IFERROR(__xludf.DUMMYFUNCTION("""COMPUTED_VALUE"""),"174'")</f>
        <v>174'</v>
      </c>
    </row>
    <row r="57">
      <c r="A57" t="str">
        <f>IFERROR(__xludf.DUMMYFUNCTION("""COMPUTED_VALUE"""),".")</f>
        <v>.</v>
      </c>
      <c r="B57" t="str">
        <f>IFERROR(__xludf.DUMMYFUNCTION("""COMPUTED_VALUE"""),"*G. MIKAUTADZE*")</f>
        <v>*G. MIKAUTADZE*</v>
      </c>
      <c r="C57" t="str">
        <f>IFERROR(__xludf.DUMMYFUNCTION("""COMPUTED_VALUE"""),"Villarreal / Lyon")</f>
        <v>Villarreal / Lyon</v>
      </c>
      <c r="D57">
        <f>IFERROR(__xludf.DUMMYFUNCTION("""COMPUTED_VALUE"""),10.0)</f>
        <v>10</v>
      </c>
      <c r="E57">
        <f>IFERROR(__xludf.DUMMYFUNCTION("""COMPUTED_VALUE"""),8.0)</f>
        <v>8</v>
      </c>
      <c r="F57" t="str">
        <f>IFERROR(__xludf.DUMMYFUNCTION("""COMPUTED_VALUE"""),"30 *(0,33 b/m)*")</f>
        <v>30 *(0,33 b/m)*</v>
      </c>
      <c r="G57" t="str">
        <f>IFERROR(__xludf.DUMMYFUNCTION("""COMPUTED_VALUE"""),"182'")</f>
        <v>182'</v>
      </c>
    </row>
    <row r="58">
      <c r="A58" t="str">
        <f>IFERROR(__xludf.DUMMYFUNCTION("""COMPUTED_VALUE"""),".")</f>
        <v>.</v>
      </c>
      <c r="B58" t="str">
        <f>IFERROR(__xludf.DUMMYFUNCTION("""COMPUTED_VALUE"""),"*V. GRIFO*")</f>
        <v>*V. GRIFO*</v>
      </c>
      <c r="C58" t="str">
        <f>IFERROR(__xludf.DUMMYFUNCTION("""COMPUTED_VALUE"""),"Fribourg")</f>
        <v>Fribourg</v>
      </c>
      <c r="D58" t="str">
        <f>IFERROR(__xludf.DUMMYFUNCTION("""COMPUTED_VALUE"""),"10 *(6 p.)*")</f>
        <v>10 *(6 p.)*</v>
      </c>
      <c r="E58">
        <f>IFERROR(__xludf.DUMMYFUNCTION("""COMPUTED_VALUE"""),6.0)</f>
        <v>6</v>
      </c>
      <c r="F58" t="str">
        <f>IFERROR(__xludf.DUMMYFUNCTION("""COMPUTED_VALUE"""),"34 *(0,29 b/m)*")</f>
        <v>34 *(0,29 b/m)*</v>
      </c>
      <c r="G58" t="str">
        <f>IFERROR(__xludf.DUMMYFUNCTION("""COMPUTED_VALUE"""),"182'")</f>
        <v>182'</v>
      </c>
    </row>
    <row r="59">
      <c r="A59" t="str">
        <f>IFERROR(__xludf.DUMMYFUNCTION("""COMPUTED_VALUE"""),".")</f>
        <v>.</v>
      </c>
      <c r="B59" t="str">
        <f>IFERROR(__xludf.DUMMYFUNCTION("""COMPUTED_VALUE"""),"*P. AUBAMEYANG*")</f>
        <v>*P. AUBAMEYANG*</v>
      </c>
      <c r="C59" t="str">
        <f>IFERROR(__xludf.DUMMYFUNCTION("""COMPUTED_VALUE"""),"Marseille")</f>
        <v>Marseille</v>
      </c>
      <c r="D59">
        <f>IFERROR(__xludf.DUMMYFUNCTION("""COMPUTED_VALUE"""),10.0)</f>
        <v>10</v>
      </c>
      <c r="E59">
        <f>IFERROR(__xludf.DUMMYFUNCTION("""COMPUTED_VALUE"""),6.0)</f>
        <v>6</v>
      </c>
      <c r="F59" t="str">
        <f>IFERROR(__xludf.DUMMYFUNCTION("""COMPUTED_VALUE"""),"29 *(0,34 b/m)*")</f>
        <v>29 *(0,34 b/m)*</v>
      </c>
      <c r="G59" t="str">
        <f>IFERROR(__xludf.DUMMYFUNCTION("""COMPUTED_VALUE"""),"184'")</f>
        <v>184'</v>
      </c>
    </row>
    <row r="60">
      <c r="A60" t="str">
        <f>IFERROR(__xludf.DUMMYFUNCTION("""COMPUTED_VALUE"""),".")</f>
        <v>.</v>
      </c>
      <c r="B60" t="str">
        <f>IFERROR(__xludf.DUMMYFUNCTION("""COMPUTED_VALUE"""),"*J. HERNÁNDEZ*")</f>
        <v>*J. HERNÁNDEZ*</v>
      </c>
      <c r="C60" t="str">
        <f>IFERROR(__xludf.DUMMYFUNCTION("""COMPUTED_VALUE"""),"Betis Séville")</f>
        <v>Betis Séville</v>
      </c>
      <c r="D60" t="str">
        <f>IFERROR(__xludf.DUMMYFUNCTION("""COMPUTED_VALUE"""),"10 *(2 p.)*")</f>
        <v>10 *(2 p.)*</v>
      </c>
      <c r="E60">
        <f>IFERROR(__xludf.DUMMYFUNCTION("""COMPUTED_VALUE"""),8.0)</f>
        <v>8</v>
      </c>
      <c r="F60" t="str">
        <f>IFERROR(__xludf.DUMMYFUNCTION("""COMPUTED_VALUE"""),"23 *(0,43 b/m)*")</f>
        <v>23 *(0,43 b/m)*</v>
      </c>
      <c r="G60" t="str">
        <f>IFERROR(__xludf.DUMMYFUNCTION("""COMPUTED_VALUE"""),"185'")</f>
        <v>185'</v>
      </c>
    </row>
    <row r="61">
      <c r="A61" t="str">
        <f>IFERROR(__xludf.DUMMYFUNCTION("""COMPUTED_VALUE"""),".")</f>
        <v>.</v>
      </c>
      <c r="B61" t="str">
        <f>IFERROR(__xludf.DUMMYFUNCTION("""COMPUTED_VALUE"""),"*B. MBEUMO*")</f>
        <v>*B. MBEUMO*</v>
      </c>
      <c r="C61" t="str">
        <f>IFERROR(__xludf.DUMMYFUNCTION("""COMPUTED_VALUE"""),"Manchester Utd")</f>
        <v>Manchester Utd</v>
      </c>
      <c r="D61">
        <f>IFERROR(__xludf.DUMMYFUNCTION("""COMPUTED_VALUE"""),10.0)</f>
        <v>10</v>
      </c>
      <c r="E61">
        <f>IFERROR(__xludf.DUMMYFUNCTION("""COMPUTED_VALUE"""),9.0)</f>
        <v>9</v>
      </c>
      <c r="F61" t="str">
        <f>IFERROR(__xludf.DUMMYFUNCTION("""COMPUTED_VALUE"""),"22 *(0,45 b/m)*")</f>
        <v>22 *(0,45 b/m)*</v>
      </c>
      <c r="G61" t="str">
        <f>IFERROR(__xludf.DUMMYFUNCTION("""COMPUTED_VALUE"""),"186'")</f>
        <v>186'</v>
      </c>
    </row>
    <row r="62">
      <c r="A62" t="str">
        <f>IFERROR(__xludf.DUMMYFUNCTION("""COMPUTED_VALUE"""),".")</f>
        <v>.</v>
      </c>
      <c r="B62" t="str">
        <f>IFERROR(__xludf.DUMMYFUNCTION("""COMPUTED_VALUE"""),"*FERMÍN LÓPEZ*")</f>
        <v>*FERMÍN LÓPEZ*</v>
      </c>
      <c r="C62" t="str">
        <f>IFERROR(__xludf.DUMMYFUNCTION("""COMPUTED_VALUE"""),"FC Barcelone")</f>
        <v>FC Barcelone</v>
      </c>
      <c r="D62">
        <f>IFERROR(__xludf.DUMMYFUNCTION("""COMPUTED_VALUE"""),10.0)</f>
        <v>10</v>
      </c>
      <c r="E62">
        <f>IFERROR(__xludf.DUMMYFUNCTION("""COMPUTED_VALUE"""),4.0)</f>
        <v>4</v>
      </c>
      <c r="F62" t="str">
        <f>IFERROR(__xludf.DUMMYFUNCTION("""COMPUTED_VALUE"""),"30 *(0,33 b/m)*")</f>
        <v>30 *(0,33 b/m)*</v>
      </c>
      <c r="G62" t="str">
        <f>IFERROR(__xludf.DUMMYFUNCTION("""COMPUTED_VALUE"""),"190'")</f>
        <v>190'</v>
      </c>
    </row>
    <row r="63">
      <c r="A63" t="str">
        <f>IFERROR(__xludf.DUMMYFUNCTION("""COMPUTED_VALUE"""),".")</f>
        <v>.</v>
      </c>
      <c r="B63" t="str">
        <f>IFERROR(__xludf.DUMMYFUNCTION("""COMPUTED_VALUE"""),"*M. RASHFORD*")</f>
        <v>*M. RASHFORD*</v>
      </c>
      <c r="C63" t="str">
        <f>IFERROR(__xludf.DUMMYFUNCTION("""COMPUTED_VALUE"""),"FC Barcelone")</f>
        <v>FC Barcelone</v>
      </c>
      <c r="D63">
        <f>IFERROR(__xludf.DUMMYFUNCTION("""COMPUTED_VALUE"""),10.0)</f>
        <v>10</v>
      </c>
      <c r="E63">
        <f>IFERROR(__xludf.DUMMYFUNCTION("""COMPUTED_VALUE"""),4.0)</f>
        <v>4</v>
      </c>
      <c r="F63" t="str">
        <f>IFERROR(__xludf.DUMMYFUNCTION("""COMPUTED_VALUE"""),"34 *(0,29 b/m)*")</f>
        <v>34 *(0,29 b/m)*</v>
      </c>
      <c r="G63" t="str">
        <f>IFERROR(__xludf.DUMMYFUNCTION("""COMPUTED_VALUE"""),"197'")</f>
        <v>197'</v>
      </c>
    </row>
    <row r="64">
      <c r="A64" t="str">
        <f>IFERROR(__xludf.DUMMYFUNCTION("""COMPUTED_VALUE"""),".")</f>
        <v>.</v>
      </c>
      <c r="B64" t="str">
        <f>IFERROR(__xludf.DUMMYFUNCTION("""COMPUTED_VALUE"""),"*I. SARR*")</f>
        <v>*I. SARR*</v>
      </c>
      <c r="C64" t="str">
        <f>IFERROR(__xludf.DUMMYFUNCTION("""COMPUTED_VALUE"""),"Crystal Palace")</f>
        <v>Crystal Palace</v>
      </c>
      <c r="D64" t="str">
        <f>IFERROR(__xludf.DUMMYFUNCTION("""COMPUTED_VALUE"""),"10 *(1 p.)*")</f>
        <v>10 *(1 p.)*</v>
      </c>
      <c r="E64">
        <f>IFERROR(__xludf.DUMMYFUNCTION("""COMPUTED_VALUE"""),5.0)</f>
        <v>5</v>
      </c>
      <c r="F64" t="str">
        <f>IFERROR(__xludf.DUMMYFUNCTION("""COMPUTED_VALUE"""),"24 *(0,42 b/m)*")</f>
        <v>24 *(0,42 b/m)*</v>
      </c>
      <c r="G64" t="str">
        <f>IFERROR(__xludf.DUMMYFUNCTION("""COMPUTED_VALUE"""),"200'")</f>
        <v>200'</v>
      </c>
    </row>
    <row r="65">
      <c r="A65" t="str">
        <f>IFERROR(__xludf.DUMMYFUNCTION("""COMPUTED_VALUE"""),".")</f>
        <v>.</v>
      </c>
      <c r="B65" t="str">
        <f>IFERROR(__xludf.DUMMYFUNCTION("""COMPUTED_VALUE"""),"*A. GORDON*")</f>
        <v>*A. GORDON*</v>
      </c>
      <c r="C65" t="str">
        <f>IFERROR(__xludf.DUMMYFUNCTION("""COMPUTED_VALUE"""),"Newcastle")</f>
        <v>Newcastle</v>
      </c>
      <c r="D65" t="str">
        <f>IFERROR(__xludf.DUMMYFUNCTION("""COMPUTED_VALUE"""),"10 *(6 p.)*")</f>
        <v>10 *(6 p.)*</v>
      </c>
      <c r="E65">
        <f>IFERROR(__xludf.DUMMYFUNCTION("""COMPUTED_VALUE"""),3.0)</f>
        <v>3</v>
      </c>
      <c r="F65" t="str">
        <f>IFERROR(__xludf.DUMMYFUNCTION("""COMPUTED_VALUE"""),"35 *(0,29 b/m)*")</f>
        <v>35 *(0,29 b/m)*</v>
      </c>
      <c r="G65" t="str">
        <f>IFERROR(__xludf.DUMMYFUNCTION("""COMPUTED_VALUE"""),"211'")</f>
        <v>211'</v>
      </c>
    </row>
    <row r="66">
      <c r="A66" t="str">
        <f>IFERROR(__xludf.DUMMYFUNCTION("""COMPUTED_VALUE"""),".")</f>
        <v>.</v>
      </c>
      <c r="B66" t="str">
        <f>IFERROR(__xludf.DUMMYFUNCTION("""COMPUTED_VALUE"""),"*M. PELLEGRINO*")</f>
        <v>*M. PELLEGRINO*</v>
      </c>
      <c r="C66" t="str">
        <f>IFERROR(__xludf.DUMMYFUNCTION("""COMPUTED_VALUE"""),"Parme")</f>
        <v>Parme</v>
      </c>
      <c r="D66" t="str">
        <f>IFERROR(__xludf.DUMMYFUNCTION("""COMPUTED_VALUE"""),"10 *(1 p.)*")</f>
        <v>10 *(1 p.)*</v>
      </c>
      <c r="E66">
        <f>IFERROR(__xludf.DUMMYFUNCTION("""COMPUTED_VALUE"""),7.0)</f>
        <v>7</v>
      </c>
      <c r="F66" t="str">
        <f>IFERROR(__xludf.DUMMYFUNCTION("""COMPUTED_VALUE"""),"27 *(0,37 b/m)*")</f>
        <v>27 *(0,37 b/m)*</v>
      </c>
      <c r="G66" t="str">
        <f>IFERROR(__xludf.DUMMYFUNCTION("""COMPUTED_VALUE"""),"222'")</f>
        <v>222'</v>
      </c>
    </row>
    <row r="67">
      <c r="A67" t="str">
        <f>IFERROR(__xludf.DUMMYFUNCTION("""COMPUTED_VALUE"""),".")</f>
        <v>.</v>
      </c>
      <c r="B67" t="str">
        <f>IFERROR(__xludf.DUMMYFUNCTION("""COMPUTED_VALUE"""),"*ÁLVARO GARCÍA*")</f>
        <v>*ÁLVARO GARCÍA*</v>
      </c>
      <c r="C67" t="str">
        <f>IFERROR(__xludf.DUMMYFUNCTION("""COMPUTED_VALUE"""),"Rayo Vallecano")</f>
        <v>Rayo Vallecano</v>
      </c>
      <c r="D67">
        <f>IFERROR(__xludf.DUMMYFUNCTION("""COMPUTED_VALUE"""),10.0)</f>
        <v>10</v>
      </c>
      <c r="E67">
        <f>IFERROR(__xludf.DUMMYFUNCTION("""COMPUTED_VALUE"""),3.0)</f>
        <v>3</v>
      </c>
      <c r="F67" t="str">
        <f>IFERROR(__xludf.DUMMYFUNCTION("""COMPUTED_VALUE"""),"35 *(0,29 b/m)*")</f>
        <v>35 *(0,29 b/m)*</v>
      </c>
      <c r="G67" t="str">
        <f>IFERROR(__xludf.DUMMYFUNCTION("""COMPUTED_VALUE"""),"224'")</f>
        <v>224'</v>
      </c>
    </row>
    <row r="68">
      <c r="A68" t="str">
        <f>IFERROR(__xludf.DUMMYFUNCTION("""COMPUTED_VALUE"""),".")</f>
        <v>.</v>
      </c>
      <c r="B68" t="str">
        <f>IFERROR(__xludf.DUMMYFUNCTION("""COMPUTED_VALUE"""),"*ANTONY*")</f>
        <v>*ANTONY*</v>
      </c>
      <c r="C68" t="str">
        <f>IFERROR(__xludf.DUMMYFUNCTION("""COMPUTED_VALUE"""),"Betis Séville")</f>
        <v>Betis Séville</v>
      </c>
      <c r="D68">
        <f>IFERROR(__xludf.DUMMYFUNCTION("""COMPUTED_VALUE"""),10.0)</f>
        <v>10</v>
      </c>
      <c r="E68">
        <f>IFERROR(__xludf.DUMMYFUNCTION("""COMPUTED_VALUE"""),6.0)</f>
        <v>6</v>
      </c>
      <c r="F68" t="str">
        <f>IFERROR(__xludf.DUMMYFUNCTION("""COMPUTED_VALUE"""),"29 *(0,34 b/m)*")</f>
        <v>29 *(0,34 b/m)*</v>
      </c>
      <c r="G68" t="str">
        <f>IFERROR(__xludf.DUMMYFUNCTION("""COMPUTED_VALUE"""),"233'")</f>
        <v>233'</v>
      </c>
    </row>
    <row r="69">
      <c r="A69" t="str">
        <f>IFERROR(__xludf.DUMMYFUNCTION("""COMPUTED_VALUE"""),".")</f>
        <v>.</v>
      </c>
      <c r="B69" t="str">
        <f>IFERROR(__xludf.DUMMYFUNCTION("""COMPUTED_VALUE"""),"*P. FODEN*")</f>
        <v>*P. FODEN*</v>
      </c>
      <c r="C69" t="str">
        <f>IFERROR(__xludf.DUMMYFUNCTION("""COMPUTED_VALUE"""),"Manchester City")</f>
        <v>Manchester City</v>
      </c>
      <c r="D69">
        <f>IFERROR(__xludf.DUMMYFUNCTION("""COMPUTED_VALUE"""),10.0)</f>
        <v>10</v>
      </c>
      <c r="E69">
        <f>IFERROR(__xludf.DUMMYFUNCTION("""COMPUTED_VALUE"""),7.0)</f>
        <v>7</v>
      </c>
      <c r="F69" t="str">
        <f>IFERROR(__xludf.DUMMYFUNCTION("""COMPUTED_VALUE"""),"36 *(0,28 b/m)*")</f>
        <v>36 *(0,28 b/m)*</v>
      </c>
      <c r="G69" t="str">
        <f>IFERROR(__xludf.DUMMYFUNCTION("""COMPUTED_VALUE"""),"260'")</f>
        <v>260'</v>
      </c>
    </row>
    <row r="70">
      <c r="A70" t="str">
        <f>IFERROR(__xludf.DUMMYFUNCTION("""COMPUTED_VALUE"""),".")</f>
        <v>.</v>
      </c>
      <c r="B70" t="str">
        <f>IFERROR(__xludf.DUMMYFUNCTION("""COMPUTED_VALUE"""),"*VINÍCIUS JÚNIOR*")</f>
        <v>*VINÍCIUS JÚNIOR*</v>
      </c>
      <c r="C70" t="str">
        <f>IFERROR(__xludf.DUMMYFUNCTION("""COMPUTED_VALUE"""),"Real Madrid")</f>
        <v>Real Madrid</v>
      </c>
      <c r="D70" t="str">
        <f>IFERROR(__xludf.DUMMYFUNCTION("""COMPUTED_VALUE"""),"10 *(3 p.)*")</f>
        <v>10 *(3 p.)*</v>
      </c>
      <c r="E70">
        <f>IFERROR(__xludf.DUMMYFUNCTION("""COMPUTED_VALUE"""),8.0)</f>
        <v>8</v>
      </c>
      <c r="F70" t="str">
        <f>IFERROR(__xludf.DUMMYFUNCTION("""COMPUTED_VALUE"""),"34 *(0,29 b/m)*")</f>
        <v>34 *(0,29 b/m)*</v>
      </c>
      <c r="G70" t="str">
        <f>IFERROR(__xludf.DUMMYFUNCTION("""COMPUTED_VALUE"""),"265'")</f>
        <v>265'</v>
      </c>
    </row>
    <row r="71">
      <c r="A71" t="str">
        <f>IFERROR(__xludf.DUMMYFUNCTION("""COMPUTED_VALUE"""),".")</f>
        <v>.</v>
      </c>
      <c r="B71" t="str">
        <f>IFERROR(__xludf.DUMMYFUNCTION("""COMPUTED_VALUE"""),"*PEDRO NETO*")</f>
        <v>*PEDRO NETO*</v>
      </c>
      <c r="C71" t="str">
        <f>IFERROR(__xludf.DUMMYFUNCTION("""COMPUTED_VALUE"""),"Chelsea")</f>
        <v>Chelsea</v>
      </c>
      <c r="D71">
        <f>IFERROR(__xludf.DUMMYFUNCTION("""COMPUTED_VALUE"""),10.0)</f>
        <v>10</v>
      </c>
      <c r="E71">
        <f>IFERROR(__xludf.DUMMYFUNCTION("""COMPUTED_VALUE"""),5.0)</f>
        <v>5</v>
      </c>
      <c r="F71" t="str">
        <f>IFERROR(__xludf.DUMMYFUNCTION("""COMPUTED_VALUE"""),"38 *(0,26 b/m)*")</f>
        <v>38 *(0,26 b/m)*</v>
      </c>
      <c r="G71" t="str">
        <f>IFERROR(__xludf.DUMMYFUNCTION("""COMPUTED_VALUE"""),"267'")</f>
        <v>267'</v>
      </c>
    </row>
    <row r="72">
      <c r="A72" t="str">
        <f>IFERROR(__xludf.DUMMYFUNCTION("""COMPUTED_VALUE"""),".")</f>
        <v>.</v>
      </c>
      <c r="B72" t="str">
        <f>IFERROR(__xludf.DUMMYFUNCTION("""COMPUTED_VALUE"""),"*J. MATETA*")</f>
        <v>*J. MATETA*</v>
      </c>
      <c r="C72" t="str">
        <f>IFERROR(__xludf.DUMMYFUNCTION("""COMPUTED_VALUE"""),"Crystal Palace")</f>
        <v>Crystal Palace</v>
      </c>
      <c r="D72" t="str">
        <f>IFERROR(__xludf.DUMMYFUNCTION("""COMPUTED_VALUE"""),"10 *(4 p.)*")</f>
        <v>10 *(4 p.)*</v>
      </c>
      <c r="E72">
        <f>IFERROR(__xludf.DUMMYFUNCTION("""COMPUTED_VALUE"""),8.0)</f>
        <v>8</v>
      </c>
      <c r="F72" t="str">
        <f>IFERROR(__xludf.DUMMYFUNCTION("""COMPUTED_VALUE"""),"34 *(0,29 b/m)*")</f>
        <v>34 *(0,29 b/m)*</v>
      </c>
      <c r="G72" t="str">
        <f>IFERROR(__xludf.DUMMYFUNCTION("""COMPUTED_VALUE"""),"274'")</f>
        <v>274'</v>
      </c>
    </row>
    <row r="73">
      <c r="A73" t="str">
        <f>IFERROR(__xludf.DUMMYFUNCTION("""COMPUTED_VALUE"""),".")</f>
        <v>.</v>
      </c>
      <c r="B73" t="str">
        <f>IFERROR(__xludf.DUMMYFUNCTION("""COMPUTED_VALUE"""),"*S. MCTOMINAY*")</f>
        <v>*S. MCTOMINAY*</v>
      </c>
      <c r="C73" t="str">
        <f>IFERROR(__xludf.DUMMYFUNCTION("""COMPUTED_VALUE"""),"Naples")</f>
        <v>Naples</v>
      </c>
      <c r="D73">
        <f>IFERROR(__xludf.DUMMYFUNCTION("""COMPUTED_VALUE"""),10.0)</f>
        <v>10</v>
      </c>
      <c r="E73">
        <f>IFERROR(__xludf.DUMMYFUNCTION("""COMPUTED_VALUE"""),6.0)</f>
        <v>6</v>
      </c>
      <c r="F73" t="str">
        <f>IFERROR(__xludf.DUMMYFUNCTION("""COMPUTED_VALUE"""),"34 *(0,29 b/m)*")</f>
        <v>34 *(0,29 b/m)*</v>
      </c>
      <c r="G73" t="str">
        <f>IFERROR(__xludf.DUMMYFUNCTION("""COMPUTED_VALUE"""),"285'")</f>
        <v>285'</v>
      </c>
    </row>
    <row r="74">
      <c r="A74" t="str">
        <f>IFERROR(__xludf.DUMMYFUNCTION("""COMPUTED_VALUE"""),".")</f>
        <v>.</v>
      </c>
      <c r="B74" t="str">
        <f>IFERROR(__xludf.DUMMYFUNCTION("""COMPUTED_VALUE"""),"*M. ROGERS*")</f>
        <v>*M. ROGERS*</v>
      </c>
      <c r="C74" t="str">
        <f>IFERROR(__xludf.DUMMYFUNCTION("""COMPUTED_VALUE"""),"Aston Villa")</f>
        <v>Aston Villa</v>
      </c>
      <c r="D74">
        <f>IFERROR(__xludf.DUMMYFUNCTION("""COMPUTED_VALUE"""),10.0)</f>
        <v>10</v>
      </c>
      <c r="E74">
        <f>IFERROR(__xludf.DUMMYFUNCTION("""COMPUTED_VALUE"""),8.0)</f>
        <v>8</v>
      </c>
      <c r="F74" t="str">
        <f>IFERROR(__xludf.DUMMYFUNCTION("""COMPUTED_VALUE"""),"37 *(0,27 b/m)*")</f>
        <v>37 *(0,27 b/m)*</v>
      </c>
      <c r="G74" t="str">
        <f>IFERROR(__xludf.DUMMYFUNCTION("""COMPUTED_VALUE"""),"299'")</f>
        <v>299'</v>
      </c>
    </row>
    <row r="75">
      <c r="A75" t="str">
        <f>IFERROR(__xludf.DUMMYFUNCTION("""COMPUTED_VALUE"""),".")</f>
        <v>.</v>
      </c>
      <c r="B75" t="str">
        <f>IFERROR(__xludf.DUMMYFUNCTION("""COMPUTED_VALUE"""),"*D. SZOBOSZLAI*")</f>
        <v>*D. SZOBOSZLAI*</v>
      </c>
      <c r="C75" t="str">
        <f>IFERROR(__xludf.DUMMYFUNCTION("""COMPUTED_VALUE"""),"Liverpool")</f>
        <v>Liverpool</v>
      </c>
      <c r="D75" t="str">
        <f>IFERROR(__xludf.DUMMYFUNCTION("""COMPUTED_VALUE"""),"10 *(1 p.)*")</f>
        <v>10 *(1 p.)*</v>
      </c>
      <c r="E75">
        <f>IFERROR(__xludf.DUMMYFUNCTION("""COMPUTED_VALUE"""),4.0)</f>
        <v>4</v>
      </c>
      <c r="F75" t="str">
        <f>IFERROR(__xludf.DUMMYFUNCTION("""COMPUTED_VALUE"""),"35 *(0,29 b/m)*")</f>
        <v>35 *(0,29 b/m)*</v>
      </c>
      <c r="G75" t="str">
        <f>IFERROR(__xludf.DUMMYFUNCTION("""COMPUTED_VALUE"""),"316'")</f>
        <v>316'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75"/>
  </cols>
  <sheetData>
    <row r="1">
      <c r="E1">
        <f>MAX(E6:E62)</f>
        <v>26</v>
      </c>
      <c r="K1" s="1"/>
      <c r="L1" s="1"/>
    </row>
    <row r="2">
      <c r="E2">
        <f>MIN(E6:E62)</f>
        <v>1</v>
      </c>
      <c r="K2" s="1"/>
      <c r="L2" s="1"/>
    </row>
    <row r="3">
      <c r="K3" s="1"/>
      <c r="L3" s="1"/>
    </row>
    <row r="4">
      <c r="K4" s="1"/>
      <c r="L4" s="1"/>
    </row>
    <row r="5">
      <c r="A5" t="str">
        <f>IFERROR(__xludf.DUMMYFUNCTION("IMPORTHTML(""http://www.maxifoot.fr/classement-buteur-europe.htm"",""table"")"),"Pl.")</f>
        <v>Pl.</v>
      </c>
      <c r="B5" t="str">
        <f>IFERROR(__xludf.DUMMYFUNCTION("""COMPUTED_VALUE"""),"Joueur")</f>
        <v>Joueur</v>
      </c>
      <c r="C5" t="str">
        <f>IFERROR(__xludf.DUMMYFUNCTION("""COMPUTED_VALUE"""),"Equipe")</f>
        <v>Equipe</v>
      </c>
      <c r="D5" t="str">
        <f>IFERROR(__xludf.DUMMYFUNCTION("""COMPUTED_VALUE"""),"Buts")</f>
        <v>Buts</v>
      </c>
      <c r="E5" t="str">
        <f>IFERROR(__xludf.DUMMYFUNCTION("""COMPUTED_VALUE"""),"dont champ.")</f>
        <v>dont champ.</v>
      </c>
      <c r="F5" t="str">
        <f>IFERROR(__xludf.DUMMYFUNCTION("""COMPUTED_VALUE"""),"Matchs")</f>
        <v>Matchs</v>
      </c>
      <c r="G5" t="str">
        <f>IFERROR(__xludf.DUMMYFUNCTION("""COMPUTED_VALUE"""),"Min/But(*)")</f>
        <v>Min/But(*)</v>
      </c>
      <c r="K5" s="1" t="s">
        <v>0</v>
      </c>
      <c r="L5" s="1">
        <v>73.0</v>
      </c>
    </row>
    <row r="6">
      <c r="A6" s="1" t="str">
        <f>IFERROR(__xludf.DUMMYFUNCTION("""COMPUTED_VALUE"""),"1.")</f>
        <v>1.</v>
      </c>
      <c r="B6" t="str">
        <f>IFERROR(__xludf.DUMMYFUNCTION("""COMPUTED_VALUE"""),"*H. KANE*")</f>
        <v>*H. KANE*</v>
      </c>
      <c r="C6" t="str">
        <f>IFERROR(__xludf.DUMMYFUNCTION("""COMPUTED_VALUE"""),"Bayern Munich")</f>
        <v>Bayern Munich</v>
      </c>
      <c r="D6" t="str">
        <f>IFERROR(__xludf.DUMMYFUNCTION("""COMPUTED_VALUE"""),"41 *(13 p.)*")</f>
        <v>41 *(13 p.)*</v>
      </c>
      <c r="E6">
        <f>IFERROR(__xludf.DUMMYFUNCTION("""COMPUTED_VALUE"""),26.0)</f>
        <v>26</v>
      </c>
      <c r="F6" t="str">
        <f>IFERROR(__xludf.DUMMYFUNCTION("""COMPUTED_VALUE"""),"35 *(1,17 b/m)*")</f>
        <v>35 *(1,17 b/m)*</v>
      </c>
      <c r="G6" t="str">
        <f>IFERROR(__xludf.DUMMYFUNCTION("""COMPUTED_VALUE"""),"69'")</f>
        <v>69'</v>
      </c>
      <c r="H6">
        <f>IFERROR(__xludf.DUMMYFUNCTION("SPLIT(F6,""*"")"),35.0)</f>
        <v>35</v>
      </c>
      <c r="I6" t="str">
        <f>IFERROR(__xludf.DUMMYFUNCTION("""COMPUTED_VALUE"""),"(1,17 b/m)")</f>
        <v>(1,17 b/m)</v>
      </c>
      <c r="J6" t="str">
        <f t="shared" ref="J6:J62" si="1">SUBSTITUTE(B6,"*","")</f>
        <v>H. KANE</v>
      </c>
      <c r="L6">
        <f t="shared" ref="L6:L8" si="2">$L$5-E6</f>
        <v>47</v>
      </c>
    </row>
    <row r="7">
      <c r="A7" t="str">
        <f>IFERROR(__xludf.DUMMYFUNCTION("""COMPUTED_VALUE"""),"2.")</f>
        <v>2.</v>
      </c>
      <c r="B7" t="str">
        <f>IFERROR(__xludf.DUMMYFUNCTION("""COMPUTED_VALUE"""),"*K. MBAPPÉ*")</f>
        <v>*K. MBAPPÉ*</v>
      </c>
      <c r="C7" t="str">
        <f>IFERROR(__xludf.DUMMYFUNCTION("""COMPUTED_VALUE"""),"Real Madrid")</f>
        <v>Real Madrid</v>
      </c>
      <c r="D7" t="str">
        <f>IFERROR(__xludf.DUMMYFUNCTION("""COMPUTED_VALUE"""),"38 *(12 p.)*")</f>
        <v>38 *(12 p.)*</v>
      </c>
      <c r="E7">
        <f>IFERROR(__xludf.DUMMYFUNCTION("""COMPUTED_VALUE"""),23.0)</f>
        <v>23</v>
      </c>
      <c r="F7" t="str">
        <f>IFERROR(__xludf.DUMMYFUNCTION("""COMPUTED_VALUE"""),"31 *(1,23 b/m)*")</f>
        <v>31 *(1,23 b/m)*</v>
      </c>
      <c r="G7" t="str">
        <f>IFERROR(__xludf.DUMMYFUNCTION("""COMPUTED_VALUE"""),"70'")</f>
        <v>70'</v>
      </c>
      <c r="J7" t="str">
        <f t="shared" si="1"/>
        <v>K. MBAPPÉ</v>
      </c>
      <c r="L7">
        <f t="shared" si="2"/>
        <v>50</v>
      </c>
    </row>
    <row r="8">
      <c r="A8" t="str">
        <f>IFERROR(__xludf.DUMMYFUNCTION("""COMPUTED_VALUE"""),"3.")</f>
        <v>3.</v>
      </c>
      <c r="B8" t="str">
        <f>IFERROR(__xludf.DUMMYFUNCTION("""COMPUTED_VALUE"""),"*E. HAALAND*")</f>
        <v>*E. HAALAND*</v>
      </c>
      <c r="C8" t="str">
        <f>IFERROR(__xludf.DUMMYFUNCTION("""COMPUTED_VALUE"""),"Manchester City")</f>
        <v>Manchester City</v>
      </c>
      <c r="D8" t="str">
        <f>IFERROR(__xludf.DUMMYFUNCTION("""COMPUTED_VALUE"""),"29 *(4 p.)*")</f>
        <v>29 *(4 p.)*</v>
      </c>
      <c r="E8">
        <f>IFERROR(__xludf.DUMMYFUNCTION("""COMPUTED_VALUE"""),22.0)</f>
        <v>22</v>
      </c>
      <c r="F8" t="str">
        <f>IFERROR(__xludf.DUMMYFUNCTION("""COMPUTED_VALUE"""),"37 *(0,78 b/m)*")</f>
        <v>37 *(0,78 b/m)*</v>
      </c>
      <c r="G8" t="str">
        <f>IFERROR(__xludf.DUMMYFUNCTION("""COMPUTED_VALUE"""),"101'")</f>
        <v>101'</v>
      </c>
      <c r="J8" t="str">
        <f t="shared" si="1"/>
        <v>E. HAALAND</v>
      </c>
      <c r="L8">
        <f t="shared" si="2"/>
        <v>51</v>
      </c>
    </row>
    <row r="9">
      <c r="A9" t="str">
        <f>IFERROR(__xludf.DUMMYFUNCTION("""COMPUTED_VALUE"""),"4.")</f>
        <v>4.</v>
      </c>
      <c r="B9" t="str">
        <f>IFERROR(__xludf.DUMMYFUNCTION("""COMPUTED_VALUE"""),"*M. GREENWOOD*")</f>
        <v>*M. GREENWOOD*</v>
      </c>
      <c r="C9" t="str">
        <f>IFERROR(__xludf.DUMMYFUNCTION("""COMPUTED_VALUE"""),"Marseille")</f>
        <v>Marseille</v>
      </c>
      <c r="D9" t="str">
        <f>IFERROR(__xludf.DUMMYFUNCTION("""COMPUTED_VALUE"""),"23 *(6 p.)*")</f>
        <v>23 *(6 p.)*</v>
      </c>
      <c r="E9">
        <f>IFERROR(__xludf.DUMMYFUNCTION("""COMPUTED_VALUE"""),14.0)</f>
        <v>14</v>
      </c>
      <c r="F9" t="str">
        <f>IFERROR(__xludf.DUMMYFUNCTION("""COMPUTED_VALUE"""),"32 *(0,72 b/m)*")</f>
        <v>32 *(0,72 b/m)*</v>
      </c>
      <c r="G9" t="str">
        <f>IFERROR(__xludf.DUMMYFUNCTION("""COMPUTED_VALUE"""),"113'")</f>
        <v>113'</v>
      </c>
      <c r="J9" t="str">
        <f t="shared" si="1"/>
        <v>M. GREENWOOD</v>
      </c>
      <c r="L9" s="2">
        <f t="shared" ref="L9:L19" si="3">E9/$L$5</f>
        <v>0.1917808219</v>
      </c>
    </row>
    <row r="10">
      <c r="A10" t="str">
        <f>IFERROR(__xludf.DUMMYFUNCTION("""COMPUTED_VALUE"""),"5.")</f>
        <v>5.</v>
      </c>
      <c r="B10" t="str">
        <f>IFERROR(__xludf.DUMMYFUNCTION("""COMPUTED_VALUE"""),"*L. DÍAZ*")</f>
        <v>*L. DÍAZ*</v>
      </c>
      <c r="C10" t="str">
        <f>IFERROR(__xludf.DUMMYFUNCTION("""COMPUTED_VALUE"""),"Bayern Munich")</f>
        <v>Bayern Munich</v>
      </c>
      <c r="D10">
        <f>IFERROR(__xludf.DUMMYFUNCTION("""COMPUTED_VALUE"""),19.0)</f>
        <v>19</v>
      </c>
      <c r="E10">
        <f>IFERROR(__xludf.DUMMYFUNCTION("""COMPUTED_VALUE"""),13.0)</f>
        <v>13</v>
      </c>
      <c r="F10" t="str">
        <f>IFERROR(__xludf.DUMMYFUNCTION("""COMPUTED_VALUE"""),"32 *(0,59 b/m)*")</f>
        <v>32 *(0,59 b/m)*</v>
      </c>
      <c r="G10" t="str">
        <f>IFERROR(__xludf.DUMMYFUNCTION("""COMPUTED_VALUE"""),"139'")</f>
        <v>139'</v>
      </c>
      <c r="J10" t="str">
        <f t="shared" si="1"/>
        <v>L. DÍAZ</v>
      </c>
      <c r="L10" s="2">
        <f t="shared" si="3"/>
        <v>0.1780821918</v>
      </c>
    </row>
    <row r="11">
      <c r="A11" t="str">
        <f>IFERROR(__xludf.DUMMYFUNCTION("""COMPUTED_VALUE"""),"6.")</f>
        <v>6.</v>
      </c>
      <c r="B11" t="str">
        <f>IFERROR(__xludf.DUMMYFUNCTION("""COMPUTED_VALUE"""),"*THIAGO*")</f>
        <v>*THIAGO*</v>
      </c>
      <c r="C11" t="str">
        <f>IFERROR(__xludf.DUMMYFUNCTION("""COMPUTED_VALUE"""),"Brentford")</f>
        <v>Brentford</v>
      </c>
      <c r="D11" t="str">
        <f>IFERROR(__xludf.DUMMYFUNCTION("""COMPUTED_VALUE"""),"18 *(6 p.)*")</f>
        <v>18 *(6 p.)*</v>
      </c>
      <c r="E11">
        <f>IFERROR(__xludf.DUMMYFUNCTION("""COMPUTED_VALUE"""),17.0)</f>
        <v>17</v>
      </c>
      <c r="F11" t="str">
        <f>IFERROR(__xludf.DUMMYFUNCTION("""COMPUTED_VALUE"""),"27 *(0,67 b/m)*")</f>
        <v>27 *(0,67 b/m)*</v>
      </c>
      <c r="G11" t="str">
        <f>IFERROR(__xludf.DUMMYFUNCTION("""COMPUTED_VALUE"""),"124'")</f>
        <v>124'</v>
      </c>
      <c r="J11" t="str">
        <f t="shared" si="1"/>
        <v>THIAGO</v>
      </c>
      <c r="L11" s="2">
        <f t="shared" si="3"/>
        <v>0.2328767123</v>
      </c>
    </row>
    <row r="12">
      <c r="A12" t="str">
        <f>IFERROR(__xludf.DUMMYFUNCTION("""COMPUTED_VALUE"""),".")</f>
        <v>.</v>
      </c>
      <c r="B12" t="str">
        <f>IFERROR(__xludf.DUMMYFUNCTION("""COMPUTED_VALUE"""),"*L. MARTÍNEZ*")</f>
        <v>*L. MARTÍNEZ*</v>
      </c>
      <c r="C12" t="str">
        <f>IFERROR(__xludf.DUMMYFUNCTION("""COMPUTED_VALUE"""),"Inter Milan")</f>
        <v>Inter Milan</v>
      </c>
      <c r="D12">
        <f>IFERROR(__xludf.DUMMYFUNCTION("""COMPUTED_VALUE"""),18.0)</f>
        <v>18</v>
      </c>
      <c r="E12">
        <f>IFERROR(__xludf.DUMMYFUNCTION("""COMPUTED_VALUE"""),14.0)</f>
        <v>14</v>
      </c>
      <c r="F12" t="str">
        <f>IFERROR(__xludf.DUMMYFUNCTION("""COMPUTED_VALUE"""),"34 *(0,53 b/m)*")</f>
        <v>34 *(0,53 b/m)*</v>
      </c>
      <c r="G12" t="str">
        <f>IFERROR(__xludf.DUMMYFUNCTION("""COMPUTED_VALUE"""),"131'")</f>
        <v>131'</v>
      </c>
      <c r="J12" t="str">
        <f t="shared" si="1"/>
        <v>L. MARTÍNEZ</v>
      </c>
      <c r="L12" s="2">
        <f t="shared" si="3"/>
        <v>0.1917808219</v>
      </c>
      <c r="N12" s="1"/>
    </row>
    <row r="13">
      <c r="A13" t="str">
        <f>IFERROR(__xludf.DUMMYFUNCTION("""COMPUTED_VALUE"""),"8.")</f>
        <v>8.</v>
      </c>
      <c r="B13" t="str">
        <f>IFERROR(__xludf.DUMMYFUNCTION("""COMPUTED_VALUE"""),"*FERRAN TORRES*")</f>
        <v>*FERRAN TORRES*</v>
      </c>
      <c r="C13" t="str">
        <f>IFERROR(__xludf.DUMMYFUNCTION("""COMPUTED_VALUE"""),"FC Barcelone")</f>
        <v>FC Barcelone</v>
      </c>
      <c r="D13">
        <f>IFERROR(__xludf.DUMMYFUNCTION("""COMPUTED_VALUE"""),16.0)</f>
        <v>16</v>
      </c>
      <c r="E13">
        <f>IFERROR(__xludf.DUMMYFUNCTION("""COMPUTED_VALUE"""),12.0)</f>
        <v>12</v>
      </c>
      <c r="F13" t="str">
        <f>IFERROR(__xludf.DUMMYFUNCTION("""COMPUTED_VALUE"""),"32 *(0,50 b/m)*")</f>
        <v>32 *(0,50 b/m)*</v>
      </c>
      <c r="G13" t="str">
        <f>IFERROR(__xludf.DUMMYFUNCTION("""COMPUTED_VALUE"""),"115'")</f>
        <v>115'</v>
      </c>
      <c r="J13" t="str">
        <f t="shared" si="1"/>
        <v>FERRAN TORRES</v>
      </c>
      <c r="L13" s="2">
        <f t="shared" si="3"/>
        <v>0.1643835616</v>
      </c>
    </row>
    <row r="14">
      <c r="A14" t="str">
        <f>IFERROR(__xludf.DUMMYFUNCTION("""COMPUTED_VALUE"""),".")</f>
        <v>.</v>
      </c>
      <c r="B14" t="str">
        <f>IFERROR(__xludf.DUMMYFUNCTION("""COMPUTED_VALUE"""),"*V. MURIQI*")</f>
        <v>*V. MURIQI*</v>
      </c>
      <c r="C14" t="str">
        <f>IFERROR(__xludf.DUMMYFUNCTION("""COMPUTED_VALUE"""),"Real Majorque")</f>
        <v>Real Majorque</v>
      </c>
      <c r="D14" t="str">
        <f>IFERROR(__xludf.DUMMYFUNCTION("""COMPUTED_VALUE"""),"16 *(5 p.)*")</f>
        <v>16 *(5 p.)*</v>
      </c>
      <c r="E14">
        <f>IFERROR(__xludf.DUMMYFUNCTION("""COMPUTED_VALUE"""),16.0)</f>
        <v>16</v>
      </c>
      <c r="F14" t="str">
        <f>IFERROR(__xludf.DUMMYFUNCTION("""COMPUTED_VALUE"""),"23 *(0,70 b/m)*")</f>
        <v>23 *(0,70 b/m)*</v>
      </c>
      <c r="G14" t="str">
        <f>IFERROR(__xludf.DUMMYFUNCTION("""COMPUTED_VALUE"""),"118'")</f>
        <v>118'</v>
      </c>
      <c r="J14" t="str">
        <f t="shared" si="1"/>
        <v>V. MURIQI</v>
      </c>
      <c r="L14" s="2">
        <f t="shared" si="3"/>
        <v>0.2191780822</v>
      </c>
    </row>
    <row r="15">
      <c r="A15" t="str">
        <f>IFERROR(__xludf.DUMMYFUNCTION("""COMPUTED_VALUE"""),".")</f>
        <v>.</v>
      </c>
      <c r="B15" t="str">
        <f>IFERROR(__xludf.DUMMYFUNCTION("""COMPUTED_VALUE"""),"*D. UNDAV*")</f>
        <v>*D. UNDAV*</v>
      </c>
      <c r="C15" t="str">
        <f>IFERROR(__xludf.DUMMYFUNCTION("""COMPUTED_VALUE"""),"VfB Stuttgart")</f>
        <v>VfB Stuttgart</v>
      </c>
      <c r="D15">
        <f>IFERROR(__xludf.DUMMYFUNCTION("""COMPUTED_VALUE"""),16.0)</f>
        <v>16</v>
      </c>
      <c r="E15">
        <f>IFERROR(__xludf.DUMMYFUNCTION("""COMPUTED_VALUE"""),12.0)</f>
        <v>12</v>
      </c>
      <c r="F15" t="str">
        <f>IFERROR(__xludf.DUMMYFUNCTION("""COMPUTED_VALUE"""),"29 *(0,55 b/m)*")</f>
        <v>29 *(0,55 b/m)*</v>
      </c>
      <c r="G15" t="str">
        <f>IFERROR(__xludf.DUMMYFUNCTION("""COMPUTED_VALUE"""),"137'")</f>
        <v>137'</v>
      </c>
      <c r="J15" t="str">
        <f t="shared" si="1"/>
        <v>D. UNDAV</v>
      </c>
      <c r="L15" s="2">
        <f t="shared" si="3"/>
        <v>0.1643835616</v>
      </c>
    </row>
    <row r="16">
      <c r="A16" t="str">
        <f>IFERROR(__xludf.DUMMYFUNCTION("""COMPUTED_VALUE"""),"11.")</f>
        <v>11.</v>
      </c>
      <c r="B16" t="str">
        <f>IFERROR(__xludf.DUMMYFUNCTION("""COMPUTED_VALUE"""),"*H. EKITIKE*")</f>
        <v>*H. EKITIKE*</v>
      </c>
      <c r="C16" t="str">
        <f>IFERROR(__xludf.DUMMYFUNCTION("""COMPUTED_VALUE"""),"Liverpool")</f>
        <v>Liverpool</v>
      </c>
      <c r="D16">
        <f>IFERROR(__xludf.DUMMYFUNCTION("""COMPUTED_VALUE"""),15.0)</f>
        <v>15</v>
      </c>
      <c r="E16">
        <f>IFERROR(__xludf.DUMMYFUNCTION("""COMPUTED_VALUE"""),10.0)</f>
        <v>10</v>
      </c>
      <c r="F16" t="str">
        <f>IFERROR(__xludf.DUMMYFUNCTION("""COMPUTED_VALUE"""),"35 *(0,43 b/m)*")</f>
        <v>35 *(0,43 b/m)*</v>
      </c>
      <c r="G16" t="str">
        <f>IFERROR(__xludf.DUMMYFUNCTION("""COMPUTED_VALUE"""),"149'")</f>
        <v>149'</v>
      </c>
      <c r="J16" t="str">
        <f t="shared" si="1"/>
        <v>H. EKITIKE</v>
      </c>
      <c r="L16" s="2">
        <f t="shared" si="3"/>
        <v>0.1369863014</v>
      </c>
    </row>
    <row r="17">
      <c r="A17" t="str">
        <f>IFERROR(__xludf.DUMMYFUNCTION("""COMPUTED_VALUE"""),".")</f>
        <v>.</v>
      </c>
      <c r="B17" t="str">
        <f>IFERROR(__xludf.DUMMYFUNCTION("""COMPUTED_VALUE"""),"*S. GUIRASSY*")</f>
        <v>*S. GUIRASSY*</v>
      </c>
      <c r="C17" t="str">
        <f>IFERROR(__xludf.DUMMYFUNCTION("""COMPUTED_VALUE"""),"Borussia Dortmund")</f>
        <v>Borussia Dortmund</v>
      </c>
      <c r="D17" t="str">
        <f>IFERROR(__xludf.DUMMYFUNCTION("""COMPUTED_VALUE"""),"15 *(1 p.)*")</f>
        <v>15 *(1 p.)*</v>
      </c>
      <c r="E17">
        <f>IFERROR(__xludf.DUMMYFUNCTION("""COMPUTED_VALUE"""),11.0)</f>
        <v>11</v>
      </c>
      <c r="F17" t="str">
        <f>IFERROR(__xludf.DUMMYFUNCTION("""COMPUTED_VALUE"""),"32 *(0,47 b/m)*")</f>
        <v>32 *(0,47 b/m)*</v>
      </c>
      <c r="G17" t="str">
        <f>IFERROR(__xludf.DUMMYFUNCTION("""COMPUTED_VALUE"""),"154'")</f>
        <v>154'</v>
      </c>
      <c r="J17" t="str">
        <f t="shared" si="1"/>
        <v>S. GUIRASSY</v>
      </c>
      <c r="L17" s="2">
        <f t="shared" si="3"/>
        <v>0.1506849315</v>
      </c>
    </row>
    <row r="18">
      <c r="A18" t="str">
        <f>IFERROR(__xludf.DUMMYFUNCTION("""COMPUTED_VALUE"""),".")</f>
        <v>.</v>
      </c>
      <c r="B18" t="str">
        <f>IFERROR(__xludf.DUMMYFUNCTION("""COMPUTED_VALUE"""),"*A. SEMENYO*")</f>
        <v>*A. SEMENYO*</v>
      </c>
      <c r="C18" t="str">
        <f>IFERROR(__xludf.DUMMYFUNCTION("""COMPUTED_VALUE"""),"Manchester City / Bournemouth (10)")</f>
        <v>Manchester City / Bournemouth (10)</v>
      </c>
      <c r="D18" t="str">
        <f>IFERROR(__xludf.DUMMYFUNCTION("""COMPUTED_VALUE"""),"15 *(1 p.)*")</f>
        <v>15 *(1 p.)*</v>
      </c>
      <c r="E18">
        <f>IFERROR(__xludf.DUMMYFUNCTION("""COMPUTED_VALUE"""),13.0)</f>
        <v>13</v>
      </c>
      <c r="F18" t="str">
        <f>IFERROR(__xludf.DUMMYFUNCTION("""COMPUTED_VALUE"""),"30 *(0,50 b/m)*")</f>
        <v>30 *(0,50 b/m)*</v>
      </c>
      <c r="G18" t="str">
        <f>IFERROR(__xludf.DUMMYFUNCTION("""COMPUTED_VALUE"""),"170'")</f>
        <v>170'</v>
      </c>
      <c r="J18" t="str">
        <f t="shared" si="1"/>
        <v>A. SEMENYO</v>
      </c>
      <c r="L18" s="2">
        <f t="shared" si="3"/>
        <v>0.1780821918</v>
      </c>
    </row>
    <row r="19">
      <c r="A19" t="str">
        <f>IFERROR(__xludf.DUMMYFUNCTION("""COMPUTED_VALUE"""),".")</f>
        <v>.</v>
      </c>
      <c r="B19" t="str">
        <f>IFERROR(__xludf.DUMMYFUNCTION("""COMPUTED_VALUE"""),"*LAMINE YAMAL*")</f>
        <v>*LAMINE YAMAL*</v>
      </c>
      <c r="C19" t="str">
        <f>IFERROR(__xludf.DUMMYFUNCTION("""COMPUTED_VALUE"""),"FC Barcelone")</f>
        <v>FC Barcelone</v>
      </c>
      <c r="D19" t="str">
        <f>IFERROR(__xludf.DUMMYFUNCTION("""COMPUTED_VALUE"""),"15 *(3 p.)*")</f>
        <v>15 *(3 p.)*</v>
      </c>
      <c r="E19">
        <f>IFERROR(__xludf.DUMMYFUNCTION("""COMPUTED_VALUE"""),10.0)</f>
        <v>10</v>
      </c>
      <c r="F19" t="str">
        <f>IFERROR(__xludf.DUMMYFUNCTION("""COMPUTED_VALUE"""),"31 *(0,48 b/m)*")</f>
        <v>31 *(0,48 b/m)*</v>
      </c>
      <c r="G19" t="str">
        <f>IFERROR(__xludf.DUMMYFUNCTION("""COMPUTED_VALUE"""),"172'")</f>
        <v>172'</v>
      </c>
      <c r="J19" t="str">
        <f t="shared" si="1"/>
        <v>LAMINE YAMAL</v>
      </c>
      <c r="L19" s="2">
        <f t="shared" si="3"/>
        <v>0.1369863014</v>
      </c>
    </row>
    <row r="20">
      <c r="A20" t="str">
        <f>IFERROR(__xludf.DUMMYFUNCTION("""COMPUTED_VALUE"""),"15.")</f>
        <v>15.</v>
      </c>
      <c r="B20" t="str">
        <f>IFERROR(__xludf.DUMMYFUNCTION("""COMPUTED_VALUE"""),"*BORJA IGLESIAS*")</f>
        <v>*BORJA IGLESIAS*</v>
      </c>
      <c r="C20" t="str">
        <f>IFERROR(__xludf.DUMMYFUNCTION("""COMPUTED_VALUE"""),"Celta Vigo")</f>
        <v>Celta Vigo</v>
      </c>
      <c r="D20" t="str">
        <f>IFERROR(__xludf.DUMMYFUNCTION("""COMPUTED_VALUE"""),"14 *(3 p.)*")</f>
        <v>14 *(3 p.)*</v>
      </c>
      <c r="E20">
        <f>IFERROR(__xludf.DUMMYFUNCTION("""COMPUTED_VALUE"""),10.0)</f>
        <v>10</v>
      </c>
      <c r="F20" t="str">
        <f>IFERROR(__xludf.DUMMYFUNCTION("""COMPUTED_VALUE"""),"32 *(0,44 b/m)*")</f>
        <v>32 *(0,44 b/m)*</v>
      </c>
      <c r="G20" t="str">
        <f>IFERROR(__xludf.DUMMYFUNCTION("""COMPUTED_VALUE"""),"128'")</f>
        <v>128'</v>
      </c>
      <c r="J20" t="str">
        <f t="shared" si="1"/>
        <v>BORJA IGLESIAS</v>
      </c>
      <c r="L20">
        <f t="shared" ref="L20:L62" si="4">$L$5-E20</f>
        <v>63</v>
      </c>
    </row>
    <row r="21">
      <c r="A21" t="str">
        <f>IFERROR(__xludf.DUMMYFUNCTION("""COMPUTED_VALUE"""),".")</f>
        <v>.</v>
      </c>
      <c r="B21" t="str">
        <f>IFERROR(__xludf.DUMMYFUNCTION("""COMPUTED_VALUE"""),"*N. AMIRI*")</f>
        <v>*N. AMIRI*</v>
      </c>
      <c r="C21" t="str">
        <f>IFERROR(__xludf.DUMMYFUNCTION("""COMPUTED_VALUE"""),"Mayence")</f>
        <v>Mayence</v>
      </c>
      <c r="D21" t="str">
        <f>IFERROR(__xludf.DUMMYFUNCTION("""COMPUTED_VALUE"""),"14 *(9 p.)*")</f>
        <v>14 *(9 p.)*</v>
      </c>
      <c r="E21">
        <f>IFERROR(__xludf.DUMMYFUNCTION("""COMPUTED_VALUE"""),9.0)</f>
        <v>9</v>
      </c>
      <c r="F21" t="str">
        <f>IFERROR(__xludf.DUMMYFUNCTION("""COMPUTED_VALUE"""),"27 *(0,52 b/m)*")</f>
        <v>27 *(0,52 b/m)*</v>
      </c>
      <c r="G21" t="str">
        <f>IFERROR(__xludf.DUMMYFUNCTION("""COMPUTED_VALUE"""),"162'")</f>
        <v>162'</v>
      </c>
      <c r="J21" t="str">
        <f t="shared" si="1"/>
        <v>N. AMIRI</v>
      </c>
      <c r="L21">
        <f t="shared" si="4"/>
        <v>64</v>
      </c>
    </row>
    <row r="22">
      <c r="A22" t="str">
        <f>IFERROR(__xludf.DUMMYFUNCTION("""COMPUTED_VALUE"""),".")</f>
        <v>.</v>
      </c>
      <c r="B22" t="str">
        <f>IFERROR(__xludf.DUMMYFUNCTION("""COMPUTED_VALUE"""),"*J. PANICHELLI*")</f>
        <v>*J. PANICHELLI*</v>
      </c>
      <c r="C22" t="str">
        <f>IFERROR(__xludf.DUMMYFUNCTION("""COMPUTED_VALUE"""),"Strasbourg")</f>
        <v>Strasbourg</v>
      </c>
      <c r="D22" t="str">
        <f>IFERROR(__xludf.DUMMYFUNCTION("""COMPUTED_VALUE"""),"14 *(4 p.)*")</f>
        <v>14 *(4 p.)*</v>
      </c>
      <c r="E22">
        <f>IFERROR(__xludf.DUMMYFUNCTION("""COMPUTED_VALUE"""),12.0)</f>
        <v>12</v>
      </c>
      <c r="F22" t="str">
        <f>IFERROR(__xludf.DUMMYFUNCTION("""COMPUTED_VALUE"""),"31 *(0,45 b/m)*")</f>
        <v>31 *(0,45 b/m)*</v>
      </c>
      <c r="G22" t="str">
        <f>IFERROR(__xludf.DUMMYFUNCTION("""COMPUTED_VALUE"""),"167'")</f>
        <v>167'</v>
      </c>
      <c r="J22" t="str">
        <f t="shared" si="1"/>
        <v>J. PANICHELLI</v>
      </c>
      <c r="L22">
        <f t="shared" si="4"/>
        <v>61</v>
      </c>
    </row>
    <row r="23">
      <c r="A23" t="str">
        <f>IFERROR(__xludf.DUMMYFUNCTION("""COMPUTED_VALUE"""),"18.")</f>
        <v>18.</v>
      </c>
      <c r="B23" t="str">
        <f>IFERROR(__xludf.DUMMYFUNCTION("""COMPUTED_VALUE"""),"*RAPHINHA*")</f>
        <v>*RAPHINHA*</v>
      </c>
      <c r="C23" t="str">
        <f>IFERROR(__xludf.DUMMYFUNCTION("""COMPUTED_VALUE"""),"FC Barcelone")</f>
        <v>FC Barcelone</v>
      </c>
      <c r="D23" t="str">
        <f>IFERROR(__xludf.DUMMYFUNCTION("""COMPUTED_VALUE"""),"13 *(2 p.)*")</f>
        <v>13 *(2 p.)*</v>
      </c>
      <c r="E23">
        <f>IFERROR(__xludf.DUMMYFUNCTION("""COMPUTED_VALUE"""),8.0)</f>
        <v>8</v>
      </c>
      <c r="F23" t="str">
        <f>IFERROR(__xludf.DUMMYFUNCTION("""COMPUTED_VALUE"""),"22 *(0,59 b/m)*")</f>
        <v>22 *(0,59 b/m)*</v>
      </c>
      <c r="G23" t="str">
        <f>IFERROR(__xludf.DUMMYFUNCTION("""COMPUTED_VALUE"""),"108'")</f>
        <v>108'</v>
      </c>
      <c r="J23" t="str">
        <f t="shared" si="1"/>
        <v>RAPHINHA</v>
      </c>
      <c r="L23">
        <f t="shared" si="4"/>
        <v>65</v>
      </c>
    </row>
    <row r="24">
      <c r="A24" t="str">
        <f>IFERROR(__xludf.DUMMYFUNCTION("""COMPUTED_VALUE"""),".")</f>
        <v>.</v>
      </c>
      <c r="B24" t="str">
        <f>IFERROR(__xludf.DUMMYFUNCTION("""COMPUTED_VALUE"""),"*R. LEWANDOWSKI*")</f>
        <v>*R. LEWANDOWSKI*</v>
      </c>
      <c r="C24" t="str">
        <f>IFERROR(__xludf.DUMMYFUNCTION("""COMPUTED_VALUE"""),"FC Barcelone")</f>
        <v>FC Barcelone</v>
      </c>
      <c r="D24" t="str">
        <f>IFERROR(__xludf.DUMMYFUNCTION("""COMPUTED_VALUE"""),"13 *(1 p.)*")</f>
        <v>13 *(1 p.)*</v>
      </c>
      <c r="E24">
        <f>IFERROR(__xludf.DUMMYFUNCTION("""COMPUTED_VALUE"""),10.0)</f>
        <v>10</v>
      </c>
      <c r="F24" t="str">
        <f>IFERROR(__xludf.DUMMYFUNCTION("""COMPUTED_VALUE"""),"29 *(0,45 b/m)*")</f>
        <v>29 *(0,45 b/m)*</v>
      </c>
      <c r="G24" t="str">
        <f>IFERROR(__xludf.DUMMYFUNCTION("""COMPUTED_VALUE"""),"119'")</f>
        <v>119'</v>
      </c>
      <c r="J24" t="str">
        <f t="shared" si="1"/>
        <v>R. LEWANDOWSKI</v>
      </c>
      <c r="L24">
        <f t="shared" si="4"/>
        <v>63</v>
      </c>
    </row>
    <row r="25">
      <c r="A25" t="str">
        <f>IFERROR(__xludf.DUMMYFUNCTION("""COMPUTED_VALUE"""),".")</f>
        <v>.</v>
      </c>
      <c r="B25" t="str">
        <f>IFERROR(__xludf.DUMMYFUNCTION("""COMPUTED_VALUE"""),"*A. BUDIMIR*")</f>
        <v>*A. BUDIMIR*</v>
      </c>
      <c r="C25" t="str">
        <f>IFERROR(__xludf.DUMMYFUNCTION("""COMPUTED_VALUE"""),"Osasuna")</f>
        <v>Osasuna</v>
      </c>
      <c r="D25" t="str">
        <f>IFERROR(__xludf.DUMMYFUNCTION("""COMPUTED_VALUE"""),"13 *(3 p.)*")</f>
        <v>13 *(3 p.)*</v>
      </c>
      <c r="E25">
        <f>IFERROR(__xludf.DUMMYFUNCTION("""COMPUTED_VALUE"""),11.0)</f>
        <v>11</v>
      </c>
      <c r="F25" t="str">
        <f>IFERROR(__xludf.DUMMYFUNCTION("""COMPUTED_VALUE"""),"26 *(0,50 b/m)*")</f>
        <v>26 *(0,50 b/m)*</v>
      </c>
      <c r="G25" t="str">
        <f>IFERROR(__xludf.DUMMYFUNCTION("""COMPUTED_VALUE"""),"140'")</f>
        <v>140'</v>
      </c>
      <c r="J25" t="str">
        <f t="shared" si="1"/>
        <v>A. BUDIMIR</v>
      </c>
      <c r="L25">
        <f t="shared" si="4"/>
        <v>62</v>
      </c>
    </row>
    <row r="26">
      <c r="A26" t="str">
        <f>IFERROR(__xludf.DUMMYFUNCTION("""COMPUTED_VALUE"""),".")</f>
        <v>.</v>
      </c>
      <c r="B26" t="str">
        <f>IFERROR(__xludf.DUMMYFUNCTION("""COMPUTED_VALUE"""),"*P. SULC*")</f>
        <v>*P. SULC*</v>
      </c>
      <c r="C26" t="str">
        <f>IFERROR(__xludf.DUMMYFUNCTION("""COMPUTED_VALUE"""),"Lyon")</f>
        <v>Lyon</v>
      </c>
      <c r="D26">
        <f>IFERROR(__xludf.DUMMYFUNCTION("""COMPUTED_VALUE"""),13.0)</f>
        <v>13</v>
      </c>
      <c r="E26">
        <f>IFERROR(__xludf.DUMMYFUNCTION("""COMPUTED_VALUE"""),10.0)</f>
        <v>10</v>
      </c>
      <c r="F26" t="str">
        <f>IFERROR(__xludf.DUMMYFUNCTION("""COMPUTED_VALUE"""),"30 *(0,43 b/m)*")</f>
        <v>30 *(0,43 b/m)*</v>
      </c>
      <c r="G26" t="str">
        <f>IFERROR(__xludf.DUMMYFUNCTION("""COMPUTED_VALUE"""),"146'")</f>
        <v>146'</v>
      </c>
      <c r="J26" t="str">
        <f t="shared" si="1"/>
        <v>P. SULC</v>
      </c>
      <c r="L26">
        <f t="shared" si="4"/>
        <v>63</v>
      </c>
    </row>
    <row r="27">
      <c r="A27" t="str">
        <f>IFERROR(__xludf.DUMMYFUNCTION("""COMPUTED_VALUE"""),".")</f>
        <v>.</v>
      </c>
      <c r="B27" t="str">
        <f>IFERROR(__xludf.DUMMYFUNCTION("""COMPUTED_VALUE"""),"*V. GYÖKERES*")</f>
        <v>*V. GYÖKERES*</v>
      </c>
      <c r="C27" t="str">
        <f>IFERROR(__xludf.DUMMYFUNCTION("""COMPUTED_VALUE"""),"Arsenal")</f>
        <v>Arsenal</v>
      </c>
      <c r="D27" t="str">
        <f>IFERROR(__xludf.DUMMYFUNCTION("""COMPUTED_VALUE"""),"13 *(2 p.)*")</f>
        <v>13 *(2 p.)*</v>
      </c>
      <c r="E27">
        <f>IFERROR(__xludf.DUMMYFUNCTION("""COMPUTED_VALUE"""),8.0)</f>
        <v>8</v>
      </c>
      <c r="F27" t="str">
        <f>IFERROR(__xludf.DUMMYFUNCTION("""COMPUTED_VALUE"""),"34 *(0,38 b/m)*")</f>
        <v>34 *(0,38 b/m)*</v>
      </c>
      <c r="G27" t="str">
        <f>IFERROR(__xludf.DUMMYFUNCTION("""COMPUTED_VALUE"""),"168'")</f>
        <v>168'</v>
      </c>
      <c r="J27" t="str">
        <f t="shared" si="1"/>
        <v>V. GYÖKERES</v>
      </c>
      <c r="L27">
        <f t="shared" si="4"/>
        <v>65</v>
      </c>
    </row>
    <row r="28">
      <c r="A28" t="str">
        <f>IFERROR(__xludf.DUMMYFUNCTION("""COMPUTED_VALUE"""),".")</f>
        <v>.</v>
      </c>
      <c r="B28" t="str">
        <f>IFERROR(__xludf.DUMMYFUNCTION("""COMPUTED_VALUE"""),"*JOÃO PEDRO*")</f>
        <v>*JOÃO PEDRO*</v>
      </c>
      <c r="C28" t="str">
        <f>IFERROR(__xludf.DUMMYFUNCTION("""COMPUTED_VALUE"""),"Chelsea")</f>
        <v>Chelsea</v>
      </c>
      <c r="D28">
        <f>IFERROR(__xludf.DUMMYFUNCTION("""COMPUTED_VALUE"""),13.0)</f>
        <v>13</v>
      </c>
      <c r="E28">
        <f>IFERROR(__xludf.DUMMYFUNCTION("""COMPUTED_VALUE"""),10.0)</f>
        <v>10</v>
      </c>
      <c r="F28" t="str">
        <f>IFERROR(__xludf.DUMMYFUNCTION("""COMPUTED_VALUE"""),"35 *(0,37 b/m)*")</f>
        <v>35 *(0,37 b/m)*</v>
      </c>
      <c r="G28" t="str">
        <f>IFERROR(__xludf.DUMMYFUNCTION("""COMPUTED_VALUE"""),"193'")</f>
        <v>193'</v>
      </c>
      <c r="J28" t="str">
        <f t="shared" si="1"/>
        <v>JOÃO PEDRO</v>
      </c>
      <c r="L28">
        <f t="shared" si="4"/>
        <v>63</v>
      </c>
    </row>
    <row r="29">
      <c r="A29" t="str">
        <f>IFERROR(__xludf.DUMMYFUNCTION("""COMPUTED_VALUE"""),".")</f>
        <v>.</v>
      </c>
      <c r="B29" t="str">
        <f>IFERROR(__xludf.DUMMYFUNCTION("""COMPUTED_VALUE"""),"*M. OLISE*")</f>
        <v>*M. OLISE*</v>
      </c>
      <c r="C29" t="str">
        <f>IFERROR(__xludf.DUMMYFUNCTION("""COMPUTED_VALUE"""),"Bayern Munich")</f>
        <v>Bayern Munich</v>
      </c>
      <c r="D29">
        <f>IFERROR(__xludf.DUMMYFUNCTION("""COMPUTED_VALUE"""),13.0)</f>
        <v>13</v>
      </c>
      <c r="E29">
        <f>IFERROR(__xludf.DUMMYFUNCTION("""COMPUTED_VALUE"""),10.0)</f>
        <v>10</v>
      </c>
      <c r="F29" t="str">
        <f>IFERROR(__xludf.DUMMYFUNCTION("""COMPUTED_VALUE"""),"34 *(0,38 b/m)*")</f>
        <v>34 *(0,38 b/m)*</v>
      </c>
      <c r="G29" t="str">
        <f>IFERROR(__xludf.DUMMYFUNCTION("""COMPUTED_VALUE"""),"206'")</f>
        <v>206'</v>
      </c>
      <c r="J29" t="str">
        <f t="shared" si="1"/>
        <v>M. OLISE</v>
      </c>
      <c r="L29">
        <f t="shared" si="4"/>
        <v>63</v>
      </c>
    </row>
    <row r="30">
      <c r="A30" t="str">
        <f>IFERROR(__xludf.DUMMYFUNCTION("""COMPUTED_VALUE"""),"25.")</f>
        <v>25.</v>
      </c>
      <c r="B30" t="str">
        <f>IFERROR(__xludf.DUMMYFUNCTION("""COMPUTED_VALUE"""),"*A. GRIEZMANN*")</f>
        <v>*A. GRIEZMANN*</v>
      </c>
      <c r="C30" t="str">
        <f>IFERROR(__xludf.DUMMYFUNCTION("""COMPUTED_VALUE"""),"Atl. Madrid")</f>
        <v>Atl. Madrid</v>
      </c>
      <c r="D30">
        <f>IFERROR(__xludf.DUMMYFUNCTION("""COMPUTED_VALUE"""),12.0)</f>
        <v>12</v>
      </c>
      <c r="E30">
        <f>IFERROR(__xludf.DUMMYFUNCTION("""COMPUTED_VALUE"""),6.0)</f>
        <v>6</v>
      </c>
      <c r="F30" t="str">
        <f>IFERROR(__xludf.DUMMYFUNCTION("""COMPUTED_VALUE"""),"32 *(0,38 b/m)*")</f>
        <v>32 *(0,38 b/m)*</v>
      </c>
      <c r="G30" t="str">
        <f>IFERROR(__xludf.DUMMYFUNCTION("""COMPUTED_VALUE"""),"117'")</f>
        <v>117'</v>
      </c>
      <c r="J30" t="str">
        <f t="shared" si="1"/>
        <v>A. GRIEZMANN</v>
      </c>
      <c r="L30">
        <f t="shared" si="4"/>
        <v>67</v>
      </c>
    </row>
    <row r="31">
      <c r="A31" t="str">
        <f>IFERROR(__xludf.DUMMYFUNCTION("""COMPUTED_VALUE"""),".")</f>
        <v>.</v>
      </c>
      <c r="B31" t="str">
        <f>IFERROR(__xludf.DUMMYFUNCTION("""COMPUTED_VALUE"""),"*D. MALEN*")</f>
        <v>*D. MALEN*</v>
      </c>
      <c r="C31" t="str">
        <f>IFERROR(__xludf.DUMMYFUNCTION("""COMPUTED_VALUE"""),"AS Rome / Aston Villa")</f>
        <v>AS Rome / Aston Villa</v>
      </c>
      <c r="D31" t="str">
        <f>IFERROR(__xludf.DUMMYFUNCTION("""COMPUTED_VALUE"""),"12 *(2 p.)*")</f>
        <v>12 *(2 p.)*</v>
      </c>
      <c r="E31">
        <f>IFERROR(__xludf.DUMMYFUNCTION("""COMPUTED_VALUE"""),9.0)</f>
        <v>9</v>
      </c>
      <c r="F31" t="str">
        <f>IFERROR(__xludf.DUMMYFUNCTION("""COMPUTED_VALUE"""),"34 *(0,35 b/m)*")</f>
        <v>34 *(0,35 b/m)*</v>
      </c>
      <c r="G31" t="str">
        <f>IFERROR(__xludf.DUMMYFUNCTION("""COMPUTED_VALUE"""),"125'")</f>
        <v>125'</v>
      </c>
      <c r="J31" t="str">
        <f t="shared" si="1"/>
        <v>D. MALEN</v>
      </c>
      <c r="L31">
        <f t="shared" si="4"/>
        <v>64</v>
      </c>
    </row>
    <row r="32">
      <c r="A32" t="str">
        <f>IFERROR(__xludf.DUMMYFUNCTION("""COMPUTED_VALUE"""),".")</f>
        <v>.</v>
      </c>
      <c r="B32" t="str">
        <f>IFERROR(__xludf.DUMMYFUNCTION("""COMPUTED_VALUE"""),"*H. TABAKOVIC*")</f>
        <v>*H. TABAKOVIC*</v>
      </c>
      <c r="C32" t="str">
        <f>IFERROR(__xludf.DUMMYFUNCTION("""COMPUTED_VALUE"""),"Borussia M'Gladbach")</f>
        <v>Borussia M'Gladbach</v>
      </c>
      <c r="D32">
        <f>IFERROR(__xludf.DUMMYFUNCTION("""COMPUTED_VALUE"""),12.0)</f>
        <v>12</v>
      </c>
      <c r="E32">
        <f>IFERROR(__xludf.DUMMYFUNCTION("""COMPUTED_VALUE"""),10.0)</f>
        <v>10</v>
      </c>
      <c r="F32" t="str">
        <f>IFERROR(__xludf.DUMMYFUNCTION("""COMPUTED_VALUE"""),"24 *(0,50 b/m)*")</f>
        <v>24 *(0,50 b/m)*</v>
      </c>
      <c r="G32" t="str">
        <f>IFERROR(__xludf.DUMMYFUNCTION("""COMPUTED_VALUE"""),"150'")</f>
        <v>150'</v>
      </c>
      <c r="J32" t="str">
        <f t="shared" si="1"/>
        <v>H. TABAKOVIC</v>
      </c>
      <c r="L32">
        <f t="shared" si="4"/>
        <v>63</v>
      </c>
    </row>
    <row r="33">
      <c r="A33" t="str">
        <f>IFERROR(__xludf.DUMMYFUNCTION("""COMPUTED_VALUE"""),".")</f>
        <v>.</v>
      </c>
      <c r="B33" t="str">
        <f>IFERROR(__xludf.DUMMYFUNCTION("""COMPUTED_VALUE"""),"*M. THURAM*")</f>
        <v>*M. THURAM*</v>
      </c>
      <c r="C33" t="str">
        <f>IFERROR(__xludf.DUMMYFUNCTION("""COMPUTED_VALUE"""),"Inter Milan")</f>
        <v>Inter Milan</v>
      </c>
      <c r="D33">
        <f>IFERROR(__xludf.DUMMYFUNCTION("""COMPUTED_VALUE"""),12.0)</f>
        <v>12</v>
      </c>
      <c r="E33">
        <f>IFERROR(__xludf.DUMMYFUNCTION("""COMPUTED_VALUE"""),7.0)</f>
        <v>7</v>
      </c>
      <c r="F33" t="str">
        <f>IFERROR(__xludf.DUMMYFUNCTION("""COMPUTED_VALUE"""),"29 *(0,41 b/m)*")</f>
        <v>29 *(0,41 b/m)*</v>
      </c>
      <c r="G33" t="str">
        <f>IFERROR(__xludf.DUMMYFUNCTION("""COMPUTED_VALUE"""),"153'")</f>
        <v>153'</v>
      </c>
      <c r="J33" t="str">
        <f t="shared" si="1"/>
        <v>M. THURAM</v>
      </c>
      <c r="L33">
        <f t="shared" si="4"/>
        <v>66</v>
      </c>
    </row>
    <row r="34">
      <c r="A34" t="str">
        <f>IFERROR(__xludf.DUMMYFUNCTION("""COMPUTED_VALUE"""),".")</f>
        <v>.</v>
      </c>
      <c r="B34" t="str">
        <f>IFERROR(__xludf.DUMMYFUNCTION("""COMPUTED_VALUE"""),"*C. BAUMGARTNER*")</f>
        <v>*C. BAUMGARTNER*</v>
      </c>
      <c r="C34" t="str">
        <f>IFERROR(__xludf.DUMMYFUNCTION("""COMPUTED_VALUE"""),"RB Leipzig")</f>
        <v>RB Leipzig</v>
      </c>
      <c r="D34">
        <f>IFERROR(__xludf.DUMMYFUNCTION("""COMPUTED_VALUE"""),12.0)</f>
        <v>12</v>
      </c>
      <c r="E34">
        <f>IFERROR(__xludf.DUMMYFUNCTION("""COMPUTED_VALUE"""),8.0)</f>
        <v>8</v>
      </c>
      <c r="F34" t="str">
        <f>IFERROR(__xludf.DUMMYFUNCTION("""COMPUTED_VALUE"""),"25 *(0,48 b/m)*")</f>
        <v>25 *(0,48 b/m)*</v>
      </c>
      <c r="G34" t="str">
        <f>IFERROR(__xludf.DUMMYFUNCTION("""COMPUTED_VALUE"""),"162'")</f>
        <v>162'</v>
      </c>
      <c r="J34" t="str">
        <f t="shared" si="1"/>
        <v>C. BAUMGARTNER</v>
      </c>
      <c r="L34">
        <f t="shared" si="4"/>
        <v>65</v>
      </c>
    </row>
    <row r="35">
      <c r="A35" t="str">
        <f>IFERROR(__xludf.DUMMYFUNCTION("""COMPUTED_VALUE"""),".")</f>
        <v>.</v>
      </c>
      <c r="B35" t="str">
        <f>IFERROR(__xludf.DUMMYFUNCTION("""COMPUTED_VALUE"""),"*H. BARNES*")</f>
        <v>*H. BARNES*</v>
      </c>
      <c r="C35" t="str">
        <f>IFERROR(__xludf.DUMMYFUNCTION("""COMPUTED_VALUE"""),"Newcastle")</f>
        <v>Newcastle</v>
      </c>
      <c r="D35">
        <f>IFERROR(__xludf.DUMMYFUNCTION("""COMPUTED_VALUE"""),12.0)</f>
        <v>12</v>
      </c>
      <c r="E35">
        <f>IFERROR(__xludf.DUMMYFUNCTION("""COMPUTED_VALUE"""),5.0)</f>
        <v>5</v>
      </c>
      <c r="F35" t="str">
        <f>IFERROR(__xludf.DUMMYFUNCTION("""COMPUTED_VALUE"""),"40 *(0,30 b/m)*")</f>
        <v>40 *(0,30 b/m)*</v>
      </c>
      <c r="G35" t="str">
        <f>IFERROR(__xludf.DUMMYFUNCTION("""COMPUTED_VALUE"""),"192'")</f>
        <v>192'</v>
      </c>
      <c r="J35" t="str">
        <f t="shared" si="1"/>
        <v>H. BARNES</v>
      </c>
      <c r="L35">
        <f t="shared" si="4"/>
        <v>68</v>
      </c>
    </row>
    <row r="36">
      <c r="A36" t="str">
        <f>IFERROR(__xludf.DUMMYFUNCTION("""COMPUTED_VALUE"""),".")</f>
        <v>.</v>
      </c>
      <c r="B36" t="str">
        <f>IFERROR(__xludf.DUMMYFUNCTION("""COMPUTED_VALUE"""),"*J. ÁLVAREZ*")</f>
        <v>*J. ÁLVAREZ*</v>
      </c>
      <c r="C36" t="str">
        <f>IFERROR(__xludf.DUMMYFUNCTION("""COMPUTED_VALUE"""),"Atl. Madrid")</f>
        <v>Atl. Madrid</v>
      </c>
      <c r="D36" t="str">
        <f>IFERROR(__xludf.DUMMYFUNCTION("""COMPUTED_VALUE"""),"12 *(3 p.)*")</f>
        <v>12 *(3 p.)*</v>
      </c>
      <c r="E36">
        <f>IFERROR(__xludf.DUMMYFUNCTION("""COMPUTED_VALUE"""),7.0)</f>
        <v>7</v>
      </c>
      <c r="F36" t="str">
        <f>IFERROR(__xludf.DUMMYFUNCTION("""COMPUTED_VALUE"""),"34 *(0,35 b/m)*")</f>
        <v>34 *(0,35 b/m)*</v>
      </c>
      <c r="G36" t="str">
        <f>IFERROR(__xludf.DUMMYFUNCTION("""COMPUTED_VALUE"""),"209'")</f>
        <v>209'</v>
      </c>
      <c r="J36" t="str">
        <f t="shared" si="1"/>
        <v>J. ÁLVAREZ</v>
      </c>
      <c r="L36">
        <f t="shared" si="4"/>
        <v>66</v>
      </c>
    </row>
    <row r="37">
      <c r="A37" t="str">
        <f>IFERROR(__xludf.DUMMYFUNCTION("""COMPUTED_VALUE"""),".")</f>
        <v>.</v>
      </c>
      <c r="B37" t="str">
        <f>IFERROR(__xludf.DUMMYFUNCTION("""COMPUTED_VALUE"""),"*R. HØJLUND*")</f>
        <v>*R. HØJLUND*</v>
      </c>
      <c r="C37" t="str">
        <f>IFERROR(__xludf.DUMMYFUNCTION("""COMPUTED_VALUE"""),"Naples")</f>
        <v>Naples</v>
      </c>
      <c r="D37" t="str">
        <f>IFERROR(__xludf.DUMMYFUNCTION("""COMPUTED_VALUE"""),"12 *(1 p.)*")</f>
        <v>12 *(1 p.)*</v>
      </c>
      <c r="E37">
        <f>IFERROR(__xludf.DUMMYFUNCTION("""COMPUTED_VALUE"""),8.0)</f>
        <v>8</v>
      </c>
      <c r="F37" t="str">
        <f>IFERROR(__xludf.DUMMYFUNCTION("""COMPUTED_VALUE"""),"32 *(0,38 b/m)*")</f>
        <v>32 *(0,38 b/m)*</v>
      </c>
      <c r="G37" t="str">
        <f>IFERROR(__xludf.DUMMYFUNCTION("""COMPUTED_VALUE"""),"217'")</f>
        <v>217'</v>
      </c>
      <c r="J37" t="str">
        <f t="shared" si="1"/>
        <v>R. HØJLUND</v>
      </c>
      <c r="L37">
        <f t="shared" si="4"/>
        <v>65</v>
      </c>
    </row>
    <row r="38">
      <c r="A38" t="str">
        <f>IFERROR(__xludf.DUMMYFUNCTION("""COMPUTED_VALUE"""),"33.")</f>
        <v>33.</v>
      </c>
      <c r="B38" t="str">
        <f>IFERROR(__xludf.DUMMYFUNCTION("""COMPUTED_VALUE"""),"*RAÚL GARCÍA*")</f>
        <v>*RAÚL GARCÍA*</v>
      </c>
      <c r="C38" t="str">
        <f>IFERROR(__xludf.DUMMYFUNCTION("""COMPUTED_VALUE"""),"Osasuna")</f>
        <v>Osasuna</v>
      </c>
      <c r="D38" t="str">
        <f>IFERROR(__xludf.DUMMYFUNCTION("""COMPUTED_VALUE"""),"11 *(2 p.)*")</f>
        <v>11 *(2 p.)*</v>
      </c>
      <c r="E38">
        <f>IFERROR(__xludf.DUMMYFUNCTION("""COMPUTED_VALUE"""),4.0)</f>
        <v>4</v>
      </c>
      <c r="F38" t="str">
        <f>IFERROR(__xludf.DUMMYFUNCTION("""COMPUTED_VALUE"""),"27 *(0,41 b/m)*")</f>
        <v>27 *(0,41 b/m)*</v>
      </c>
      <c r="G38" t="str">
        <f>IFERROR(__xludf.DUMMYFUNCTION("""COMPUTED_VALUE"""),"97'")</f>
        <v>97'</v>
      </c>
      <c r="J38" t="str">
        <f t="shared" si="1"/>
        <v>RAÚL GARCÍA</v>
      </c>
      <c r="L38">
        <f t="shared" si="4"/>
        <v>69</v>
      </c>
    </row>
    <row r="39">
      <c r="A39" t="str">
        <f>IFERROR(__xludf.DUMMYFUNCTION("""COMPUTED_VALUE"""),".")</f>
        <v>.</v>
      </c>
      <c r="B39" t="str">
        <f>IFERROR(__xludf.DUMMYFUNCTION("""COMPUTED_VALUE"""),"*O. DEMBÉLÉ*")</f>
        <v>*O. DEMBÉLÉ*</v>
      </c>
      <c r="C39" t="str">
        <f>IFERROR(__xludf.DUMMYFUNCTION("""COMPUTED_VALUE"""),"Paris SG")</f>
        <v>Paris SG</v>
      </c>
      <c r="D39" t="str">
        <f>IFERROR(__xludf.DUMMYFUNCTION("""COMPUTED_VALUE"""),"11 *(3 p.)*")</f>
        <v>11 *(3 p.)*</v>
      </c>
      <c r="E39">
        <f>IFERROR(__xludf.DUMMYFUNCTION("""COMPUTED_VALUE"""),8.0)</f>
        <v>8</v>
      </c>
      <c r="F39" t="str">
        <f>IFERROR(__xludf.DUMMYFUNCTION("""COMPUTED_VALUE"""),"22 *(0,50 b/m)*")</f>
        <v>22 *(0,50 b/m)*</v>
      </c>
      <c r="G39" t="str">
        <f>IFERROR(__xludf.DUMMYFUNCTION("""COMPUTED_VALUE"""),"106'")</f>
        <v>106'</v>
      </c>
      <c r="J39" t="str">
        <f t="shared" si="1"/>
        <v>O. DEMBÉLÉ</v>
      </c>
      <c r="L39">
        <f t="shared" si="4"/>
        <v>65</v>
      </c>
    </row>
    <row r="40">
      <c r="A40" t="str">
        <f>IFERROR(__xludf.DUMMYFUNCTION("""COMPUTED_VALUE"""),".")</f>
        <v>.</v>
      </c>
      <c r="B40" t="str">
        <f>IFERROR(__xludf.DUMMYFUNCTION("""COMPUTED_VALUE"""),"*J. BURKARDT*")</f>
        <v>*J. BURKARDT*</v>
      </c>
      <c r="C40" t="str">
        <f>IFERROR(__xludf.DUMMYFUNCTION("""COMPUTED_VALUE"""),"Eintracht Francfort")</f>
        <v>Eintracht Francfort</v>
      </c>
      <c r="D40" t="str">
        <f>IFERROR(__xludf.DUMMYFUNCTION("""COMPUTED_VALUE"""),"11 *(1 p.)*")</f>
        <v>11 *(1 p.)*</v>
      </c>
      <c r="E40">
        <f>IFERROR(__xludf.DUMMYFUNCTION("""COMPUTED_VALUE"""),8.0)</f>
        <v>8</v>
      </c>
      <c r="F40" t="str">
        <f>IFERROR(__xludf.DUMMYFUNCTION("""COMPUTED_VALUE"""),"17 *(0,65 b/m)*")</f>
        <v>17 *(0,65 b/m)*</v>
      </c>
      <c r="G40" t="str">
        <f>IFERROR(__xludf.DUMMYFUNCTION("""COMPUTED_VALUE"""),"109'")</f>
        <v>109'</v>
      </c>
      <c r="J40" t="str">
        <f t="shared" si="1"/>
        <v>J. BURKARDT</v>
      </c>
      <c r="L40">
        <f t="shared" si="4"/>
        <v>65</v>
      </c>
    </row>
    <row r="41">
      <c r="A41" t="str">
        <f>IFERROR(__xludf.DUMMYFUNCTION("""COMPUTED_VALUE"""),".")</f>
        <v>.</v>
      </c>
      <c r="B41" t="str">
        <f>IFERROR(__xludf.DUMMYFUNCTION("""COMPUTED_VALUE"""),"*MARTINELLI*")</f>
        <v>*MARTINELLI*</v>
      </c>
      <c r="C41" t="str">
        <f>IFERROR(__xludf.DUMMYFUNCTION("""COMPUTED_VALUE"""),"Arsenal")</f>
        <v>Arsenal</v>
      </c>
      <c r="D41">
        <f>IFERROR(__xludf.DUMMYFUNCTION("""COMPUTED_VALUE"""),11.0)</f>
        <v>11</v>
      </c>
      <c r="E41">
        <f>IFERROR(__xludf.DUMMYFUNCTION("""COMPUTED_VALUE"""),1.0)</f>
        <v>1</v>
      </c>
      <c r="F41" t="str">
        <f>IFERROR(__xludf.DUMMYFUNCTION("""COMPUTED_VALUE"""),"32 *(0,34 b/m)*")</f>
        <v>32 *(0,34 b/m)*</v>
      </c>
      <c r="G41" t="str">
        <f>IFERROR(__xludf.DUMMYFUNCTION("""COMPUTED_VALUE"""),"129'")</f>
        <v>129'</v>
      </c>
      <c r="J41" t="str">
        <f t="shared" si="1"/>
        <v>MARTINELLI</v>
      </c>
      <c r="L41">
        <f t="shared" si="4"/>
        <v>72</v>
      </c>
    </row>
    <row r="42">
      <c r="A42" t="str">
        <f>IFERROR(__xludf.DUMMYFUNCTION("""COMPUTED_VALUE"""),".")</f>
        <v>.</v>
      </c>
      <c r="B42" t="str">
        <f>IFERROR(__xludf.DUMMYFUNCTION("""COMPUTED_VALUE"""),"*M. GODO*")</f>
        <v>*M. GODO*</v>
      </c>
      <c r="C42" t="str">
        <f>IFERROR(__xludf.DUMMYFUNCTION("""COMPUTED_VALUE"""),"Strasbourg")</f>
        <v>Strasbourg</v>
      </c>
      <c r="D42">
        <f>IFERROR(__xludf.DUMMYFUNCTION("""COMPUTED_VALUE"""),11.0)</f>
        <v>11</v>
      </c>
      <c r="E42">
        <f>IFERROR(__xludf.DUMMYFUNCTION("""COMPUTED_VALUE"""),6.0)</f>
        <v>6</v>
      </c>
      <c r="F42" t="str">
        <f>IFERROR(__xludf.DUMMYFUNCTION("""COMPUTED_VALUE"""),"25 *(0,44 b/m)*")</f>
        <v>25 *(0,44 b/m)*</v>
      </c>
      <c r="G42" t="str">
        <f>IFERROR(__xludf.DUMMYFUNCTION("""COMPUTED_VALUE"""),"131'")</f>
        <v>131'</v>
      </c>
      <c r="J42" t="str">
        <f t="shared" si="1"/>
        <v>M. GODO</v>
      </c>
      <c r="L42">
        <f t="shared" si="4"/>
        <v>67</v>
      </c>
    </row>
    <row r="43">
      <c r="A43" t="str">
        <f>IFERROR(__xludf.DUMMYFUNCTION("""COMPUTED_VALUE"""),".")</f>
        <v>.</v>
      </c>
      <c r="B43" t="str">
        <f>IFERROR(__xludf.DUMMYFUNCTION("""COMPUTED_VALUE"""),"*P. SCHICK*")</f>
        <v>*P. SCHICK*</v>
      </c>
      <c r="C43" t="str">
        <f>IFERROR(__xludf.DUMMYFUNCTION("""COMPUTED_VALUE"""),"Bayer Leverkusen")</f>
        <v>Bayer Leverkusen</v>
      </c>
      <c r="D43" t="str">
        <f>IFERROR(__xludf.DUMMYFUNCTION("""COMPUTED_VALUE"""),"11 *(2 p.)*")</f>
        <v>11 *(2 p.)*</v>
      </c>
      <c r="E43">
        <f>IFERROR(__xludf.DUMMYFUNCTION("""COMPUTED_VALUE"""),7.0)</f>
        <v>7</v>
      </c>
      <c r="F43" t="str">
        <f>IFERROR(__xludf.DUMMYFUNCTION("""COMPUTED_VALUE"""),"27 *(0,41 b/m)*")</f>
        <v>27 *(0,41 b/m)*</v>
      </c>
      <c r="G43" t="str">
        <f>IFERROR(__xludf.DUMMYFUNCTION("""COMPUTED_VALUE"""),"162'")</f>
        <v>162'</v>
      </c>
      <c r="J43" t="str">
        <f t="shared" si="1"/>
        <v>P. SCHICK</v>
      </c>
      <c r="L43">
        <f t="shared" si="4"/>
        <v>66</v>
      </c>
    </row>
    <row r="44">
      <c r="A44" t="str">
        <f>IFERROR(__xludf.DUMMYFUNCTION("""COMPUTED_VALUE"""),".")</f>
        <v>.</v>
      </c>
      <c r="B44" t="str">
        <f>IFERROR(__xludf.DUMMYFUNCTION("""COMPUTED_VALUE"""),"*E. LEPAUL*")</f>
        <v>*E. LEPAUL*</v>
      </c>
      <c r="C44" t="str">
        <f>IFERROR(__xludf.DUMMYFUNCTION("""COMPUTED_VALUE"""),"Rennes / Angers (1)")</f>
        <v>Rennes / Angers (1)</v>
      </c>
      <c r="D44">
        <f>IFERROR(__xludf.DUMMYFUNCTION("""COMPUTED_VALUE"""),11.0)</f>
        <v>11</v>
      </c>
      <c r="E44">
        <f>IFERROR(__xludf.DUMMYFUNCTION("""COMPUTED_VALUE"""),11.0)</f>
        <v>11</v>
      </c>
      <c r="F44" t="str">
        <f>IFERROR(__xludf.DUMMYFUNCTION("""COMPUTED_VALUE"""),"24 *(0,46 b/m)*")</f>
        <v>24 *(0,46 b/m)*</v>
      </c>
      <c r="G44" t="str">
        <f>IFERROR(__xludf.DUMMYFUNCTION("""COMPUTED_VALUE"""),"164'")</f>
        <v>164'</v>
      </c>
      <c r="J44" t="str">
        <f t="shared" si="1"/>
        <v>E. LEPAUL</v>
      </c>
      <c r="L44">
        <f t="shared" si="4"/>
        <v>62</v>
      </c>
    </row>
    <row r="45">
      <c r="A45" t="str">
        <f>IFERROR(__xludf.DUMMYFUNCTION("""COMPUTED_VALUE"""),".")</f>
        <v>.</v>
      </c>
      <c r="B45" t="str">
        <f>IFERROR(__xludf.DUMMYFUNCTION("""COMPUTED_VALUE"""),"*IGOR JESUS*")</f>
        <v>*IGOR JESUS*</v>
      </c>
      <c r="C45" t="str">
        <f>IFERROR(__xludf.DUMMYFUNCTION("""COMPUTED_VALUE"""),"Nottingham Forest")</f>
        <v>Nottingham Forest</v>
      </c>
      <c r="D45" t="str">
        <f>IFERROR(__xludf.DUMMYFUNCTION("""COMPUTED_VALUE"""),"11 *(1 p.)*")</f>
        <v>11 *(1 p.)*</v>
      </c>
      <c r="E45">
        <f>IFERROR(__xludf.DUMMYFUNCTION("""COMPUTED_VALUE"""),2.0)</f>
        <v>2</v>
      </c>
      <c r="F45" t="str">
        <f>IFERROR(__xludf.DUMMYFUNCTION("""COMPUTED_VALUE"""),"33 *(0,33 b/m)*")</f>
        <v>33 *(0,33 b/m)*</v>
      </c>
      <c r="G45" t="str">
        <f>IFERROR(__xludf.DUMMYFUNCTION("""COMPUTED_VALUE"""),"172'")</f>
        <v>172'</v>
      </c>
      <c r="J45" t="str">
        <f t="shared" si="1"/>
        <v>IGOR JESUS</v>
      </c>
      <c r="L45">
        <f t="shared" si="4"/>
        <v>71</v>
      </c>
    </row>
    <row r="46">
      <c r="A46" t="str">
        <f>IFERROR(__xludf.DUMMYFUNCTION("""COMPUTED_VALUE"""),".")</f>
        <v>.</v>
      </c>
      <c r="B46" t="str">
        <f>IFERROR(__xludf.DUMMYFUNCTION("""COMPUTED_VALUE"""),"*R. ORSOLINI*")</f>
        <v>*R. ORSOLINI*</v>
      </c>
      <c r="C46" t="str">
        <f>IFERROR(__xludf.DUMMYFUNCTION("""COMPUTED_VALUE"""),"Bologne")</f>
        <v>Bologne</v>
      </c>
      <c r="D46" t="str">
        <f>IFERROR(__xludf.DUMMYFUNCTION("""COMPUTED_VALUE"""),"11 *(4 p.)*")</f>
        <v>11 *(4 p.)*</v>
      </c>
      <c r="E46">
        <f>IFERROR(__xludf.DUMMYFUNCTION("""COMPUTED_VALUE"""),7.0)</f>
        <v>7</v>
      </c>
      <c r="F46" t="str">
        <f>IFERROR(__xludf.DUMMYFUNCTION("""COMPUTED_VALUE"""),"34 *(0,32 b/m)*")</f>
        <v>34 *(0,32 b/m)*</v>
      </c>
      <c r="G46" t="str">
        <f>IFERROR(__xludf.DUMMYFUNCTION("""COMPUTED_VALUE"""),"182'")</f>
        <v>182'</v>
      </c>
      <c r="J46" t="str">
        <f t="shared" si="1"/>
        <v>R. ORSOLINI</v>
      </c>
      <c r="L46">
        <f t="shared" si="4"/>
        <v>66</v>
      </c>
    </row>
    <row r="47">
      <c r="A47" t="str">
        <f>IFERROR(__xludf.DUMMYFUNCTION("""COMPUTED_VALUE"""),".")</f>
        <v>.</v>
      </c>
      <c r="B47" t="str">
        <f>IFERROR(__xludf.DUMMYFUNCTION("""COMPUTED_VALUE"""),"*MIKEL OYARZABAL*")</f>
        <v>*MIKEL OYARZABAL*</v>
      </c>
      <c r="C47" t="str">
        <f>IFERROR(__xludf.DUMMYFUNCTION("""COMPUTED_VALUE"""),"Real Sociedad")</f>
        <v>Real Sociedad</v>
      </c>
      <c r="D47" t="str">
        <f>IFERROR(__xludf.DUMMYFUNCTION("""COMPUTED_VALUE"""),"11 *(4 p.)*")</f>
        <v>11 *(4 p.)*</v>
      </c>
      <c r="E47">
        <f>IFERROR(__xludf.DUMMYFUNCTION("""COMPUTED_VALUE"""),10.0)</f>
        <v>10</v>
      </c>
      <c r="F47" t="str">
        <f>IFERROR(__xludf.DUMMYFUNCTION("""COMPUTED_VALUE"""),"25 *(0,44 b/m)*")</f>
        <v>25 *(0,44 b/m)*</v>
      </c>
      <c r="G47" t="str">
        <f>IFERROR(__xludf.DUMMYFUNCTION("""COMPUTED_VALUE"""),"190'")</f>
        <v>190'</v>
      </c>
      <c r="J47" t="str">
        <f t="shared" si="1"/>
        <v>MIKEL OYARZABAL</v>
      </c>
      <c r="L47">
        <f t="shared" si="4"/>
        <v>63</v>
      </c>
    </row>
    <row r="48">
      <c r="A48" t="str">
        <f>IFERROR(__xludf.DUMMYFUNCTION("""COMPUTED_VALUE"""),".")</f>
        <v>.</v>
      </c>
      <c r="B48" t="str">
        <f>IFERROR(__xludf.DUMMYFUNCTION("""COMPUTED_VALUE"""),"*GORKA GURUZETA*")</f>
        <v>*GORKA GURUZETA*</v>
      </c>
      <c r="C48" t="str">
        <f>IFERROR(__xludf.DUMMYFUNCTION("""COMPUTED_VALUE"""),"Athletic Bilbao")</f>
        <v>Athletic Bilbao</v>
      </c>
      <c r="D48">
        <f>IFERROR(__xludf.DUMMYFUNCTION("""COMPUTED_VALUE"""),11.0)</f>
        <v>11</v>
      </c>
      <c r="E48">
        <f>IFERROR(__xludf.DUMMYFUNCTION("""COMPUTED_VALUE"""),4.0)</f>
        <v>4</v>
      </c>
      <c r="F48" t="str">
        <f>IFERROR(__xludf.DUMMYFUNCTION("""COMPUTED_VALUE"""),"33 *(0,33 b/m)*")</f>
        <v>33 *(0,33 b/m)*</v>
      </c>
      <c r="G48" t="str">
        <f>IFERROR(__xludf.DUMMYFUNCTION("""COMPUTED_VALUE"""),"201'")</f>
        <v>201'</v>
      </c>
      <c r="J48" t="str">
        <f t="shared" si="1"/>
        <v>GORKA GURUZETA</v>
      </c>
      <c r="L48">
        <f t="shared" si="4"/>
        <v>69</v>
      </c>
    </row>
    <row r="49">
      <c r="A49" t="str">
        <f>IFERROR(__xludf.DUMMYFUNCTION("""COMPUTED_VALUE"""),".")</f>
        <v>.</v>
      </c>
      <c r="B49" t="str">
        <f>IFERROR(__xludf.DUMMYFUNCTION("""COMPUTED_VALUE"""),"*N. WOLTEMADE*")</f>
        <v>*N. WOLTEMADE*</v>
      </c>
      <c r="C49" t="str">
        <f>IFERROR(__xludf.DUMMYFUNCTION("""COMPUTED_VALUE"""),"Newcastle / VfB Stuttgart")</f>
        <v>Newcastle / VfB Stuttgart</v>
      </c>
      <c r="D49" t="str">
        <f>IFERROR(__xludf.DUMMYFUNCTION("""COMPUTED_VALUE"""),"11 *(1 p.)*")</f>
        <v>11 *(1 p.)*</v>
      </c>
      <c r="E49">
        <f>IFERROR(__xludf.DUMMYFUNCTION("""COMPUTED_VALUE"""),7.0)</f>
        <v>7</v>
      </c>
      <c r="F49" t="str">
        <f>IFERROR(__xludf.DUMMYFUNCTION("""COMPUTED_VALUE"""),"41 *(0,27 b/m)*")</f>
        <v>41 *(0,27 b/m)*</v>
      </c>
      <c r="G49" t="str">
        <f>IFERROR(__xludf.DUMMYFUNCTION("""COMPUTED_VALUE"""),"223'")</f>
        <v>223'</v>
      </c>
      <c r="J49" t="str">
        <f t="shared" si="1"/>
        <v>N. WOLTEMADE</v>
      </c>
      <c r="L49">
        <f t="shared" si="4"/>
        <v>66</v>
      </c>
    </row>
    <row r="50">
      <c r="A50" t="str">
        <f>IFERROR(__xludf.DUMMYFUNCTION("""COMPUTED_VALUE"""),".")</f>
        <v>.</v>
      </c>
      <c r="B50" t="str">
        <f>IFERROR(__xludf.DUMMYFUNCTION("""COMPUTED_VALUE"""),"*ÁLEX GRIMALDO*")</f>
        <v>*ÁLEX GRIMALDO*</v>
      </c>
      <c r="C50" t="str">
        <f>IFERROR(__xludf.DUMMYFUNCTION("""COMPUTED_VALUE"""),"Bayer Leverkusen")</f>
        <v>Bayer Leverkusen</v>
      </c>
      <c r="D50" t="str">
        <f>IFERROR(__xludf.DUMMYFUNCTION("""COMPUTED_VALUE"""),"11 *(3 p.)*")</f>
        <v>11 *(3 p.)*</v>
      </c>
      <c r="E50">
        <f>IFERROR(__xludf.DUMMYFUNCTION("""COMPUTED_VALUE"""),5.0)</f>
        <v>5</v>
      </c>
      <c r="F50" t="str">
        <f>IFERROR(__xludf.DUMMYFUNCTION("""COMPUTED_VALUE"""),"29 *(0,38 b/m)*")</f>
        <v>29 *(0,38 b/m)*</v>
      </c>
      <c r="G50" t="str">
        <f>IFERROR(__xludf.DUMMYFUNCTION("""COMPUTED_VALUE"""),"228'")</f>
        <v>228'</v>
      </c>
      <c r="J50" t="str">
        <f t="shared" si="1"/>
        <v>ÁLEX GRIMALDO</v>
      </c>
      <c r="L50">
        <f t="shared" si="4"/>
        <v>68</v>
      </c>
    </row>
    <row r="51">
      <c r="A51" t="str">
        <f>IFERROR(__xludf.DUMMYFUNCTION("""COMPUTED_VALUE"""),".")</f>
        <v>.</v>
      </c>
      <c r="B51" t="str">
        <f>IFERROR(__xludf.DUMMYFUNCTION("""COMPUTED_VALUE"""),"*E. FERNÁNDEZ*")</f>
        <v>*E. FERNÁNDEZ*</v>
      </c>
      <c r="C51" t="str">
        <f>IFERROR(__xludf.DUMMYFUNCTION("""COMPUTED_VALUE"""),"Chelsea")</f>
        <v>Chelsea</v>
      </c>
      <c r="D51" t="str">
        <f>IFERROR(__xludf.DUMMYFUNCTION("""COMPUTED_VALUE"""),"11 *(5 p.)*")</f>
        <v>11 *(5 p.)*</v>
      </c>
      <c r="E51">
        <f>IFERROR(__xludf.DUMMYFUNCTION("""COMPUTED_VALUE"""),8.0)</f>
        <v>8</v>
      </c>
      <c r="F51" t="str">
        <f>IFERROR(__xludf.DUMMYFUNCTION("""COMPUTED_VALUE"""),"39 *(0,28 b/m)*")</f>
        <v>39 *(0,28 b/m)*</v>
      </c>
      <c r="G51" t="str">
        <f>IFERROR(__xludf.DUMMYFUNCTION("""COMPUTED_VALUE"""),"280'")</f>
        <v>280'</v>
      </c>
      <c r="J51" t="str">
        <f t="shared" si="1"/>
        <v>E. FERNÁNDEZ</v>
      </c>
      <c r="L51">
        <f t="shared" si="4"/>
        <v>65</v>
      </c>
    </row>
    <row r="52">
      <c r="A52" t="str">
        <f>IFERROR(__xludf.DUMMYFUNCTION("""COMPUTED_VALUE"""),"47.")</f>
        <v>47.</v>
      </c>
      <c r="B52" t="str">
        <f>IFERROR(__xludf.DUMMYFUNCTION("""COMPUTED_VALUE"""),"*C. PULISIC*")</f>
        <v>*C. PULISIC*</v>
      </c>
      <c r="C52" t="str">
        <f>IFERROR(__xludf.DUMMYFUNCTION("""COMPUTED_VALUE"""),"Milan AC")</f>
        <v>Milan AC</v>
      </c>
      <c r="D52">
        <f>IFERROR(__xludf.DUMMYFUNCTION("""COMPUTED_VALUE"""),10.0)</f>
        <v>10</v>
      </c>
      <c r="E52">
        <f>IFERROR(__xludf.DUMMYFUNCTION("""COMPUTED_VALUE"""),8.0)</f>
        <v>8</v>
      </c>
      <c r="F52" t="str">
        <f>IFERROR(__xludf.DUMMYFUNCTION("""COMPUTED_VALUE"""),"21 *(0,48 b/m)*")</f>
        <v>21 *(0,48 b/m)*</v>
      </c>
      <c r="G52" t="str">
        <f>IFERROR(__xludf.DUMMYFUNCTION("""COMPUTED_VALUE"""),"109'")</f>
        <v>109'</v>
      </c>
      <c r="J52" t="str">
        <f t="shared" si="1"/>
        <v>C. PULISIC</v>
      </c>
      <c r="L52">
        <f t="shared" si="4"/>
        <v>65</v>
      </c>
    </row>
    <row r="53">
      <c r="A53" t="str">
        <f>IFERROR(__xludf.DUMMYFUNCTION("""COMPUTED_VALUE"""),".")</f>
        <v>.</v>
      </c>
      <c r="B53" t="str">
        <f>IFERROR(__xludf.DUMMYFUNCTION("""COMPUTED_VALUE"""),"*GONÇALO RAMOS*")</f>
        <v>*GONÇALO RAMOS*</v>
      </c>
      <c r="C53" t="str">
        <f>IFERROR(__xludf.DUMMYFUNCTION("""COMPUTED_VALUE"""),"Paris SG")</f>
        <v>Paris SG</v>
      </c>
      <c r="D53" t="str">
        <f>IFERROR(__xludf.DUMMYFUNCTION("""COMPUTED_VALUE"""),"10 *(1 p.)*")</f>
        <v>10 *(1 p.)*</v>
      </c>
      <c r="E53">
        <f>IFERROR(__xludf.DUMMYFUNCTION("""COMPUTED_VALUE"""),4.0)</f>
        <v>4</v>
      </c>
      <c r="F53" t="str">
        <f>IFERROR(__xludf.DUMMYFUNCTION("""COMPUTED_VALUE"""),"31 *(0,32 b/m)*")</f>
        <v>31 *(0,32 b/m)*</v>
      </c>
      <c r="G53" t="str">
        <f>IFERROR(__xludf.DUMMYFUNCTION("""COMPUTED_VALUE"""),"118'")</f>
        <v>118'</v>
      </c>
      <c r="J53" t="str">
        <f t="shared" si="1"/>
        <v>GONÇALO RAMOS</v>
      </c>
      <c r="L53">
        <f t="shared" si="4"/>
        <v>69</v>
      </c>
    </row>
    <row r="54">
      <c r="A54" t="str">
        <f>IFERROR(__xludf.DUMMYFUNCTION("""COMPUTED_VALUE"""),".")</f>
        <v>.</v>
      </c>
      <c r="B54" t="str">
        <f>IFERROR(__xludf.DUMMYFUNCTION("""COMPUTED_VALUE"""),"*E. DEMIROVIC*")</f>
        <v>*E. DEMIROVIC*</v>
      </c>
      <c r="C54" t="str">
        <f>IFERROR(__xludf.DUMMYFUNCTION("""COMPUTED_VALUE"""),"VfB Stuttgart")</f>
        <v>VfB Stuttgart</v>
      </c>
      <c r="D54" t="str">
        <f>IFERROR(__xludf.DUMMYFUNCTION("""COMPUTED_VALUE"""),"10 *(1 p.)*")</f>
        <v>10 *(1 p.)*</v>
      </c>
      <c r="E54">
        <f>IFERROR(__xludf.DUMMYFUNCTION("""COMPUTED_VALUE"""),7.0)</f>
        <v>7</v>
      </c>
      <c r="F54" t="str">
        <f>IFERROR(__xludf.DUMMYFUNCTION("""COMPUTED_VALUE"""),"20 *(0,50 b/m)*")</f>
        <v>20 *(0,50 b/m)*</v>
      </c>
      <c r="G54" t="str">
        <f>IFERROR(__xludf.DUMMYFUNCTION("""COMPUTED_VALUE"""),"123'")</f>
        <v>123'</v>
      </c>
      <c r="J54" t="str">
        <f t="shared" si="1"/>
        <v>E. DEMIROVIC</v>
      </c>
      <c r="L54">
        <f t="shared" si="4"/>
        <v>66</v>
      </c>
    </row>
    <row r="55">
      <c r="A55" t="str">
        <f>IFERROR(__xludf.DUMMYFUNCTION("""COMPUTED_VALUE"""),".")</f>
        <v>.</v>
      </c>
      <c r="B55" t="str">
        <f>IFERROR(__xludf.DUMMYFUNCTION("""COMPUTED_VALUE"""),"*CARLOS VICENTE*")</f>
        <v>*CARLOS VICENTE*</v>
      </c>
      <c r="C55" t="str">
        <f>IFERROR(__xludf.DUMMYFUNCTION("""COMPUTED_VALUE"""),"Alaves")</f>
        <v>Alaves</v>
      </c>
      <c r="D55" t="str">
        <f>IFERROR(__xludf.DUMMYFUNCTION("""COMPUTED_VALUE"""),"10 *(4 p.)*")</f>
        <v>10 *(4 p.)*</v>
      </c>
      <c r="E55">
        <f>IFERROR(__xludf.DUMMYFUNCTION("""COMPUTED_VALUE"""),5.0)</f>
        <v>5</v>
      </c>
      <c r="F55" t="str">
        <f>IFERROR(__xludf.DUMMYFUNCTION("""COMPUTED_VALUE"""),"25 *(0,40 b/m)*")</f>
        <v>25 *(0,40 b/m)*</v>
      </c>
      <c r="G55" t="str">
        <f>IFERROR(__xludf.DUMMYFUNCTION("""COMPUTED_VALUE"""),"154'")</f>
        <v>154'</v>
      </c>
      <c r="J55" t="str">
        <f t="shared" si="1"/>
        <v>CARLOS VICENTE</v>
      </c>
      <c r="L55">
        <f t="shared" si="4"/>
        <v>68</v>
      </c>
    </row>
    <row r="56">
      <c r="A56" t="str">
        <f>IFERROR(__xludf.DUMMYFUNCTION("""COMPUTED_VALUE"""),".")</f>
        <v>.</v>
      </c>
      <c r="B56" t="str">
        <f>IFERROR(__xludf.DUMMYFUNCTION("""COMPUTED_VALUE"""),"*A. KRAMARIC*")</f>
        <v>*A. KRAMARIC*</v>
      </c>
      <c r="C56" t="str">
        <f>IFERROR(__xludf.DUMMYFUNCTION("""COMPUTED_VALUE"""),"Hoffenheim")</f>
        <v>Hoffenheim</v>
      </c>
      <c r="D56" t="str">
        <f>IFERROR(__xludf.DUMMYFUNCTION("""COMPUTED_VALUE"""),"10 *(4 p.)*")</f>
        <v>10 *(4 p.)*</v>
      </c>
      <c r="E56">
        <f>IFERROR(__xludf.DUMMYFUNCTION("""COMPUTED_VALUE"""),9.0)</f>
        <v>9</v>
      </c>
      <c r="F56" t="str">
        <f>IFERROR(__xludf.DUMMYFUNCTION("""COMPUTED_VALUE"""),"24 *(0,42 b/m)*")</f>
        <v>24 *(0,42 b/m)*</v>
      </c>
      <c r="G56" t="str">
        <f>IFERROR(__xludf.DUMMYFUNCTION("""COMPUTED_VALUE"""),"154'")</f>
        <v>154'</v>
      </c>
      <c r="J56" t="str">
        <f t="shared" si="1"/>
        <v>A. KRAMARIC</v>
      </c>
      <c r="L56">
        <f t="shared" si="4"/>
        <v>64</v>
      </c>
    </row>
    <row r="57">
      <c r="A57" t="str">
        <f>IFERROR(__xludf.DUMMYFUNCTION("""COMPUTED_VALUE"""),".")</f>
        <v>.</v>
      </c>
      <c r="B57" t="str">
        <f>IFERROR(__xludf.DUMMYFUNCTION("""COMPUTED_VALUE"""),"*J. BRANDT*")</f>
        <v>*J. BRANDT*</v>
      </c>
      <c r="C57" t="str">
        <f>IFERROR(__xludf.DUMMYFUNCTION("""COMPUTED_VALUE"""),"Borussia Dortmund")</f>
        <v>Borussia Dortmund</v>
      </c>
      <c r="D57">
        <f>IFERROR(__xludf.DUMMYFUNCTION("""COMPUTED_VALUE"""),10.0)</f>
        <v>10</v>
      </c>
      <c r="E57">
        <f>IFERROR(__xludf.DUMMYFUNCTION("""COMPUTED_VALUE"""),6.0)</f>
        <v>6</v>
      </c>
      <c r="F57" t="str">
        <f>IFERROR(__xludf.DUMMYFUNCTION("""COMPUTED_VALUE"""),"27 *(0,37 b/m)*")</f>
        <v>27 *(0,37 b/m)*</v>
      </c>
      <c r="G57" t="str">
        <f>IFERROR(__xludf.DUMMYFUNCTION("""COMPUTED_VALUE"""),"154'")</f>
        <v>154'</v>
      </c>
      <c r="J57" t="str">
        <f t="shared" si="1"/>
        <v>J. BRANDT</v>
      </c>
      <c r="L57">
        <f t="shared" si="4"/>
        <v>67</v>
      </c>
    </row>
    <row r="58">
      <c r="A58" t="str">
        <f>IFERROR(__xludf.DUMMYFUNCTION("""COMPUTED_VALUE"""),".")</f>
        <v>.</v>
      </c>
      <c r="B58" t="str">
        <f>IFERROR(__xludf.DUMMYFUNCTION("""COMPUTED_VALUE"""),"*W. SAÏD*")</f>
        <v>*W. SAÏD*</v>
      </c>
      <c r="C58" t="str">
        <f>IFERROR(__xludf.DUMMYFUNCTION("""COMPUTED_VALUE"""),"Lens")</f>
        <v>Lens</v>
      </c>
      <c r="D58" t="str">
        <f>IFERROR(__xludf.DUMMYFUNCTION("""COMPUTED_VALUE"""),"10 *(1 p.)*")</f>
        <v>10 *(1 p.)*</v>
      </c>
      <c r="E58">
        <f>IFERROR(__xludf.DUMMYFUNCTION("""COMPUTED_VALUE"""),10.0)</f>
        <v>10</v>
      </c>
      <c r="F58" t="str">
        <f>IFERROR(__xludf.DUMMYFUNCTION("""COMPUTED_VALUE"""),"25 *(0,40 b/m)*")</f>
        <v>25 *(0,40 b/m)*</v>
      </c>
      <c r="G58" t="str">
        <f>IFERROR(__xludf.DUMMYFUNCTION("""COMPUTED_VALUE"""),"168'")</f>
        <v>168'</v>
      </c>
      <c r="J58" t="str">
        <f t="shared" si="1"/>
        <v>W. SAÏD</v>
      </c>
      <c r="L58">
        <f t="shared" si="4"/>
        <v>63</v>
      </c>
    </row>
    <row r="59">
      <c r="A59" t="str">
        <f>IFERROR(__xludf.DUMMYFUNCTION("""COMPUTED_VALUE"""),".")</f>
        <v>.</v>
      </c>
      <c r="B59" t="str">
        <f>IFERROR(__xludf.DUMMYFUNCTION("""COMPUTED_VALUE"""),"*A. SØRLOTH*")</f>
        <v>*A. SØRLOTH*</v>
      </c>
      <c r="C59" t="str">
        <f>IFERROR(__xludf.DUMMYFUNCTION("""COMPUTED_VALUE"""),"Atl. Madrid")</f>
        <v>Atl. Madrid</v>
      </c>
      <c r="D59">
        <f>IFERROR(__xludf.DUMMYFUNCTION("""COMPUTED_VALUE"""),10.0)</f>
        <v>10</v>
      </c>
      <c r="E59">
        <f>IFERROR(__xludf.DUMMYFUNCTION("""COMPUTED_VALUE"""),7.0)</f>
        <v>7</v>
      </c>
      <c r="F59" t="str">
        <f>IFERROR(__xludf.DUMMYFUNCTION("""COMPUTED_VALUE"""),"33 *(0,30 b/m)*")</f>
        <v>33 *(0,30 b/m)*</v>
      </c>
      <c r="G59" t="str">
        <f>IFERROR(__xludf.DUMMYFUNCTION("""COMPUTED_VALUE"""),"173'")</f>
        <v>173'</v>
      </c>
      <c r="J59" t="str">
        <f t="shared" si="1"/>
        <v>A. SØRLOTH</v>
      </c>
      <c r="L59">
        <f t="shared" si="4"/>
        <v>66</v>
      </c>
    </row>
    <row r="60">
      <c r="A60" t="str">
        <f>IFERROR(__xludf.DUMMYFUNCTION("""COMPUTED_VALUE"""),".")</f>
        <v>.</v>
      </c>
      <c r="B60" t="str">
        <f>IFERROR(__xludf.DUMMYFUNCTION("""COMPUTED_VALUE"""),"*D. CALVERT-LEWIN*")</f>
        <v>*D. CALVERT-LEWIN*</v>
      </c>
      <c r="C60" t="str">
        <f>IFERROR(__xludf.DUMMYFUNCTION("""COMPUTED_VALUE"""),"Leeds United")</f>
        <v>Leeds United</v>
      </c>
      <c r="D60" t="str">
        <f>IFERROR(__xludf.DUMMYFUNCTION("""COMPUTED_VALUE"""),"10 *(2 p.)*")</f>
        <v>10 *(2 p.)*</v>
      </c>
      <c r="E60">
        <f>IFERROR(__xludf.DUMMYFUNCTION("""COMPUTED_VALUE"""),10.0)</f>
        <v>10</v>
      </c>
      <c r="F60" t="str">
        <f>IFERROR(__xludf.DUMMYFUNCTION("""COMPUTED_VALUE"""),"24 *(0,42 b/m)*")</f>
        <v>24 *(0,42 b/m)*</v>
      </c>
      <c r="G60" t="str">
        <f>IFERROR(__xludf.DUMMYFUNCTION("""COMPUTED_VALUE"""),"174'")</f>
        <v>174'</v>
      </c>
      <c r="J60" t="str">
        <f t="shared" si="1"/>
        <v>D. CALVERT-LEWIN</v>
      </c>
      <c r="L60">
        <f t="shared" si="4"/>
        <v>63</v>
      </c>
    </row>
    <row r="61">
      <c r="A61" t="str">
        <f>IFERROR(__xludf.DUMMYFUNCTION("""COMPUTED_VALUE"""),".")</f>
        <v>.</v>
      </c>
      <c r="B61" t="str">
        <f>IFERROR(__xludf.DUMMYFUNCTION("""COMPUTED_VALUE"""),"*G. MIKAUTADZE*")</f>
        <v>*G. MIKAUTADZE*</v>
      </c>
      <c r="C61" t="str">
        <f>IFERROR(__xludf.DUMMYFUNCTION("""COMPUTED_VALUE"""),"Villarreal / Lyon")</f>
        <v>Villarreal / Lyon</v>
      </c>
      <c r="D61">
        <f>IFERROR(__xludf.DUMMYFUNCTION("""COMPUTED_VALUE"""),10.0)</f>
        <v>10</v>
      </c>
      <c r="E61">
        <f>IFERROR(__xludf.DUMMYFUNCTION("""COMPUTED_VALUE"""),8.0)</f>
        <v>8</v>
      </c>
      <c r="F61" t="str">
        <f>IFERROR(__xludf.DUMMYFUNCTION("""COMPUTED_VALUE"""),"30 *(0,33 b/m)*")</f>
        <v>30 *(0,33 b/m)*</v>
      </c>
      <c r="G61" t="str">
        <f>IFERROR(__xludf.DUMMYFUNCTION("""COMPUTED_VALUE"""),"182'")</f>
        <v>182'</v>
      </c>
      <c r="J61" t="str">
        <f t="shared" si="1"/>
        <v>G. MIKAUTADZE</v>
      </c>
      <c r="L61">
        <f t="shared" si="4"/>
        <v>65</v>
      </c>
    </row>
    <row r="62">
      <c r="A62" t="str">
        <f>IFERROR(__xludf.DUMMYFUNCTION("""COMPUTED_VALUE"""),".")</f>
        <v>.</v>
      </c>
      <c r="B62" t="str">
        <f>IFERROR(__xludf.DUMMYFUNCTION("""COMPUTED_VALUE"""),"*V. GRIFO*")</f>
        <v>*V. GRIFO*</v>
      </c>
      <c r="C62" t="str">
        <f>IFERROR(__xludf.DUMMYFUNCTION("""COMPUTED_VALUE"""),"Fribourg")</f>
        <v>Fribourg</v>
      </c>
      <c r="D62" t="str">
        <f>IFERROR(__xludf.DUMMYFUNCTION("""COMPUTED_VALUE"""),"10 *(6 p.)*")</f>
        <v>10 *(6 p.)*</v>
      </c>
      <c r="E62">
        <f>IFERROR(__xludf.DUMMYFUNCTION("""COMPUTED_VALUE"""),6.0)</f>
        <v>6</v>
      </c>
      <c r="F62" t="str">
        <f>IFERROR(__xludf.DUMMYFUNCTION("""COMPUTED_VALUE"""),"34 *(0,29 b/m)*")</f>
        <v>34 *(0,29 b/m)*</v>
      </c>
      <c r="G62" t="str">
        <f>IFERROR(__xludf.DUMMYFUNCTION("""COMPUTED_VALUE"""),"182'")</f>
        <v>182'</v>
      </c>
      <c r="J62" t="str">
        <f t="shared" si="1"/>
        <v>V. GRIFO</v>
      </c>
      <c r="L62">
        <f t="shared" si="4"/>
        <v>67</v>
      </c>
    </row>
    <row r="63">
      <c r="A63" t="str">
        <f>IFERROR(__xludf.DUMMYFUNCTION("""COMPUTED_VALUE"""),".")</f>
        <v>.</v>
      </c>
      <c r="B63" t="str">
        <f>IFERROR(__xludf.DUMMYFUNCTION("""COMPUTED_VALUE"""),"*P. AUBAMEYANG*")</f>
        <v>*P. AUBAMEYANG*</v>
      </c>
      <c r="C63" t="str">
        <f>IFERROR(__xludf.DUMMYFUNCTION("""COMPUTED_VALUE"""),"Marseille")</f>
        <v>Marseille</v>
      </c>
      <c r="D63">
        <f>IFERROR(__xludf.DUMMYFUNCTION("""COMPUTED_VALUE"""),10.0)</f>
        <v>10</v>
      </c>
      <c r="E63">
        <f>IFERROR(__xludf.DUMMYFUNCTION("""COMPUTED_VALUE"""),6.0)</f>
        <v>6</v>
      </c>
      <c r="F63" t="str">
        <f>IFERROR(__xludf.DUMMYFUNCTION("""COMPUTED_VALUE"""),"29 *(0,34 b/m)*")</f>
        <v>29 *(0,34 b/m)*</v>
      </c>
      <c r="G63" t="str">
        <f>IFERROR(__xludf.DUMMYFUNCTION("""COMPUTED_VALUE"""),"184'")</f>
        <v>184'</v>
      </c>
    </row>
    <row r="64">
      <c r="A64" t="str">
        <f>IFERROR(__xludf.DUMMYFUNCTION("""COMPUTED_VALUE"""),".")</f>
        <v>.</v>
      </c>
      <c r="B64" t="str">
        <f>IFERROR(__xludf.DUMMYFUNCTION("""COMPUTED_VALUE"""),"*J. HERNÁNDEZ*")</f>
        <v>*J. HERNÁNDEZ*</v>
      </c>
      <c r="C64" t="str">
        <f>IFERROR(__xludf.DUMMYFUNCTION("""COMPUTED_VALUE"""),"Betis Séville")</f>
        <v>Betis Séville</v>
      </c>
      <c r="D64" t="str">
        <f>IFERROR(__xludf.DUMMYFUNCTION("""COMPUTED_VALUE"""),"10 *(2 p.)*")</f>
        <v>10 *(2 p.)*</v>
      </c>
      <c r="E64">
        <f>IFERROR(__xludf.DUMMYFUNCTION("""COMPUTED_VALUE"""),8.0)</f>
        <v>8</v>
      </c>
      <c r="F64" t="str">
        <f>IFERROR(__xludf.DUMMYFUNCTION("""COMPUTED_VALUE"""),"23 *(0,43 b/m)*")</f>
        <v>23 *(0,43 b/m)*</v>
      </c>
      <c r="G64" t="str">
        <f>IFERROR(__xludf.DUMMYFUNCTION("""COMPUTED_VALUE"""),"185'")</f>
        <v>185'</v>
      </c>
    </row>
    <row r="65">
      <c r="A65" t="str">
        <f>IFERROR(__xludf.DUMMYFUNCTION("""COMPUTED_VALUE"""),".")</f>
        <v>.</v>
      </c>
      <c r="B65" t="str">
        <f>IFERROR(__xludf.DUMMYFUNCTION("""COMPUTED_VALUE"""),"*B. MBEUMO*")</f>
        <v>*B. MBEUMO*</v>
      </c>
      <c r="C65" t="str">
        <f>IFERROR(__xludf.DUMMYFUNCTION("""COMPUTED_VALUE"""),"Manchester Utd")</f>
        <v>Manchester Utd</v>
      </c>
      <c r="D65">
        <f>IFERROR(__xludf.DUMMYFUNCTION("""COMPUTED_VALUE"""),10.0)</f>
        <v>10</v>
      </c>
      <c r="E65">
        <f>IFERROR(__xludf.DUMMYFUNCTION("""COMPUTED_VALUE"""),9.0)</f>
        <v>9</v>
      </c>
      <c r="F65" t="str">
        <f>IFERROR(__xludf.DUMMYFUNCTION("""COMPUTED_VALUE"""),"22 *(0,45 b/m)*")</f>
        <v>22 *(0,45 b/m)*</v>
      </c>
      <c r="G65" t="str">
        <f>IFERROR(__xludf.DUMMYFUNCTION("""COMPUTED_VALUE"""),"186'")</f>
        <v>186'</v>
      </c>
    </row>
    <row r="66">
      <c r="A66" t="str">
        <f>IFERROR(__xludf.DUMMYFUNCTION("""COMPUTED_VALUE"""),".")</f>
        <v>.</v>
      </c>
      <c r="B66" t="str">
        <f>IFERROR(__xludf.DUMMYFUNCTION("""COMPUTED_VALUE"""),"*FERMÍN LÓPEZ*")</f>
        <v>*FERMÍN LÓPEZ*</v>
      </c>
      <c r="C66" t="str">
        <f>IFERROR(__xludf.DUMMYFUNCTION("""COMPUTED_VALUE"""),"FC Barcelone")</f>
        <v>FC Barcelone</v>
      </c>
      <c r="D66">
        <f>IFERROR(__xludf.DUMMYFUNCTION("""COMPUTED_VALUE"""),10.0)</f>
        <v>10</v>
      </c>
      <c r="E66">
        <f>IFERROR(__xludf.DUMMYFUNCTION("""COMPUTED_VALUE"""),4.0)</f>
        <v>4</v>
      </c>
      <c r="F66" t="str">
        <f>IFERROR(__xludf.DUMMYFUNCTION("""COMPUTED_VALUE"""),"30 *(0,33 b/m)*")</f>
        <v>30 *(0,33 b/m)*</v>
      </c>
      <c r="G66" t="str">
        <f>IFERROR(__xludf.DUMMYFUNCTION("""COMPUTED_VALUE"""),"190'")</f>
        <v>190'</v>
      </c>
    </row>
    <row r="67">
      <c r="A67" t="str">
        <f>IFERROR(__xludf.DUMMYFUNCTION("""COMPUTED_VALUE"""),".")</f>
        <v>.</v>
      </c>
      <c r="B67" t="str">
        <f>IFERROR(__xludf.DUMMYFUNCTION("""COMPUTED_VALUE"""),"*M. RASHFORD*")</f>
        <v>*M. RASHFORD*</v>
      </c>
      <c r="C67" t="str">
        <f>IFERROR(__xludf.DUMMYFUNCTION("""COMPUTED_VALUE"""),"FC Barcelone")</f>
        <v>FC Barcelone</v>
      </c>
      <c r="D67">
        <f>IFERROR(__xludf.DUMMYFUNCTION("""COMPUTED_VALUE"""),10.0)</f>
        <v>10</v>
      </c>
      <c r="E67">
        <f>IFERROR(__xludf.DUMMYFUNCTION("""COMPUTED_VALUE"""),4.0)</f>
        <v>4</v>
      </c>
      <c r="F67" t="str">
        <f>IFERROR(__xludf.DUMMYFUNCTION("""COMPUTED_VALUE"""),"34 *(0,29 b/m)*")</f>
        <v>34 *(0,29 b/m)*</v>
      </c>
      <c r="G67" t="str">
        <f>IFERROR(__xludf.DUMMYFUNCTION("""COMPUTED_VALUE"""),"197'")</f>
        <v>197'</v>
      </c>
    </row>
    <row r="68">
      <c r="A68" t="str">
        <f>IFERROR(__xludf.DUMMYFUNCTION("""COMPUTED_VALUE"""),".")</f>
        <v>.</v>
      </c>
      <c r="B68" t="str">
        <f>IFERROR(__xludf.DUMMYFUNCTION("""COMPUTED_VALUE"""),"*I. SARR*")</f>
        <v>*I. SARR*</v>
      </c>
      <c r="C68" t="str">
        <f>IFERROR(__xludf.DUMMYFUNCTION("""COMPUTED_VALUE"""),"Crystal Palace")</f>
        <v>Crystal Palace</v>
      </c>
      <c r="D68" t="str">
        <f>IFERROR(__xludf.DUMMYFUNCTION("""COMPUTED_VALUE"""),"10 *(1 p.)*")</f>
        <v>10 *(1 p.)*</v>
      </c>
      <c r="E68">
        <f>IFERROR(__xludf.DUMMYFUNCTION("""COMPUTED_VALUE"""),5.0)</f>
        <v>5</v>
      </c>
      <c r="F68" t="str">
        <f>IFERROR(__xludf.DUMMYFUNCTION("""COMPUTED_VALUE"""),"24 *(0,42 b/m)*")</f>
        <v>24 *(0,42 b/m)*</v>
      </c>
      <c r="G68" t="str">
        <f>IFERROR(__xludf.DUMMYFUNCTION("""COMPUTED_VALUE"""),"200'")</f>
        <v>200'</v>
      </c>
    </row>
    <row r="69">
      <c r="A69" t="str">
        <f>IFERROR(__xludf.DUMMYFUNCTION("""COMPUTED_VALUE"""),".")</f>
        <v>.</v>
      </c>
      <c r="B69" t="str">
        <f>IFERROR(__xludf.DUMMYFUNCTION("""COMPUTED_VALUE"""),"*A. GORDON*")</f>
        <v>*A. GORDON*</v>
      </c>
      <c r="C69" t="str">
        <f>IFERROR(__xludf.DUMMYFUNCTION("""COMPUTED_VALUE"""),"Newcastle")</f>
        <v>Newcastle</v>
      </c>
      <c r="D69" t="str">
        <f>IFERROR(__xludf.DUMMYFUNCTION("""COMPUTED_VALUE"""),"10 *(6 p.)*")</f>
        <v>10 *(6 p.)*</v>
      </c>
      <c r="E69">
        <f>IFERROR(__xludf.DUMMYFUNCTION("""COMPUTED_VALUE"""),3.0)</f>
        <v>3</v>
      </c>
      <c r="F69" t="str">
        <f>IFERROR(__xludf.DUMMYFUNCTION("""COMPUTED_VALUE"""),"35 *(0,29 b/m)*")</f>
        <v>35 *(0,29 b/m)*</v>
      </c>
      <c r="G69" t="str">
        <f>IFERROR(__xludf.DUMMYFUNCTION("""COMPUTED_VALUE"""),"211'")</f>
        <v>211'</v>
      </c>
    </row>
    <row r="70">
      <c r="A70" t="str">
        <f>IFERROR(__xludf.DUMMYFUNCTION("""COMPUTED_VALUE"""),".")</f>
        <v>.</v>
      </c>
      <c r="B70" t="str">
        <f>IFERROR(__xludf.DUMMYFUNCTION("""COMPUTED_VALUE"""),"*M. PELLEGRINO*")</f>
        <v>*M. PELLEGRINO*</v>
      </c>
      <c r="C70" t="str">
        <f>IFERROR(__xludf.DUMMYFUNCTION("""COMPUTED_VALUE"""),"Parme")</f>
        <v>Parme</v>
      </c>
      <c r="D70" t="str">
        <f>IFERROR(__xludf.DUMMYFUNCTION("""COMPUTED_VALUE"""),"10 *(1 p.)*")</f>
        <v>10 *(1 p.)*</v>
      </c>
      <c r="E70">
        <f>IFERROR(__xludf.DUMMYFUNCTION("""COMPUTED_VALUE"""),7.0)</f>
        <v>7</v>
      </c>
      <c r="F70" t="str">
        <f>IFERROR(__xludf.DUMMYFUNCTION("""COMPUTED_VALUE"""),"27 *(0,37 b/m)*")</f>
        <v>27 *(0,37 b/m)*</v>
      </c>
      <c r="G70" t="str">
        <f>IFERROR(__xludf.DUMMYFUNCTION("""COMPUTED_VALUE"""),"222'")</f>
        <v>222'</v>
      </c>
    </row>
    <row r="71">
      <c r="A71" t="str">
        <f>IFERROR(__xludf.DUMMYFUNCTION("""COMPUTED_VALUE"""),".")</f>
        <v>.</v>
      </c>
      <c r="B71" t="str">
        <f>IFERROR(__xludf.DUMMYFUNCTION("""COMPUTED_VALUE"""),"*ÁLVARO GARCÍA*")</f>
        <v>*ÁLVARO GARCÍA*</v>
      </c>
      <c r="C71" t="str">
        <f>IFERROR(__xludf.DUMMYFUNCTION("""COMPUTED_VALUE"""),"Rayo Vallecano")</f>
        <v>Rayo Vallecano</v>
      </c>
      <c r="D71">
        <f>IFERROR(__xludf.DUMMYFUNCTION("""COMPUTED_VALUE"""),10.0)</f>
        <v>10</v>
      </c>
      <c r="E71">
        <f>IFERROR(__xludf.DUMMYFUNCTION("""COMPUTED_VALUE"""),3.0)</f>
        <v>3</v>
      </c>
      <c r="F71" t="str">
        <f>IFERROR(__xludf.DUMMYFUNCTION("""COMPUTED_VALUE"""),"35 *(0,29 b/m)*")</f>
        <v>35 *(0,29 b/m)*</v>
      </c>
      <c r="G71" t="str">
        <f>IFERROR(__xludf.DUMMYFUNCTION("""COMPUTED_VALUE"""),"224'")</f>
        <v>224'</v>
      </c>
    </row>
    <row r="72">
      <c r="A72" t="str">
        <f>IFERROR(__xludf.DUMMYFUNCTION("""COMPUTED_VALUE"""),".")</f>
        <v>.</v>
      </c>
      <c r="B72" t="str">
        <f>IFERROR(__xludf.DUMMYFUNCTION("""COMPUTED_VALUE"""),"*ANTONY*")</f>
        <v>*ANTONY*</v>
      </c>
      <c r="C72" t="str">
        <f>IFERROR(__xludf.DUMMYFUNCTION("""COMPUTED_VALUE"""),"Betis Séville")</f>
        <v>Betis Séville</v>
      </c>
      <c r="D72">
        <f>IFERROR(__xludf.DUMMYFUNCTION("""COMPUTED_VALUE"""),10.0)</f>
        <v>10</v>
      </c>
      <c r="E72">
        <f>IFERROR(__xludf.DUMMYFUNCTION("""COMPUTED_VALUE"""),6.0)</f>
        <v>6</v>
      </c>
      <c r="F72" t="str">
        <f>IFERROR(__xludf.DUMMYFUNCTION("""COMPUTED_VALUE"""),"29 *(0,34 b/m)*")</f>
        <v>29 *(0,34 b/m)*</v>
      </c>
      <c r="G72" t="str">
        <f>IFERROR(__xludf.DUMMYFUNCTION("""COMPUTED_VALUE"""),"233'")</f>
        <v>233'</v>
      </c>
    </row>
    <row r="73">
      <c r="A73" t="str">
        <f>IFERROR(__xludf.DUMMYFUNCTION("""COMPUTED_VALUE"""),".")</f>
        <v>.</v>
      </c>
      <c r="B73" t="str">
        <f>IFERROR(__xludf.DUMMYFUNCTION("""COMPUTED_VALUE"""),"*P. FODEN*")</f>
        <v>*P. FODEN*</v>
      </c>
      <c r="C73" t="str">
        <f>IFERROR(__xludf.DUMMYFUNCTION("""COMPUTED_VALUE"""),"Manchester City")</f>
        <v>Manchester City</v>
      </c>
      <c r="D73">
        <f>IFERROR(__xludf.DUMMYFUNCTION("""COMPUTED_VALUE"""),10.0)</f>
        <v>10</v>
      </c>
      <c r="E73">
        <f>IFERROR(__xludf.DUMMYFUNCTION("""COMPUTED_VALUE"""),7.0)</f>
        <v>7</v>
      </c>
      <c r="F73" t="str">
        <f>IFERROR(__xludf.DUMMYFUNCTION("""COMPUTED_VALUE"""),"36 *(0,28 b/m)*")</f>
        <v>36 *(0,28 b/m)*</v>
      </c>
      <c r="G73" t="str">
        <f>IFERROR(__xludf.DUMMYFUNCTION("""COMPUTED_VALUE"""),"260'")</f>
        <v>260'</v>
      </c>
    </row>
    <row r="74">
      <c r="A74" t="str">
        <f>IFERROR(__xludf.DUMMYFUNCTION("""COMPUTED_VALUE"""),".")</f>
        <v>.</v>
      </c>
      <c r="B74" t="str">
        <f>IFERROR(__xludf.DUMMYFUNCTION("""COMPUTED_VALUE"""),"*VINÍCIUS JÚNIOR*")</f>
        <v>*VINÍCIUS JÚNIOR*</v>
      </c>
      <c r="C74" t="str">
        <f>IFERROR(__xludf.DUMMYFUNCTION("""COMPUTED_VALUE"""),"Real Madrid")</f>
        <v>Real Madrid</v>
      </c>
      <c r="D74" t="str">
        <f>IFERROR(__xludf.DUMMYFUNCTION("""COMPUTED_VALUE"""),"10 *(3 p.)*")</f>
        <v>10 *(3 p.)*</v>
      </c>
      <c r="E74">
        <f>IFERROR(__xludf.DUMMYFUNCTION("""COMPUTED_VALUE"""),8.0)</f>
        <v>8</v>
      </c>
      <c r="F74" t="str">
        <f>IFERROR(__xludf.DUMMYFUNCTION("""COMPUTED_VALUE"""),"34 *(0,29 b/m)*")</f>
        <v>34 *(0,29 b/m)*</v>
      </c>
      <c r="G74" t="str">
        <f>IFERROR(__xludf.DUMMYFUNCTION("""COMPUTED_VALUE"""),"265'")</f>
        <v>265'</v>
      </c>
    </row>
    <row r="75">
      <c r="A75" t="str">
        <f>IFERROR(__xludf.DUMMYFUNCTION("""COMPUTED_VALUE"""),".")</f>
        <v>.</v>
      </c>
      <c r="B75" t="str">
        <f>IFERROR(__xludf.DUMMYFUNCTION("""COMPUTED_VALUE"""),"*PEDRO NETO*")</f>
        <v>*PEDRO NETO*</v>
      </c>
      <c r="C75" t="str">
        <f>IFERROR(__xludf.DUMMYFUNCTION("""COMPUTED_VALUE"""),"Chelsea")</f>
        <v>Chelsea</v>
      </c>
      <c r="D75">
        <f>IFERROR(__xludf.DUMMYFUNCTION("""COMPUTED_VALUE"""),10.0)</f>
        <v>10</v>
      </c>
      <c r="E75">
        <f>IFERROR(__xludf.DUMMYFUNCTION("""COMPUTED_VALUE"""),5.0)</f>
        <v>5</v>
      </c>
      <c r="F75" t="str">
        <f>IFERROR(__xludf.DUMMYFUNCTION("""COMPUTED_VALUE"""),"38 *(0,26 b/m)*")</f>
        <v>38 *(0,26 b/m)*</v>
      </c>
      <c r="G75" t="str">
        <f>IFERROR(__xludf.DUMMYFUNCTION("""COMPUTED_VALUE"""),"267'")</f>
        <v>267'</v>
      </c>
    </row>
    <row r="76">
      <c r="A76" t="str">
        <f>IFERROR(__xludf.DUMMYFUNCTION("""COMPUTED_VALUE"""),".")</f>
        <v>.</v>
      </c>
      <c r="B76" t="str">
        <f>IFERROR(__xludf.DUMMYFUNCTION("""COMPUTED_VALUE"""),"*J. MATETA*")</f>
        <v>*J. MATETA*</v>
      </c>
      <c r="C76" t="str">
        <f>IFERROR(__xludf.DUMMYFUNCTION("""COMPUTED_VALUE"""),"Crystal Palace")</f>
        <v>Crystal Palace</v>
      </c>
      <c r="D76" t="str">
        <f>IFERROR(__xludf.DUMMYFUNCTION("""COMPUTED_VALUE"""),"10 *(4 p.)*")</f>
        <v>10 *(4 p.)*</v>
      </c>
      <c r="E76">
        <f>IFERROR(__xludf.DUMMYFUNCTION("""COMPUTED_VALUE"""),8.0)</f>
        <v>8</v>
      </c>
      <c r="F76" t="str">
        <f>IFERROR(__xludf.DUMMYFUNCTION("""COMPUTED_VALUE"""),"34 *(0,29 b/m)*")</f>
        <v>34 *(0,29 b/m)*</v>
      </c>
      <c r="G76" t="str">
        <f>IFERROR(__xludf.DUMMYFUNCTION("""COMPUTED_VALUE"""),"274'")</f>
        <v>274'</v>
      </c>
    </row>
    <row r="77">
      <c r="A77" t="str">
        <f>IFERROR(__xludf.DUMMYFUNCTION("""COMPUTED_VALUE"""),".")</f>
        <v>.</v>
      </c>
      <c r="B77" t="str">
        <f>IFERROR(__xludf.DUMMYFUNCTION("""COMPUTED_VALUE"""),"*S. MCTOMINAY*")</f>
        <v>*S. MCTOMINAY*</v>
      </c>
      <c r="C77" t="str">
        <f>IFERROR(__xludf.DUMMYFUNCTION("""COMPUTED_VALUE"""),"Naples")</f>
        <v>Naples</v>
      </c>
      <c r="D77">
        <f>IFERROR(__xludf.DUMMYFUNCTION("""COMPUTED_VALUE"""),10.0)</f>
        <v>10</v>
      </c>
      <c r="E77">
        <f>IFERROR(__xludf.DUMMYFUNCTION("""COMPUTED_VALUE"""),6.0)</f>
        <v>6</v>
      </c>
      <c r="F77" t="str">
        <f>IFERROR(__xludf.DUMMYFUNCTION("""COMPUTED_VALUE"""),"34 *(0,29 b/m)*")</f>
        <v>34 *(0,29 b/m)*</v>
      </c>
      <c r="G77" t="str">
        <f>IFERROR(__xludf.DUMMYFUNCTION("""COMPUTED_VALUE"""),"285'")</f>
        <v>285'</v>
      </c>
    </row>
    <row r="78">
      <c r="A78" t="str">
        <f>IFERROR(__xludf.DUMMYFUNCTION("""COMPUTED_VALUE"""),".")</f>
        <v>.</v>
      </c>
      <c r="B78" t="str">
        <f>IFERROR(__xludf.DUMMYFUNCTION("""COMPUTED_VALUE"""),"*M. ROGERS*")</f>
        <v>*M. ROGERS*</v>
      </c>
      <c r="C78" t="str">
        <f>IFERROR(__xludf.DUMMYFUNCTION("""COMPUTED_VALUE"""),"Aston Villa")</f>
        <v>Aston Villa</v>
      </c>
      <c r="D78">
        <f>IFERROR(__xludf.DUMMYFUNCTION("""COMPUTED_VALUE"""),10.0)</f>
        <v>10</v>
      </c>
      <c r="E78">
        <f>IFERROR(__xludf.DUMMYFUNCTION("""COMPUTED_VALUE"""),8.0)</f>
        <v>8</v>
      </c>
      <c r="F78" t="str">
        <f>IFERROR(__xludf.DUMMYFUNCTION("""COMPUTED_VALUE"""),"37 *(0,27 b/m)*")</f>
        <v>37 *(0,27 b/m)*</v>
      </c>
      <c r="G78" t="str">
        <f>IFERROR(__xludf.DUMMYFUNCTION("""COMPUTED_VALUE"""),"299'")</f>
        <v>299'</v>
      </c>
    </row>
    <row r="79">
      <c r="A79" t="str">
        <f>IFERROR(__xludf.DUMMYFUNCTION("""COMPUTED_VALUE"""),".")</f>
        <v>.</v>
      </c>
      <c r="B79" t="str">
        <f>IFERROR(__xludf.DUMMYFUNCTION("""COMPUTED_VALUE"""),"*D. SZOBOSZLAI*")</f>
        <v>*D. SZOBOSZLAI*</v>
      </c>
      <c r="C79" t="str">
        <f>IFERROR(__xludf.DUMMYFUNCTION("""COMPUTED_VALUE"""),"Liverpool")</f>
        <v>Liverpool</v>
      </c>
      <c r="D79" t="str">
        <f>IFERROR(__xludf.DUMMYFUNCTION("""COMPUTED_VALUE"""),"10 *(1 p.)*")</f>
        <v>10 *(1 p.)*</v>
      </c>
      <c r="E79">
        <f>IFERROR(__xludf.DUMMYFUNCTION("""COMPUTED_VALUE"""),4.0)</f>
        <v>4</v>
      </c>
      <c r="F79" t="str">
        <f>IFERROR(__xludf.DUMMYFUNCTION("""COMPUTED_VALUE"""),"35 *(0,29 b/m)*")</f>
        <v>35 *(0,29 b/m)*</v>
      </c>
      <c r="G79" t="str">
        <f>IFERROR(__xludf.DUMMYFUNCTION("""COMPUTED_VALUE"""),"316'")</f>
        <v>316'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 t="s">
        <v>8</v>
      </c>
      <c r="B2" t="s">
        <v>9</v>
      </c>
      <c r="C2" t="s">
        <v>10</v>
      </c>
      <c r="D2" t="s">
        <v>11</v>
      </c>
      <c r="E2">
        <v>22.0</v>
      </c>
      <c r="F2" t="s">
        <v>12</v>
      </c>
      <c r="G2" t="s">
        <v>13</v>
      </c>
    </row>
    <row r="3">
      <c r="A3" s="1" t="s">
        <v>8</v>
      </c>
      <c r="B3" t="s">
        <v>14</v>
      </c>
      <c r="C3" t="s">
        <v>15</v>
      </c>
      <c r="D3" t="s">
        <v>16</v>
      </c>
      <c r="E3">
        <v>21.0</v>
      </c>
      <c r="F3" t="s">
        <v>17</v>
      </c>
      <c r="G3" t="s">
        <v>18</v>
      </c>
    </row>
    <row r="4">
      <c r="A4" s="1" t="s">
        <v>8</v>
      </c>
      <c r="B4" t="s">
        <v>19</v>
      </c>
      <c r="C4" t="s">
        <v>20</v>
      </c>
      <c r="D4" t="s">
        <v>21</v>
      </c>
      <c r="E4">
        <v>21.0</v>
      </c>
      <c r="F4" t="s">
        <v>22</v>
      </c>
      <c r="G4" t="s">
        <v>23</v>
      </c>
    </row>
    <row r="5">
      <c r="A5" s="1" t="s">
        <v>8</v>
      </c>
      <c r="B5" t="s">
        <v>24</v>
      </c>
      <c r="C5" t="s">
        <v>20</v>
      </c>
      <c r="D5" t="s">
        <v>25</v>
      </c>
      <c r="E5">
        <v>18.0</v>
      </c>
      <c r="F5" t="s">
        <v>26</v>
      </c>
      <c r="G5" t="s">
        <v>27</v>
      </c>
    </row>
    <row r="6">
      <c r="A6" s="1" t="s">
        <v>8</v>
      </c>
      <c r="B6" t="s">
        <v>28</v>
      </c>
      <c r="C6" t="s">
        <v>29</v>
      </c>
      <c r="D6" t="s">
        <v>30</v>
      </c>
      <c r="E6">
        <v>20.0</v>
      </c>
      <c r="F6" t="s">
        <v>31</v>
      </c>
      <c r="G6" t="s">
        <v>32</v>
      </c>
    </row>
    <row r="7">
      <c r="A7" s="1" t="s">
        <v>8</v>
      </c>
      <c r="B7" t="s">
        <v>33</v>
      </c>
      <c r="C7" t="s">
        <v>34</v>
      </c>
      <c r="D7" t="s">
        <v>35</v>
      </c>
      <c r="E7">
        <v>20.0</v>
      </c>
      <c r="F7" t="s">
        <v>36</v>
      </c>
      <c r="G7" t="s">
        <v>37</v>
      </c>
    </row>
    <row r="8">
      <c r="A8" s="1" t="s">
        <v>8</v>
      </c>
      <c r="B8" t="s">
        <v>38</v>
      </c>
      <c r="C8" t="s">
        <v>39</v>
      </c>
      <c r="D8" t="s">
        <v>40</v>
      </c>
      <c r="E8">
        <v>18.0</v>
      </c>
      <c r="F8" t="s">
        <v>41</v>
      </c>
      <c r="G8" t="s">
        <v>42</v>
      </c>
    </row>
    <row r="9">
      <c r="A9" s="1" t="s">
        <v>43</v>
      </c>
      <c r="B9" t="s">
        <v>44</v>
      </c>
      <c r="C9" t="s">
        <v>45</v>
      </c>
      <c r="D9" t="s">
        <v>46</v>
      </c>
      <c r="E9">
        <v>17.0</v>
      </c>
      <c r="F9" t="s">
        <v>47</v>
      </c>
      <c r="G9" t="s">
        <v>48</v>
      </c>
    </row>
    <row r="10">
      <c r="A10" s="1" t="s">
        <v>43</v>
      </c>
      <c r="B10" t="s">
        <v>49</v>
      </c>
      <c r="C10" t="s">
        <v>50</v>
      </c>
      <c r="D10" t="s">
        <v>51</v>
      </c>
      <c r="E10">
        <v>17.0</v>
      </c>
      <c r="F10" t="s">
        <v>52</v>
      </c>
      <c r="G10" t="s">
        <v>53</v>
      </c>
    </row>
    <row r="11">
      <c r="A11" s="1" t="s">
        <v>8</v>
      </c>
      <c r="B11" t="s">
        <v>54</v>
      </c>
      <c r="C11" t="s">
        <v>55</v>
      </c>
      <c r="D11" t="s">
        <v>56</v>
      </c>
      <c r="E11">
        <v>14.0</v>
      </c>
      <c r="F11" t="s">
        <v>57</v>
      </c>
      <c r="G11" t="s">
        <v>58</v>
      </c>
    </row>
    <row r="12">
      <c r="A12" s="1" t="s">
        <v>43</v>
      </c>
      <c r="B12" t="s">
        <v>59</v>
      </c>
      <c r="C12" t="s">
        <v>60</v>
      </c>
      <c r="D12" t="s">
        <v>61</v>
      </c>
      <c r="E12">
        <v>8.0</v>
      </c>
      <c r="F12" t="s">
        <v>62</v>
      </c>
      <c r="G12" t="s">
        <v>63</v>
      </c>
    </row>
    <row r="13">
      <c r="A13" s="1" t="s">
        <v>43</v>
      </c>
      <c r="B13" t="s">
        <v>64</v>
      </c>
      <c r="C13" t="s">
        <v>65</v>
      </c>
      <c r="D13" t="s">
        <v>66</v>
      </c>
      <c r="E13">
        <v>16.0</v>
      </c>
      <c r="F13" t="s">
        <v>67</v>
      </c>
      <c r="G13" t="s">
        <v>68</v>
      </c>
    </row>
    <row r="14">
      <c r="A14" s="1" t="s">
        <v>8</v>
      </c>
      <c r="B14" t="s">
        <v>69</v>
      </c>
      <c r="C14" t="s">
        <v>70</v>
      </c>
      <c r="D14" t="s">
        <v>71</v>
      </c>
      <c r="E14">
        <v>13.0</v>
      </c>
      <c r="F14" t="s">
        <v>72</v>
      </c>
      <c r="G14" t="s">
        <v>73</v>
      </c>
    </row>
    <row r="15">
      <c r="A15" s="1" t="s">
        <v>43</v>
      </c>
      <c r="B15" t="s">
        <v>74</v>
      </c>
      <c r="C15" t="s">
        <v>45</v>
      </c>
      <c r="D15" t="s">
        <v>75</v>
      </c>
      <c r="E15">
        <v>14.0</v>
      </c>
      <c r="F15" t="s">
        <v>76</v>
      </c>
      <c r="G15" t="s">
        <v>77</v>
      </c>
    </row>
    <row r="16">
      <c r="A16" s="1" t="s">
        <v>43</v>
      </c>
      <c r="B16" t="s">
        <v>78</v>
      </c>
      <c r="C16" t="s">
        <v>29</v>
      </c>
      <c r="D16">
        <v>19.0</v>
      </c>
      <c r="E16">
        <v>16.0</v>
      </c>
      <c r="F16" t="s">
        <v>79</v>
      </c>
      <c r="G16" t="s">
        <v>80</v>
      </c>
    </row>
    <row r="17">
      <c r="A17" s="1" t="s">
        <v>8</v>
      </c>
      <c r="B17" t="s">
        <v>81</v>
      </c>
      <c r="C17" t="s">
        <v>15</v>
      </c>
      <c r="D17" t="s">
        <v>75</v>
      </c>
      <c r="E17">
        <v>11.0</v>
      </c>
      <c r="F17" t="s">
        <v>82</v>
      </c>
      <c r="G17" t="s">
        <v>80</v>
      </c>
    </row>
    <row r="18">
      <c r="A18" s="1" t="s">
        <v>43</v>
      </c>
      <c r="B18" t="s">
        <v>83</v>
      </c>
      <c r="C18" t="s">
        <v>84</v>
      </c>
      <c r="D18">
        <v>19.0</v>
      </c>
      <c r="E18">
        <v>12.0</v>
      </c>
      <c r="F18" t="s">
        <v>85</v>
      </c>
      <c r="G18" t="s">
        <v>86</v>
      </c>
    </row>
    <row r="19">
      <c r="A19" s="1" t="s">
        <v>8</v>
      </c>
      <c r="B19" t="s">
        <v>87</v>
      </c>
      <c r="C19" t="s">
        <v>88</v>
      </c>
      <c r="D19" t="s">
        <v>89</v>
      </c>
      <c r="E19">
        <v>18.0</v>
      </c>
      <c r="F19" t="s">
        <v>90</v>
      </c>
      <c r="G19" t="s">
        <v>91</v>
      </c>
    </row>
    <row r="20">
      <c r="A20" s="1" t="s">
        <v>43</v>
      </c>
      <c r="B20" t="s">
        <v>92</v>
      </c>
      <c r="C20" t="s">
        <v>93</v>
      </c>
      <c r="D20" t="s">
        <v>89</v>
      </c>
      <c r="E20">
        <v>14.0</v>
      </c>
      <c r="F20" t="s">
        <v>94</v>
      </c>
      <c r="G20" t="s">
        <v>95</v>
      </c>
    </row>
    <row r="21">
      <c r="A21" s="1" t="s">
        <v>43</v>
      </c>
      <c r="B21" t="s">
        <v>96</v>
      </c>
      <c r="C21" t="s">
        <v>97</v>
      </c>
      <c r="D21" t="s">
        <v>98</v>
      </c>
      <c r="E21">
        <v>14.0</v>
      </c>
      <c r="F21" t="s">
        <v>99</v>
      </c>
      <c r="G21" t="s">
        <v>100</v>
      </c>
    </row>
    <row r="22">
      <c r="A22" s="1" t="s">
        <v>8</v>
      </c>
      <c r="B22" t="s">
        <v>101</v>
      </c>
      <c r="C22" t="s">
        <v>97</v>
      </c>
      <c r="D22" t="s">
        <v>98</v>
      </c>
      <c r="E22">
        <v>13.0</v>
      </c>
      <c r="F22" t="s">
        <v>102</v>
      </c>
      <c r="G22" t="s">
        <v>103</v>
      </c>
    </row>
    <row r="23">
      <c r="A23" s="1" t="s">
        <v>43</v>
      </c>
      <c r="B23" t="s">
        <v>104</v>
      </c>
      <c r="C23" t="s">
        <v>105</v>
      </c>
      <c r="D23" t="s">
        <v>106</v>
      </c>
      <c r="E23">
        <v>16.0</v>
      </c>
      <c r="F23" t="s">
        <v>107</v>
      </c>
      <c r="G23" t="s">
        <v>91</v>
      </c>
    </row>
    <row r="24">
      <c r="A24" s="1" t="s">
        <v>43</v>
      </c>
      <c r="B24" t="s">
        <v>108</v>
      </c>
      <c r="C24" t="s">
        <v>109</v>
      </c>
      <c r="D24" t="s">
        <v>110</v>
      </c>
      <c r="E24">
        <v>5.0</v>
      </c>
      <c r="F24" t="s">
        <v>111</v>
      </c>
      <c r="G24" t="s">
        <v>112</v>
      </c>
    </row>
    <row r="25">
      <c r="A25" s="1" t="s">
        <v>8</v>
      </c>
      <c r="B25" t="s">
        <v>113</v>
      </c>
      <c r="C25" t="s">
        <v>114</v>
      </c>
      <c r="D25" t="s">
        <v>115</v>
      </c>
      <c r="E25">
        <v>15.0</v>
      </c>
      <c r="F25" t="s">
        <v>116</v>
      </c>
      <c r="G25" t="s">
        <v>117</v>
      </c>
    </row>
    <row r="26">
      <c r="A26" s="1" t="s">
        <v>43</v>
      </c>
      <c r="B26" t="s">
        <v>118</v>
      </c>
      <c r="C26" t="s">
        <v>119</v>
      </c>
      <c r="D26" t="s">
        <v>110</v>
      </c>
      <c r="E26">
        <v>11.0</v>
      </c>
      <c r="F26" t="s">
        <v>111</v>
      </c>
      <c r="G26" t="s">
        <v>120</v>
      </c>
    </row>
    <row r="27">
      <c r="A27" s="1" t="s">
        <v>43</v>
      </c>
      <c r="B27" t="s">
        <v>121</v>
      </c>
      <c r="C27" t="s">
        <v>65</v>
      </c>
      <c r="D27" t="s">
        <v>122</v>
      </c>
      <c r="E27">
        <v>14.0</v>
      </c>
      <c r="F27" t="s">
        <v>123</v>
      </c>
      <c r="G27" t="s">
        <v>124</v>
      </c>
    </row>
    <row r="28">
      <c r="A28" s="1" t="s">
        <v>8</v>
      </c>
      <c r="B28" t="s">
        <v>125</v>
      </c>
      <c r="C28" t="s">
        <v>126</v>
      </c>
      <c r="D28" t="s">
        <v>127</v>
      </c>
      <c r="E28">
        <v>8.0</v>
      </c>
      <c r="F28" t="s">
        <v>128</v>
      </c>
      <c r="G28" t="s">
        <v>129</v>
      </c>
    </row>
    <row r="29">
      <c r="A29" s="1" t="s">
        <v>43</v>
      </c>
      <c r="B29" t="s">
        <v>130</v>
      </c>
      <c r="C29" t="s">
        <v>20</v>
      </c>
      <c r="D29">
        <v>15.0</v>
      </c>
      <c r="E29">
        <v>9.0</v>
      </c>
      <c r="F29" t="s">
        <v>131</v>
      </c>
      <c r="G29" t="s">
        <v>132</v>
      </c>
    </row>
    <row r="30">
      <c r="A30" s="1" t="s">
        <v>8</v>
      </c>
      <c r="B30" t="s">
        <v>133</v>
      </c>
      <c r="C30" t="s">
        <v>134</v>
      </c>
      <c r="D30" t="s">
        <v>135</v>
      </c>
      <c r="E30">
        <v>10.0</v>
      </c>
      <c r="F30" t="s">
        <v>136</v>
      </c>
      <c r="G30" t="s">
        <v>137</v>
      </c>
    </row>
    <row r="31">
      <c r="A31" s="1" t="s">
        <v>43</v>
      </c>
      <c r="B31" t="s">
        <v>138</v>
      </c>
      <c r="C31" t="s">
        <v>139</v>
      </c>
      <c r="D31" t="s">
        <v>140</v>
      </c>
      <c r="E31">
        <v>10.0</v>
      </c>
      <c r="F31" t="s">
        <v>141</v>
      </c>
      <c r="G31" t="s">
        <v>124</v>
      </c>
    </row>
    <row r="32">
      <c r="A32" s="1" t="s">
        <v>43</v>
      </c>
      <c r="B32" t="s">
        <v>142</v>
      </c>
      <c r="C32" t="s">
        <v>143</v>
      </c>
      <c r="D32" t="s">
        <v>144</v>
      </c>
      <c r="E32">
        <v>13.0</v>
      </c>
      <c r="F32" t="s">
        <v>145</v>
      </c>
      <c r="G32" t="s">
        <v>146</v>
      </c>
    </row>
    <row r="33">
      <c r="A33" s="1" t="s">
        <v>8</v>
      </c>
      <c r="B33" t="s">
        <v>147</v>
      </c>
      <c r="C33" t="s">
        <v>20</v>
      </c>
      <c r="D33">
        <v>13.0</v>
      </c>
      <c r="E33">
        <v>6.0</v>
      </c>
      <c r="F33" t="s">
        <v>148</v>
      </c>
      <c r="G33" t="s">
        <v>120</v>
      </c>
    </row>
    <row r="34">
      <c r="A34" s="1" t="s">
        <v>43</v>
      </c>
      <c r="B34" t="s">
        <v>149</v>
      </c>
      <c r="C34" t="s">
        <v>150</v>
      </c>
      <c r="D34">
        <v>13.0</v>
      </c>
      <c r="E34">
        <v>10.0</v>
      </c>
      <c r="F34" t="s">
        <v>151</v>
      </c>
      <c r="G34" t="s">
        <v>120</v>
      </c>
    </row>
    <row r="35">
      <c r="A35" s="1" t="s">
        <v>43</v>
      </c>
      <c r="B35" t="s">
        <v>152</v>
      </c>
      <c r="C35" t="s">
        <v>143</v>
      </c>
      <c r="D35">
        <v>13.0</v>
      </c>
      <c r="E35">
        <v>6.0</v>
      </c>
      <c r="F35" t="s">
        <v>153</v>
      </c>
      <c r="G35" t="s">
        <v>154</v>
      </c>
    </row>
    <row r="36">
      <c r="A36" s="1" t="s">
        <v>8</v>
      </c>
      <c r="B36" t="s">
        <v>155</v>
      </c>
      <c r="C36" t="s">
        <v>156</v>
      </c>
      <c r="D36" t="s">
        <v>157</v>
      </c>
      <c r="E36">
        <v>12.0</v>
      </c>
      <c r="F36" t="s">
        <v>148</v>
      </c>
      <c r="G36" t="s">
        <v>158</v>
      </c>
    </row>
    <row r="37">
      <c r="A37" s="1" t="s">
        <v>43</v>
      </c>
      <c r="B37" t="s">
        <v>159</v>
      </c>
      <c r="C37" t="s">
        <v>160</v>
      </c>
      <c r="D37" t="s">
        <v>161</v>
      </c>
      <c r="E37">
        <v>9.0</v>
      </c>
      <c r="F37" t="s">
        <v>162</v>
      </c>
      <c r="G37" t="s">
        <v>163</v>
      </c>
    </row>
    <row r="38">
      <c r="A38" s="1" t="s">
        <v>43</v>
      </c>
      <c r="B38" t="s">
        <v>164</v>
      </c>
      <c r="C38" t="s">
        <v>165</v>
      </c>
      <c r="D38">
        <v>13.0</v>
      </c>
      <c r="E38">
        <v>10.0</v>
      </c>
      <c r="F38" t="s">
        <v>166</v>
      </c>
      <c r="G38" t="s">
        <v>167</v>
      </c>
    </row>
    <row r="39">
      <c r="A39" s="1" t="s">
        <v>8</v>
      </c>
      <c r="B39" t="s">
        <v>168</v>
      </c>
      <c r="C39" t="s">
        <v>169</v>
      </c>
      <c r="D39">
        <v>12.0</v>
      </c>
      <c r="E39">
        <v>4.0</v>
      </c>
      <c r="F39" t="s">
        <v>170</v>
      </c>
      <c r="G39" t="s">
        <v>18</v>
      </c>
    </row>
    <row r="40">
      <c r="A40" s="1" t="s">
        <v>43</v>
      </c>
      <c r="B40" t="s">
        <v>171</v>
      </c>
      <c r="C40" t="s">
        <v>172</v>
      </c>
      <c r="D40" t="s">
        <v>173</v>
      </c>
      <c r="E40">
        <v>12.0</v>
      </c>
      <c r="F40" t="s">
        <v>174</v>
      </c>
      <c r="G40" t="s">
        <v>175</v>
      </c>
    </row>
    <row r="41">
      <c r="A41" s="1" t="s">
        <v>8</v>
      </c>
      <c r="B41" t="s">
        <v>176</v>
      </c>
      <c r="C41" t="s">
        <v>29</v>
      </c>
      <c r="D41" t="s">
        <v>177</v>
      </c>
      <c r="E41">
        <v>7.0</v>
      </c>
      <c r="F41" t="s">
        <v>178</v>
      </c>
      <c r="G41" t="s">
        <v>80</v>
      </c>
    </row>
    <row r="42">
      <c r="A42" s="1" t="s">
        <v>43</v>
      </c>
      <c r="B42" t="s">
        <v>179</v>
      </c>
      <c r="C42" t="s">
        <v>84</v>
      </c>
      <c r="D42">
        <v>12.0</v>
      </c>
      <c r="E42">
        <v>7.0</v>
      </c>
      <c r="F42" t="s">
        <v>180</v>
      </c>
      <c r="G42" t="s">
        <v>80</v>
      </c>
    </row>
    <row r="43">
      <c r="A43" s="1" t="s">
        <v>43</v>
      </c>
      <c r="B43" t="s">
        <v>181</v>
      </c>
      <c r="C43" t="s">
        <v>182</v>
      </c>
      <c r="D43" t="s">
        <v>177</v>
      </c>
      <c r="E43">
        <v>9.0</v>
      </c>
      <c r="F43" t="s">
        <v>183</v>
      </c>
      <c r="G43" t="s">
        <v>184</v>
      </c>
    </row>
    <row r="44">
      <c r="A44" s="1" t="s">
        <v>8</v>
      </c>
      <c r="B44" t="s">
        <v>185</v>
      </c>
      <c r="C44" t="s">
        <v>186</v>
      </c>
      <c r="D44" t="s">
        <v>173</v>
      </c>
      <c r="E44">
        <v>8.0</v>
      </c>
      <c r="F44" t="s">
        <v>178</v>
      </c>
      <c r="G44" t="s">
        <v>187</v>
      </c>
    </row>
    <row r="45">
      <c r="A45" s="1" t="s">
        <v>43</v>
      </c>
      <c r="B45" t="s">
        <v>188</v>
      </c>
      <c r="C45" t="s">
        <v>160</v>
      </c>
      <c r="D45">
        <v>12.0</v>
      </c>
      <c r="E45">
        <v>10.0</v>
      </c>
      <c r="F45" t="s">
        <v>189</v>
      </c>
      <c r="G45" t="s">
        <v>158</v>
      </c>
    </row>
    <row r="46">
      <c r="A46" s="1" t="s">
        <v>43</v>
      </c>
      <c r="B46" t="s">
        <v>190</v>
      </c>
      <c r="C46" t="s">
        <v>191</v>
      </c>
      <c r="D46" t="s">
        <v>173</v>
      </c>
      <c r="E46">
        <v>9.0</v>
      </c>
      <c r="F46" t="s">
        <v>183</v>
      </c>
      <c r="G46" t="s">
        <v>192</v>
      </c>
    </row>
    <row r="47">
      <c r="A47" s="1" t="s">
        <v>8</v>
      </c>
      <c r="B47" t="s">
        <v>193</v>
      </c>
      <c r="C47" t="s">
        <v>182</v>
      </c>
      <c r="D47" t="s">
        <v>194</v>
      </c>
      <c r="E47">
        <v>8.0</v>
      </c>
      <c r="F47" t="s">
        <v>195</v>
      </c>
      <c r="G47" t="s">
        <v>196</v>
      </c>
    </row>
    <row r="48">
      <c r="A48" s="1" t="s">
        <v>43</v>
      </c>
      <c r="B48" t="s">
        <v>197</v>
      </c>
      <c r="C48" t="s">
        <v>198</v>
      </c>
      <c r="D48" t="s">
        <v>199</v>
      </c>
      <c r="E48">
        <v>9.0</v>
      </c>
      <c r="F48" t="s">
        <v>200</v>
      </c>
      <c r="G48" t="s">
        <v>68</v>
      </c>
    </row>
    <row r="49">
      <c r="A49" s="1" t="s">
        <v>43</v>
      </c>
      <c r="B49" t="s">
        <v>201</v>
      </c>
      <c r="C49" t="s">
        <v>202</v>
      </c>
      <c r="D49" t="s">
        <v>199</v>
      </c>
      <c r="E49">
        <v>11.0</v>
      </c>
      <c r="F49" t="s">
        <v>203</v>
      </c>
      <c r="G49" t="s">
        <v>80</v>
      </c>
    </row>
    <row r="50">
      <c r="A50" s="1" t="s">
        <v>43</v>
      </c>
      <c r="B50" t="s">
        <v>204</v>
      </c>
      <c r="C50" t="s">
        <v>84</v>
      </c>
      <c r="D50" t="s">
        <v>205</v>
      </c>
      <c r="E50">
        <v>9.0</v>
      </c>
      <c r="F50" t="s">
        <v>206</v>
      </c>
      <c r="G50" t="s">
        <v>207</v>
      </c>
    </row>
    <row r="51">
      <c r="A51" s="1" t="s">
        <v>43</v>
      </c>
      <c r="B51" t="s">
        <v>208</v>
      </c>
      <c r="C51" t="s">
        <v>209</v>
      </c>
      <c r="D51" t="s">
        <v>199</v>
      </c>
      <c r="E51">
        <v>11.0</v>
      </c>
      <c r="F51" t="s">
        <v>210</v>
      </c>
      <c r="G51" t="s">
        <v>211</v>
      </c>
    </row>
    <row r="52">
      <c r="A52" s="1" t="s">
        <v>43</v>
      </c>
      <c r="B52" t="s">
        <v>212</v>
      </c>
      <c r="C52" t="s">
        <v>213</v>
      </c>
      <c r="D52">
        <v>11.0</v>
      </c>
      <c r="E52">
        <v>9.0</v>
      </c>
      <c r="F52" t="s">
        <v>214</v>
      </c>
      <c r="G52" t="s">
        <v>146</v>
      </c>
    </row>
    <row r="53">
      <c r="A53" s="1" t="s">
        <v>43</v>
      </c>
      <c r="B53" t="s">
        <v>215</v>
      </c>
      <c r="C53" t="s">
        <v>65</v>
      </c>
      <c r="D53" t="s">
        <v>205</v>
      </c>
      <c r="E53">
        <v>9.0</v>
      </c>
      <c r="F53" t="s">
        <v>216</v>
      </c>
      <c r="G53" t="s">
        <v>217</v>
      </c>
    </row>
    <row r="54">
      <c r="A54" s="1" t="s">
        <v>43</v>
      </c>
      <c r="B54" t="s">
        <v>218</v>
      </c>
      <c r="C54" t="s">
        <v>10</v>
      </c>
      <c r="D54">
        <v>11.0</v>
      </c>
      <c r="E54">
        <v>8.0</v>
      </c>
      <c r="F54" t="s">
        <v>219</v>
      </c>
      <c r="G54" t="s">
        <v>217</v>
      </c>
    </row>
    <row r="55">
      <c r="A55" s="1" t="s">
        <v>43</v>
      </c>
      <c r="B55" t="s">
        <v>220</v>
      </c>
      <c r="C55" t="s">
        <v>221</v>
      </c>
      <c r="D55" t="s">
        <v>199</v>
      </c>
      <c r="E55">
        <v>10.0</v>
      </c>
      <c r="F55" t="s">
        <v>222</v>
      </c>
      <c r="G55" t="s">
        <v>223</v>
      </c>
    </row>
    <row r="56">
      <c r="A56" s="1" t="s">
        <v>43</v>
      </c>
      <c r="B56" t="s">
        <v>224</v>
      </c>
      <c r="C56" t="s">
        <v>225</v>
      </c>
      <c r="D56" t="s">
        <v>194</v>
      </c>
      <c r="E56">
        <v>7.0</v>
      </c>
      <c r="F56" t="s">
        <v>195</v>
      </c>
      <c r="G56" t="s">
        <v>226</v>
      </c>
    </row>
    <row r="57">
      <c r="A57" s="1" t="s">
        <v>43</v>
      </c>
      <c r="B57" t="s">
        <v>227</v>
      </c>
      <c r="C57" t="s">
        <v>45</v>
      </c>
      <c r="D57">
        <v>11.0</v>
      </c>
      <c r="E57">
        <v>7.0</v>
      </c>
      <c r="F57" t="s">
        <v>228</v>
      </c>
      <c r="G57" t="s">
        <v>229</v>
      </c>
    </row>
    <row r="58">
      <c r="A58" s="1" t="s">
        <v>43</v>
      </c>
      <c r="B58" t="s">
        <v>230</v>
      </c>
      <c r="C58" t="s">
        <v>45</v>
      </c>
      <c r="D58">
        <v>11.0</v>
      </c>
      <c r="E58">
        <v>7.0</v>
      </c>
      <c r="F58" t="s">
        <v>231</v>
      </c>
      <c r="G58" t="s">
        <v>232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